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LLAGEMASTER\template\"/>
    </mc:Choice>
  </mc:AlternateContent>
  <xr:revisionPtr revIDLastSave="0" documentId="8_{3D6AF2DF-41E2-4CB0-A5F0-C905AEA63D92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ULLAGE REP" sheetId="36" r:id="rId1"/>
    <sheet name="Sayfa1" sheetId="37" r:id="rId2"/>
    <sheet name="MASTER" sheetId="29" r:id="rId3"/>
    <sheet name="ULLAGE TRIM CORR" sheetId="35" r:id="rId4"/>
    <sheet name="MAIN ULAGE" sheetId="9" r:id="rId5"/>
    <sheet name="STOWAGE" sheetId="6" r:id="rId6"/>
    <sheet name="PROTEST" sheetId="34" r:id="rId7"/>
    <sheet name="TAHLİYE FARK" sheetId="38" r:id="rId8"/>
    <sheet name="THERMAL_CORR" sheetId="33" state="hidden" r:id="rId9"/>
    <sheet name="ULLAGE_TABLES" sheetId="32" r:id="rId10"/>
    <sheet name="PUMPAGE_LOG_DISCH" sheetId="30" state="hidden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 localSheetId="0">[1]VAR!$B$18</definedName>
    <definedName name="CopyCel" localSheetId="3">[1]VAR!$B$18</definedName>
    <definedName name="CopyCel">[2]VAR!$B$18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 localSheetId="0">#REF!</definedName>
    <definedName name="Date" localSheetId="3">#REF!</definedName>
    <definedName name="Date">#REF!</definedName>
    <definedName name="DR" localSheetId="0">[1]Main!$D$5</definedName>
    <definedName name="DR" localSheetId="3">[1]Main!$D$5</definedName>
    <definedName name="DR">[2]Main!$D$5</definedName>
    <definedName name="Ecreate" localSheetId="0">[1]VAR!$B$35</definedName>
    <definedName name="Ecreate" localSheetId="3">[1]VAR!$B$35</definedName>
    <definedName name="Ecreate">[2]VAR!$B$35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MASTER!$Y$2:$Z$11</definedName>
    <definedName name="GRAVITY">'[3]VOLUME CORR.'!$B$4:$AT$4</definedName>
    <definedName name="GRVTYVAL">#REF!</definedName>
    <definedName name="LASTOBQ">#REF!</definedName>
    <definedName name="LASTTIME">#REF!</definedName>
    <definedName name="ll" localSheetId="0">#REF!</definedName>
    <definedName name="ll" localSheetId="3">#REF!</definedName>
    <definedName name="ll">#REF!</definedName>
    <definedName name="Location" localSheetId="0">[1]VAR!$B$54</definedName>
    <definedName name="Location" localSheetId="3">[1]VAR!$B$54</definedName>
    <definedName name="Location">[2]VAR!$B$54</definedName>
    <definedName name="lop" localSheetId="3">'[4]VOLUME CORR.'!$B$4:$B$89</definedName>
    <definedName name="lop">'[5]VOLUME CORR.'!$B$4:$B$89</definedName>
    <definedName name="Macro1" xlm="1">#REF!</definedName>
    <definedName name="MAINLBL">#REF!</definedName>
    <definedName name="MASTER">MASTER!$C$2:$T$20</definedName>
    <definedName name="MASTER_TABLE">MASTER!$B$3:$V$22</definedName>
    <definedName name="MIA">#REF!</definedName>
    <definedName name="nam" localSheetId="0">#REF!</definedName>
    <definedName name="nam" localSheetId="3">#REF!</definedName>
    <definedName name="nam">#REF!</definedName>
    <definedName name="Name" localSheetId="0">[1]Main!$D$6</definedName>
    <definedName name="Name" localSheetId="3">[1]Main!$D$6</definedName>
    <definedName name="Name">[2]Main!$D$6</definedName>
    <definedName name="nom" localSheetId="0">#REF!</definedName>
    <definedName name="nom" localSheetId="3">#REF!</definedName>
    <definedName name="nom">#REF!</definedName>
    <definedName name="OD" localSheetId="0">[1]Main!$D$11</definedName>
    <definedName name="OD" localSheetId="3">[1]Main!$D$11</definedName>
    <definedName name="OD">[2]Main!$D$11</definedName>
    <definedName name="office" localSheetId="0">[1]Main!$D$12</definedName>
    <definedName name="office" localSheetId="3">[1]Main!$D$12</definedName>
    <definedName name="office">[2]Main!$D$12</definedName>
    <definedName name="Officer" localSheetId="0">[1]Main!$F$12</definedName>
    <definedName name="Officer" localSheetId="3">[1]Main!$F$12</definedName>
    <definedName name="Officer">[2]Main!$F$12</definedName>
    <definedName name="OPERATION">#REF!</definedName>
    <definedName name="PARCELS">MASTER!$X$2:$AA$11</definedName>
    <definedName name="Port" localSheetId="0">#REF!</definedName>
    <definedName name="Port" localSheetId="3">#REF!</definedName>
    <definedName name="Port">#REF!</definedName>
    <definedName name="PORTS">MASTER!#REF!</definedName>
    <definedName name="print" xlm="1">#REF!</definedName>
    <definedName name="_xlnm.Print_Area" localSheetId="4">'MAIN ULAGE'!$A$2:$AD$45</definedName>
    <definedName name="_xlnm.Print_Area" localSheetId="10">PUMPAGE_LOG_DISCH!$A$1:$L$74</definedName>
    <definedName name="_xlnm.Print_Area" localSheetId="5">STOWAGE!$A$2:$Y$45</definedName>
    <definedName name="_xlnm.Print_Area" localSheetId="0">'ULLAGE REP'!$A$1:$O$42</definedName>
    <definedName name="_xlnm.Print_Area" localSheetId="3">'ULLAGE TRIM CORR'!$A$1:$HC$33</definedName>
    <definedName name="Print_Area_MI" localSheetId="0">#REF!</definedName>
    <definedName name="Print_Area_MI" localSheetId="3">#REF!</definedName>
    <definedName name="Print_Area_MI">#REF!</definedName>
    <definedName name="Rank" localSheetId="0">[1]Main!$F$13</definedName>
    <definedName name="Rank" localSheetId="3">[1]Main!$F$13</definedName>
    <definedName name="Rank">[2]Main!$F$13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 localSheetId="0">[1]Main!$D$3</definedName>
    <definedName name="reportno" localSheetId="3">[1]Main!$D$3</definedName>
    <definedName name="reportno">[2]Main!$D$3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'[3]VOLUME CORR.'!$B$4:$AT$89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'[3]VOLUME CORR.'!$B$4:$B$89</definedName>
    <definedName name="Terminal1">#REF!</definedName>
    <definedName name="Text1" localSheetId="10">PUMPAGE_LOG_DISCH!$C$72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 localSheetId="0">#REF!</definedName>
    <definedName name="ul" localSheetId="3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 localSheetId="0">#REF!</definedName>
    <definedName name="Vessel" localSheetId="3">#REF!</definedName>
    <definedName name="Vessel">#REF!</definedName>
    <definedName name="Voyage" localSheetId="0">#REF!</definedName>
    <definedName name="Voyage" localSheetId="3">#REF!</definedName>
    <definedName name="Voya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29" l="1"/>
  <c r="D9" i="29"/>
  <c r="C18" i="29" l="1"/>
  <c r="R11" i="6" l="1"/>
  <c r="R10" i="6"/>
  <c r="B14" i="6"/>
  <c r="D14" i="6"/>
  <c r="F14" i="6"/>
  <c r="D18" i="6" l="1"/>
  <c r="D3" i="29" l="1"/>
  <c r="D4" i="29"/>
  <c r="C19" i="29" l="1"/>
  <c r="C20" i="29"/>
  <c r="D19" i="29"/>
  <c r="D20" i="29"/>
  <c r="C7" i="29" l="1"/>
  <c r="C14" i="9"/>
  <c r="C15" i="9"/>
  <c r="C16" i="9"/>
  <c r="C17" i="9"/>
  <c r="C20" i="9"/>
  <c r="C21" i="9"/>
  <c r="C24" i="9"/>
  <c r="C25" i="9"/>
  <c r="C26" i="9"/>
  <c r="C28" i="9"/>
  <c r="C29" i="9"/>
  <c r="C30" i="9"/>
  <c r="C31" i="9"/>
  <c r="F22" i="29"/>
  <c r="D5" i="29"/>
  <c r="D6" i="29"/>
  <c r="D7" i="29"/>
  <c r="D8" i="29"/>
  <c r="D10" i="29"/>
  <c r="D11" i="29"/>
  <c r="D12" i="29"/>
  <c r="D13" i="29"/>
  <c r="D14" i="29"/>
  <c r="D15" i="29"/>
  <c r="D16" i="29"/>
  <c r="D17" i="29"/>
  <c r="D18" i="29"/>
  <c r="U10" i="9" l="1"/>
  <c r="Z10" i="9"/>
  <c r="N12" i="29"/>
  <c r="E3" i="38" l="1"/>
  <c r="J3" i="38"/>
  <c r="C6" i="38"/>
  <c r="D7" i="38" s="1"/>
  <c r="H6" i="38"/>
  <c r="I7" i="38" s="1"/>
  <c r="E11" i="38"/>
  <c r="J11" i="38"/>
  <c r="C14" i="38"/>
  <c r="D15" i="38" s="1"/>
  <c r="H14" i="38"/>
  <c r="I15" i="38" s="1"/>
  <c r="M18" i="38"/>
  <c r="M19" i="38"/>
  <c r="M4" i="38" l="1"/>
  <c r="M20" i="38"/>
  <c r="N21" i="38" s="1"/>
  <c r="M13" i="38"/>
  <c r="M5" i="38"/>
  <c r="M12" i="38"/>
  <c r="N13" i="37"/>
  <c r="N12" i="37"/>
  <c r="N11" i="37"/>
  <c r="N10" i="37"/>
  <c r="N9" i="37"/>
  <c r="N8" i="37"/>
  <c r="N7" i="37"/>
  <c r="N6" i="37"/>
  <c r="N5" i="37"/>
  <c r="G13" i="37"/>
  <c r="G12" i="37"/>
  <c r="G11" i="37"/>
  <c r="G10" i="37"/>
  <c r="G9" i="37"/>
  <c r="G8" i="37"/>
  <c r="G7" i="37"/>
  <c r="G6" i="37"/>
  <c r="G5" i="37"/>
  <c r="AB24" i="29"/>
  <c r="AC24" i="29" s="1"/>
  <c r="AB25" i="29"/>
  <c r="AC25" i="29" s="1"/>
  <c r="AB23" i="29"/>
  <c r="AC23" i="29" s="1"/>
  <c r="AB20" i="29"/>
  <c r="AC20" i="29" s="1"/>
  <c r="AB21" i="29"/>
  <c r="AC21" i="29" s="1"/>
  <c r="AB19" i="29"/>
  <c r="AC19" i="29" s="1"/>
  <c r="M3" i="29"/>
  <c r="O14" i="9" s="1"/>
  <c r="M4" i="29"/>
  <c r="O15" i="9" s="1"/>
  <c r="M5" i="29"/>
  <c r="M6" i="29"/>
  <c r="M7" i="29"/>
  <c r="M8" i="29"/>
  <c r="M9" i="29"/>
  <c r="O20" i="9" s="1"/>
  <c r="M10" i="29"/>
  <c r="O21" i="9" s="1"/>
  <c r="M11" i="29"/>
  <c r="M12" i="29"/>
  <c r="M13" i="29"/>
  <c r="O24" i="9" s="1"/>
  <c r="M14" i="29"/>
  <c r="O25" i="9" s="1"/>
  <c r="M15" i="29"/>
  <c r="M16" i="29"/>
  <c r="M17" i="29"/>
  <c r="O28" i="9" s="1"/>
  <c r="M18" i="29"/>
  <c r="O29" i="9" s="1"/>
  <c r="M19" i="29"/>
  <c r="M20" i="29"/>
  <c r="N20" i="29"/>
  <c r="N19" i="29"/>
  <c r="N18" i="29"/>
  <c r="N17" i="29"/>
  <c r="N16" i="29"/>
  <c r="N15" i="29"/>
  <c r="N14" i="29"/>
  <c r="N13" i="29"/>
  <c r="CB28" i="36"/>
  <c r="N11" i="29"/>
  <c r="N10" i="29"/>
  <c r="N9" i="29"/>
  <c r="N8" i="29"/>
  <c r="N7" i="29"/>
  <c r="N6" i="29"/>
  <c r="N5" i="29"/>
  <c r="N4" i="29"/>
  <c r="N3" i="29"/>
  <c r="BG5" i="36"/>
  <c r="BH5" i="36" s="1"/>
  <c r="BG6" i="36"/>
  <c r="B6" i="36" s="1"/>
  <c r="BG7" i="36"/>
  <c r="B7" i="36" s="1"/>
  <c r="BG8" i="36"/>
  <c r="BH8" i="36" s="1"/>
  <c r="BG9" i="36"/>
  <c r="B9" i="36" s="1"/>
  <c r="BG10" i="36"/>
  <c r="B10" i="36" s="1"/>
  <c r="BG11" i="36"/>
  <c r="BH11" i="36" s="1"/>
  <c r="BG12" i="36"/>
  <c r="B12" i="36" s="1"/>
  <c r="BG13" i="36"/>
  <c r="B13" i="36" s="1"/>
  <c r="BG14" i="36"/>
  <c r="BH14" i="36" s="1"/>
  <c r="BG15" i="36"/>
  <c r="B15" i="36" s="1"/>
  <c r="BG16" i="36"/>
  <c r="BH16" i="36" s="1"/>
  <c r="BG17" i="36"/>
  <c r="B17" i="36" s="1"/>
  <c r="BG18" i="36"/>
  <c r="BH18" i="36" s="1"/>
  <c r="BG19" i="36"/>
  <c r="B19" i="36" s="1"/>
  <c r="BG20" i="36"/>
  <c r="BH20" i="36" s="1"/>
  <c r="BG21" i="36"/>
  <c r="BH21" i="36" s="1"/>
  <c r="BG22" i="36"/>
  <c r="BH22" i="36" s="1"/>
  <c r="N40" i="36"/>
  <c r="K24" i="36"/>
  <c r="I24" i="36"/>
  <c r="E24" i="36"/>
  <c r="M3" i="36"/>
  <c r="B21" i="35"/>
  <c r="B22" i="35"/>
  <c r="B3" i="35"/>
  <c r="C3" i="35" s="1"/>
  <c r="B4" i="35"/>
  <c r="C4" i="35" s="1"/>
  <c r="B5" i="35"/>
  <c r="AC4" i="35" s="1"/>
  <c r="AD3" i="35" s="1"/>
  <c r="B6" i="35"/>
  <c r="AN4" i="35" s="1"/>
  <c r="AO3" i="35" s="1"/>
  <c r="B7" i="35"/>
  <c r="C7" i="35" s="1"/>
  <c r="B8" i="35"/>
  <c r="BJ4" i="35" s="1"/>
  <c r="BK3" i="35" s="1"/>
  <c r="B9" i="35"/>
  <c r="C9" i="35" s="1"/>
  <c r="B10" i="35"/>
  <c r="CF4" i="35" s="1"/>
  <c r="CG3" i="35" s="1"/>
  <c r="B11" i="35"/>
  <c r="C11" i="35" s="1"/>
  <c r="B12" i="35"/>
  <c r="C12" i="35" s="1"/>
  <c r="B13" i="35"/>
  <c r="C13" i="35" s="1"/>
  <c r="B14" i="35"/>
  <c r="C14" i="35" s="1"/>
  <c r="B15" i="35"/>
  <c r="C15" i="35" s="1"/>
  <c r="B16" i="35"/>
  <c r="ET4" i="35" s="1"/>
  <c r="EU3" i="35" s="1"/>
  <c r="B17" i="35"/>
  <c r="FE4" i="35" s="1"/>
  <c r="FF3" i="35" s="1"/>
  <c r="B18" i="35"/>
  <c r="C18" i="35" s="1"/>
  <c r="B19" i="35"/>
  <c r="C19" i="35" s="1"/>
  <c r="B20" i="35"/>
  <c r="C20" i="35" s="1"/>
  <c r="GU125" i="35"/>
  <c r="GS125" i="35"/>
  <c r="GJ125" i="35"/>
  <c r="GH125" i="35"/>
  <c r="FY125" i="35"/>
  <c r="FW125" i="35"/>
  <c r="FN125" i="35"/>
  <c r="FL125" i="35"/>
  <c r="FC125" i="35"/>
  <c r="FA125" i="35"/>
  <c r="ER125" i="35"/>
  <c r="EP125" i="35"/>
  <c r="EG125" i="35"/>
  <c r="EE125" i="35"/>
  <c r="DV125" i="35"/>
  <c r="DT125" i="35"/>
  <c r="DK125" i="35"/>
  <c r="DI125" i="35"/>
  <c r="CZ125" i="35"/>
  <c r="CX125" i="35"/>
  <c r="CO125" i="35"/>
  <c r="CM125" i="35"/>
  <c r="CD125" i="35"/>
  <c r="CB125" i="35"/>
  <c r="BS125" i="35"/>
  <c r="BQ125" i="35"/>
  <c r="BH125" i="35"/>
  <c r="BF125" i="35"/>
  <c r="AW125" i="35"/>
  <c r="AU125" i="35"/>
  <c r="AL125" i="35"/>
  <c r="AJ125" i="35"/>
  <c r="AA125" i="35"/>
  <c r="Y125" i="35"/>
  <c r="P125" i="35"/>
  <c r="N125" i="35"/>
  <c r="GU124" i="35"/>
  <c r="GS124" i="35"/>
  <c r="GJ124" i="35"/>
  <c r="GH124" i="35"/>
  <c r="FY124" i="35"/>
  <c r="FW124" i="35"/>
  <c r="FN124" i="35"/>
  <c r="FL124" i="35"/>
  <c r="FC124" i="35"/>
  <c r="FA124" i="35"/>
  <c r="ER124" i="35"/>
  <c r="EP124" i="35"/>
  <c r="EG124" i="35"/>
  <c r="EE124" i="35"/>
  <c r="DV124" i="35"/>
  <c r="DT124" i="35"/>
  <c r="DK124" i="35"/>
  <c r="DI124" i="35"/>
  <c r="CZ124" i="35"/>
  <c r="CX124" i="35"/>
  <c r="CO124" i="35"/>
  <c r="CM124" i="35"/>
  <c r="CD124" i="35"/>
  <c r="CB124" i="35"/>
  <c r="BS124" i="35"/>
  <c r="BQ124" i="35"/>
  <c r="BH124" i="35"/>
  <c r="BF124" i="35"/>
  <c r="AW124" i="35"/>
  <c r="AU124" i="35"/>
  <c r="AL124" i="35"/>
  <c r="AJ124" i="35"/>
  <c r="AA124" i="35"/>
  <c r="Y124" i="35"/>
  <c r="P124" i="35"/>
  <c r="N124" i="35"/>
  <c r="GU123" i="35"/>
  <c r="GS123" i="35"/>
  <c r="GJ123" i="35"/>
  <c r="GH123" i="35"/>
  <c r="FY123" i="35"/>
  <c r="FW123" i="35"/>
  <c r="FN123" i="35"/>
  <c r="FL123" i="35"/>
  <c r="FC123" i="35"/>
  <c r="FA123" i="35"/>
  <c r="ER123" i="35"/>
  <c r="EP123" i="35"/>
  <c r="EG123" i="35"/>
  <c r="EE123" i="35"/>
  <c r="DV123" i="35"/>
  <c r="DT123" i="35"/>
  <c r="DK123" i="35"/>
  <c r="DI123" i="35"/>
  <c r="CZ123" i="35"/>
  <c r="CX123" i="35"/>
  <c r="CO123" i="35"/>
  <c r="CM123" i="35"/>
  <c r="CD123" i="35"/>
  <c r="CB123" i="35"/>
  <c r="BS123" i="35"/>
  <c r="BQ123" i="35"/>
  <c r="BH123" i="35"/>
  <c r="BF123" i="35"/>
  <c r="AW123" i="35"/>
  <c r="AU123" i="35"/>
  <c r="AL123" i="35"/>
  <c r="AJ123" i="35"/>
  <c r="AA123" i="35"/>
  <c r="Y123" i="35"/>
  <c r="P123" i="35"/>
  <c r="N123" i="35"/>
  <c r="GU122" i="35"/>
  <c r="GS122" i="35"/>
  <c r="GJ122" i="35"/>
  <c r="GH122" i="35"/>
  <c r="FY122" i="35"/>
  <c r="FW122" i="35"/>
  <c r="FN122" i="35"/>
  <c r="FL122" i="35"/>
  <c r="FC122" i="35"/>
  <c r="FA122" i="35"/>
  <c r="ER122" i="35"/>
  <c r="EP122" i="35"/>
  <c r="EG122" i="35"/>
  <c r="EE122" i="35"/>
  <c r="DV122" i="35"/>
  <c r="DT122" i="35"/>
  <c r="DK122" i="35"/>
  <c r="DI122" i="35"/>
  <c r="CZ122" i="35"/>
  <c r="CX122" i="35"/>
  <c r="CO122" i="35"/>
  <c r="CM122" i="35"/>
  <c r="CD122" i="35"/>
  <c r="CB122" i="35"/>
  <c r="BS122" i="35"/>
  <c r="BQ122" i="35"/>
  <c r="BH122" i="35"/>
  <c r="BF122" i="35"/>
  <c r="AW122" i="35"/>
  <c r="AU122" i="35"/>
  <c r="AL122" i="35"/>
  <c r="AJ122" i="35"/>
  <c r="AA122" i="35"/>
  <c r="Y122" i="35"/>
  <c r="P122" i="35"/>
  <c r="N122" i="35"/>
  <c r="GU121" i="35"/>
  <c r="GS121" i="35"/>
  <c r="GJ121" i="35"/>
  <c r="GH121" i="35"/>
  <c r="FY121" i="35"/>
  <c r="FW121" i="35"/>
  <c r="FN121" i="35"/>
  <c r="FL121" i="35"/>
  <c r="FC121" i="35"/>
  <c r="FA121" i="35"/>
  <c r="ER121" i="35"/>
  <c r="EP121" i="35"/>
  <c r="EG121" i="35"/>
  <c r="EE121" i="35"/>
  <c r="DV121" i="35"/>
  <c r="DT121" i="35"/>
  <c r="DK121" i="35"/>
  <c r="DI121" i="35"/>
  <c r="CZ121" i="35"/>
  <c r="CX121" i="35"/>
  <c r="CO121" i="35"/>
  <c r="CM121" i="35"/>
  <c r="CD121" i="35"/>
  <c r="CB121" i="35"/>
  <c r="BS121" i="35"/>
  <c r="BQ121" i="35"/>
  <c r="BH121" i="35"/>
  <c r="BF121" i="35"/>
  <c r="AW121" i="35"/>
  <c r="AU121" i="35"/>
  <c r="AL121" i="35"/>
  <c r="AJ121" i="35"/>
  <c r="AA121" i="35"/>
  <c r="Y121" i="35"/>
  <c r="P121" i="35"/>
  <c r="N121" i="35"/>
  <c r="GU120" i="35"/>
  <c r="GS120" i="35"/>
  <c r="GJ120" i="35"/>
  <c r="GH120" i="35"/>
  <c r="FY120" i="35"/>
  <c r="FW120" i="35"/>
  <c r="FN120" i="35"/>
  <c r="FL120" i="35"/>
  <c r="FC120" i="35"/>
  <c r="FA120" i="35"/>
  <c r="ER120" i="35"/>
  <c r="EP120" i="35"/>
  <c r="EG120" i="35"/>
  <c r="EE120" i="35"/>
  <c r="DV120" i="35"/>
  <c r="DT120" i="35"/>
  <c r="DK120" i="35"/>
  <c r="DI120" i="35"/>
  <c r="CZ120" i="35"/>
  <c r="CX120" i="35"/>
  <c r="CO120" i="35"/>
  <c r="CM120" i="35"/>
  <c r="CD120" i="35"/>
  <c r="CB120" i="35"/>
  <c r="BS120" i="35"/>
  <c r="BQ120" i="35"/>
  <c r="BH120" i="35"/>
  <c r="BF120" i="35"/>
  <c r="AW120" i="35"/>
  <c r="AU120" i="35"/>
  <c r="AL120" i="35"/>
  <c r="AJ120" i="35"/>
  <c r="AA120" i="35"/>
  <c r="Y120" i="35"/>
  <c r="P120" i="35"/>
  <c r="N120" i="35"/>
  <c r="GU119" i="35"/>
  <c r="GS119" i="35"/>
  <c r="GJ119" i="35"/>
  <c r="GH119" i="35"/>
  <c r="FY119" i="35"/>
  <c r="FW119" i="35"/>
  <c r="FN119" i="35"/>
  <c r="FL119" i="35"/>
  <c r="FC119" i="35"/>
  <c r="FA119" i="35"/>
  <c r="ER119" i="35"/>
  <c r="EP119" i="35"/>
  <c r="EG119" i="35"/>
  <c r="EE119" i="35"/>
  <c r="DV119" i="35"/>
  <c r="DT119" i="35"/>
  <c r="DK119" i="35"/>
  <c r="DI119" i="35"/>
  <c r="CZ119" i="35"/>
  <c r="CX119" i="35"/>
  <c r="CO119" i="35"/>
  <c r="CM119" i="35"/>
  <c r="CD119" i="35"/>
  <c r="CB119" i="35"/>
  <c r="BS119" i="35"/>
  <c r="BQ119" i="35"/>
  <c r="BH119" i="35"/>
  <c r="BF119" i="35"/>
  <c r="AW119" i="35"/>
  <c r="AU119" i="35"/>
  <c r="AL119" i="35"/>
  <c r="AJ119" i="35"/>
  <c r="AA119" i="35"/>
  <c r="Y119" i="35"/>
  <c r="P119" i="35"/>
  <c r="N119" i="35"/>
  <c r="GU118" i="35"/>
  <c r="GS118" i="35"/>
  <c r="GJ118" i="35"/>
  <c r="GH118" i="35"/>
  <c r="FY118" i="35"/>
  <c r="FW118" i="35"/>
  <c r="FN118" i="35"/>
  <c r="FL118" i="35"/>
  <c r="FC118" i="35"/>
  <c r="FA118" i="35"/>
  <c r="ER118" i="35"/>
  <c r="EP118" i="35"/>
  <c r="EG118" i="35"/>
  <c r="EE118" i="35"/>
  <c r="DV118" i="35"/>
  <c r="DT118" i="35"/>
  <c r="DK118" i="35"/>
  <c r="DI118" i="35"/>
  <c r="CZ118" i="35"/>
  <c r="CX118" i="35"/>
  <c r="CO118" i="35"/>
  <c r="CM118" i="35"/>
  <c r="CD118" i="35"/>
  <c r="CB118" i="35"/>
  <c r="BS118" i="35"/>
  <c r="BQ118" i="35"/>
  <c r="BH118" i="35"/>
  <c r="BF118" i="35"/>
  <c r="AW118" i="35"/>
  <c r="AU118" i="35"/>
  <c r="AL118" i="35"/>
  <c r="AJ118" i="35"/>
  <c r="AA118" i="35"/>
  <c r="Y118" i="35"/>
  <c r="P118" i="35"/>
  <c r="N118" i="35"/>
  <c r="GU117" i="35"/>
  <c r="GS117" i="35"/>
  <c r="GJ117" i="35"/>
  <c r="GH117" i="35"/>
  <c r="FY117" i="35"/>
  <c r="FW117" i="35"/>
  <c r="FN117" i="35"/>
  <c r="FL117" i="35"/>
  <c r="FC117" i="35"/>
  <c r="FA117" i="35"/>
  <c r="ER117" i="35"/>
  <c r="EP117" i="35"/>
  <c r="EG117" i="35"/>
  <c r="EE117" i="35"/>
  <c r="DV117" i="35"/>
  <c r="DT117" i="35"/>
  <c r="DK117" i="35"/>
  <c r="DI117" i="35"/>
  <c r="CZ117" i="35"/>
  <c r="CX117" i="35"/>
  <c r="CO117" i="35"/>
  <c r="CM117" i="35"/>
  <c r="CD117" i="35"/>
  <c r="CB117" i="35"/>
  <c r="BS117" i="35"/>
  <c r="BQ117" i="35"/>
  <c r="BH117" i="35"/>
  <c r="BF117" i="35"/>
  <c r="AW117" i="35"/>
  <c r="AU117" i="35"/>
  <c r="AL117" i="35"/>
  <c r="AJ117" i="35"/>
  <c r="AA117" i="35"/>
  <c r="Y117" i="35"/>
  <c r="P117" i="35"/>
  <c r="N117" i="35"/>
  <c r="GU116" i="35"/>
  <c r="GS116" i="35"/>
  <c r="GJ116" i="35"/>
  <c r="GH116" i="35"/>
  <c r="FY116" i="35"/>
  <c r="FW116" i="35"/>
  <c r="FN116" i="35"/>
  <c r="FL116" i="35"/>
  <c r="FC116" i="35"/>
  <c r="FA116" i="35"/>
  <c r="ER116" i="35"/>
  <c r="EP116" i="35"/>
  <c r="EG116" i="35"/>
  <c r="EE116" i="35"/>
  <c r="DV116" i="35"/>
  <c r="DT116" i="35"/>
  <c r="DK116" i="35"/>
  <c r="DI116" i="35"/>
  <c r="CZ116" i="35"/>
  <c r="CX116" i="35"/>
  <c r="CO116" i="35"/>
  <c r="CM116" i="35"/>
  <c r="CD116" i="35"/>
  <c r="CB116" i="35"/>
  <c r="BS116" i="35"/>
  <c r="BQ116" i="35"/>
  <c r="BH116" i="35"/>
  <c r="BF116" i="35"/>
  <c r="AW116" i="35"/>
  <c r="AU116" i="35"/>
  <c r="AL116" i="35"/>
  <c r="AJ116" i="35"/>
  <c r="AA116" i="35"/>
  <c r="Y116" i="35"/>
  <c r="P116" i="35"/>
  <c r="N116" i="35"/>
  <c r="GU115" i="35"/>
  <c r="GS115" i="35"/>
  <c r="GJ115" i="35"/>
  <c r="GH115" i="35"/>
  <c r="FY115" i="35"/>
  <c r="FW115" i="35"/>
  <c r="FN115" i="35"/>
  <c r="FL115" i="35"/>
  <c r="FC115" i="35"/>
  <c r="FA115" i="35"/>
  <c r="ER115" i="35"/>
  <c r="EP115" i="35"/>
  <c r="EG115" i="35"/>
  <c r="EE115" i="35"/>
  <c r="DV115" i="35"/>
  <c r="DT115" i="35"/>
  <c r="DK115" i="35"/>
  <c r="DI115" i="35"/>
  <c r="CZ115" i="35"/>
  <c r="CX115" i="35"/>
  <c r="CO115" i="35"/>
  <c r="CM115" i="35"/>
  <c r="CD115" i="35"/>
  <c r="CB115" i="35"/>
  <c r="BS115" i="35"/>
  <c r="BQ115" i="35"/>
  <c r="BH115" i="35"/>
  <c r="BF115" i="35"/>
  <c r="AW115" i="35"/>
  <c r="AU115" i="35"/>
  <c r="AL115" i="35"/>
  <c r="AJ115" i="35"/>
  <c r="AA115" i="35"/>
  <c r="Y115" i="35"/>
  <c r="P115" i="35"/>
  <c r="N115" i="35"/>
  <c r="GU114" i="35"/>
  <c r="GS114" i="35"/>
  <c r="GJ114" i="35"/>
  <c r="GH114" i="35"/>
  <c r="FY114" i="35"/>
  <c r="FW114" i="35"/>
  <c r="FN114" i="35"/>
  <c r="FL114" i="35"/>
  <c r="FC114" i="35"/>
  <c r="FA114" i="35"/>
  <c r="ER114" i="35"/>
  <c r="EP114" i="35"/>
  <c r="EG114" i="35"/>
  <c r="EE114" i="35"/>
  <c r="DV114" i="35"/>
  <c r="DT114" i="35"/>
  <c r="DK114" i="35"/>
  <c r="DI114" i="35"/>
  <c r="CZ114" i="35"/>
  <c r="CX114" i="35"/>
  <c r="CO114" i="35"/>
  <c r="CM114" i="35"/>
  <c r="CD114" i="35"/>
  <c r="CB114" i="35"/>
  <c r="BS114" i="35"/>
  <c r="BQ114" i="35"/>
  <c r="BH114" i="35"/>
  <c r="BF114" i="35"/>
  <c r="AW114" i="35"/>
  <c r="AU114" i="35"/>
  <c r="AL114" i="35"/>
  <c r="AJ114" i="35"/>
  <c r="AA114" i="35"/>
  <c r="Y114" i="35"/>
  <c r="P114" i="35"/>
  <c r="N114" i="35"/>
  <c r="GU113" i="35"/>
  <c r="GS113" i="35"/>
  <c r="GJ113" i="35"/>
  <c r="GH113" i="35"/>
  <c r="FY113" i="35"/>
  <c r="FW113" i="35"/>
  <c r="FN113" i="35"/>
  <c r="FL113" i="35"/>
  <c r="FC113" i="35"/>
  <c r="FA113" i="35"/>
  <c r="ER113" i="35"/>
  <c r="EP113" i="35"/>
  <c r="EG113" i="35"/>
  <c r="EE113" i="35"/>
  <c r="DV113" i="35"/>
  <c r="DT113" i="35"/>
  <c r="DK113" i="35"/>
  <c r="DI113" i="35"/>
  <c r="CZ113" i="35"/>
  <c r="CX113" i="35"/>
  <c r="CO113" i="35"/>
  <c r="CM113" i="35"/>
  <c r="CD113" i="35"/>
  <c r="CB113" i="35"/>
  <c r="BS113" i="35"/>
  <c r="BQ113" i="35"/>
  <c r="BH113" i="35"/>
  <c r="BF113" i="35"/>
  <c r="AW113" i="35"/>
  <c r="AU113" i="35"/>
  <c r="AL113" i="35"/>
  <c r="AJ113" i="35"/>
  <c r="AA113" i="35"/>
  <c r="Y113" i="35"/>
  <c r="P113" i="35"/>
  <c r="N113" i="35"/>
  <c r="GU112" i="35"/>
  <c r="GS112" i="35"/>
  <c r="GJ112" i="35"/>
  <c r="GH112" i="35"/>
  <c r="FY112" i="35"/>
  <c r="FW112" i="35"/>
  <c r="FN112" i="35"/>
  <c r="FL112" i="35"/>
  <c r="FC112" i="35"/>
  <c r="FA112" i="35"/>
  <c r="ER112" i="35"/>
  <c r="EP112" i="35"/>
  <c r="EG112" i="35"/>
  <c r="EE112" i="35"/>
  <c r="DV112" i="35"/>
  <c r="DT112" i="35"/>
  <c r="DK112" i="35"/>
  <c r="DI112" i="35"/>
  <c r="CZ112" i="35"/>
  <c r="CX112" i="35"/>
  <c r="CO112" i="35"/>
  <c r="CM112" i="35"/>
  <c r="CD112" i="35"/>
  <c r="CB112" i="35"/>
  <c r="BS112" i="35"/>
  <c r="BQ112" i="35"/>
  <c r="BH112" i="35"/>
  <c r="BF112" i="35"/>
  <c r="AW112" i="35"/>
  <c r="AU112" i="35"/>
  <c r="AL112" i="35"/>
  <c r="AJ112" i="35"/>
  <c r="AA112" i="35"/>
  <c r="Y112" i="35"/>
  <c r="P112" i="35"/>
  <c r="N112" i="35"/>
  <c r="GU111" i="35"/>
  <c r="GS111" i="35"/>
  <c r="GJ111" i="35"/>
  <c r="GH111" i="35"/>
  <c r="FY111" i="35"/>
  <c r="FW111" i="35"/>
  <c r="FN111" i="35"/>
  <c r="FL111" i="35"/>
  <c r="FC111" i="35"/>
  <c r="FA111" i="35"/>
  <c r="ER111" i="35"/>
  <c r="EP111" i="35"/>
  <c r="EG111" i="35"/>
  <c r="EE111" i="35"/>
  <c r="DV111" i="35"/>
  <c r="DT111" i="35"/>
  <c r="DK111" i="35"/>
  <c r="DI111" i="35"/>
  <c r="CZ111" i="35"/>
  <c r="CX111" i="35"/>
  <c r="CO111" i="35"/>
  <c r="CM111" i="35"/>
  <c r="CD111" i="35"/>
  <c r="CB111" i="35"/>
  <c r="BS111" i="35"/>
  <c r="BQ111" i="35"/>
  <c r="BH111" i="35"/>
  <c r="BF111" i="35"/>
  <c r="AW111" i="35"/>
  <c r="AU111" i="35"/>
  <c r="AL111" i="35"/>
  <c r="AJ111" i="35"/>
  <c r="AA111" i="35"/>
  <c r="Y111" i="35"/>
  <c r="P111" i="35"/>
  <c r="N111" i="35"/>
  <c r="GU110" i="35"/>
  <c r="GS110" i="35"/>
  <c r="GJ110" i="35"/>
  <c r="GH110" i="35"/>
  <c r="FY110" i="35"/>
  <c r="FW110" i="35"/>
  <c r="FN110" i="35"/>
  <c r="FL110" i="35"/>
  <c r="FC110" i="35"/>
  <c r="FA110" i="35"/>
  <c r="ER110" i="35"/>
  <c r="EP110" i="35"/>
  <c r="EG110" i="35"/>
  <c r="EE110" i="35"/>
  <c r="DV110" i="35"/>
  <c r="DT110" i="35"/>
  <c r="DK110" i="35"/>
  <c r="DI110" i="35"/>
  <c r="CZ110" i="35"/>
  <c r="CX110" i="35"/>
  <c r="CO110" i="35"/>
  <c r="CM110" i="35"/>
  <c r="CD110" i="35"/>
  <c r="CB110" i="35"/>
  <c r="BS110" i="35"/>
  <c r="BQ110" i="35"/>
  <c r="BH110" i="35"/>
  <c r="BF110" i="35"/>
  <c r="AW110" i="35"/>
  <c r="AU110" i="35"/>
  <c r="AL110" i="35"/>
  <c r="AJ110" i="35"/>
  <c r="AA110" i="35"/>
  <c r="Y110" i="35"/>
  <c r="P110" i="35"/>
  <c r="N110" i="35"/>
  <c r="GU109" i="35"/>
  <c r="GS109" i="35"/>
  <c r="GJ109" i="35"/>
  <c r="GH109" i="35"/>
  <c r="FY109" i="35"/>
  <c r="FW109" i="35"/>
  <c r="FN109" i="35"/>
  <c r="FL109" i="35"/>
  <c r="FC109" i="35"/>
  <c r="FA109" i="35"/>
  <c r="ER109" i="35"/>
  <c r="EP109" i="35"/>
  <c r="EG109" i="35"/>
  <c r="EE109" i="35"/>
  <c r="DV109" i="35"/>
  <c r="DT109" i="35"/>
  <c r="DK109" i="35"/>
  <c r="DI109" i="35"/>
  <c r="CZ109" i="35"/>
  <c r="CX109" i="35"/>
  <c r="CO109" i="35"/>
  <c r="CM109" i="35"/>
  <c r="CD109" i="35"/>
  <c r="CB109" i="35"/>
  <c r="BS109" i="35"/>
  <c r="BQ109" i="35"/>
  <c r="BH109" i="35"/>
  <c r="BF109" i="35"/>
  <c r="AW109" i="35"/>
  <c r="AU109" i="35"/>
  <c r="AL109" i="35"/>
  <c r="AJ109" i="35"/>
  <c r="AA109" i="35"/>
  <c r="Y109" i="35"/>
  <c r="P109" i="35"/>
  <c r="N109" i="35"/>
  <c r="GU108" i="35"/>
  <c r="GS108" i="35"/>
  <c r="GJ108" i="35"/>
  <c r="GH108" i="35"/>
  <c r="FY108" i="35"/>
  <c r="FW108" i="35"/>
  <c r="FN108" i="35"/>
  <c r="FL108" i="35"/>
  <c r="FC108" i="35"/>
  <c r="FA108" i="35"/>
  <c r="ER108" i="35"/>
  <c r="EP108" i="35"/>
  <c r="EG108" i="35"/>
  <c r="EE108" i="35"/>
  <c r="DV108" i="35"/>
  <c r="DT108" i="35"/>
  <c r="DK108" i="35"/>
  <c r="DI108" i="35"/>
  <c r="CZ108" i="35"/>
  <c r="CX108" i="35"/>
  <c r="CO108" i="35"/>
  <c r="CM108" i="35"/>
  <c r="CD108" i="35"/>
  <c r="CB108" i="35"/>
  <c r="BS108" i="35"/>
  <c r="BQ108" i="35"/>
  <c r="BH108" i="35"/>
  <c r="BF108" i="35"/>
  <c r="AW108" i="35"/>
  <c r="AU108" i="35"/>
  <c r="AL108" i="35"/>
  <c r="AJ108" i="35"/>
  <c r="AA108" i="35"/>
  <c r="Y108" i="35"/>
  <c r="P108" i="35"/>
  <c r="N108" i="35"/>
  <c r="GU107" i="35"/>
  <c r="GS107" i="35"/>
  <c r="GJ107" i="35"/>
  <c r="GH107" i="35"/>
  <c r="FY107" i="35"/>
  <c r="FW107" i="35"/>
  <c r="FN107" i="35"/>
  <c r="FL107" i="35"/>
  <c r="FC107" i="35"/>
  <c r="FA107" i="35"/>
  <c r="ER107" i="35"/>
  <c r="EP107" i="35"/>
  <c r="EG107" i="35"/>
  <c r="EE107" i="35"/>
  <c r="DV107" i="35"/>
  <c r="DT107" i="35"/>
  <c r="DK107" i="35"/>
  <c r="DI107" i="35"/>
  <c r="CZ107" i="35"/>
  <c r="CX107" i="35"/>
  <c r="CO107" i="35"/>
  <c r="CM107" i="35"/>
  <c r="CD107" i="35"/>
  <c r="CB107" i="35"/>
  <c r="BS107" i="35"/>
  <c r="BQ107" i="35"/>
  <c r="BH107" i="35"/>
  <c r="BF107" i="35"/>
  <c r="AW107" i="35"/>
  <c r="AU107" i="35"/>
  <c r="AL107" i="35"/>
  <c r="AJ107" i="35"/>
  <c r="AA107" i="35"/>
  <c r="Y107" i="35"/>
  <c r="P107" i="35"/>
  <c r="N107" i="35"/>
  <c r="GU106" i="35"/>
  <c r="GS106" i="35"/>
  <c r="GJ106" i="35"/>
  <c r="GH106" i="35"/>
  <c r="FY106" i="35"/>
  <c r="FW106" i="35"/>
  <c r="FN106" i="35"/>
  <c r="FL106" i="35"/>
  <c r="FC106" i="35"/>
  <c r="FA106" i="35"/>
  <c r="ER106" i="35"/>
  <c r="EP106" i="35"/>
  <c r="EG106" i="35"/>
  <c r="EE106" i="35"/>
  <c r="DV106" i="35"/>
  <c r="DT106" i="35"/>
  <c r="DK106" i="35"/>
  <c r="DI106" i="35"/>
  <c r="CZ106" i="35"/>
  <c r="CX106" i="35"/>
  <c r="CO106" i="35"/>
  <c r="CM106" i="35"/>
  <c r="CD106" i="35"/>
  <c r="CB106" i="35"/>
  <c r="BS106" i="35"/>
  <c r="BQ106" i="35"/>
  <c r="BH106" i="35"/>
  <c r="BF106" i="35"/>
  <c r="AW106" i="35"/>
  <c r="AU106" i="35"/>
  <c r="AL106" i="35"/>
  <c r="AJ106" i="35"/>
  <c r="AA106" i="35"/>
  <c r="Y106" i="35"/>
  <c r="P106" i="35"/>
  <c r="N106" i="35"/>
  <c r="GU105" i="35"/>
  <c r="GS105" i="35"/>
  <c r="GJ105" i="35"/>
  <c r="GH105" i="35"/>
  <c r="FY105" i="35"/>
  <c r="FW105" i="35"/>
  <c r="FN105" i="35"/>
  <c r="FL105" i="35"/>
  <c r="FC105" i="35"/>
  <c r="FA105" i="35"/>
  <c r="ER105" i="35"/>
  <c r="EP105" i="35"/>
  <c r="EG105" i="35"/>
  <c r="EE105" i="35"/>
  <c r="DV105" i="35"/>
  <c r="DT105" i="35"/>
  <c r="DK105" i="35"/>
  <c r="DI105" i="35"/>
  <c r="CZ105" i="35"/>
  <c r="CX105" i="35"/>
  <c r="CO105" i="35"/>
  <c r="CM105" i="35"/>
  <c r="CD105" i="35"/>
  <c r="CB105" i="35"/>
  <c r="BS105" i="35"/>
  <c r="BQ105" i="35"/>
  <c r="BH105" i="35"/>
  <c r="BF105" i="35"/>
  <c r="AW105" i="35"/>
  <c r="AU105" i="35"/>
  <c r="AL105" i="35"/>
  <c r="AJ105" i="35"/>
  <c r="AA105" i="35"/>
  <c r="Y105" i="35"/>
  <c r="P105" i="35"/>
  <c r="N105" i="35"/>
  <c r="GU104" i="35"/>
  <c r="GS104" i="35"/>
  <c r="GJ104" i="35"/>
  <c r="GH104" i="35"/>
  <c r="FY104" i="35"/>
  <c r="FW104" i="35"/>
  <c r="FN104" i="35"/>
  <c r="FL104" i="35"/>
  <c r="FC104" i="35"/>
  <c r="FA104" i="35"/>
  <c r="ER104" i="35"/>
  <c r="EP104" i="35"/>
  <c r="EG104" i="35"/>
  <c r="EE104" i="35"/>
  <c r="DV104" i="35"/>
  <c r="DT104" i="35"/>
  <c r="DK104" i="35"/>
  <c r="DI104" i="35"/>
  <c r="CZ104" i="35"/>
  <c r="CX104" i="35"/>
  <c r="CO104" i="35"/>
  <c r="CM104" i="35"/>
  <c r="CD104" i="35"/>
  <c r="CB104" i="35"/>
  <c r="BS104" i="35"/>
  <c r="BQ104" i="35"/>
  <c r="BH104" i="35"/>
  <c r="BF104" i="35"/>
  <c r="AW104" i="35"/>
  <c r="AU104" i="35"/>
  <c r="AL104" i="35"/>
  <c r="AJ104" i="35"/>
  <c r="AA104" i="35"/>
  <c r="Y104" i="35"/>
  <c r="P104" i="35"/>
  <c r="N104" i="35"/>
  <c r="GU103" i="35"/>
  <c r="GS103" i="35"/>
  <c r="GJ103" i="35"/>
  <c r="GH103" i="35"/>
  <c r="FY103" i="35"/>
  <c r="FW103" i="35"/>
  <c r="FN103" i="35"/>
  <c r="FL103" i="35"/>
  <c r="FC103" i="35"/>
  <c r="FA103" i="35"/>
  <c r="ER103" i="35"/>
  <c r="EP103" i="35"/>
  <c r="EG103" i="35"/>
  <c r="EE103" i="35"/>
  <c r="DV103" i="35"/>
  <c r="DT103" i="35"/>
  <c r="DK103" i="35"/>
  <c r="DI103" i="35"/>
  <c r="CZ103" i="35"/>
  <c r="CX103" i="35"/>
  <c r="CO103" i="35"/>
  <c r="CM103" i="35"/>
  <c r="CD103" i="35"/>
  <c r="CB103" i="35"/>
  <c r="BS103" i="35"/>
  <c r="BQ103" i="35"/>
  <c r="BH103" i="35"/>
  <c r="BF103" i="35"/>
  <c r="AW103" i="35"/>
  <c r="AU103" i="35"/>
  <c r="AL103" i="35"/>
  <c r="AJ103" i="35"/>
  <c r="AA103" i="35"/>
  <c r="Y103" i="35"/>
  <c r="P103" i="35"/>
  <c r="N103" i="35"/>
  <c r="GU102" i="35"/>
  <c r="GS102" i="35"/>
  <c r="GJ102" i="35"/>
  <c r="GH102" i="35"/>
  <c r="FY102" i="35"/>
  <c r="FW102" i="35"/>
  <c r="FN102" i="35"/>
  <c r="FL102" i="35"/>
  <c r="FC102" i="35"/>
  <c r="FA102" i="35"/>
  <c r="ER102" i="35"/>
  <c r="EP102" i="35"/>
  <c r="EG102" i="35"/>
  <c r="EE102" i="35"/>
  <c r="DV102" i="35"/>
  <c r="DT102" i="35"/>
  <c r="DK102" i="35"/>
  <c r="DI102" i="35"/>
  <c r="CZ102" i="35"/>
  <c r="CX102" i="35"/>
  <c r="CO102" i="35"/>
  <c r="CM102" i="35"/>
  <c r="CD102" i="35"/>
  <c r="CB102" i="35"/>
  <c r="BS102" i="35"/>
  <c r="BQ102" i="35"/>
  <c r="BH102" i="35"/>
  <c r="BF102" i="35"/>
  <c r="AW102" i="35"/>
  <c r="AU102" i="35"/>
  <c r="AL102" i="35"/>
  <c r="AJ102" i="35"/>
  <c r="AA102" i="35"/>
  <c r="Y102" i="35"/>
  <c r="P102" i="35"/>
  <c r="N102" i="35"/>
  <c r="GU101" i="35"/>
  <c r="GS101" i="35"/>
  <c r="GJ101" i="35"/>
  <c r="GH101" i="35"/>
  <c r="FY101" i="35"/>
  <c r="FW101" i="35"/>
  <c r="FN101" i="35"/>
  <c r="FL101" i="35"/>
  <c r="FC101" i="35"/>
  <c r="FA101" i="35"/>
  <c r="ER101" i="35"/>
  <c r="EP101" i="35"/>
  <c r="EG101" i="35"/>
  <c r="EE101" i="35"/>
  <c r="DV101" i="35"/>
  <c r="DT101" i="35"/>
  <c r="DK101" i="35"/>
  <c r="DI101" i="35"/>
  <c r="CZ101" i="35"/>
  <c r="CX101" i="35"/>
  <c r="CO101" i="35"/>
  <c r="CM101" i="35"/>
  <c r="CD101" i="35"/>
  <c r="CB101" i="35"/>
  <c r="BS101" i="35"/>
  <c r="BQ101" i="35"/>
  <c r="BH101" i="35"/>
  <c r="BF101" i="35"/>
  <c r="AW101" i="35"/>
  <c r="AU101" i="35"/>
  <c r="AL101" i="35"/>
  <c r="AJ101" i="35"/>
  <c r="AA101" i="35"/>
  <c r="Y101" i="35"/>
  <c r="P101" i="35"/>
  <c r="N101" i="35"/>
  <c r="GU100" i="35"/>
  <c r="GS100" i="35"/>
  <c r="GJ100" i="35"/>
  <c r="GH100" i="35"/>
  <c r="FY100" i="35"/>
  <c r="FW100" i="35"/>
  <c r="FN100" i="35"/>
  <c r="FL100" i="35"/>
  <c r="FC100" i="35"/>
  <c r="FA100" i="35"/>
  <c r="ER100" i="35"/>
  <c r="EP100" i="35"/>
  <c r="EG100" i="35"/>
  <c r="EE100" i="35"/>
  <c r="DV100" i="35"/>
  <c r="DT100" i="35"/>
  <c r="DK100" i="35"/>
  <c r="DI100" i="35"/>
  <c r="CZ100" i="35"/>
  <c r="CX100" i="35"/>
  <c r="CO100" i="35"/>
  <c r="CM100" i="35"/>
  <c r="CD100" i="35"/>
  <c r="CB100" i="35"/>
  <c r="BS100" i="35"/>
  <c r="BQ100" i="35"/>
  <c r="BH100" i="35"/>
  <c r="BF100" i="35"/>
  <c r="AW100" i="35"/>
  <c r="AU100" i="35"/>
  <c r="AL100" i="35"/>
  <c r="AJ100" i="35"/>
  <c r="AA100" i="35"/>
  <c r="Y100" i="35"/>
  <c r="P100" i="35"/>
  <c r="N100" i="35"/>
  <c r="GU99" i="35"/>
  <c r="GS99" i="35"/>
  <c r="GJ99" i="35"/>
  <c r="GH99" i="35"/>
  <c r="FY99" i="35"/>
  <c r="FW99" i="35"/>
  <c r="FN99" i="35"/>
  <c r="FL99" i="35"/>
  <c r="FC99" i="35"/>
  <c r="FA99" i="35"/>
  <c r="ER99" i="35"/>
  <c r="EP99" i="35"/>
  <c r="EG99" i="35"/>
  <c r="EE99" i="35"/>
  <c r="DV99" i="35"/>
  <c r="DT99" i="35"/>
  <c r="DK99" i="35"/>
  <c r="DI99" i="35"/>
  <c r="CZ99" i="35"/>
  <c r="CX99" i="35"/>
  <c r="CO99" i="35"/>
  <c r="CM99" i="35"/>
  <c r="CD99" i="35"/>
  <c r="CB99" i="35"/>
  <c r="BS99" i="35"/>
  <c r="BQ99" i="35"/>
  <c r="BH99" i="35"/>
  <c r="BF99" i="35"/>
  <c r="AW99" i="35"/>
  <c r="AU99" i="35"/>
  <c r="AL99" i="35"/>
  <c r="AJ99" i="35"/>
  <c r="AA99" i="35"/>
  <c r="Y99" i="35"/>
  <c r="P99" i="35"/>
  <c r="N99" i="35"/>
  <c r="GU98" i="35"/>
  <c r="GS98" i="35"/>
  <c r="GJ98" i="35"/>
  <c r="GH98" i="35"/>
  <c r="FY98" i="35"/>
  <c r="FW98" i="35"/>
  <c r="FN98" i="35"/>
  <c r="FL98" i="35"/>
  <c r="FC98" i="35"/>
  <c r="FA98" i="35"/>
  <c r="ER98" i="35"/>
  <c r="EP98" i="35"/>
  <c r="EG98" i="35"/>
  <c r="EE98" i="35"/>
  <c r="DV98" i="35"/>
  <c r="DT98" i="35"/>
  <c r="DK98" i="35"/>
  <c r="DI98" i="35"/>
  <c r="CZ98" i="35"/>
  <c r="CX98" i="35"/>
  <c r="CO98" i="35"/>
  <c r="CM98" i="35"/>
  <c r="CD98" i="35"/>
  <c r="CB98" i="35"/>
  <c r="BS98" i="35"/>
  <c r="BQ98" i="35"/>
  <c r="BH98" i="35"/>
  <c r="BF98" i="35"/>
  <c r="AW98" i="35"/>
  <c r="AU98" i="35"/>
  <c r="AL98" i="35"/>
  <c r="AJ98" i="35"/>
  <c r="AA98" i="35"/>
  <c r="Y98" i="35"/>
  <c r="P98" i="35"/>
  <c r="N98" i="35"/>
  <c r="GU97" i="35"/>
  <c r="GS97" i="35"/>
  <c r="GJ97" i="35"/>
  <c r="GH97" i="35"/>
  <c r="FY97" i="35"/>
  <c r="FW97" i="35"/>
  <c r="FN97" i="35"/>
  <c r="FL97" i="35"/>
  <c r="FC97" i="35"/>
  <c r="FA97" i="35"/>
  <c r="ER97" i="35"/>
  <c r="EP97" i="35"/>
  <c r="EG97" i="35"/>
  <c r="EE97" i="35"/>
  <c r="DV97" i="35"/>
  <c r="DT97" i="35"/>
  <c r="DK97" i="35"/>
  <c r="DI97" i="35"/>
  <c r="CZ97" i="35"/>
  <c r="CX97" i="35"/>
  <c r="CO97" i="35"/>
  <c r="CM97" i="35"/>
  <c r="CD97" i="35"/>
  <c r="CB97" i="35"/>
  <c r="BS97" i="35"/>
  <c r="BQ97" i="35"/>
  <c r="BH97" i="35"/>
  <c r="BF97" i="35"/>
  <c r="AW97" i="35"/>
  <c r="AU97" i="35"/>
  <c r="AL97" i="35"/>
  <c r="AJ97" i="35"/>
  <c r="AA97" i="35"/>
  <c r="Y97" i="35"/>
  <c r="P97" i="35"/>
  <c r="N97" i="35"/>
  <c r="GU96" i="35"/>
  <c r="GS96" i="35"/>
  <c r="GJ96" i="35"/>
  <c r="GH96" i="35"/>
  <c r="FY96" i="35"/>
  <c r="FW96" i="35"/>
  <c r="FN96" i="35"/>
  <c r="FL96" i="35"/>
  <c r="FC96" i="35"/>
  <c r="FA96" i="35"/>
  <c r="ER96" i="35"/>
  <c r="EP96" i="35"/>
  <c r="EG96" i="35"/>
  <c r="EE96" i="35"/>
  <c r="DV96" i="35"/>
  <c r="DT96" i="35"/>
  <c r="DK96" i="35"/>
  <c r="DI96" i="35"/>
  <c r="CZ96" i="35"/>
  <c r="CX96" i="35"/>
  <c r="CO96" i="35"/>
  <c r="CM96" i="35"/>
  <c r="CD96" i="35"/>
  <c r="CB96" i="35"/>
  <c r="BS96" i="35"/>
  <c r="BQ96" i="35"/>
  <c r="BH96" i="35"/>
  <c r="BF96" i="35"/>
  <c r="AW96" i="35"/>
  <c r="AU96" i="35"/>
  <c r="AL96" i="35"/>
  <c r="AJ96" i="35"/>
  <c r="AA96" i="35"/>
  <c r="Y96" i="35"/>
  <c r="P96" i="35"/>
  <c r="N96" i="35"/>
  <c r="GU95" i="35"/>
  <c r="GS95" i="35"/>
  <c r="GJ95" i="35"/>
  <c r="GH95" i="35"/>
  <c r="FY95" i="35"/>
  <c r="FW95" i="35"/>
  <c r="FN95" i="35"/>
  <c r="FL95" i="35"/>
  <c r="FC95" i="35"/>
  <c r="FA95" i="35"/>
  <c r="ER95" i="35"/>
  <c r="EP95" i="35"/>
  <c r="EG95" i="35"/>
  <c r="EE95" i="35"/>
  <c r="DV95" i="35"/>
  <c r="DT95" i="35"/>
  <c r="DK95" i="35"/>
  <c r="DI95" i="35"/>
  <c r="CZ95" i="35"/>
  <c r="CX95" i="35"/>
  <c r="CO95" i="35"/>
  <c r="CM95" i="35"/>
  <c r="CD95" i="35"/>
  <c r="CB95" i="35"/>
  <c r="BS95" i="35"/>
  <c r="BQ95" i="35"/>
  <c r="BH95" i="35"/>
  <c r="BF95" i="35"/>
  <c r="AW95" i="35"/>
  <c r="AU95" i="35"/>
  <c r="AL95" i="35"/>
  <c r="AJ95" i="35"/>
  <c r="AA95" i="35"/>
  <c r="Y95" i="35"/>
  <c r="P95" i="35"/>
  <c r="N95" i="35"/>
  <c r="GU94" i="35"/>
  <c r="GS94" i="35"/>
  <c r="GJ94" i="35"/>
  <c r="GH94" i="35"/>
  <c r="FY94" i="35"/>
  <c r="FW94" i="35"/>
  <c r="FN94" i="35"/>
  <c r="FL94" i="35"/>
  <c r="FC94" i="35"/>
  <c r="FA94" i="35"/>
  <c r="ER94" i="35"/>
  <c r="EP94" i="35"/>
  <c r="EG94" i="35"/>
  <c r="EE94" i="35"/>
  <c r="DV94" i="35"/>
  <c r="DT94" i="35"/>
  <c r="DK94" i="35"/>
  <c r="DI94" i="35"/>
  <c r="CZ94" i="35"/>
  <c r="CX94" i="35"/>
  <c r="CO94" i="35"/>
  <c r="CM94" i="35"/>
  <c r="CD94" i="35"/>
  <c r="CB94" i="35"/>
  <c r="BS94" i="35"/>
  <c r="BQ94" i="35"/>
  <c r="BH94" i="35"/>
  <c r="BF94" i="35"/>
  <c r="AW94" i="35"/>
  <c r="AU94" i="35"/>
  <c r="AL94" i="35"/>
  <c r="AJ94" i="35"/>
  <c r="AA94" i="35"/>
  <c r="Y94" i="35"/>
  <c r="P94" i="35"/>
  <c r="N94" i="35"/>
  <c r="GU93" i="35"/>
  <c r="GS93" i="35"/>
  <c r="GJ93" i="35"/>
  <c r="GH93" i="35"/>
  <c r="FY93" i="35"/>
  <c r="FW93" i="35"/>
  <c r="FN93" i="35"/>
  <c r="FL93" i="35"/>
  <c r="FC93" i="35"/>
  <c r="FA93" i="35"/>
  <c r="ER93" i="35"/>
  <c r="EP93" i="35"/>
  <c r="EG93" i="35"/>
  <c r="EE93" i="35"/>
  <c r="DV93" i="35"/>
  <c r="DT93" i="35"/>
  <c r="DK93" i="35"/>
  <c r="DI93" i="35"/>
  <c r="CZ93" i="35"/>
  <c r="CX93" i="35"/>
  <c r="CO93" i="35"/>
  <c r="CM93" i="35"/>
  <c r="CD93" i="35"/>
  <c r="CB93" i="35"/>
  <c r="BS93" i="35"/>
  <c r="BQ93" i="35"/>
  <c r="BH93" i="35"/>
  <c r="BF93" i="35"/>
  <c r="AW93" i="35"/>
  <c r="AU93" i="35"/>
  <c r="AL93" i="35"/>
  <c r="AJ93" i="35"/>
  <c r="AA93" i="35"/>
  <c r="Y93" i="35"/>
  <c r="P93" i="35"/>
  <c r="N93" i="35"/>
  <c r="GU92" i="35"/>
  <c r="GS92" i="35"/>
  <c r="GJ92" i="35"/>
  <c r="GH92" i="35"/>
  <c r="FY92" i="35"/>
  <c r="FW92" i="35"/>
  <c r="FN92" i="35"/>
  <c r="FL92" i="35"/>
  <c r="FC92" i="35"/>
  <c r="FA92" i="35"/>
  <c r="ER92" i="35"/>
  <c r="EP92" i="35"/>
  <c r="EG92" i="35"/>
  <c r="EE92" i="35"/>
  <c r="DV92" i="35"/>
  <c r="DT92" i="35"/>
  <c r="DK92" i="35"/>
  <c r="DI92" i="35"/>
  <c r="CZ92" i="35"/>
  <c r="CX92" i="35"/>
  <c r="CO92" i="35"/>
  <c r="CM92" i="35"/>
  <c r="CD92" i="35"/>
  <c r="CB92" i="35"/>
  <c r="BS92" i="35"/>
  <c r="BQ92" i="35"/>
  <c r="BH92" i="35"/>
  <c r="BF92" i="35"/>
  <c r="AW92" i="35"/>
  <c r="AU92" i="35"/>
  <c r="AL92" i="35"/>
  <c r="AJ92" i="35"/>
  <c r="AA92" i="35"/>
  <c r="Y92" i="35"/>
  <c r="P92" i="35"/>
  <c r="N92" i="35"/>
  <c r="GU91" i="35"/>
  <c r="GS91" i="35"/>
  <c r="GJ91" i="35"/>
  <c r="GH91" i="35"/>
  <c r="FY91" i="35"/>
  <c r="FW91" i="35"/>
  <c r="FN91" i="35"/>
  <c r="FL91" i="35"/>
  <c r="FC91" i="35"/>
  <c r="FA91" i="35"/>
  <c r="ER91" i="35"/>
  <c r="EP91" i="35"/>
  <c r="EG91" i="35"/>
  <c r="EE91" i="35"/>
  <c r="DV91" i="35"/>
  <c r="DT91" i="35"/>
  <c r="DK91" i="35"/>
  <c r="DI91" i="35"/>
  <c r="CZ91" i="35"/>
  <c r="CX91" i="35"/>
  <c r="CO91" i="35"/>
  <c r="CM91" i="35"/>
  <c r="CD91" i="35"/>
  <c r="CB91" i="35"/>
  <c r="BS91" i="35"/>
  <c r="BQ91" i="35"/>
  <c r="BH91" i="35"/>
  <c r="BF91" i="35"/>
  <c r="AW91" i="35"/>
  <c r="AU91" i="35"/>
  <c r="AL91" i="35"/>
  <c r="AJ91" i="35"/>
  <c r="AA91" i="35"/>
  <c r="Y91" i="35"/>
  <c r="P91" i="35"/>
  <c r="N91" i="35"/>
  <c r="GU90" i="35"/>
  <c r="GS90" i="35"/>
  <c r="GJ90" i="35"/>
  <c r="GH90" i="35"/>
  <c r="FY90" i="35"/>
  <c r="FW90" i="35"/>
  <c r="FN90" i="35"/>
  <c r="FL90" i="35"/>
  <c r="FC90" i="35"/>
  <c r="FA90" i="35"/>
  <c r="ER90" i="35"/>
  <c r="EP90" i="35"/>
  <c r="EG90" i="35"/>
  <c r="EE90" i="35"/>
  <c r="DV90" i="35"/>
  <c r="DT90" i="35"/>
  <c r="DK90" i="35"/>
  <c r="DI90" i="35"/>
  <c r="CZ90" i="35"/>
  <c r="CX90" i="35"/>
  <c r="CO90" i="35"/>
  <c r="CM90" i="35"/>
  <c r="CD90" i="35"/>
  <c r="CB90" i="35"/>
  <c r="BS90" i="35"/>
  <c r="BQ90" i="35"/>
  <c r="BH90" i="35"/>
  <c r="BF90" i="35"/>
  <c r="AW90" i="35"/>
  <c r="AU90" i="35"/>
  <c r="AL90" i="35"/>
  <c r="AJ90" i="35"/>
  <c r="AA90" i="35"/>
  <c r="Y90" i="35"/>
  <c r="P90" i="35"/>
  <c r="N90" i="35"/>
  <c r="GU89" i="35"/>
  <c r="GS89" i="35"/>
  <c r="GJ89" i="35"/>
  <c r="GH89" i="35"/>
  <c r="FY89" i="35"/>
  <c r="FW89" i="35"/>
  <c r="FN89" i="35"/>
  <c r="FL89" i="35"/>
  <c r="FC89" i="35"/>
  <c r="FA89" i="35"/>
  <c r="ER89" i="35"/>
  <c r="EP89" i="35"/>
  <c r="EG89" i="35"/>
  <c r="EE89" i="35"/>
  <c r="DV89" i="35"/>
  <c r="DT89" i="35"/>
  <c r="DK89" i="35"/>
  <c r="DI89" i="35"/>
  <c r="CZ89" i="35"/>
  <c r="CX89" i="35"/>
  <c r="CO89" i="35"/>
  <c r="CM89" i="35"/>
  <c r="CD89" i="35"/>
  <c r="CB89" i="35"/>
  <c r="BS89" i="35"/>
  <c r="BQ89" i="35"/>
  <c r="BH89" i="35"/>
  <c r="BF89" i="35"/>
  <c r="AW89" i="35"/>
  <c r="AU89" i="35"/>
  <c r="AL89" i="35"/>
  <c r="AJ89" i="35"/>
  <c r="AA89" i="35"/>
  <c r="Y89" i="35"/>
  <c r="P89" i="35"/>
  <c r="N89" i="35"/>
  <c r="GU88" i="35"/>
  <c r="GS88" i="35"/>
  <c r="GJ88" i="35"/>
  <c r="GH88" i="35"/>
  <c r="FY88" i="35"/>
  <c r="FW88" i="35"/>
  <c r="FN88" i="35"/>
  <c r="FL88" i="35"/>
  <c r="FC88" i="35"/>
  <c r="FA88" i="35"/>
  <c r="ER88" i="35"/>
  <c r="EP88" i="35"/>
  <c r="EG88" i="35"/>
  <c r="EE88" i="35"/>
  <c r="DV88" i="35"/>
  <c r="DT88" i="35"/>
  <c r="DK88" i="35"/>
  <c r="DI88" i="35"/>
  <c r="CZ88" i="35"/>
  <c r="CX88" i="35"/>
  <c r="CO88" i="35"/>
  <c r="CM88" i="35"/>
  <c r="CD88" i="35"/>
  <c r="CB88" i="35"/>
  <c r="BS88" i="35"/>
  <c r="BQ88" i="35"/>
  <c r="BH88" i="35"/>
  <c r="BF88" i="35"/>
  <c r="AW88" i="35"/>
  <c r="AU88" i="35"/>
  <c r="AL88" i="35"/>
  <c r="AJ88" i="35"/>
  <c r="AA88" i="35"/>
  <c r="Y88" i="35"/>
  <c r="P88" i="35"/>
  <c r="N88" i="35"/>
  <c r="GU87" i="35"/>
  <c r="GS87" i="35"/>
  <c r="GJ87" i="35"/>
  <c r="GH87" i="35"/>
  <c r="FY87" i="35"/>
  <c r="FW87" i="35"/>
  <c r="FN87" i="35"/>
  <c r="FL87" i="35"/>
  <c r="FC87" i="35"/>
  <c r="FA87" i="35"/>
  <c r="ER87" i="35"/>
  <c r="EP87" i="35"/>
  <c r="EG87" i="35"/>
  <c r="EE87" i="35"/>
  <c r="DV87" i="35"/>
  <c r="DT87" i="35"/>
  <c r="DK87" i="35"/>
  <c r="DI87" i="35"/>
  <c r="CZ87" i="35"/>
  <c r="CX87" i="35"/>
  <c r="CO87" i="35"/>
  <c r="CM87" i="35"/>
  <c r="CD87" i="35"/>
  <c r="CB87" i="35"/>
  <c r="BS87" i="35"/>
  <c r="BQ87" i="35"/>
  <c r="BH87" i="35"/>
  <c r="BF87" i="35"/>
  <c r="AW87" i="35"/>
  <c r="AU87" i="35"/>
  <c r="AL87" i="35"/>
  <c r="AJ87" i="35"/>
  <c r="AA87" i="35"/>
  <c r="Y87" i="35"/>
  <c r="P87" i="35"/>
  <c r="N87" i="35"/>
  <c r="GU86" i="35"/>
  <c r="GS86" i="35"/>
  <c r="GJ86" i="35"/>
  <c r="GH86" i="35"/>
  <c r="FY86" i="35"/>
  <c r="FW86" i="35"/>
  <c r="FN86" i="35"/>
  <c r="FL86" i="35"/>
  <c r="FC86" i="35"/>
  <c r="FA86" i="35"/>
  <c r="ER86" i="35"/>
  <c r="EP86" i="35"/>
  <c r="EG86" i="35"/>
  <c r="EE86" i="35"/>
  <c r="DV86" i="35"/>
  <c r="DT86" i="35"/>
  <c r="DK86" i="35"/>
  <c r="DI86" i="35"/>
  <c r="CZ86" i="35"/>
  <c r="CX86" i="35"/>
  <c r="CO86" i="35"/>
  <c r="CM86" i="35"/>
  <c r="CD86" i="35"/>
  <c r="CB86" i="35"/>
  <c r="BS86" i="35"/>
  <c r="BQ86" i="35"/>
  <c r="BH86" i="35"/>
  <c r="BF86" i="35"/>
  <c r="AW86" i="35"/>
  <c r="AU86" i="35"/>
  <c r="AL86" i="35"/>
  <c r="AJ86" i="35"/>
  <c r="AA86" i="35"/>
  <c r="Y86" i="35"/>
  <c r="P86" i="35"/>
  <c r="N86" i="35"/>
  <c r="GU85" i="35"/>
  <c r="GS85" i="35"/>
  <c r="GJ85" i="35"/>
  <c r="GH85" i="35"/>
  <c r="FY85" i="35"/>
  <c r="FW85" i="35"/>
  <c r="FN85" i="35"/>
  <c r="FL85" i="35"/>
  <c r="FC85" i="35"/>
  <c r="FA85" i="35"/>
  <c r="ER85" i="35"/>
  <c r="EP85" i="35"/>
  <c r="EG85" i="35"/>
  <c r="EE85" i="35"/>
  <c r="DV85" i="35"/>
  <c r="DT85" i="35"/>
  <c r="DK85" i="35"/>
  <c r="DI85" i="35"/>
  <c r="CZ85" i="35"/>
  <c r="CX85" i="35"/>
  <c r="CO85" i="35"/>
  <c r="CM85" i="35"/>
  <c r="CD85" i="35"/>
  <c r="CB85" i="35"/>
  <c r="BS85" i="35"/>
  <c r="BQ85" i="35"/>
  <c r="BH85" i="35"/>
  <c r="BF85" i="35"/>
  <c r="AW85" i="35"/>
  <c r="AU85" i="35"/>
  <c r="AL85" i="35"/>
  <c r="AJ85" i="35"/>
  <c r="AA85" i="35"/>
  <c r="Y85" i="35"/>
  <c r="P85" i="35"/>
  <c r="N85" i="35"/>
  <c r="GU84" i="35"/>
  <c r="GS84" i="35"/>
  <c r="GJ84" i="35"/>
  <c r="GH84" i="35"/>
  <c r="FY84" i="35"/>
  <c r="FW84" i="35"/>
  <c r="FN84" i="35"/>
  <c r="FL84" i="35"/>
  <c r="FC84" i="35"/>
  <c r="FA84" i="35"/>
  <c r="ER84" i="35"/>
  <c r="EP84" i="35"/>
  <c r="EG84" i="35"/>
  <c r="EE84" i="35"/>
  <c r="DV84" i="35"/>
  <c r="DT84" i="35"/>
  <c r="DK84" i="35"/>
  <c r="DI84" i="35"/>
  <c r="CZ84" i="35"/>
  <c r="CX84" i="35"/>
  <c r="CO84" i="35"/>
  <c r="CM84" i="35"/>
  <c r="CD84" i="35"/>
  <c r="CB84" i="35"/>
  <c r="BS84" i="35"/>
  <c r="BQ84" i="35"/>
  <c r="BH84" i="35"/>
  <c r="BF84" i="35"/>
  <c r="AW84" i="35"/>
  <c r="AU84" i="35"/>
  <c r="AL84" i="35"/>
  <c r="AJ84" i="35"/>
  <c r="AA84" i="35"/>
  <c r="Y84" i="35"/>
  <c r="P84" i="35"/>
  <c r="N84" i="35"/>
  <c r="GU83" i="35"/>
  <c r="GS83" i="35"/>
  <c r="GJ83" i="35"/>
  <c r="GH83" i="35"/>
  <c r="FY83" i="35"/>
  <c r="FW83" i="35"/>
  <c r="FN83" i="35"/>
  <c r="FL83" i="35"/>
  <c r="FC83" i="35"/>
  <c r="FA83" i="35"/>
  <c r="ER83" i="35"/>
  <c r="EP83" i="35"/>
  <c r="EG83" i="35"/>
  <c r="EE83" i="35"/>
  <c r="DV83" i="35"/>
  <c r="DT83" i="35"/>
  <c r="DK83" i="35"/>
  <c r="DI83" i="35"/>
  <c r="CZ83" i="35"/>
  <c r="CX83" i="35"/>
  <c r="CO83" i="35"/>
  <c r="CM83" i="35"/>
  <c r="CD83" i="35"/>
  <c r="CB83" i="35"/>
  <c r="BS83" i="35"/>
  <c r="BQ83" i="35"/>
  <c r="BH83" i="35"/>
  <c r="BF83" i="35"/>
  <c r="AW83" i="35"/>
  <c r="AU83" i="35"/>
  <c r="AL83" i="35"/>
  <c r="AJ83" i="35"/>
  <c r="AA83" i="35"/>
  <c r="Y83" i="35"/>
  <c r="P83" i="35"/>
  <c r="N83" i="35"/>
  <c r="GU82" i="35"/>
  <c r="GS82" i="35"/>
  <c r="GJ82" i="35"/>
  <c r="GH82" i="35"/>
  <c r="FY82" i="35"/>
  <c r="FW82" i="35"/>
  <c r="FN82" i="35"/>
  <c r="FL82" i="35"/>
  <c r="FC82" i="35"/>
  <c r="FA82" i="35"/>
  <c r="ER82" i="35"/>
  <c r="EP82" i="35"/>
  <c r="EG82" i="35"/>
  <c r="EE82" i="35"/>
  <c r="DV82" i="35"/>
  <c r="DT82" i="35"/>
  <c r="DK82" i="35"/>
  <c r="DI82" i="35"/>
  <c r="CZ82" i="35"/>
  <c r="CX82" i="35"/>
  <c r="CO82" i="35"/>
  <c r="CM82" i="35"/>
  <c r="CD82" i="35"/>
  <c r="CB82" i="35"/>
  <c r="BS82" i="35"/>
  <c r="BQ82" i="35"/>
  <c r="BH82" i="35"/>
  <c r="BF82" i="35"/>
  <c r="AW82" i="35"/>
  <c r="AU82" i="35"/>
  <c r="AL82" i="35"/>
  <c r="AJ82" i="35"/>
  <c r="AA82" i="35"/>
  <c r="Y82" i="35"/>
  <c r="P82" i="35"/>
  <c r="N82" i="35"/>
  <c r="GU81" i="35"/>
  <c r="GS81" i="35"/>
  <c r="GJ81" i="35"/>
  <c r="GH81" i="35"/>
  <c r="FY81" i="35"/>
  <c r="FW81" i="35"/>
  <c r="FN81" i="35"/>
  <c r="FL81" i="35"/>
  <c r="FC81" i="35"/>
  <c r="FA81" i="35"/>
  <c r="ER81" i="35"/>
  <c r="EP81" i="35"/>
  <c r="EG81" i="35"/>
  <c r="EE81" i="35"/>
  <c r="DV81" i="35"/>
  <c r="DT81" i="35"/>
  <c r="DK81" i="35"/>
  <c r="DI81" i="35"/>
  <c r="CZ81" i="35"/>
  <c r="CX81" i="35"/>
  <c r="CO81" i="35"/>
  <c r="CM81" i="35"/>
  <c r="CD81" i="35"/>
  <c r="CB81" i="35"/>
  <c r="BS81" i="35"/>
  <c r="BQ81" i="35"/>
  <c r="BH81" i="35"/>
  <c r="BF81" i="35"/>
  <c r="AW81" i="35"/>
  <c r="AU81" i="35"/>
  <c r="AL81" i="35"/>
  <c r="AJ81" i="35"/>
  <c r="AA81" i="35"/>
  <c r="Y81" i="35"/>
  <c r="P81" i="35"/>
  <c r="N81" i="35"/>
  <c r="GU80" i="35"/>
  <c r="GS80" i="35"/>
  <c r="GJ80" i="35"/>
  <c r="GH80" i="35"/>
  <c r="FY80" i="35"/>
  <c r="FW80" i="35"/>
  <c r="FN80" i="35"/>
  <c r="FL80" i="35"/>
  <c r="FC80" i="35"/>
  <c r="FA80" i="35"/>
  <c r="ER80" i="35"/>
  <c r="EP80" i="35"/>
  <c r="EG80" i="35"/>
  <c r="EE80" i="35"/>
  <c r="DV80" i="35"/>
  <c r="DT80" i="35"/>
  <c r="DK80" i="35"/>
  <c r="DI80" i="35"/>
  <c r="CZ80" i="35"/>
  <c r="CX80" i="35"/>
  <c r="CO80" i="35"/>
  <c r="CM80" i="35"/>
  <c r="CD80" i="35"/>
  <c r="CB80" i="35"/>
  <c r="BS80" i="35"/>
  <c r="BQ80" i="35"/>
  <c r="BH80" i="35"/>
  <c r="BF80" i="35"/>
  <c r="AW80" i="35"/>
  <c r="AU80" i="35"/>
  <c r="AL80" i="35"/>
  <c r="AJ80" i="35"/>
  <c r="AA80" i="35"/>
  <c r="Y80" i="35"/>
  <c r="P80" i="35"/>
  <c r="N80" i="35"/>
  <c r="GU79" i="35"/>
  <c r="GS79" i="35"/>
  <c r="GJ79" i="35"/>
  <c r="GH79" i="35"/>
  <c r="FY79" i="35"/>
  <c r="FW79" i="35"/>
  <c r="FN79" i="35"/>
  <c r="FL79" i="35"/>
  <c r="FC79" i="35"/>
  <c r="FA79" i="35"/>
  <c r="ER79" i="35"/>
  <c r="EP79" i="35"/>
  <c r="EG79" i="35"/>
  <c r="EE79" i="35"/>
  <c r="DV79" i="35"/>
  <c r="DT79" i="35"/>
  <c r="DK79" i="35"/>
  <c r="DI79" i="35"/>
  <c r="CZ79" i="35"/>
  <c r="CX79" i="35"/>
  <c r="CO79" i="35"/>
  <c r="CM79" i="35"/>
  <c r="CD79" i="35"/>
  <c r="CB79" i="35"/>
  <c r="BS79" i="35"/>
  <c r="BQ79" i="35"/>
  <c r="BH79" i="35"/>
  <c r="BF79" i="35"/>
  <c r="AW79" i="35"/>
  <c r="AU79" i="35"/>
  <c r="AL79" i="35"/>
  <c r="AJ79" i="35"/>
  <c r="AA79" i="35"/>
  <c r="Y79" i="35"/>
  <c r="P79" i="35"/>
  <c r="N79" i="35"/>
  <c r="GU78" i="35"/>
  <c r="GS78" i="35"/>
  <c r="GJ78" i="35"/>
  <c r="GH78" i="35"/>
  <c r="FY78" i="35"/>
  <c r="FW78" i="35"/>
  <c r="FN78" i="35"/>
  <c r="FL78" i="35"/>
  <c r="FC78" i="35"/>
  <c r="FA78" i="35"/>
  <c r="ER78" i="35"/>
  <c r="EP78" i="35"/>
  <c r="EG78" i="35"/>
  <c r="EE78" i="35"/>
  <c r="DV78" i="35"/>
  <c r="DT78" i="35"/>
  <c r="DK78" i="35"/>
  <c r="DI78" i="35"/>
  <c r="CZ78" i="35"/>
  <c r="CX78" i="35"/>
  <c r="CO78" i="35"/>
  <c r="CM78" i="35"/>
  <c r="CD78" i="35"/>
  <c r="CB78" i="35"/>
  <c r="BS78" i="35"/>
  <c r="BQ78" i="35"/>
  <c r="BH78" i="35"/>
  <c r="BF78" i="35"/>
  <c r="AW78" i="35"/>
  <c r="AU78" i="35"/>
  <c r="AL78" i="35"/>
  <c r="AJ78" i="35"/>
  <c r="AA78" i="35"/>
  <c r="Y78" i="35"/>
  <c r="P78" i="35"/>
  <c r="N78" i="35"/>
  <c r="GU77" i="35"/>
  <c r="GS77" i="35"/>
  <c r="GJ77" i="35"/>
  <c r="GH77" i="35"/>
  <c r="FY77" i="35"/>
  <c r="FW77" i="35"/>
  <c r="FN77" i="35"/>
  <c r="FL77" i="35"/>
  <c r="FC77" i="35"/>
  <c r="FA77" i="35"/>
  <c r="ER77" i="35"/>
  <c r="EP77" i="35"/>
  <c r="EG77" i="35"/>
  <c r="EE77" i="35"/>
  <c r="DV77" i="35"/>
  <c r="DT77" i="35"/>
  <c r="DK77" i="35"/>
  <c r="DI77" i="35"/>
  <c r="CZ77" i="35"/>
  <c r="CX77" i="35"/>
  <c r="CO77" i="35"/>
  <c r="CM77" i="35"/>
  <c r="CD77" i="35"/>
  <c r="CB77" i="35"/>
  <c r="BS77" i="35"/>
  <c r="BQ77" i="35"/>
  <c r="BH77" i="35"/>
  <c r="BF77" i="35"/>
  <c r="AW77" i="35"/>
  <c r="AU77" i="35"/>
  <c r="AL77" i="35"/>
  <c r="AJ77" i="35"/>
  <c r="AA77" i="35"/>
  <c r="Y77" i="35"/>
  <c r="P77" i="35"/>
  <c r="N77" i="35"/>
  <c r="GU76" i="35"/>
  <c r="GS76" i="35"/>
  <c r="GJ76" i="35"/>
  <c r="GH76" i="35"/>
  <c r="FY76" i="35"/>
  <c r="FW76" i="35"/>
  <c r="FN76" i="35"/>
  <c r="FL76" i="35"/>
  <c r="FC76" i="35"/>
  <c r="FA76" i="35"/>
  <c r="ER76" i="35"/>
  <c r="EP76" i="35"/>
  <c r="EG76" i="35"/>
  <c r="EE76" i="35"/>
  <c r="DV76" i="35"/>
  <c r="DT76" i="35"/>
  <c r="DK76" i="35"/>
  <c r="DI76" i="35"/>
  <c r="CZ76" i="35"/>
  <c r="CX76" i="35"/>
  <c r="CO76" i="35"/>
  <c r="CM76" i="35"/>
  <c r="CD76" i="35"/>
  <c r="CB76" i="35"/>
  <c r="BS76" i="35"/>
  <c r="BQ76" i="35"/>
  <c r="BH76" i="35"/>
  <c r="BF76" i="35"/>
  <c r="AW76" i="35"/>
  <c r="AU76" i="35"/>
  <c r="AL76" i="35"/>
  <c r="AJ76" i="35"/>
  <c r="AA76" i="35"/>
  <c r="Y76" i="35"/>
  <c r="P76" i="35"/>
  <c r="N76" i="35"/>
  <c r="GU75" i="35"/>
  <c r="GS75" i="35"/>
  <c r="GJ75" i="35"/>
  <c r="GH75" i="35"/>
  <c r="FY75" i="35"/>
  <c r="FW75" i="35"/>
  <c r="FN75" i="35"/>
  <c r="FL75" i="35"/>
  <c r="FC75" i="35"/>
  <c r="FA75" i="35"/>
  <c r="ER75" i="35"/>
  <c r="EP75" i="35"/>
  <c r="EG75" i="35"/>
  <c r="EE75" i="35"/>
  <c r="DV75" i="35"/>
  <c r="DT75" i="35"/>
  <c r="DK75" i="35"/>
  <c r="DI75" i="35"/>
  <c r="CZ75" i="35"/>
  <c r="CX75" i="35"/>
  <c r="CO75" i="35"/>
  <c r="CM75" i="35"/>
  <c r="CD75" i="35"/>
  <c r="CB75" i="35"/>
  <c r="BS75" i="35"/>
  <c r="BQ75" i="35"/>
  <c r="BH75" i="35"/>
  <c r="BF75" i="35"/>
  <c r="AW75" i="35"/>
  <c r="AU75" i="35"/>
  <c r="AL75" i="35"/>
  <c r="AJ75" i="35"/>
  <c r="AA75" i="35"/>
  <c r="Y75" i="35"/>
  <c r="P75" i="35"/>
  <c r="N75" i="35"/>
  <c r="GU74" i="35"/>
  <c r="GS74" i="35"/>
  <c r="GJ74" i="35"/>
  <c r="GH74" i="35"/>
  <c r="FY74" i="35"/>
  <c r="FW74" i="35"/>
  <c r="FN74" i="35"/>
  <c r="FL74" i="35"/>
  <c r="FC74" i="35"/>
  <c r="FA74" i="35"/>
  <c r="ER74" i="35"/>
  <c r="EP74" i="35"/>
  <c r="EG74" i="35"/>
  <c r="EE74" i="35"/>
  <c r="DV74" i="35"/>
  <c r="DT74" i="35"/>
  <c r="DK74" i="35"/>
  <c r="DI74" i="35"/>
  <c r="CZ74" i="35"/>
  <c r="CX74" i="35"/>
  <c r="CO74" i="35"/>
  <c r="CM74" i="35"/>
  <c r="CD74" i="35"/>
  <c r="CB74" i="35"/>
  <c r="BS74" i="35"/>
  <c r="BQ74" i="35"/>
  <c r="BH74" i="35"/>
  <c r="BF74" i="35"/>
  <c r="AW74" i="35"/>
  <c r="AU74" i="35"/>
  <c r="AL74" i="35"/>
  <c r="AJ74" i="35"/>
  <c r="AA74" i="35"/>
  <c r="Y74" i="35"/>
  <c r="P74" i="35"/>
  <c r="N74" i="35"/>
  <c r="GU73" i="35"/>
  <c r="GS73" i="35"/>
  <c r="GJ73" i="35"/>
  <c r="GH73" i="35"/>
  <c r="FY73" i="35"/>
  <c r="FW73" i="35"/>
  <c r="FN73" i="35"/>
  <c r="FL73" i="35"/>
  <c r="FC73" i="35"/>
  <c r="FA73" i="35"/>
  <c r="ER73" i="35"/>
  <c r="EP73" i="35"/>
  <c r="EG73" i="35"/>
  <c r="EE73" i="35"/>
  <c r="DV73" i="35"/>
  <c r="DT73" i="35"/>
  <c r="DK73" i="35"/>
  <c r="DI73" i="35"/>
  <c r="CZ73" i="35"/>
  <c r="CX73" i="35"/>
  <c r="CO73" i="35"/>
  <c r="CM73" i="35"/>
  <c r="CD73" i="35"/>
  <c r="CB73" i="35"/>
  <c r="BS73" i="35"/>
  <c r="BQ73" i="35"/>
  <c r="BH73" i="35"/>
  <c r="BF73" i="35"/>
  <c r="AW73" i="35"/>
  <c r="AU73" i="35"/>
  <c r="AL73" i="35"/>
  <c r="AJ73" i="35"/>
  <c r="AA73" i="35"/>
  <c r="Y73" i="35"/>
  <c r="P73" i="35"/>
  <c r="N73" i="35"/>
  <c r="GU72" i="35"/>
  <c r="GS72" i="35"/>
  <c r="GJ72" i="35"/>
  <c r="GH72" i="35"/>
  <c r="FY72" i="35"/>
  <c r="FW72" i="35"/>
  <c r="FN72" i="35"/>
  <c r="FL72" i="35"/>
  <c r="FC72" i="35"/>
  <c r="FA72" i="35"/>
  <c r="ER72" i="35"/>
  <c r="EP72" i="35"/>
  <c r="EG72" i="35"/>
  <c r="EE72" i="35"/>
  <c r="DV72" i="35"/>
  <c r="DT72" i="35"/>
  <c r="DK72" i="35"/>
  <c r="DI72" i="35"/>
  <c r="CZ72" i="35"/>
  <c r="CX72" i="35"/>
  <c r="CO72" i="35"/>
  <c r="CM72" i="35"/>
  <c r="CD72" i="35"/>
  <c r="CB72" i="35"/>
  <c r="BS72" i="35"/>
  <c r="BQ72" i="35"/>
  <c r="BH72" i="35"/>
  <c r="BF72" i="35"/>
  <c r="AW72" i="35"/>
  <c r="AU72" i="35"/>
  <c r="AL72" i="35"/>
  <c r="AJ72" i="35"/>
  <c r="AA72" i="35"/>
  <c r="Y72" i="35"/>
  <c r="P72" i="35"/>
  <c r="N72" i="35"/>
  <c r="GU71" i="35"/>
  <c r="GS71" i="35"/>
  <c r="GJ71" i="35"/>
  <c r="GH71" i="35"/>
  <c r="FY71" i="35"/>
  <c r="FW71" i="35"/>
  <c r="FN71" i="35"/>
  <c r="FL71" i="35"/>
  <c r="FC71" i="35"/>
  <c r="FA71" i="35"/>
  <c r="ER71" i="35"/>
  <c r="EP71" i="35"/>
  <c r="EG71" i="35"/>
  <c r="EE71" i="35"/>
  <c r="DV71" i="35"/>
  <c r="DT71" i="35"/>
  <c r="DK71" i="35"/>
  <c r="DI71" i="35"/>
  <c r="CZ71" i="35"/>
  <c r="CX71" i="35"/>
  <c r="CO71" i="35"/>
  <c r="CM71" i="35"/>
  <c r="CD71" i="35"/>
  <c r="CB71" i="35"/>
  <c r="BS71" i="35"/>
  <c r="BQ71" i="35"/>
  <c r="BH71" i="35"/>
  <c r="BF71" i="35"/>
  <c r="AW71" i="35"/>
  <c r="AU71" i="35"/>
  <c r="AL71" i="35"/>
  <c r="AJ71" i="35"/>
  <c r="AA71" i="35"/>
  <c r="Y71" i="35"/>
  <c r="P71" i="35"/>
  <c r="N71" i="35"/>
  <c r="GU70" i="35"/>
  <c r="GS70" i="35"/>
  <c r="GJ70" i="35"/>
  <c r="GH70" i="35"/>
  <c r="FY70" i="35"/>
  <c r="FW70" i="35"/>
  <c r="FN70" i="35"/>
  <c r="FL70" i="35"/>
  <c r="FC70" i="35"/>
  <c r="FA70" i="35"/>
  <c r="ER70" i="35"/>
  <c r="EP70" i="35"/>
  <c r="EG70" i="35"/>
  <c r="EE70" i="35"/>
  <c r="DV70" i="35"/>
  <c r="DT70" i="35"/>
  <c r="DK70" i="35"/>
  <c r="DI70" i="35"/>
  <c r="CZ70" i="35"/>
  <c r="CX70" i="35"/>
  <c r="CO70" i="35"/>
  <c r="CM70" i="35"/>
  <c r="CD70" i="35"/>
  <c r="CB70" i="35"/>
  <c r="BS70" i="35"/>
  <c r="BQ70" i="35"/>
  <c r="BH70" i="35"/>
  <c r="BF70" i="35"/>
  <c r="AW70" i="35"/>
  <c r="AU70" i="35"/>
  <c r="AL70" i="35"/>
  <c r="AJ70" i="35"/>
  <c r="AA70" i="35"/>
  <c r="Y70" i="35"/>
  <c r="P70" i="35"/>
  <c r="N70" i="35"/>
  <c r="GU69" i="35"/>
  <c r="GS69" i="35"/>
  <c r="GJ69" i="35"/>
  <c r="GH69" i="35"/>
  <c r="FY69" i="35"/>
  <c r="FW69" i="35"/>
  <c r="FN69" i="35"/>
  <c r="FL69" i="35"/>
  <c r="FC69" i="35"/>
  <c r="FA69" i="35"/>
  <c r="ER69" i="35"/>
  <c r="EP69" i="35"/>
  <c r="EG69" i="35"/>
  <c r="EE69" i="35"/>
  <c r="DV69" i="35"/>
  <c r="DT69" i="35"/>
  <c r="DK69" i="35"/>
  <c r="DI69" i="35"/>
  <c r="CZ69" i="35"/>
  <c r="CX69" i="35"/>
  <c r="CO69" i="35"/>
  <c r="CM69" i="35"/>
  <c r="CD69" i="35"/>
  <c r="CB69" i="35"/>
  <c r="BS69" i="35"/>
  <c r="BQ69" i="35"/>
  <c r="BH69" i="35"/>
  <c r="BF69" i="35"/>
  <c r="AW69" i="35"/>
  <c r="AU69" i="35"/>
  <c r="AL69" i="35"/>
  <c r="AJ69" i="35"/>
  <c r="AA69" i="35"/>
  <c r="Y69" i="35"/>
  <c r="P69" i="35"/>
  <c r="N69" i="35"/>
  <c r="GU68" i="35"/>
  <c r="GS68" i="35"/>
  <c r="GJ68" i="35"/>
  <c r="GH68" i="35"/>
  <c r="FY68" i="35"/>
  <c r="FW68" i="35"/>
  <c r="FN68" i="35"/>
  <c r="FL68" i="35"/>
  <c r="FC68" i="35"/>
  <c r="FA68" i="35"/>
  <c r="ER68" i="35"/>
  <c r="EP68" i="35"/>
  <c r="EG68" i="35"/>
  <c r="EE68" i="35"/>
  <c r="DV68" i="35"/>
  <c r="DT68" i="35"/>
  <c r="DK68" i="35"/>
  <c r="DI68" i="35"/>
  <c r="CZ68" i="35"/>
  <c r="CX68" i="35"/>
  <c r="CO68" i="35"/>
  <c r="CM68" i="35"/>
  <c r="CD68" i="35"/>
  <c r="CB68" i="35"/>
  <c r="BS68" i="35"/>
  <c r="BQ68" i="35"/>
  <c r="BH68" i="35"/>
  <c r="BF68" i="35"/>
  <c r="AW68" i="35"/>
  <c r="AU68" i="35"/>
  <c r="AL68" i="35"/>
  <c r="AJ68" i="35"/>
  <c r="AA68" i="35"/>
  <c r="Y68" i="35"/>
  <c r="P68" i="35"/>
  <c r="N68" i="35"/>
  <c r="GU67" i="35"/>
  <c r="GS67" i="35"/>
  <c r="GJ67" i="35"/>
  <c r="GH67" i="35"/>
  <c r="FY67" i="35"/>
  <c r="FW67" i="35"/>
  <c r="FN67" i="35"/>
  <c r="FL67" i="35"/>
  <c r="FC67" i="35"/>
  <c r="FA67" i="35"/>
  <c r="ER67" i="35"/>
  <c r="EP67" i="35"/>
  <c r="EG67" i="35"/>
  <c r="EE67" i="35"/>
  <c r="DV67" i="35"/>
  <c r="DT67" i="35"/>
  <c r="DK67" i="35"/>
  <c r="DI67" i="35"/>
  <c r="CZ67" i="35"/>
  <c r="CX67" i="35"/>
  <c r="CO67" i="35"/>
  <c r="CM67" i="35"/>
  <c r="CD67" i="35"/>
  <c r="CB67" i="35"/>
  <c r="BS67" i="35"/>
  <c r="BQ67" i="35"/>
  <c r="BH67" i="35"/>
  <c r="BF67" i="35"/>
  <c r="AW67" i="35"/>
  <c r="AU67" i="35"/>
  <c r="AL67" i="35"/>
  <c r="AJ67" i="35"/>
  <c r="AA67" i="35"/>
  <c r="Y67" i="35"/>
  <c r="P67" i="35"/>
  <c r="N67" i="35"/>
  <c r="GU66" i="35"/>
  <c r="GS66" i="35"/>
  <c r="GJ66" i="35"/>
  <c r="GH66" i="35"/>
  <c r="FY66" i="35"/>
  <c r="FW66" i="35"/>
  <c r="FN66" i="35"/>
  <c r="FL66" i="35"/>
  <c r="FC66" i="35"/>
  <c r="FA66" i="35"/>
  <c r="ER66" i="35"/>
  <c r="EP66" i="35"/>
  <c r="EG66" i="35"/>
  <c r="EE66" i="35"/>
  <c r="DV66" i="35"/>
  <c r="DT66" i="35"/>
  <c r="DK66" i="35"/>
  <c r="DI66" i="35"/>
  <c r="CZ66" i="35"/>
  <c r="CX66" i="35"/>
  <c r="CO66" i="35"/>
  <c r="CM66" i="35"/>
  <c r="CD66" i="35"/>
  <c r="CB66" i="35"/>
  <c r="BS66" i="35"/>
  <c r="BQ66" i="35"/>
  <c r="BH66" i="35"/>
  <c r="BF66" i="35"/>
  <c r="AW66" i="35"/>
  <c r="AU66" i="35"/>
  <c r="AL66" i="35"/>
  <c r="AJ66" i="35"/>
  <c r="AA66" i="35"/>
  <c r="Y66" i="35"/>
  <c r="P66" i="35"/>
  <c r="N66" i="35"/>
  <c r="GU65" i="35"/>
  <c r="GS65" i="35"/>
  <c r="GJ65" i="35"/>
  <c r="GH65" i="35"/>
  <c r="FY65" i="35"/>
  <c r="FW65" i="35"/>
  <c r="FN65" i="35"/>
  <c r="FL65" i="35"/>
  <c r="FC65" i="35"/>
  <c r="FA65" i="35"/>
  <c r="ER65" i="35"/>
  <c r="EP65" i="35"/>
  <c r="EG65" i="35"/>
  <c r="EE65" i="35"/>
  <c r="DV65" i="35"/>
  <c r="DT65" i="35"/>
  <c r="DK65" i="35"/>
  <c r="DI65" i="35"/>
  <c r="CZ65" i="35"/>
  <c r="CX65" i="35"/>
  <c r="CO65" i="35"/>
  <c r="CM65" i="35"/>
  <c r="CD65" i="35"/>
  <c r="CB65" i="35"/>
  <c r="BS65" i="35"/>
  <c r="BQ65" i="35"/>
  <c r="BH65" i="35"/>
  <c r="BF65" i="35"/>
  <c r="AW65" i="35"/>
  <c r="AU65" i="35"/>
  <c r="AL65" i="35"/>
  <c r="AJ65" i="35"/>
  <c r="AA65" i="35"/>
  <c r="Y65" i="35"/>
  <c r="P65" i="35"/>
  <c r="N65" i="35"/>
  <c r="GU64" i="35"/>
  <c r="GS64" i="35"/>
  <c r="GJ64" i="35"/>
  <c r="GH64" i="35"/>
  <c r="FY64" i="35"/>
  <c r="FW64" i="35"/>
  <c r="FN64" i="35"/>
  <c r="FL64" i="35"/>
  <c r="FC64" i="35"/>
  <c r="FA64" i="35"/>
  <c r="ER64" i="35"/>
  <c r="EP64" i="35"/>
  <c r="EG64" i="35"/>
  <c r="EE64" i="35"/>
  <c r="DV64" i="35"/>
  <c r="DT64" i="35"/>
  <c r="DK64" i="35"/>
  <c r="DI64" i="35"/>
  <c r="CZ64" i="35"/>
  <c r="CX64" i="35"/>
  <c r="CO64" i="35"/>
  <c r="CM64" i="35"/>
  <c r="CD64" i="35"/>
  <c r="CB64" i="35"/>
  <c r="BS64" i="35"/>
  <c r="BQ64" i="35"/>
  <c r="BH64" i="35"/>
  <c r="BF64" i="35"/>
  <c r="AW64" i="35"/>
  <c r="AU64" i="35"/>
  <c r="AL64" i="35"/>
  <c r="AJ64" i="35"/>
  <c r="AA64" i="35"/>
  <c r="Y64" i="35"/>
  <c r="P64" i="35"/>
  <c r="N64" i="35"/>
  <c r="GU63" i="35"/>
  <c r="GS63" i="35"/>
  <c r="GJ63" i="35"/>
  <c r="GH63" i="35"/>
  <c r="FY63" i="35"/>
  <c r="FW63" i="35"/>
  <c r="FN63" i="35"/>
  <c r="FL63" i="35"/>
  <c r="FC63" i="35"/>
  <c r="FA63" i="35"/>
  <c r="ER63" i="35"/>
  <c r="EP63" i="35"/>
  <c r="EG63" i="35"/>
  <c r="EE63" i="35"/>
  <c r="DV63" i="35"/>
  <c r="DT63" i="35"/>
  <c r="DK63" i="35"/>
  <c r="DI63" i="35"/>
  <c r="CZ63" i="35"/>
  <c r="CX63" i="35"/>
  <c r="CO63" i="35"/>
  <c r="CM63" i="35"/>
  <c r="CD63" i="35"/>
  <c r="CB63" i="35"/>
  <c r="BS63" i="35"/>
  <c r="BQ63" i="35"/>
  <c r="BH63" i="35"/>
  <c r="BF63" i="35"/>
  <c r="AW63" i="35"/>
  <c r="AU63" i="35"/>
  <c r="AL63" i="35"/>
  <c r="AJ63" i="35"/>
  <c r="AA63" i="35"/>
  <c r="Y63" i="35"/>
  <c r="P63" i="35"/>
  <c r="N63" i="35"/>
  <c r="GU62" i="35"/>
  <c r="GS62" i="35"/>
  <c r="GJ62" i="35"/>
  <c r="GH62" i="35"/>
  <c r="FY62" i="35"/>
  <c r="FW62" i="35"/>
  <c r="FN62" i="35"/>
  <c r="FL62" i="35"/>
  <c r="FC62" i="35"/>
  <c r="FA62" i="35"/>
  <c r="ER62" i="35"/>
  <c r="EP62" i="35"/>
  <c r="EG62" i="35"/>
  <c r="EE62" i="35"/>
  <c r="DV62" i="35"/>
  <c r="DT62" i="35"/>
  <c r="DK62" i="35"/>
  <c r="DI62" i="35"/>
  <c r="CZ62" i="35"/>
  <c r="CX62" i="35"/>
  <c r="CO62" i="35"/>
  <c r="CM62" i="35"/>
  <c r="CD62" i="35"/>
  <c r="CB62" i="35"/>
  <c r="BS62" i="35"/>
  <c r="BQ62" i="35"/>
  <c r="BH62" i="35"/>
  <c r="BF62" i="35"/>
  <c r="AW62" i="35"/>
  <c r="AU62" i="35"/>
  <c r="AL62" i="35"/>
  <c r="AJ62" i="35"/>
  <c r="AA62" i="35"/>
  <c r="Y62" i="35"/>
  <c r="P62" i="35"/>
  <c r="N62" i="35"/>
  <c r="GU61" i="35"/>
  <c r="GS61" i="35"/>
  <c r="GJ61" i="35"/>
  <c r="GH61" i="35"/>
  <c r="FY61" i="35"/>
  <c r="FW61" i="35"/>
  <c r="FN61" i="35"/>
  <c r="FL61" i="35"/>
  <c r="FC61" i="35"/>
  <c r="FA61" i="35"/>
  <c r="ER61" i="35"/>
  <c r="EP61" i="35"/>
  <c r="EG61" i="35"/>
  <c r="EE61" i="35"/>
  <c r="DV61" i="35"/>
  <c r="DT61" i="35"/>
  <c r="DK61" i="35"/>
  <c r="DI61" i="35"/>
  <c r="CZ61" i="35"/>
  <c r="CX61" i="35"/>
  <c r="CO61" i="35"/>
  <c r="CM61" i="35"/>
  <c r="CD61" i="35"/>
  <c r="CB61" i="35"/>
  <c r="BS61" i="35"/>
  <c r="BQ61" i="35"/>
  <c r="BH61" i="35"/>
  <c r="BF61" i="35"/>
  <c r="AW61" i="35"/>
  <c r="AU61" i="35"/>
  <c r="AL61" i="35"/>
  <c r="AJ61" i="35"/>
  <c r="AA61" i="35"/>
  <c r="Y61" i="35"/>
  <c r="P61" i="35"/>
  <c r="N61" i="35"/>
  <c r="GU60" i="35"/>
  <c r="GS60" i="35"/>
  <c r="GJ60" i="35"/>
  <c r="GH60" i="35"/>
  <c r="FY60" i="35"/>
  <c r="FW60" i="35"/>
  <c r="FN60" i="35"/>
  <c r="FL60" i="35"/>
  <c r="FC60" i="35"/>
  <c r="FA60" i="35"/>
  <c r="ER60" i="35"/>
  <c r="EP60" i="35"/>
  <c r="EG60" i="35"/>
  <c r="EE60" i="35"/>
  <c r="DV60" i="35"/>
  <c r="DT60" i="35"/>
  <c r="DK60" i="35"/>
  <c r="DI60" i="35"/>
  <c r="CZ60" i="35"/>
  <c r="CX60" i="35"/>
  <c r="CO60" i="35"/>
  <c r="CM60" i="35"/>
  <c r="CD60" i="35"/>
  <c r="CB60" i="35"/>
  <c r="BS60" i="35"/>
  <c r="BQ60" i="35"/>
  <c r="BH60" i="35"/>
  <c r="BF60" i="35"/>
  <c r="AW60" i="35"/>
  <c r="AU60" i="35"/>
  <c r="AL60" i="35"/>
  <c r="AJ60" i="35"/>
  <c r="AA60" i="35"/>
  <c r="Y60" i="35"/>
  <c r="P60" i="35"/>
  <c r="N60" i="35"/>
  <c r="GU59" i="35"/>
  <c r="GS59" i="35"/>
  <c r="GJ59" i="35"/>
  <c r="GH59" i="35"/>
  <c r="FY59" i="35"/>
  <c r="FW59" i="35"/>
  <c r="FN59" i="35"/>
  <c r="FL59" i="35"/>
  <c r="FC59" i="35"/>
  <c r="FA59" i="35"/>
  <c r="ER59" i="35"/>
  <c r="EP59" i="35"/>
  <c r="EG59" i="35"/>
  <c r="EE59" i="35"/>
  <c r="DV59" i="35"/>
  <c r="DT59" i="35"/>
  <c r="DK59" i="35"/>
  <c r="DI59" i="35"/>
  <c r="CZ59" i="35"/>
  <c r="CX59" i="35"/>
  <c r="CO59" i="35"/>
  <c r="CM59" i="35"/>
  <c r="CD59" i="35"/>
  <c r="CB59" i="35"/>
  <c r="BS59" i="35"/>
  <c r="BQ59" i="35"/>
  <c r="BH59" i="35"/>
  <c r="BF59" i="35"/>
  <c r="AW59" i="35"/>
  <c r="AU59" i="35"/>
  <c r="AL59" i="35"/>
  <c r="AJ59" i="35"/>
  <c r="AA59" i="35"/>
  <c r="Y59" i="35"/>
  <c r="P59" i="35"/>
  <c r="N59" i="35"/>
  <c r="GU58" i="35"/>
  <c r="GS58" i="35"/>
  <c r="GJ58" i="35"/>
  <c r="GH58" i="35"/>
  <c r="FY58" i="35"/>
  <c r="FW58" i="35"/>
  <c r="FN58" i="35"/>
  <c r="FL58" i="35"/>
  <c r="FC58" i="35"/>
  <c r="FA58" i="35"/>
  <c r="ER58" i="35"/>
  <c r="EP58" i="35"/>
  <c r="EG58" i="35"/>
  <c r="EE58" i="35"/>
  <c r="DV58" i="35"/>
  <c r="DT58" i="35"/>
  <c r="DK58" i="35"/>
  <c r="DI58" i="35"/>
  <c r="CZ58" i="35"/>
  <c r="CX58" i="35"/>
  <c r="CO58" i="35"/>
  <c r="CM58" i="35"/>
  <c r="CD58" i="35"/>
  <c r="CB58" i="35"/>
  <c r="BS58" i="35"/>
  <c r="BQ58" i="35"/>
  <c r="BH58" i="35"/>
  <c r="BF58" i="35"/>
  <c r="AW58" i="35"/>
  <c r="AU58" i="35"/>
  <c r="AL58" i="35"/>
  <c r="AJ58" i="35"/>
  <c r="AA58" i="35"/>
  <c r="Y58" i="35"/>
  <c r="P58" i="35"/>
  <c r="N58" i="35"/>
  <c r="GU57" i="35"/>
  <c r="GS57" i="35"/>
  <c r="GJ57" i="35"/>
  <c r="GH57" i="35"/>
  <c r="FY57" i="35"/>
  <c r="FW57" i="35"/>
  <c r="FN57" i="35"/>
  <c r="FL57" i="35"/>
  <c r="FC57" i="35"/>
  <c r="FA57" i="35"/>
  <c r="ER57" i="35"/>
  <c r="EP57" i="35"/>
  <c r="EG57" i="35"/>
  <c r="EE57" i="35"/>
  <c r="DV57" i="35"/>
  <c r="DT57" i="35"/>
  <c r="DK57" i="35"/>
  <c r="DI57" i="35"/>
  <c r="CZ57" i="35"/>
  <c r="CX57" i="35"/>
  <c r="CO57" i="35"/>
  <c r="CM57" i="35"/>
  <c r="CD57" i="35"/>
  <c r="CB57" i="35"/>
  <c r="BS57" i="35"/>
  <c r="BQ57" i="35"/>
  <c r="BH57" i="35"/>
  <c r="BF57" i="35"/>
  <c r="AW57" i="35"/>
  <c r="AU57" i="35"/>
  <c r="AL57" i="35"/>
  <c r="AJ57" i="35"/>
  <c r="AA57" i="35"/>
  <c r="Y57" i="35"/>
  <c r="P57" i="35"/>
  <c r="N57" i="35"/>
  <c r="GU56" i="35"/>
  <c r="GS56" i="35"/>
  <c r="GJ56" i="35"/>
  <c r="GH56" i="35"/>
  <c r="FY56" i="35"/>
  <c r="FW56" i="35"/>
  <c r="FN56" i="35"/>
  <c r="FL56" i="35"/>
  <c r="FC56" i="35"/>
  <c r="FA56" i="35"/>
  <c r="ER56" i="35"/>
  <c r="EP56" i="35"/>
  <c r="EG56" i="35"/>
  <c r="EE56" i="35"/>
  <c r="DV56" i="35"/>
  <c r="DT56" i="35"/>
  <c r="DK56" i="35"/>
  <c r="DI56" i="35"/>
  <c r="CZ56" i="35"/>
  <c r="CX56" i="35"/>
  <c r="CO56" i="35"/>
  <c r="CM56" i="35"/>
  <c r="CD56" i="35"/>
  <c r="CB56" i="35"/>
  <c r="BS56" i="35"/>
  <c r="BQ56" i="35"/>
  <c r="BH56" i="35"/>
  <c r="BF56" i="35"/>
  <c r="AW56" i="35"/>
  <c r="AU56" i="35"/>
  <c r="AL56" i="35"/>
  <c r="AJ56" i="35"/>
  <c r="AA56" i="35"/>
  <c r="Y56" i="35"/>
  <c r="P56" i="35"/>
  <c r="N56" i="35"/>
  <c r="GU55" i="35"/>
  <c r="GS55" i="35"/>
  <c r="GJ55" i="35"/>
  <c r="GH55" i="35"/>
  <c r="FY55" i="35"/>
  <c r="FW55" i="35"/>
  <c r="FN55" i="35"/>
  <c r="FL55" i="35"/>
  <c r="FC55" i="35"/>
  <c r="FA55" i="35"/>
  <c r="ER55" i="35"/>
  <c r="EP55" i="35"/>
  <c r="EG55" i="35"/>
  <c r="EE55" i="35"/>
  <c r="DV55" i="35"/>
  <c r="DT55" i="35"/>
  <c r="DK55" i="35"/>
  <c r="DI55" i="35"/>
  <c r="CZ55" i="35"/>
  <c r="CX55" i="35"/>
  <c r="CO55" i="35"/>
  <c r="CM55" i="35"/>
  <c r="CD55" i="35"/>
  <c r="CB55" i="35"/>
  <c r="BS55" i="35"/>
  <c r="BQ55" i="35"/>
  <c r="BH55" i="35"/>
  <c r="BF55" i="35"/>
  <c r="AW55" i="35"/>
  <c r="AU55" i="35"/>
  <c r="AL55" i="35"/>
  <c r="AJ55" i="35"/>
  <c r="AA55" i="35"/>
  <c r="Y55" i="35"/>
  <c r="P55" i="35"/>
  <c r="N55" i="35"/>
  <c r="GU54" i="35"/>
  <c r="GS54" i="35"/>
  <c r="GJ54" i="35"/>
  <c r="GH54" i="35"/>
  <c r="FY54" i="35"/>
  <c r="FW54" i="35"/>
  <c r="FN54" i="35"/>
  <c r="FL54" i="35"/>
  <c r="FC54" i="35"/>
  <c r="FA54" i="35"/>
  <c r="ER54" i="35"/>
  <c r="EP54" i="35"/>
  <c r="EG54" i="35"/>
  <c r="EE54" i="35"/>
  <c r="DV54" i="35"/>
  <c r="DT54" i="35"/>
  <c r="DK54" i="35"/>
  <c r="DI54" i="35"/>
  <c r="CZ54" i="35"/>
  <c r="CX54" i="35"/>
  <c r="CO54" i="35"/>
  <c r="CM54" i="35"/>
  <c r="CD54" i="35"/>
  <c r="CB54" i="35"/>
  <c r="BS54" i="35"/>
  <c r="BQ54" i="35"/>
  <c r="BH54" i="35"/>
  <c r="BF54" i="35"/>
  <c r="AW54" i="35"/>
  <c r="AU54" i="35"/>
  <c r="AL54" i="35"/>
  <c r="AJ54" i="35"/>
  <c r="AA54" i="35"/>
  <c r="Y54" i="35"/>
  <c r="P54" i="35"/>
  <c r="N54" i="35"/>
  <c r="GU53" i="35"/>
  <c r="GS53" i="35"/>
  <c r="GJ53" i="35"/>
  <c r="GH53" i="35"/>
  <c r="FY53" i="35"/>
  <c r="FW53" i="35"/>
  <c r="FN53" i="35"/>
  <c r="FL53" i="35"/>
  <c r="FC53" i="35"/>
  <c r="FA53" i="35"/>
  <c r="ER53" i="35"/>
  <c r="EP53" i="35"/>
  <c r="EG53" i="35"/>
  <c r="EE53" i="35"/>
  <c r="DV53" i="35"/>
  <c r="DT53" i="35"/>
  <c r="DK53" i="35"/>
  <c r="DI53" i="35"/>
  <c r="CZ53" i="35"/>
  <c r="CX53" i="35"/>
  <c r="CO53" i="35"/>
  <c r="CM53" i="35"/>
  <c r="CD53" i="35"/>
  <c r="CB53" i="35"/>
  <c r="BS53" i="35"/>
  <c r="BQ53" i="35"/>
  <c r="BH53" i="35"/>
  <c r="BF53" i="35"/>
  <c r="AW53" i="35"/>
  <c r="AU53" i="35"/>
  <c r="AL53" i="35"/>
  <c r="AJ53" i="35"/>
  <c r="AA53" i="35"/>
  <c r="Y53" i="35"/>
  <c r="P53" i="35"/>
  <c r="N53" i="35"/>
  <c r="GU52" i="35"/>
  <c r="GS52" i="35"/>
  <c r="GJ52" i="35"/>
  <c r="GH52" i="35"/>
  <c r="FY52" i="35"/>
  <c r="FW52" i="35"/>
  <c r="FN52" i="35"/>
  <c r="FL52" i="35"/>
  <c r="FC52" i="35"/>
  <c r="FA52" i="35"/>
  <c r="ER52" i="35"/>
  <c r="EP52" i="35"/>
  <c r="EG52" i="35"/>
  <c r="EE52" i="35"/>
  <c r="DV52" i="35"/>
  <c r="DT52" i="35"/>
  <c r="DK52" i="35"/>
  <c r="DI52" i="35"/>
  <c r="CZ52" i="35"/>
  <c r="CX52" i="35"/>
  <c r="CO52" i="35"/>
  <c r="CM52" i="35"/>
  <c r="CD52" i="35"/>
  <c r="CB52" i="35"/>
  <c r="BS52" i="35"/>
  <c r="BQ52" i="35"/>
  <c r="BH52" i="35"/>
  <c r="BF52" i="35"/>
  <c r="AW52" i="35"/>
  <c r="AU52" i="35"/>
  <c r="AL52" i="35"/>
  <c r="AJ52" i="35"/>
  <c r="AA52" i="35"/>
  <c r="Y52" i="35"/>
  <c r="P52" i="35"/>
  <c r="N52" i="35"/>
  <c r="GU51" i="35"/>
  <c r="GS51" i="35"/>
  <c r="GJ51" i="35"/>
  <c r="GH51" i="35"/>
  <c r="FY51" i="35"/>
  <c r="FW51" i="35"/>
  <c r="FN51" i="35"/>
  <c r="FL51" i="35"/>
  <c r="FC51" i="35"/>
  <c r="FA51" i="35"/>
  <c r="ER51" i="35"/>
  <c r="EP51" i="35"/>
  <c r="EG51" i="35"/>
  <c r="EE51" i="35"/>
  <c r="DV51" i="35"/>
  <c r="DT51" i="35"/>
  <c r="DK51" i="35"/>
  <c r="DI51" i="35"/>
  <c r="CZ51" i="35"/>
  <c r="CX51" i="35"/>
  <c r="CO51" i="35"/>
  <c r="CM51" i="35"/>
  <c r="CD51" i="35"/>
  <c r="CB51" i="35"/>
  <c r="BS51" i="35"/>
  <c r="BQ51" i="35"/>
  <c r="BH51" i="35"/>
  <c r="BF51" i="35"/>
  <c r="AW51" i="35"/>
  <c r="AU51" i="35"/>
  <c r="AL51" i="35"/>
  <c r="AJ51" i="35"/>
  <c r="AA51" i="35"/>
  <c r="Y51" i="35"/>
  <c r="P51" i="35"/>
  <c r="N51" i="35"/>
  <c r="GU50" i="35"/>
  <c r="GS50" i="35"/>
  <c r="GJ50" i="35"/>
  <c r="GH50" i="35"/>
  <c r="FY50" i="35"/>
  <c r="FW50" i="35"/>
  <c r="FN50" i="35"/>
  <c r="FL50" i="35"/>
  <c r="FC50" i="35"/>
  <c r="FA50" i="35"/>
  <c r="ER50" i="35"/>
  <c r="EP50" i="35"/>
  <c r="EG50" i="35"/>
  <c r="EE50" i="35"/>
  <c r="DV50" i="35"/>
  <c r="DT50" i="35"/>
  <c r="DK50" i="35"/>
  <c r="DI50" i="35"/>
  <c r="CZ50" i="35"/>
  <c r="CX50" i="35"/>
  <c r="CO50" i="35"/>
  <c r="CM50" i="35"/>
  <c r="CD50" i="35"/>
  <c r="CB50" i="35"/>
  <c r="BS50" i="35"/>
  <c r="BQ50" i="35"/>
  <c r="BH50" i="35"/>
  <c r="BF50" i="35"/>
  <c r="AW50" i="35"/>
  <c r="AU50" i="35"/>
  <c r="AL50" i="35"/>
  <c r="AJ50" i="35"/>
  <c r="AA50" i="35"/>
  <c r="Y50" i="35"/>
  <c r="P50" i="35"/>
  <c r="N50" i="35"/>
  <c r="GU49" i="35"/>
  <c r="GS49" i="35"/>
  <c r="GJ49" i="35"/>
  <c r="GH49" i="35"/>
  <c r="FY49" i="35"/>
  <c r="FW49" i="35"/>
  <c r="FN49" i="35"/>
  <c r="FL49" i="35"/>
  <c r="FC49" i="35"/>
  <c r="FA49" i="35"/>
  <c r="ER49" i="35"/>
  <c r="EP49" i="35"/>
  <c r="EG49" i="35"/>
  <c r="EE49" i="35"/>
  <c r="DV49" i="35"/>
  <c r="DT49" i="35"/>
  <c r="DK49" i="35"/>
  <c r="DI49" i="35"/>
  <c r="CZ49" i="35"/>
  <c r="CX49" i="35"/>
  <c r="CO49" i="35"/>
  <c r="CM49" i="35"/>
  <c r="CD49" i="35"/>
  <c r="CB49" i="35"/>
  <c r="BS49" i="35"/>
  <c r="BQ49" i="35"/>
  <c r="BH49" i="35"/>
  <c r="BF49" i="35"/>
  <c r="AW49" i="35"/>
  <c r="AU49" i="35"/>
  <c r="AL49" i="35"/>
  <c r="AJ49" i="35"/>
  <c r="AA49" i="35"/>
  <c r="Y49" i="35"/>
  <c r="P49" i="35"/>
  <c r="N49" i="35"/>
  <c r="GU48" i="35"/>
  <c r="GS48" i="35"/>
  <c r="GJ48" i="35"/>
  <c r="GH48" i="35"/>
  <c r="FY48" i="35"/>
  <c r="FW48" i="35"/>
  <c r="FN48" i="35"/>
  <c r="FL48" i="35"/>
  <c r="FC48" i="35"/>
  <c r="FA48" i="35"/>
  <c r="ER48" i="35"/>
  <c r="EP48" i="35"/>
  <c r="EG48" i="35"/>
  <c r="EE48" i="35"/>
  <c r="DV48" i="35"/>
  <c r="DT48" i="35"/>
  <c r="DK48" i="35"/>
  <c r="DI48" i="35"/>
  <c r="CZ48" i="35"/>
  <c r="CX48" i="35"/>
  <c r="CO48" i="35"/>
  <c r="CM48" i="35"/>
  <c r="CD48" i="35"/>
  <c r="CB48" i="35"/>
  <c r="BS48" i="35"/>
  <c r="BQ48" i="35"/>
  <c r="BH48" i="35"/>
  <c r="BF48" i="35"/>
  <c r="AW48" i="35"/>
  <c r="AU48" i="35"/>
  <c r="AL48" i="35"/>
  <c r="AJ48" i="35"/>
  <c r="AA48" i="35"/>
  <c r="Y48" i="35"/>
  <c r="P48" i="35"/>
  <c r="N48" i="35"/>
  <c r="GU47" i="35"/>
  <c r="GS47" i="35"/>
  <c r="GJ47" i="35"/>
  <c r="GH47" i="35"/>
  <c r="FY47" i="35"/>
  <c r="FW47" i="35"/>
  <c r="FN47" i="35"/>
  <c r="FL47" i="35"/>
  <c r="FC47" i="35"/>
  <c r="FA47" i="35"/>
  <c r="ER47" i="35"/>
  <c r="EP47" i="35"/>
  <c r="EG47" i="35"/>
  <c r="EE47" i="35"/>
  <c r="DV47" i="35"/>
  <c r="DT47" i="35"/>
  <c r="DK47" i="35"/>
  <c r="DI47" i="35"/>
  <c r="CZ47" i="35"/>
  <c r="CX47" i="35"/>
  <c r="CO47" i="35"/>
  <c r="CM47" i="35"/>
  <c r="CD47" i="35"/>
  <c r="CB47" i="35"/>
  <c r="BS47" i="35"/>
  <c r="BQ47" i="35"/>
  <c r="BH47" i="35"/>
  <c r="BF47" i="35"/>
  <c r="AW47" i="35"/>
  <c r="AU47" i="35"/>
  <c r="AL47" i="35"/>
  <c r="AJ47" i="35"/>
  <c r="AA47" i="35"/>
  <c r="Y47" i="35"/>
  <c r="P47" i="35"/>
  <c r="N47" i="35"/>
  <c r="GU46" i="35"/>
  <c r="GS46" i="35"/>
  <c r="GJ46" i="35"/>
  <c r="GH46" i="35"/>
  <c r="FY46" i="35"/>
  <c r="FW46" i="35"/>
  <c r="FN46" i="35"/>
  <c r="FL46" i="35"/>
  <c r="FC46" i="35"/>
  <c r="FA46" i="35"/>
  <c r="ER46" i="35"/>
  <c r="EP46" i="35"/>
  <c r="EG46" i="35"/>
  <c r="EE46" i="35"/>
  <c r="DV46" i="35"/>
  <c r="DT46" i="35"/>
  <c r="DK46" i="35"/>
  <c r="DI46" i="35"/>
  <c r="CZ46" i="35"/>
  <c r="CX46" i="35"/>
  <c r="CO46" i="35"/>
  <c r="CM46" i="35"/>
  <c r="CD46" i="35"/>
  <c r="CB46" i="35"/>
  <c r="BS46" i="35"/>
  <c r="BQ46" i="35"/>
  <c r="BH46" i="35"/>
  <c r="BF46" i="35"/>
  <c r="AW46" i="35"/>
  <c r="AU46" i="35"/>
  <c r="AL46" i="35"/>
  <c r="AJ46" i="35"/>
  <c r="AA46" i="35"/>
  <c r="Y46" i="35"/>
  <c r="P46" i="35"/>
  <c r="N46" i="35"/>
  <c r="GU45" i="35"/>
  <c r="GS45" i="35"/>
  <c r="GJ45" i="35"/>
  <c r="GH45" i="35"/>
  <c r="FY45" i="35"/>
  <c r="FW45" i="35"/>
  <c r="FN45" i="35"/>
  <c r="FL45" i="35"/>
  <c r="FC45" i="35"/>
  <c r="FA45" i="35"/>
  <c r="ER45" i="35"/>
  <c r="EP45" i="35"/>
  <c r="EG45" i="35"/>
  <c r="EE45" i="35"/>
  <c r="DV45" i="35"/>
  <c r="DT45" i="35"/>
  <c r="DK45" i="35"/>
  <c r="DI45" i="35"/>
  <c r="CZ45" i="35"/>
  <c r="CX45" i="35"/>
  <c r="CO45" i="35"/>
  <c r="CM45" i="35"/>
  <c r="CD45" i="35"/>
  <c r="CB45" i="35"/>
  <c r="BS45" i="35"/>
  <c r="BQ45" i="35"/>
  <c r="BH45" i="35"/>
  <c r="BF45" i="35"/>
  <c r="AW45" i="35"/>
  <c r="AU45" i="35"/>
  <c r="AL45" i="35"/>
  <c r="AJ45" i="35"/>
  <c r="AA45" i="35"/>
  <c r="Y45" i="35"/>
  <c r="P45" i="35"/>
  <c r="N45" i="35"/>
  <c r="GU44" i="35"/>
  <c r="GS44" i="35"/>
  <c r="GJ44" i="35"/>
  <c r="GH44" i="35"/>
  <c r="FY44" i="35"/>
  <c r="FW44" i="35"/>
  <c r="FN44" i="35"/>
  <c r="FL44" i="35"/>
  <c r="FC44" i="35"/>
  <c r="FA44" i="35"/>
  <c r="ER44" i="35"/>
  <c r="EP44" i="35"/>
  <c r="EG44" i="35"/>
  <c r="EE44" i="35"/>
  <c r="DV44" i="35"/>
  <c r="DT44" i="35"/>
  <c r="DK44" i="35"/>
  <c r="DI44" i="35"/>
  <c r="CZ44" i="35"/>
  <c r="CX44" i="35"/>
  <c r="CO44" i="35"/>
  <c r="CM44" i="35"/>
  <c r="CD44" i="35"/>
  <c r="CB44" i="35"/>
  <c r="BS44" i="35"/>
  <c r="BQ44" i="35"/>
  <c r="BH44" i="35"/>
  <c r="BF44" i="35"/>
  <c r="AW44" i="35"/>
  <c r="AU44" i="35"/>
  <c r="AL44" i="35"/>
  <c r="AJ44" i="35"/>
  <c r="AA44" i="35"/>
  <c r="Y44" i="35"/>
  <c r="P44" i="35"/>
  <c r="N44" i="35"/>
  <c r="GU43" i="35"/>
  <c r="GS43" i="35"/>
  <c r="GJ43" i="35"/>
  <c r="GH43" i="35"/>
  <c r="FY43" i="35"/>
  <c r="FW43" i="35"/>
  <c r="FN43" i="35"/>
  <c r="FL43" i="35"/>
  <c r="FC43" i="35"/>
  <c r="FA43" i="35"/>
  <c r="ER43" i="35"/>
  <c r="EP43" i="35"/>
  <c r="EG43" i="35"/>
  <c r="EE43" i="35"/>
  <c r="DV43" i="35"/>
  <c r="DT43" i="35"/>
  <c r="DK43" i="35"/>
  <c r="DI43" i="35"/>
  <c r="CZ43" i="35"/>
  <c r="CX43" i="35"/>
  <c r="CO43" i="35"/>
  <c r="CM43" i="35"/>
  <c r="CD43" i="35"/>
  <c r="CB43" i="35"/>
  <c r="BS43" i="35"/>
  <c r="BQ43" i="35"/>
  <c r="BH43" i="35"/>
  <c r="BF43" i="35"/>
  <c r="AW43" i="35"/>
  <c r="AU43" i="35"/>
  <c r="AL43" i="35"/>
  <c r="AJ43" i="35"/>
  <c r="AA43" i="35"/>
  <c r="Y43" i="35"/>
  <c r="P43" i="35"/>
  <c r="N43" i="35"/>
  <c r="GU42" i="35"/>
  <c r="GS42" i="35"/>
  <c r="GJ42" i="35"/>
  <c r="GH42" i="35"/>
  <c r="FY42" i="35"/>
  <c r="FW42" i="35"/>
  <c r="FN42" i="35"/>
  <c r="FL42" i="35"/>
  <c r="FC42" i="35"/>
  <c r="FA42" i="35"/>
  <c r="ER42" i="35"/>
  <c r="EP42" i="35"/>
  <c r="EG42" i="35"/>
  <c r="EE42" i="35"/>
  <c r="DV42" i="35"/>
  <c r="DT42" i="35"/>
  <c r="DK42" i="35"/>
  <c r="DI42" i="35"/>
  <c r="CZ42" i="35"/>
  <c r="CX42" i="35"/>
  <c r="CO42" i="35"/>
  <c r="CM42" i="35"/>
  <c r="CD42" i="35"/>
  <c r="CB42" i="35"/>
  <c r="BS42" i="35"/>
  <c r="BQ42" i="35"/>
  <c r="BH42" i="35"/>
  <c r="BF42" i="35"/>
  <c r="AW42" i="35"/>
  <c r="AU42" i="35"/>
  <c r="AL42" i="35"/>
  <c r="AJ42" i="35"/>
  <c r="AA42" i="35"/>
  <c r="Y42" i="35"/>
  <c r="P42" i="35"/>
  <c r="N42" i="35"/>
  <c r="GU41" i="35"/>
  <c r="GS41" i="35"/>
  <c r="GJ41" i="35"/>
  <c r="GH41" i="35"/>
  <c r="FY41" i="35"/>
  <c r="FW41" i="35"/>
  <c r="FN41" i="35"/>
  <c r="FL41" i="35"/>
  <c r="FC41" i="35"/>
  <c r="FA41" i="35"/>
  <c r="ER41" i="35"/>
  <c r="EP41" i="35"/>
  <c r="EG41" i="35"/>
  <c r="EE41" i="35"/>
  <c r="DV41" i="35"/>
  <c r="DT41" i="35"/>
  <c r="DK41" i="35"/>
  <c r="DI41" i="35"/>
  <c r="CZ41" i="35"/>
  <c r="CX41" i="35"/>
  <c r="CO41" i="35"/>
  <c r="CM41" i="35"/>
  <c r="CD41" i="35"/>
  <c r="CB41" i="35"/>
  <c r="BS41" i="35"/>
  <c r="BQ41" i="35"/>
  <c r="BH41" i="35"/>
  <c r="BF41" i="35"/>
  <c r="AW41" i="35"/>
  <c r="AU41" i="35"/>
  <c r="AL41" i="35"/>
  <c r="AJ41" i="35"/>
  <c r="AA41" i="35"/>
  <c r="Y41" i="35"/>
  <c r="P41" i="35"/>
  <c r="N41" i="35"/>
  <c r="GU40" i="35"/>
  <c r="GS40" i="35"/>
  <c r="GJ40" i="35"/>
  <c r="GH40" i="35"/>
  <c r="FY40" i="35"/>
  <c r="FW40" i="35"/>
  <c r="FN40" i="35"/>
  <c r="FL40" i="35"/>
  <c r="FC40" i="35"/>
  <c r="FA40" i="35"/>
  <c r="ER40" i="35"/>
  <c r="EP40" i="35"/>
  <c r="EG40" i="35"/>
  <c r="EE40" i="35"/>
  <c r="DV40" i="35"/>
  <c r="DT40" i="35"/>
  <c r="DK40" i="35"/>
  <c r="DI40" i="35"/>
  <c r="CZ40" i="35"/>
  <c r="CX40" i="35"/>
  <c r="CO40" i="35"/>
  <c r="CM40" i="35"/>
  <c r="CD40" i="35"/>
  <c r="CB40" i="35"/>
  <c r="BS40" i="35"/>
  <c r="BQ40" i="35"/>
  <c r="BH40" i="35"/>
  <c r="BF40" i="35"/>
  <c r="AW40" i="35"/>
  <c r="AU40" i="35"/>
  <c r="AL40" i="35"/>
  <c r="AJ40" i="35"/>
  <c r="AA40" i="35"/>
  <c r="Y40" i="35"/>
  <c r="P40" i="35"/>
  <c r="N40" i="35"/>
  <c r="GU39" i="35"/>
  <c r="GS39" i="35"/>
  <c r="GJ39" i="35"/>
  <c r="GH39" i="35"/>
  <c r="FY39" i="35"/>
  <c r="FW39" i="35"/>
  <c r="FN39" i="35"/>
  <c r="FL39" i="35"/>
  <c r="FC39" i="35"/>
  <c r="FA39" i="35"/>
  <c r="ER39" i="35"/>
  <c r="EP39" i="35"/>
  <c r="EG39" i="35"/>
  <c r="EE39" i="35"/>
  <c r="DV39" i="35"/>
  <c r="DT39" i="35"/>
  <c r="DK39" i="35"/>
  <c r="DI39" i="35"/>
  <c r="CZ39" i="35"/>
  <c r="CX39" i="35"/>
  <c r="CO39" i="35"/>
  <c r="CM39" i="35"/>
  <c r="CD39" i="35"/>
  <c r="CB39" i="35"/>
  <c r="BS39" i="35"/>
  <c r="BQ39" i="35"/>
  <c r="BH39" i="35"/>
  <c r="BF39" i="35"/>
  <c r="AW39" i="35"/>
  <c r="AU39" i="35"/>
  <c r="AL39" i="35"/>
  <c r="AJ39" i="35"/>
  <c r="AA39" i="35"/>
  <c r="Y39" i="35"/>
  <c r="P39" i="35"/>
  <c r="N39" i="35"/>
  <c r="GU38" i="35"/>
  <c r="GS38" i="35"/>
  <c r="GJ38" i="35"/>
  <c r="GH38" i="35"/>
  <c r="FY38" i="35"/>
  <c r="FW38" i="35"/>
  <c r="FN38" i="35"/>
  <c r="FL38" i="35"/>
  <c r="FC38" i="35"/>
  <c r="FA38" i="35"/>
  <c r="ER38" i="35"/>
  <c r="EP38" i="35"/>
  <c r="EG38" i="35"/>
  <c r="EE38" i="35"/>
  <c r="DV38" i="35"/>
  <c r="DT38" i="35"/>
  <c r="DK38" i="35"/>
  <c r="DI38" i="35"/>
  <c r="CZ38" i="35"/>
  <c r="CX38" i="35"/>
  <c r="CO38" i="35"/>
  <c r="CM38" i="35"/>
  <c r="CD38" i="35"/>
  <c r="CB38" i="35"/>
  <c r="BS38" i="35"/>
  <c r="BQ38" i="35"/>
  <c r="BH38" i="35"/>
  <c r="BF38" i="35"/>
  <c r="AW38" i="35"/>
  <c r="AU38" i="35"/>
  <c r="AL38" i="35"/>
  <c r="AJ38" i="35"/>
  <c r="AA38" i="35"/>
  <c r="Y38" i="35"/>
  <c r="P38" i="35"/>
  <c r="N38" i="35"/>
  <c r="GU37" i="35"/>
  <c r="GS37" i="35"/>
  <c r="GJ37" i="35"/>
  <c r="GH37" i="35"/>
  <c r="FY37" i="35"/>
  <c r="FW37" i="35"/>
  <c r="FN37" i="35"/>
  <c r="FL37" i="35"/>
  <c r="FC37" i="35"/>
  <c r="FA37" i="35"/>
  <c r="ER37" i="35"/>
  <c r="EP37" i="35"/>
  <c r="EG37" i="35"/>
  <c r="EE37" i="35"/>
  <c r="DV37" i="35"/>
  <c r="DT37" i="35"/>
  <c r="DK37" i="35"/>
  <c r="DI37" i="35"/>
  <c r="CZ37" i="35"/>
  <c r="CX37" i="35"/>
  <c r="CO37" i="35"/>
  <c r="CM37" i="35"/>
  <c r="CD37" i="35"/>
  <c r="CB37" i="35"/>
  <c r="BS37" i="35"/>
  <c r="BQ37" i="35"/>
  <c r="BH37" i="35"/>
  <c r="BF37" i="35"/>
  <c r="AW37" i="35"/>
  <c r="AU37" i="35"/>
  <c r="AL37" i="35"/>
  <c r="AJ37" i="35"/>
  <c r="AA37" i="35"/>
  <c r="Y37" i="35"/>
  <c r="P37" i="35"/>
  <c r="N37" i="35"/>
  <c r="GU36" i="35"/>
  <c r="GS36" i="35"/>
  <c r="GJ36" i="35"/>
  <c r="GH36" i="35"/>
  <c r="FY36" i="35"/>
  <c r="FW36" i="35"/>
  <c r="FN36" i="35"/>
  <c r="FL36" i="35"/>
  <c r="FC36" i="35"/>
  <c r="FA36" i="35"/>
  <c r="ER36" i="35"/>
  <c r="EP36" i="35"/>
  <c r="EG36" i="35"/>
  <c r="EE36" i="35"/>
  <c r="DV36" i="35"/>
  <c r="DT36" i="35"/>
  <c r="DK36" i="35"/>
  <c r="DI36" i="35"/>
  <c r="CZ36" i="35"/>
  <c r="CX36" i="35"/>
  <c r="CO36" i="35"/>
  <c r="CM36" i="35"/>
  <c r="CD36" i="35"/>
  <c r="CB36" i="35"/>
  <c r="BS36" i="35"/>
  <c r="BQ36" i="35"/>
  <c r="BH36" i="35"/>
  <c r="BF36" i="35"/>
  <c r="AW36" i="35"/>
  <c r="AU36" i="35"/>
  <c r="AL36" i="35"/>
  <c r="AJ36" i="35"/>
  <c r="AA36" i="35"/>
  <c r="Y36" i="35"/>
  <c r="P36" i="35"/>
  <c r="N36" i="35"/>
  <c r="GU35" i="35"/>
  <c r="GS35" i="35"/>
  <c r="GJ35" i="35"/>
  <c r="GH35" i="35"/>
  <c r="FY35" i="35"/>
  <c r="FW35" i="35"/>
  <c r="FN35" i="35"/>
  <c r="FL35" i="35"/>
  <c r="FC35" i="35"/>
  <c r="FA35" i="35"/>
  <c r="ER35" i="35"/>
  <c r="EP35" i="35"/>
  <c r="EG35" i="35"/>
  <c r="EE35" i="35"/>
  <c r="DV35" i="35"/>
  <c r="DT35" i="35"/>
  <c r="DK35" i="35"/>
  <c r="DI35" i="35"/>
  <c r="CZ35" i="35"/>
  <c r="CX35" i="35"/>
  <c r="CO35" i="35"/>
  <c r="CM35" i="35"/>
  <c r="CD35" i="35"/>
  <c r="CB35" i="35"/>
  <c r="BS35" i="35"/>
  <c r="BQ35" i="35"/>
  <c r="BH35" i="35"/>
  <c r="BF35" i="35"/>
  <c r="AW35" i="35"/>
  <c r="AU35" i="35"/>
  <c r="AL35" i="35"/>
  <c r="AJ35" i="35"/>
  <c r="AA35" i="35"/>
  <c r="Y35" i="35"/>
  <c r="P35" i="35"/>
  <c r="N35" i="35"/>
  <c r="GU34" i="35"/>
  <c r="GS34" i="35"/>
  <c r="GJ34" i="35"/>
  <c r="GH34" i="35"/>
  <c r="FY34" i="35"/>
  <c r="FW34" i="35"/>
  <c r="FN34" i="35"/>
  <c r="FL34" i="35"/>
  <c r="FC34" i="35"/>
  <c r="FA34" i="35"/>
  <c r="ER34" i="35"/>
  <c r="EP34" i="35"/>
  <c r="EG34" i="35"/>
  <c r="EE34" i="35"/>
  <c r="DV34" i="35"/>
  <c r="DT34" i="35"/>
  <c r="DK34" i="35"/>
  <c r="DI34" i="35"/>
  <c r="CZ34" i="35"/>
  <c r="CX34" i="35"/>
  <c r="CO34" i="35"/>
  <c r="CM34" i="35"/>
  <c r="CD34" i="35"/>
  <c r="CB34" i="35"/>
  <c r="BS34" i="35"/>
  <c r="BQ34" i="35"/>
  <c r="BH34" i="35"/>
  <c r="BF34" i="35"/>
  <c r="AW34" i="35"/>
  <c r="AU34" i="35"/>
  <c r="AL34" i="35"/>
  <c r="AJ34" i="35"/>
  <c r="AA34" i="35"/>
  <c r="Y34" i="35"/>
  <c r="P34" i="35"/>
  <c r="N34" i="35"/>
  <c r="GU33" i="35"/>
  <c r="GS33" i="35"/>
  <c r="GJ33" i="35"/>
  <c r="GH33" i="35"/>
  <c r="FY33" i="35"/>
  <c r="FW33" i="35"/>
  <c r="FN33" i="35"/>
  <c r="FL33" i="35"/>
  <c r="FC33" i="35"/>
  <c r="FA33" i="35"/>
  <c r="ER33" i="35"/>
  <c r="EP33" i="35"/>
  <c r="EG33" i="35"/>
  <c r="EE33" i="35"/>
  <c r="DV33" i="35"/>
  <c r="DT33" i="35"/>
  <c r="DK33" i="35"/>
  <c r="DI33" i="35"/>
  <c r="CZ33" i="35"/>
  <c r="CX33" i="35"/>
  <c r="CO33" i="35"/>
  <c r="CM33" i="35"/>
  <c r="CD33" i="35"/>
  <c r="CB33" i="35"/>
  <c r="BS33" i="35"/>
  <c r="BQ33" i="35"/>
  <c r="BH33" i="35"/>
  <c r="BF33" i="35"/>
  <c r="AW33" i="35"/>
  <c r="AU33" i="35"/>
  <c r="AL33" i="35"/>
  <c r="AJ33" i="35"/>
  <c r="AA33" i="35"/>
  <c r="Y33" i="35"/>
  <c r="P33" i="35"/>
  <c r="N33" i="35"/>
  <c r="GU32" i="35"/>
  <c r="GS32" i="35"/>
  <c r="GJ32" i="35"/>
  <c r="GH32" i="35"/>
  <c r="FY32" i="35"/>
  <c r="FW32" i="35"/>
  <c r="FN32" i="35"/>
  <c r="FL32" i="35"/>
  <c r="FC32" i="35"/>
  <c r="FA32" i="35"/>
  <c r="ER32" i="35"/>
  <c r="EP32" i="35"/>
  <c r="EG32" i="35"/>
  <c r="EE32" i="35"/>
  <c r="DV32" i="35"/>
  <c r="DT32" i="35"/>
  <c r="DK32" i="35"/>
  <c r="DI32" i="35"/>
  <c r="CZ32" i="35"/>
  <c r="CX32" i="35"/>
  <c r="CO32" i="35"/>
  <c r="CM32" i="35"/>
  <c r="CD32" i="35"/>
  <c r="CB32" i="35"/>
  <c r="BS32" i="35"/>
  <c r="BQ32" i="35"/>
  <c r="BH32" i="35"/>
  <c r="BF32" i="35"/>
  <c r="AW32" i="35"/>
  <c r="AU32" i="35"/>
  <c r="AL32" i="35"/>
  <c r="AJ32" i="35"/>
  <c r="AA32" i="35"/>
  <c r="Y32" i="35"/>
  <c r="P32" i="35"/>
  <c r="N32" i="35"/>
  <c r="GU31" i="35"/>
  <c r="GS31" i="35"/>
  <c r="GJ31" i="35"/>
  <c r="GH31" i="35"/>
  <c r="FY31" i="35"/>
  <c r="FW31" i="35"/>
  <c r="FN31" i="35"/>
  <c r="FL31" i="35"/>
  <c r="FC31" i="35"/>
  <c r="FA31" i="35"/>
  <c r="ER31" i="35"/>
  <c r="EP31" i="35"/>
  <c r="EG31" i="35"/>
  <c r="EE31" i="35"/>
  <c r="DV31" i="35"/>
  <c r="DT31" i="35"/>
  <c r="DK31" i="35"/>
  <c r="DI31" i="35"/>
  <c r="CZ31" i="35"/>
  <c r="CX31" i="35"/>
  <c r="CO31" i="35"/>
  <c r="CM31" i="35"/>
  <c r="CD31" i="35"/>
  <c r="CB31" i="35"/>
  <c r="BS31" i="35"/>
  <c r="BQ31" i="35"/>
  <c r="BH31" i="35"/>
  <c r="BF31" i="35"/>
  <c r="AW31" i="35"/>
  <c r="AU31" i="35"/>
  <c r="AL31" i="35"/>
  <c r="AJ31" i="35"/>
  <c r="AA31" i="35"/>
  <c r="Y31" i="35"/>
  <c r="P31" i="35"/>
  <c r="N31" i="35"/>
  <c r="GU30" i="35"/>
  <c r="GS30" i="35"/>
  <c r="GJ30" i="35"/>
  <c r="GH30" i="35"/>
  <c r="FY30" i="35"/>
  <c r="FW30" i="35"/>
  <c r="FN30" i="35"/>
  <c r="FL30" i="35"/>
  <c r="FC30" i="35"/>
  <c r="FA30" i="35"/>
  <c r="ER30" i="35"/>
  <c r="EP30" i="35"/>
  <c r="EG30" i="35"/>
  <c r="EE30" i="35"/>
  <c r="DV30" i="35"/>
  <c r="DT30" i="35"/>
  <c r="DK30" i="35"/>
  <c r="DI30" i="35"/>
  <c r="CZ30" i="35"/>
  <c r="CX30" i="35"/>
  <c r="CO30" i="35"/>
  <c r="CM30" i="35"/>
  <c r="CD30" i="35"/>
  <c r="CB30" i="35"/>
  <c r="BS30" i="35"/>
  <c r="BQ30" i="35"/>
  <c r="BH30" i="35"/>
  <c r="BF30" i="35"/>
  <c r="AW30" i="35"/>
  <c r="AU30" i="35"/>
  <c r="AL30" i="35"/>
  <c r="AJ30" i="35"/>
  <c r="AA30" i="35"/>
  <c r="Y30" i="35"/>
  <c r="P30" i="35"/>
  <c r="N30" i="35"/>
  <c r="GU29" i="35"/>
  <c r="GS29" i="35"/>
  <c r="GJ29" i="35"/>
  <c r="GH29" i="35"/>
  <c r="FY29" i="35"/>
  <c r="FW29" i="35"/>
  <c r="FN29" i="35"/>
  <c r="FL29" i="35"/>
  <c r="FC29" i="35"/>
  <c r="FA29" i="35"/>
  <c r="ER29" i="35"/>
  <c r="EP29" i="35"/>
  <c r="EG29" i="35"/>
  <c r="EE29" i="35"/>
  <c r="DV29" i="35"/>
  <c r="DT29" i="35"/>
  <c r="DK29" i="35"/>
  <c r="DI29" i="35"/>
  <c r="CZ29" i="35"/>
  <c r="CX29" i="35"/>
  <c r="CO29" i="35"/>
  <c r="CM29" i="35"/>
  <c r="CD29" i="35"/>
  <c r="CB29" i="35"/>
  <c r="BS29" i="35"/>
  <c r="BQ29" i="35"/>
  <c r="BH29" i="35"/>
  <c r="BF29" i="35"/>
  <c r="AW29" i="35"/>
  <c r="AU29" i="35"/>
  <c r="AL29" i="35"/>
  <c r="AJ29" i="35"/>
  <c r="AA29" i="35"/>
  <c r="Y29" i="35"/>
  <c r="P29" i="35"/>
  <c r="N29" i="35"/>
  <c r="GU28" i="35"/>
  <c r="GS28" i="35"/>
  <c r="GJ28" i="35"/>
  <c r="GH28" i="35"/>
  <c r="FY28" i="35"/>
  <c r="FW28" i="35"/>
  <c r="FN28" i="35"/>
  <c r="FL28" i="35"/>
  <c r="FC28" i="35"/>
  <c r="FA28" i="35"/>
  <c r="ER28" i="35"/>
  <c r="EP28" i="35"/>
  <c r="EG28" i="35"/>
  <c r="EE28" i="35"/>
  <c r="DV28" i="35"/>
  <c r="DT28" i="35"/>
  <c r="DK28" i="35"/>
  <c r="DI28" i="35"/>
  <c r="CZ28" i="35"/>
  <c r="CX28" i="35"/>
  <c r="CO28" i="35"/>
  <c r="CM28" i="35"/>
  <c r="CD28" i="35"/>
  <c r="CB28" i="35"/>
  <c r="BS28" i="35"/>
  <c r="BQ28" i="35"/>
  <c r="BH28" i="35"/>
  <c r="BF28" i="35"/>
  <c r="AW28" i="35"/>
  <c r="AU28" i="35"/>
  <c r="AL28" i="35"/>
  <c r="AJ28" i="35"/>
  <c r="AA28" i="35"/>
  <c r="Y28" i="35"/>
  <c r="P28" i="35"/>
  <c r="N28" i="35"/>
  <c r="GU27" i="35"/>
  <c r="GS27" i="35"/>
  <c r="GJ27" i="35"/>
  <c r="GH27" i="35"/>
  <c r="FY27" i="35"/>
  <c r="FW27" i="35"/>
  <c r="FN27" i="35"/>
  <c r="FL27" i="35"/>
  <c r="FC27" i="35"/>
  <c r="FA27" i="35"/>
  <c r="ER27" i="35"/>
  <c r="EP27" i="35"/>
  <c r="EG27" i="35"/>
  <c r="EE27" i="35"/>
  <c r="DV27" i="35"/>
  <c r="DT27" i="35"/>
  <c r="DK27" i="35"/>
  <c r="DI27" i="35"/>
  <c r="CZ27" i="35"/>
  <c r="CX27" i="35"/>
  <c r="CO27" i="35"/>
  <c r="CM27" i="35"/>
  <c r="CD27" i="35"/>
  <c r="CB27" i="35"/>
  <c r="BS27" i="35"/>
  <c r="BQ27" i="35"/>
  <c r="BH27" i="35"/>
  <c r="BF27" i="35"/>
  <c r="AW27" i="35"/>
  <c r="AU27" i="35"/>
  <c r="AL27" i="35"/>
  <c r="AJ27" i="35"/>
  <c r="AA27" i="35"/>
  <c r="Y27" i="35"/>
  <c r="P27" i="35"/>
  <c r="N27" i="35"/>
  <c r="GU26" i="35"/>
  <c r="GS26" i="35"/>
  <c r="GJ26" i="35"/>
  <c r="GH26" i="35"/>
  <c r="FY26" i="35"/>
  <c r="FW26" i="35"/>
  <c r="FN26" i="35"/>
  <c r="FL26" i="35"/>
  <c r="FC26" i="35"/>
  <c r="FA26" i="35"/>
  <c r="ER26" i="35"/>
  <c r="EP26" i="35"/>
  <c r="EG26" i="35"/>
  <c r="EE26" i="35"/>
  <c r="DV26" i="35"/>
  <c r="DT26" i="35"/>
  <c r="DK26" i="35"/>
  <c r="DI26" i="35"/>
  <c r="CZ26" i="35"/>
  <c r="CX26" i="35"/>
  <c r="CO26" i="35"/>
  <c r="CM26" i="35"/>
  <c r="CD26" i="35"/>
  <c r="CB26" i="35"/>
  <c r="BS26" i="35"/>
  <c r="BQ26" i="35"/>
  <c r="BH26" i="35"/>
  <c r="BF26" i="35"/>
  <c r="AW26" i="35"/>
  <c r="AU26" i="35"/>
  <c r="AL26" i="35"/>
  <c r="AJ26" i="35"/>
  <c r="AA26" i="35"/>
  <c r="Y26" i="35"/>
  <c r="P26" i="35"/>
  <c r="N26" i="35"/>
  <c r="GU25" i="35"/>
  <c r="GS25" i="35"/>
  <c r="GJ25" i="35"/>
  <c r="GH25" i="35"/>
  <c r="FY25" i="35"/>
  <c r="FW25" i="35"/>
  <c r="FN25" i="35"/>
  <c r="FL25" i="35"/>
  <c r="FC25" i="35"/>
  <c r="FA25" i="35"/>
  <c r="ER25" i="35"/>
  <c r="EP25" i="35"/>
  <c r="EG25" i="35"/>
  <c r="EE25" i="35"/>
  <c r="DV25" i="35"/>
  <c r="DT25" i="35"/>
  <c r="DK25" i="35"/>
  <c r="DI25" i="35"/>
  <c r="CZ25" i="35"/>
  <c r="CX25" i="35"/>
  <c r="CO25" i="35"/>
  <c r="CM25" i="35"/>
  <c r="CD25" i="35"/>
  <c r="CB25" i="35"/>
  <c r="BS25" i="35"/>
  <c r="BQ25" i="35"/>
  <c r="BH25" i="35"/>
  <c r="BF25" i="35"/>
  <c r="AW25" i="35"/>
  <c r="AU25" i="35"/>
  <c r="AL25" i="35"/>
  <c r="AJ25" i="35"/>
  <c r="AA25" i="35"/>
  <c r="Y25" i="35"/>
  <c r="P25" i="35"/>
  <c r="N25" i="35"/>
  <c r="GU24" i="35"/>
  <c r="GS24" i="35"/>
  <c r="GJ24" i="35"/>
  <c r="GH24" i="35"/>
  <c r="FY24" i="35"/>
  <c r="FW24" i="35"/>
  <c r="FN24" i="35"/>
  <c r="FL24" i="35"/>
  <c r="FC24" i="35"/>
  <c r="FA24" i="35"/>
  <c r="ER24" i="35"/>
  <c r="EP24" i="35"/>
  <c r="EG24" i="35"/>
  <c r="EE24" i="35"/>
  <c r="DV24" i="35"/>
  <c r="DT24" i="35"/>
  <c r="DK24" i="35"/>
  <c r="DI24" i="35"/>
  <c r="CZ24" i="35"/>
  <c r="CX24" i="35"/>
  <c r="CO24" i="35"/>
  <c r="CM24" i="35"/>
  <c r="CD24" i="35"/>
  <c r="CB24" i="35"/>
  <c r="BS24" i="35"/>
  <c r="BQ24" i="35"/>
  <c r="BH24" i="35"/>
  <c r="BF24" i="35"/>
  <c r="AW24" i="35"/>
  <c r="AU24" i="35"/>
  <c r="AL24" i="35"/>
  <c r="AJ24" i="35"/>
  <c r="AA24" i="35"/>
  <c r="Y24" i="35"/>
  <c r="P24" i="35"/>
  <c r="N24" i="35"/>
  <c r="GU23" i="35"/>
  <c r="GS23" i="35"/>
  <c r="GJ23" i="35"/>
  <c r="GH23" i="35"/>
  <c r="FY23" i="35"/>
  <c r="FW23" i="35"/>
  <c r="FN23" i="35"/>
  <c r="FL23" i="35"/>
  <c r="FC23" i="35"/>
  <c r="FA23" i="35"/>
  <c r="ER23" i="35"/>
  <c r="EP23" i="35"/>
  <c r="EG23" i="35"/>
  <c r="EE23" i="35"/>
  <c r="DV23" i="35"/>
  <c r="DT23" i="35"/>
  <c r="DK23" i="35"/>
  <c r="DI23" i="35"/>
  <c r="CZ23" i="35"/>
  <c r="CX23" i="35"/>
  <c r="CO23" i="35"/>
  <c r="CM23" i="35"/>
  <c r="CD23" i="35"/>
  <c r="CB23" i="35"/>
  <c r="BS23" i="35"/>
  <c r="BQ23" i="35"/>
  <c r="BH23" i="35"/>
  <c r="BF23" i="35"/>
  <c r="AW23" i="35"/>
  <c r="AU23" i="35"/>
  <c r="AL23" i="35"/>
  <c r="AJ23" i="35"/>
  <c r="AA23" i="35"/>
  <c r="Y23" i="35"/>
  <c r="P23" i="35"/>
  <c r="N23" i="35"/>
  <c r="GU22" i="35"/>
  <c r="GS22" i="35"/>
  <c r="GJ22" i="35"/>
  <c r="GH22" i="35"/>
  <c r="FY22" i="35"/>
  <c r="FW22" i="35"/>
  <c r="FN22" i="35"/>
  <c r="FL22" i="35"/>
  <c r="FC22" i="35"/>
  <c r="FA22" i="35"/>
  <c r="ER22" i="35"/>
  <c r="EP22" i="35"/>
  <c r="EG22" i="35"/>
  <c r="EE22" i="35"/>
  <c r="DV22" i="35"/>
  <c r="DT22" i="35"/>
  <c r="DK22" i="35"/>
  <c r="DI22" i="35"/>
  <c r="CZ22" i="35"/>
  <c r="CX22" i="35"/>
  <c r="CO22" i="35"/>
  <c r="CM22" i="35"/>
  <c r="CD22" i="35"/>
  <c r="CB22" i="35"/>
  <c r="BS22" i="35"/>
  <c r="BQ22" i="35"/>
  <c r="BH22" i="35"/>
  <c r="BF22" i="35"/>
  <c r="AW22" i="35"/>
  <c r="AU22" i="35"/>
  <c r="AL22" i="35"/>
  <c r="AJ22" i="35"/>
  <c r="AA22" i="35"/>
  <c r="Y22" i="35"/>
  <c r="P22" i="35"/>
  <c r="N22" i="35"/>
  <c r="GX21" i="35"/>
  <c r="GU21" i="35"/>
  <c r="GS21" i="35"/>
  <c r="GJ21" i="35"/>
  <c r="GH21" i="35"/>
  <c r="FY21" i="35"/>
  <c r="FW21" i="35"/>
  <c r="FN21" i="35"/>
  <c r="FL21" i="35"/>
  <c r="FC21" i="35"/>
  <c r="FA21" i="35"/>
  <c r="ER21" i="35"/>
  <c r="EP21" i="35"/>
  <c r="EG21" i="35"/>
  <c r="EE21" i="35"/>
  <c r="DV21" i="35"/>
  <c r="DT21" i="35"/>
  <c r="DK21" i="35"/>
  <c r="DI21" i="35"/>
  <c r="CZ21" i="35"/>
  <c r="CX21" i="35"/>
  <c r="CO21" i="35"/>
  <c r="CM21" i="35"/>
  <c r="CD21" i="35"/>
  <c r="CB21" i="35"/>
  <c r="BS21" i="35"/>
  <c r="BQ21" i="35"/>
  <c r="BH21" i="35"/>
  <c r="BF21" i="35"/>
  <c r="AW21" i="35"/>
  <c r="AU21" i="35"/>
  <c r="AL21" i="35"/>
  <c r="AJ21" i="35"/>
  <c r="AA21" i="35"/>
  <c r="Y21" i="35"/>
  <c r="P21" i="35"/>
  <c r="N21" i="35"/>
  <c r="GU20" i="35"/>
  <c r="GS20" i="35"/>
  <c r="GJ20" i="35"/>
  <c r="GH20" i="35"/>
  <c r="FY20" i="35"/>
  <c r="FW20" i="35"/>
  <c r="FN20" i="35"/>
  <c r="FL20" i="35"/>
  <c r="FC20" i="35"/>
  <c r="FA20" i="35"/>
  <c r="ER20" i="35"/>
  <c r="EP20" i="35"/>
  <c r="EG20" i="35"/>
  <c r="EE20" i="35"/>
  <c r="DV20" i="35"/>
  <c r="DT20" i="35"/>
  <c r="DK20" i="35"/>
  <c r="DI20" i="35"/>
  <c r="CZ20" i="35"/>
  <c r="CX20" i="35"/>
  <c r="CO20" i="35"/>
  <c r="CM20" i="35"/>
  <c r="CD20" i="35"/>
  <c r="CB20" i="35"/>
  <c r="BS20" i="35"/>
  <c r="BQ20" i="35"/>
  <c r="BH20" i="35"/>
  <c r="BF20" i="35"/>
  <c r="AW20" i="35"/>
  <c r="AU20" i="35"/>
  <c r="AL20" i="35"/>
  <c r="AJ20" i="35"/>
  <c r="AA20" i="35"/>
  <c r="Y20" i="35"/>
  <c r="P20" i="35"/>
  <c r="N20" i="35"/>
  <c r="GU19" i="35"/>
  <c r="GS19" i="35"/>
  <c r="GJ19" i="35"/>
  <c r="GH19" i="35"/>
  <c r="FY19" i="35"/>
  <c r="FW19" i="35"/>
  <c r="FN19" i="35"/>
  <c r="FL19" i="35"/>
  <c r="FC19" i="35"/>
  <c r="FA19" i="35"/>
  <c r="ER19" i="35"/>
  <c r="EP19" i="35"/>
  <c r="EG19" i="35"/>
  <c r="EE19" i="35"/>
  <c r="DV19" i="35"/>
  <c r="DT19" i="35"/>
  <c r="DK19" i="35"/>
  <c r="DI19" i="35"/>
  <c r="CZ19" i="35"/>
  <c r="CX19" i="35"/>
  <c r="CO19" i="35"/>
  <c r="CM19" i="35"/>
  <c r="CD19" i="35"/>
  <c r="CB19" i="35"/>
  <c r="BS19" i="35"/>
  <c r="BQ19" i="35"/>
  <c r="BH19" i="35"/>
  <c r="BF19" i="35"/>
  <c r="AW19" i="35"/>
  <c r="AU19" i="35"/>
  <c r="AL19" i="35"/>
  <c r="AJ19" i="35"/>
  <c r="AA19" i="35"/>
  <c r="Y19" i="35"/>
  <c r="P19" i="35"/>
  <c r="N19" i="35"/>
  <c r="GU18" i="35"/>
  <c r="GS18" i="35"/>
  <c r="GJ18" i="35"/>
  <c r="GH18" i="35"/>
  <c r="FY18" i="35"/>
  <c r="FW18" i="35"/>
  <c r="FN18" i="35"/>
  <c r="FL18" i="35"/>
  <c r="FC18" i="35"/>
  <c r="FA18" i="35"/>
  <c r="ER18" i="35"/>
  <c r="EP18" i="35"/>
  <c r="EG18" i="35"/>
  <c r="EE18" i="35"/>
  <c r="DV18" i="35"/>
  <c r="DT18" i="35"/>
  <c r="DK18" i="35"/>
  <c r="DI18" i="35"/>
  <c r="CZ18" i="35"/>
  <c r="CX18" i="35"/>
  <c r="CO18" i="35"/>
  <c r="CM18" i="35"/>
  <c r="CD18" i="35"/>
  <c r="CB18" i="35"/>
  <c r="BS18" i="35"/>
  <c r="BQ18" i="35"/>
  <c r="BH18" i="35"/>
  <c r="BF18" i="35"/>
  <c r="AW18" i="35"/>
  <c r="AU18" i="35"/>
  <c r="AL18" i="35"/>
  <c r="AJ18" i="35"/>
  <c r="AA18" i="35"/>
  <c r="Y18" i="35"/>
  <c r="P18" i="35"/>
  <c r="N18" i="35"/>
  <c r="GU17" i="35"/>
  <c r="GS17" i="35"/>
  <c r="GJ17" i="35"/>
  <c r="GH17" i="35"/>
  <c r="FY17" i="35"/>
  <c r="FW17" i="35"/>
  <c r="FN17" i="35"/>
  <c r="FL17" i="35"/>
  <c r="FC17" i="35"/>
  <c r="FA17" i="35"/>
  <c r="ER17" i="35"/>
  <c r="EP17" i="35"/>
  <c r="EG17" i="35"/>
  <c r="EE17" i="35"/>
  <c r="DV17" i="35"/>
  <c r="DT17" i="35"/>
  <c r="DK17" i="35"/>
  <c r="DI17" i="35"/>
  <c r="CZ17" i="35"/>
  <c r="CX17" i="35"/>
  <c r="CO17" i="35"/>
  <c r="CM17" i="35"/>
  <c r="CD17" i="35"/>
  <c r="CB17" i="35"/>
  <c r="BS17" i="35"/>
  <c r="BQ17" i="35"/>
  <c r="BH17" i="35"/>
  <c r="BF17" i="35"/>
  <c r="AW17" i="35"/>
  <c r="AU17" i="35"/>
  <c r="AL17" i="35"/>
  <c r="AJ17" i="35"/>
  <c r="AA17" i="35"/>
  <c r="Y17" i="35"/>
  <c r="P17" i="35"/>
  <c r="N17" i="35"/>
  <c r="GU16" i="35"/>
  <c r="GS16" i="35"/>
  <c r="GJ16" i="35"/>
  <c r="GH16" i="35"/>
  <c r="FY16" i="35"/>
  <c r="FW16" i="35"/>
  <c r="FN16" i="35"/>
  <c r="FL16" i="35"/>
  <c r="FC16" i="35"/>
  <c r="FA16" i="35"/>
  <c r="ER16" i="35"/>
  <c r="EP16" i="35"/>
  <c r="EG16" i="35"/>
  <c r="EE16" i="35"/>
  <c r="DV16" i="35"/>
  <c r="DT16" i="35"/>
  <c r="DK16" i="35"/>
  <c r="DI16" i="35"/>
  <c r="CZ16" i="35"/>
  <c r="CX16" i="35"/>
  <c r="CO16" i="35"/>
  <c r="CM16" i="35"/>
  <c r="CD16" i="35"/>
  <c r="CB16" i="35"/>
  <c r="BS16" i="35"/>
  <c r="BQ16" i="35"/>
  <c r="BH16" i="35"/>
  <c r="BF16" i="35"/>
  <c r="AW16" i="35"/>
  <c r="AU16" i="35"/>
  <c r="AL16" i="35"/>
  <c r="AJ16" i="35"/>
  <c r="AA16" i="35"/>
  <c r="Y16" i="35"/>
  <c r="P16" i="35"/>
  <c r="N16" i="35"/>
  <c r="GU15" i="35"/>
  <c r="GS15" i="35"/>
  <c r="GJ15" i="35"/>
  <c r="GH15" i="35"/>
  <c r="FY15" i="35"/>
  <c r="FW15" i="35"/>
  <c r="FN15" i="35"/>
  <c r="FL15" i="35"/>
  <c r="FC15" i="35"/>
  <c r="FA15" i="35"/>
  <c r="ER15" i="35"/>
  <c r="EP15" i="35"/>
  <c r="EG15" i="35"/>
  <c r="EE15" i="35"/>
  <c r="DV15" i="35"/>
  <c r="DT15" i="35"/>
  <c r="DK15" i="35"/>
  <c r="DI15" i="35"/>
  <c r="CZ15" i="35"/>
  <c r="CX15" i="35"/>
  <c r="CO15" i="35"/>
  <c r="CM15" i="35"/>
  <c r="CD15" i="35"/>
  <c r="CB15" i="35"/>
  <c r="BS15" i="35"/>
  <c r="BQ15" i="35"/>
  <c r="BH15" i="35"/>
  <c r="BF15" i="35"/>
  <c r="AW15" i="35"/>
  <c r="AU15" i="35"/>
  <c r="AL15" i="35"/>
  <c r="AJ15" i="35"/>
  <c r="AA15" i="35"/>
  <c r="Y15" i="35"/>
  <c r="P15" i="35"/>
  <c r="N15" i="35"/>
  <c r="GU14" i="35"/>
  <c r="GS14" i="35"/>
  <c r="GJ14" i="35"/>
  <c r="GH14" i="35"/>
  <c r="FY14" i="35"/>
  <c r="FW14" i="35"/>
  <c r="FN14" i="35"/>
  <c r="FL14" i="35"/>
  <c r="FC14" i="35"/>
  <c r="FA14" i="35"/>
  <c r="ER14" i="35"/>
  <c r="EP14" i="35"/>
  <c r="EG14" i="35"/>
  <c r="EE14" i="35"/>
  <c r="DV14" i="35"/>
  <c r="DT14" i="35"/>
  <c r="DK14" i="35"/>
  <c r="DI14" i="35"/>
  <c r="CZ14" i="35"/>
  <c r="CX14" i="35"/>
  <c r="CO14" i="35"/>
  <c r="CM14" i="35"/>
  <c r="CD14" i="35"/>
  <c r="CB14" i="35"/>
  <c r="BS14" i="35"/>
  <c r="BQ14" i="35"/>
  <c r="BH14" i="35"/>
  <c r="BF14" i="35"/>
  <c r="AW14" i="35"/>
  <c r="AU14" i="35"/>
  <c r="AL14" i="35"/>
  <c r="AJ14" i="35"/>
  <c r="AA14" i="35"/>
  <c r="Y14" i="35"/>
  <c r="P14" i="35"/>
  <c r="N14" i="35"/>
  <c r="GU13" i="35"/>
  <c r="GS13" i="35"/>
  <c r="GJ13" i="35"/>
  <c r="GH13" i="35"/>
  <c r="FY13" i="35"/>
  <c r="FW13" i="35"/>
  <c r="FN13" i="35"/>
  <c r="FL13" i="35"/>
  <c r="FC13" i="35"/>
  <c r="FA13" i="35"/>
  <c r="ER13" i="35"/>
  <c r="EP13" i="35"/>
  <c r="EG13" i="35"/>
  <c r="EE13" i="35"/>
  <c r="DV13" i="35"/>
  <c r="DT13" i="35"/>
  <c r="DK13" i="35"/>
  <c r="DI13" i="35"/>
  <c r="CZ13" i="35"/>
  <c r="CX13" i="35"/>
  <c r="CO13" i="35"/>
  <c r="CM13" i="35"/>
  <c r="CD13" i="35"/>
  <c r="CB13" i="35"/>
  <c r="BS13" i="35"/>
  <c r="BQ13" i="35"/>
  <c r="BH13" i="35"/>
  <c r="BF13" i="35"/>
  <c r="AW13" i="35"/>
  <c r="AU13" i="35"/>
  <c r="AL13" i="35"/>
  <c r="AJ13" i="35"/>
  <c r="AA13" i="35"/>
  <c r="Y13" i="35"/>
  <c r="P13" i="35"/>
  <c r="N13" i="35"/>
  <c r="GU12" i="35"/>
  <c r="GS12" i="35"/>
  <c r="GJ12" i="35"/>
  <c r="GH12" i="35"/>
  <c r="FY12" i="35"/>
  <c r="FW12" i="35"/>
  <c r="FN12" i="35"/>
  <c r="FL12" i="35"/>
  <c r="FC12" i="35"/>
  <c r="FA12" i="35"/>
  <c r="ER12" i="35"/>
  <c r="EP12" i="35"/>
  <c r="EG12" i="35"/>
  <c r="EE12" i="35"/>
  <c r="DV12" i="35"/>
  <c r="DT12" i="35"/>
  <c r="DK12" i="35"/>
  <c r="DI12" i="35"/>
  <c r="CZ12" i="35"/>
  <c r="CX12" i="35"/>
  <c r="CO12" i="35"/>
  <c r="CM12" i="35"/>
  <c r="CD12" i="35"/>
  <c r="CB12" i="35"/>
  <c r="BS12" i="35"/>
  <c r="BQ12" i="35"/>
  <c r="BH12" i="35"/>
  <c r="BF12" i="35"/>
  <c r="AW12" i="35"/>
  <c r="AU12" i="35"/>
  <c r="AL12" i="35"/>
  <c r="AJ12" i="35"/>
  <c r="AA12" i="35"/>
  <c r="Y12" i="35"/>
  <c r="P12" i="35"/>
  <c r="N12" i="35"/>
  <c r="GU11" i="35"/>
  <c r="GS11" i="35"/>
  <c r="GJ11" i="35"/>
  <c r="GH11" i="35"/>
  <c r="FY11" i="35"/>
  <c r="FW11" i="35"/>
  <c r="FN11" i="35"/>
  <c r="FL11" i="35"/>
  <c r="FC11" i="35"/>
  <c r="FA11" i="35"/>
  <c r="ER11" i="35"/>
  <c r="EP11" i="35"/>
  <c r="EG11" i="35"/>
  <c r="EE11" i="35"/>
  <c r="DV11" i="35"/>
  <c r="DT11" i="35"/>
  <c r="DK11" i="35"/>
  <c r="DI11" i="35"/>
  <c r="CZ11" i="35"/>
  <c r="CX11" i="35"/>
  <c r="CO11" i="35"/>
  <c r="CM11" i="35"/>
  <c r="CD11" i="35"/>
  <c r="CB11" i="35"/>
  <c r="BS11" i="35"/>
  <c r="BQ11" i="35"/>
  <c r="BH11" i="35"/>
  <c r="BF11" i="35"/>
  <c r="AW11" i="35"/>
  <c r="AU11" i="35"/>
  <c r="AL11" i="35"/>
  <c r="AJ11" i="35"/>
  <c r="AA11" i="35"/>
  <c r="Y11" i="35"/>
  <c r="P11" i="35"/>
  <c r="N11" i="35"/>
  <c r="GS10" i="35"/>
  <c r="GH10" i="35"/>
  <c r="FY10" i="35"/>
  <c r="FW10" i="35"/>
  <c r="FN10" i="35"/>
  <c r="FL10" i="35"/>
  <c r="FC10" i="35"/>
  <c r="FA10" i="35"/>
  <c r="ER10" i="35"/>
  <c r="EP10" i="35"/>
  <c r="EG10" i="35"/>
  <c r="EE10" i="35"/>
  <c r="DV10" i="35"/>
  <c r="DT10" i="35"/>
  <c r="DK10" i="35"/>
  <c r="DI10" i="35"/>
  <c r="CZ10" i="35"/>
  <c r="CX10" i="35"/>
  <c r="CO10" i="35"/>
  <c r="CM10" i="35"/>
  <c r="CD10" i="35"/>
  <c r="CB10" i="35"/>
  <c r="BS10" i="35"/>
  <c r="BQ10" i="35"/>
  <c r="BH10" i="35"/>
  <c r="BF10" i="35"/>
  <c r="AW10" i="35"/>
  <c r="AU10" i="35"/>
  <c r="AL10" i="35"/>
  <c r="AJ10" i="35"/>
  <c r="AA10" i="35"/>
  <c r="Y10" i="35"/>
  <c r="P10" i="35"/>
  <c r="N10" i="35"/>
  <c r="GS9" i="35"/>
  <c r="GH9" i="35"/>
  <c r="FY9" i="35"/>
  <c r="FW9" i="35"/>
  <c r="FN9" i="35"/>
  <c r="FL9" i="35"/>
  <c r="FC9" i="35"/>
  <c r="FA9" i="35"/>
  <c r="ER9" i="35"/>
  <c r="EP9" i="35"/>
  <c r="EE9" i="35"/>
  <c r="DV9" i="35"/>
  <c r="DT9" i="35"/>
  <c r="DI9" i="35"/>
  <c r="CZ9" i="35"/>
  <c r="CX9" i="35"/>
  <c r="CM9" i="35"/>
  <c r="CD9" i="35"/>
  <c r="CB9" i="35"/>
  <c r="BQ9" i="35"/>
  <c r="BH9" i="35"/>
  <c r="BF9" i="35"/>
  <c r="AU9" i="35"/>
  <c r="AL9" i="35"/>
  <c r="AJ9" i="35"/>
  <c r="AA9" i="35"/>
  <c r="Y9" i="35"/>
  <c r="P9" i="35"/>
  <c r="GX1" i="35"/>
  <c r="W17" i="9" l="1"/>
  <c r="BX7" i="36"/>
  <c r="BX28" i="36"/>
  <c r="CF28" i="36"/>
  <c r="W28" i="9"/>
  <c r="W14" i="9"/>
  <c r="W30" i="9"/>
  <c r="W16" i="9"/>
  <c r="BL10" i="36"/>
  <c r="L10" i="36" s="1"/>
  <c r="BX29" i="36" s="1"/>
  <c r="BX32" i="36" s="1"/>
  <c r="O17" i="9"/>
  <c r="O16" i="9"/>
  <c r="BL21" i="36"/>
  <c r="L21" i="36" s="1"/>
  <c r="R17" i="36" s="1"/>
  <c r="O30" i="9"/>
  <c r="CD28" i="36"/>
  <c r="W25" i="9"/>
  <c r="CF7" i="36"/>
  <c r="W26" i="9"/>
  <c r="BZ7" i="36"/>
  <c r="W20" i="9"/>
  <c r="BZ28" i="36"/>
  <c r="W21" i="9"/>
  <c r="CH28" i="36"/>
  <c r="W29" i="9"/>
  <c r="BT28" i="36"/>
  <c r="W15" i="9"/>
  <c r="CJ28" i="36"/>
  <c r="W31" i="9"/>
  <c r="CD7" i="36"/>
  <c r="W24" i="9"/>
  <c r="BL17" i="36"/>
  <c r="L17" i="36" s="1"/>
  <c r="CF8" i="36" s="1"/>
  <c r="CF11" i="36" s="1"/>
  <c r="O26" i="9"/>
  <c r="BL22" i="36"/>
  <c r="F22" i="36" s="1"/>
  <c r="O31" i="9"/>
  <c r="BL20" i="36"/>
  <c r="L20" i="36" s="1"/>
  <c r="CH29" i="36" s="1"/>
  <c r="CH32" i="36" s="1"/>
  <c r="BL19" i="36"/>
  <c r="L19" i="36" s="1"/>
  <c r="CH8" i="36" s="1"/>
  <c r="CH11" i="36" s="1"/>
  <c r="BL6" i="36"/>
  <c r="F6" i="36" s="1"/>
  <c r="BL12" i="36"/>
  <c r="F12" i="36" s="1"/>
  <c r="BL11" i="36"/>
  <c r="L11" i="36" s="1"/>
  <c r="R11" i="36" s="1"/>
  <c r="BL8" i="36"/>
  <c r="L8" i="36" s="1"/>
  <c r="BV29" i="36" s="1"/>
  <c r="BV32" i="36" s="1"/>
  <c r="CB7" i="36"/>
  <c r="E9" i="37"/>
  <c r="BL7" i="36"/>
  <c r="F7" i="36" s="1"/>
  <c r="BL5" i="36"/>
  <c r="L5" i="36" s="1"/>
  <c r="BT8" i="36" s="1"/>
  <c r="BT11" i="36" s="1"/>
  <c r="M6" i="38"/>
  <c r="N7" i="38" s="1"/>
  <c r="M14" i="38"/>
  <c r="N15" i="38" s="1"/>
  <c r="E10" i="37"/>
  <c r="L8" i="37"/>
  <c r="L12" i="37"/>
  <c r="E11" i="37"/>
  <c r="E12" i="37"/>
  <c r="E5" i="37"/>
  <c r="E13" i="37"/>
  <c r="L5" i="37"/>
  <c r="L7" i="37"/>
  <c r="L9" i="37"/>
  <c r="L11" i="37"/>
  <c r="L13" i="37"/>
  <c r="E6" i="37"/>
  <c r="E7" i="37"/>
  <c r="E8" i="37"/>
  <c r="L6" i="37"/>
  <c r="L10" i="37"/>
  <c r="C5" i="35"/>
  <c r="BL9" i="36"/>
  <c r="F9" i="36" s="1"/>
  <c r="BL13" i="36"/>
  <c r="F13" i="36" s="1"/>
  <c r="BL15" i="36"/>
  <c r="L15" i="36" s="1"/>
  <c r="R15" i="36" s="1"/>
  <c r="BL18" i="36"/>
  <c r="F18" i="36" s="1"/>
  <c r="BL16" i="36"/>
  <c r="L16" i="36" s="1"/>
  <c r="CD29" i="36" s="1"/>
  <c r="CD32" i="36" s="1"/>
  <c r="BL14" i="36"/>
  <c r="L14" i="36" s="1"/>
  <c r="CB29" i="36" s="1"/>
  <c r="CB32" i="36" s="1"/>
  <c r="GL4" i="35"/>
  <c r="GM3" i="35" s="1"/>
  <c r="GM5" i="35" s="1"/>
  <c r="AE25" i="29"/>
  <c r="AD25" i="29"/>
  <c r="AD24" i="29"/>
  <c r="AE24" i="29"/>
  <c r="AF24" i="29"/>
  <c r="AD23" i="29"/>
  <c r="AE23" i="29"/>
  <c r="AF23" i="29"/>
  <c r="AD19" i="29"/>
  <c r="AE19" i="29"/>
  <c r="AD21" i="29"/>
  <c r="AE21" i="29"/>
  <c r="AE20" i="29"/>
  <c r="AD20" i="29"/>
  <c r="BU4" i="35"/>
  <c r="BV3" i="35" s="1"/>
  <c r="BV5" i="35" s="1"/>
  <c r="C17" i="35"/>
  <c r="FP4" i="35"/>
  <c r="FQ3" i="35" s="1"/>
  <c r="FQ5" i="35" s="1"/>
  <c r="BT7" i="36"/>
  <c r="CJ7" i="36"/>
  <c r="W23" i="9"/>
  <c r="W27" i="9"/>
  <c r="W22" i="9"/>
  <c r="W19" i="9"/>
  <c r="W18" i="9"/>
  <c r="BV28" i="36"/>
  <c r="BV7" i="36"/>
  <c r="C16" i="35"/>
  <c r="EI4" i="35"/>
  <c r="EJ3" i="35" s="1"/>
  <c r="EJ5" i="35" s="1"/>
  <c r="R4" i="35"/>
  <c r="S3" i="35" s="1"/>
  <c r="S5" i="35" s="1"/>
  <c r="B21" i="36"/>
  <c r="C8" i="35"/>
  <c r="BH9" i="36"/>
  <c r="CQ4" i="35"/>
  <c r="CR3" i="35" s="1"/>
  <c r="CR5" i="35" s="1"/>
  <c r="BH7" i="36"/>
  <c r="BH19" i="36"/>
  <c r="DX4" i="35"/>
  <c r="DY3" i="35" s="1"/>
  <c r="DY5" i="35" s="1"/>
  <c r="C6" i="35"/>
  <c r="BH17" i="36"/>
  <c r="B8" i="36"/>
  <c r="DM4" i="35"/>
  <c r="DN3" i="35" s="1"/>
  <c r="DN5" i="35" s="1"/>
  <c r="B23" i="35"/>
  <c r="FQ2" i="35" s="1"/>
  <c r="FR2" i="35" s="1"/>
  <c r="FS2" i="35" s="1"/>
  <c r="GA4" i="35"/>
  <c r="GB3" i="35" s="1"/>
  <c r="GB5" i="35" s="1"/>
  <c r="AY4" i="35"/>
  <c r="AZ3" i="35" s="1"/>
  <c r="AZ5" i="35" s="1"/>
  <c r="DB4" i="35"/>
  <c r="DC3" i="35" s="1"/>
  <c r="DC5" i="35" s="1"/>
  <c r="B5" i="36"/>
  <c r="B11" i="36"/>
  <c r="C10" i="35"/>
  <c r="BH15" i="36"/>
  <c r="BH6" i="36"/>
  <c r="BH13" i="36"/>
  <c r="B18" i="36"/>
  <c r="BH12" i="36"/>
  <c r="BH10" i="36"/>
  <c r="B16" i="36"/>
  <c r="B14" i="36"/>
  <c r="B20" i="36"/>
  <c r="B22" i="36"/>
  <c r="G4" i="35"/>
  <c r="H3" i="35" s="1"/>
  <c r="H5" i="35" s="1"/>
  <c r="AO5" i="35"/>
  <c r="CG5" i="35"/>
  <c r="BK5" i="35"/>
  <c r="EU5" i="35"/>
  <c r="FF5" i="35"/>
  <c r="AD5" i="35"/>
  <c r="R10" i="36" l="1"/>
  <c r="F10" i="36"/>
  <c r="F21" i="36"/>
  <c r="CJ8" i="36"/>
  <c r="CJ11" i="36" s="1"/>
  <c r="F17" i="36"/>
  <c r="L22" i="36"/>
  <c r="CJ29" i="36" s="1"/>
  <c r="CJ32" i="36" s="1"/>
  <c r="L6" i="36"/>
  <c r="R6" i="36" s="1"/>
  <c r="F19" i="36"/>
  <c r="F11" i="36"/>
  <c r="F20" i="36"/>
  <c r="L12" i="36"/>
  <c r="BZ29" i="36" s="1"/>
  <c r="BZ32" i="36" s="1"/>
  <c r="BZ8" i="36"/>
  <c r="BZ11" i="36" s="1"/>
  <c r="R8" i="36"/>
  <c r="F8" i="36"/>
  <c r="AF20" i="29"/>
  <c r="L7" i="36"/>
  <c r="R7" i="36" s="1"/>
  <c r="F5" i="36"/>
  <c r="R5" i="36"/>
  <c r="AF19" i="29"/>
  <c r="F15" i="36"/>
  <c r="L9" i="36"/>
  <c r="BX8" i="36" s="1"/>
  <c r="BX11" i="36" s="1"/>
  <c r="L13" i="36"/>
  <c r="R13" i="36" s="1"/>
  <c r="CD8" i="36"/>
  <c r="CD11" i="36" s="1"/>
  <c r="L18" i="36"/>
  <c r="CF29" i="36" s="1"/>
  <c r="CF32" i="36" s="1"/>
  <c r="R16" i="36"/>
  <c r="F16" i="36"/>
  <c r="R14" i="36"/>
  <c r="F14" i="36"/>
  <c r="GB2" i="35"/>
  <c r="GC2" i="35" s="1"/>
  <c r="GC3" i="35" s="1"/>
  <c r="DC2" i="35"/>
  <c r="DD2" i="35" s="1"/>
  <c r="DD3" i="35" s="1"/>
  <c r="BV2" i="35"/>
  <c r="BW2" i="35" s="1"/>
  <c r="BW3" i="35" s="1"/>
  <c r="GM2" i="35"/>
  <c r="GN2" i="35" s="1"/>
  <c r="GO2" i="35" s="1"/>
  <c r="GO3" i="35" s="1"/>
  <c r="AO2" i="35"/>
  <c r="AP2" i="35" s="1"/>
  <c r="AP3" i="35" s="1"/>
  <c r="FF2" i="35"/>
  <c r="FG2" i="35" s="1"/>
  <c r="FH2" i="35" s="1"/>
  <c r="FH3" i="35" s="1"/>
  <c r="H2" i="35"/>
  <c r="I2" i="35" s="1"/>
  <c r="I3" i="35" s="1"/>
  <c r="EU2" i="35"/>
  <c r="EV2" i="35" s="1"/>
  <c r="EW2" i="35" s="1"/>
  <c r="EW3" i="35" s="1"/>
  <c r="AZ2" i="35"/>
  <c r="BA2" i="35" s="1"/>
  <c r="BB2" i="35" s="1"/>
  <c r="BB5" i="35" s="1"/>
  <c r="AD2" i="35"/>
  <c r="AE2" i="35" s="1"/>
  <c r="AF2" i="35" s="1"/>
  <c r="AF3" i="35" s="1"/>
  <c r="DN2" i="35"/>
  <c r="DO2" i="35" s="1"/>
  <c r="DP2" i="35" s="1"/>
  <c r="DP3" i="35" s="1"/>
  <c r="BK2" i="35"/>
  <c r="BL2" i="35" s="1"/>
  <c r="BM2" i="35" s="1"/>
  <c r="BM3" i="35" s="1"/>
  <c r="CR2" i="35"/>
  <c r="CS2" i="35" s="1"/>
  <c r="CT2" i="35" s="1"/>
  <c r="CT3" i="35" s="1"/>
  <c r="CG2" i="35"/>
  <c r="CH2" i="35" s="1"/>
  <c r="CI2" i="35" s="1"/>
  <c r="CI3" i="35" s="1"/>
  <c r="S2" i="35"/>
  <c r="T2" i="35" s="1"/>
  <c r="T3" i="35" s="1"/>
  <c r="EJ2" i="35"/>
  <c r="EK2" i="35" s="1"/>
  <c r="EK3" i="35" s="1"/>
  <c r="DY2" i="35"/>
  <c r="DZ2" i="35" s="1"/>
  <c r="EA2" i="35" s="1"/>
  <c r="EA3" i="35" s="1"/>
  <c r="CH7" i="36"/>
  <c r="BT10" i="36"/>
  <c r="FS3" i="35"/>
  <c r="FR3" i="35"/>
  <c r="FS5" i="35"/>
  <c r="FR5" i="35"/>
  <c r="R18" i="36" l="1"/>
  <c r="BT29" i="36"/>
  <c r="BT32" i="36" s="1"/>
  <c r="R12" i="36"/>
  <c r="BV8" i="36"/>
  <c r="BV11" i="36" s="1"/>
  <c r="R9" i="36"/>
  <c r="BB3" i="35"/>
  <c r="BB4" i="35" s="1"/>
  <c r="BL5" i="35"/>
  <c r="BM5" i="35"/>
  <c r="BM4" i="35" s="1"/>
  <c r="BL3" i="35"/>
  <c r="CB8" i="36"/>
  <c r="CB11" i="36" s="1"/>
  <c r="BA5" i="35"/>
  <c r="AE5" i="35"/>
  <c r="EV5" i="35"/>
  <c r="EW5" i="35"/>
  <c r="EW4" i="35" s="1"/>
  <c r="CH5" i="35"/>
  <c r="CI5" i="35"/>
  <c r="CI4" i="35" s="1"/>
  <c r="EV3" i="35"/>
  <c r="GN5" i="35"/>
  <c r="GO5" i="35"/>
  <c r="GO4" i="35" s="1"/>
  <c r="GN3" i="35"/>
  <c r="AF5" i="35"/>
  <c r="AF4" i="35" s="1"/>
  <c r="AE3" i="35"/>
  <c r="FH5" i="35"/>
  <c r="FH4" i="35" s="1"/>
  <c r="CH3" i="35"/>
  <c r="DZ5" i="35"/>
  <c r="GD2" i="35"/>
  <c r="GD3" i="35" s="1"/>
  <c r="FG5" i="35"/>
  <c r="FG3" i="35"/>
  <c r="DP5" i="35"/>
  <c r="DP4" i="35" s="1"/>
  <c r="DO5" i="35"/>
  <c r="GC5" i="35"/>
  <c r="GC4" i="35" s="1"/>
  <c r="DZ3" i="35"/>
  <c r="CS5" i="35"/>
  <c r="CT5" i="35"/>
  <c r="CT4" i="35" s="1"/>
  <c r="BA3" i="35"/>
  <c r="DO3" i="35"/>
  <c r="CS3" i="35"/>
  <c r="U2" i="35"/>
  <c r="T5" i="35"/>
  <c r="T4" i="35" s="1"/>
  <c r="EA5" i="35"/>
  <c r="EA4" i="35" s="1"/>
  <c r="CF31" i="36"/>
  <c r="CJ10" i="36"/>
  <c r="CF10" i="36"/>
  <c r="BV10" i="36"/>
  <c r="BV31" i="36"/>
  <c r="BX31" i="36"/>
  <c r="CH31" i="36"/>
  <c r="BX10" i="36"/>
  <c r="CH10" i="36"/>
  <c r="CJ31" i="36"/>
  <c r="BZ10" i="36"/>
  <c r="BT15" i="36"/>
  <c r="BT17" i="36"/>
  <c r="BT12" i="36"/>
  <c r="BT13" i="36" s="1"/>
  <c r="BT14" i="36"/>
  <c r="BT20" i="36"/>
  <c r="BT21" i="36" s="1"/>
  <c r="BT16" i="36"/>
  <c r="BZ31" i="36"/>
  <c r="CB31" i="36"/>
  <c r="CB10" i="36"/>
  <c r="BT31" i="36"/>
  <c r="CD31" i="36"/>
  <c r="CD10" i="36"/>
  <c r="FS4" i="35"/>
  <c r="FR4" i="35"/>
  <c r="AP5" i="35"/>
  <c r="AP4" i="35" s="1"/>
  <c r="I5" i="35"/>
  <c r="I4" i="35" s="1"/>
  <c r="DE2" i="35"/>
  <c r="AQ2" i="35"/>
  <c r="EK5" i="35"/>
  <c r="EK4" i="35" s="1"/>
  <c r="BW5" i="35"/>
  <c r="BW4" i="35" s="1"/>
  <c r="J2" i="35"/>
  <c r="EL2" i="35"/>
  <c r="BX2" i="35"/>
  <c r="DD5" i="35"/>
  <c r="DD4" i="35" s="1"/>
  <c r="BL4" i="35" l="1"/>
  <c r="BJ2" i="35" s="1"/>
  <c r="D8" i="35" s="1"/>
  <c r="E8" i="35" s="1"/>
  <c r="H8" i="29" s="1"/>
  <c r="BT18" i="36"/>
  <c r="BT19" i="36" s="1"/>
  <c r="BT9" i="36" s="1"/>
  <c r="M5" i="36" s="1"/>
  <c r="BA4" i="35"/>
  <c r="AY2" i="35" s="1"/>
  <c r="D7" i="35" s="1"/>
  <c r="E7" i="35" s="1"/>
  <c r="H7" i="29" s="1"/>
  <c r="AE4" i="35"/>
  <c r="AC2" i="35" s="1"/>
  <c r="D5" i="35" s="1"/>
  <c r="E5" i="35" s="1"/>
  <c r="H5" i="29" s="1"/>
  <c r="EV4" i="35"/>
  <c r="ET2" i="35" s="1"/>
  <c r="D16" i="35" s="1"/>
  <c r="E16" i="35" s="1"/>
  <c r="H16" i="29" s="1"/>
  <c r="GD5" i="35"/>
  <c r="GD4" i="35" s="1"/>
  <c r="GA2" i="35" s="1"/>
  <c r="D19" i="35" s="1"/>
  <c r="E19" i="35" s="1"/>
  <c r="GN4" i="35"/>
  <c r="GL2" i="35" s="1"/>
  <c r="D20" i="35" s="1"/>
  <c r="E20" i="35" s="1"/>
  <c r="CH4" i="35"/>
  <c r="CF2" i="35" s="1"/>
  <c r="D10" i="35" s="1"/>
  <c r="E10" i="35" s="1"/>
  <c r="FG4" i="35"/>
  <c r="FE2" i="35" s="1"/>
  <c r="D17" i="35" s="1"/>
  <c r="E17" i="35" s="1"/>
  <c r="DO4" i="35"/>
  <c r="DM2" i="35" s="1"/>
  <c r="D13" i="35" s="1"/>
  <c r="E13" i="35" s="1"/>
  <c r="CS4" i="35"/>
  <c r="CQ2" i="35" s="1"/>
  <c r="D11" i="35" s="1"/>
  <c r="E11" i="35" s="1"/>
  <c r="H11" i="29" s="1"/>
  <c r="DZ4" i="35"/>
  <c r="DX2" i="35" s="1"/>
  <c r="D14" i="35" s="1"/>
  <c r="E14" i="35" s="1"/>
  <c r="U3" i="35"/>
  <c r="U5" i="35"/>
  <c r="CB41" i="36"/>
  <c r="CB42" i="36" s="1"/>
  <c r="CB37" i="36"/>
  <c r="CB33" i="36"/>
  <c r="CB34" i="36" s="1"/>
  <c r="CB38" i="36"/>
  <c r="CB35" i="36"/>
  <c r="CB36" i="36"/>
  <c r="CF12" i="36"/>
  <c r="CF13" i="36" s="1"/>
  <c r="CF15" i="36"/>
  <c r="CF14" i="36"/>
  <c r="CF20" i="36"/>
  <c r="CF21" i="36" s="1"/>
  <c r="CF16" i="36"/>
  <c r="CF17" i="36"/>
  <c r="BV36" i="36"/>
  <c r="BV41" i="36"/>
  <c r="BV42" i="36" s="1"/>
  <c r="BV37" i="36"/>
  <c r="BV33" i="36"/>
  <c r="BV34" i="36" s="1"/>
  <c r="BV38" i="36"/>
  <c r="BV35" i="36"/>
  <c r="CH14" i="36"/>
  <c r="CH20" i="36"/>
  <c r="CH21" i="36" s="1"/>
  <c r="CH16" i="36"/>
  <c r="CH15" i="36"/>
  <c r="CH17" i="36"/>
  <c r="CH12" i="36"/>
  <c r="CH13" i="36" s="1"/>
  <c r="CJ14" i="36"/>
  <c r="CJ20" i="36"/>
  <c r="CJ21" i="36" s="1"/>
  <c r="CJ16" i="36"/>
  <c r="CJ15" i="36"/>
  <c r="CJ17" i="36"/>
  <c r="CJ12" i="36"/>
  <c r="CJ13" i="36" s="1"/>
  <c r="BZ36" i="36"/>
  <c r="BZ41" i="36"/>
  <c r="BZ42" i="36" s="1"/>
  <c r="BZ37" i="36"/>
  <c r="BZ33" i="36"/>
  <c r="BZ34" i="36" s="1"/>
  <c r="BZ38" i="36"/>
  <c r="BZ35" i="36"/>
  <c r="BZ15" i="36"/>
  <c r="BZ17" i="36"/>
  <c r="BZ12" i="36"/>
  <c r="BZ13" i="36" s="1"/>
  <c r="BZ14" i="36"/>
  <c r="BZ20" i="36"/>
  <c r="BZ21" i="36" s="1"/>
  <c r="BZ16" i="36"/>
  <c r="BX15" i="36"/>
  <c r="BX17" i="36"/>
  <c r="BX12" i="36"/>
  <c r="BX13" i="36" s="1"/>
  <c r="BX14" i="36"/>
  <c r="BX20" i="36"/>
  <c r="BX21" i="36" s="1"/>
  <c r="BX16" i="36"/>
  <c r="BT35" i="36"/>
  <c r="BT36" i="36"/>
  <c r="BT41" i="36"/>
  <c r="BT42" i="36" s="1"/>
  <c r="BT37" i="36"/>
  <c r="BT33" i="36"/>
  <c r="BT34" i="36" s="1"/>
  <c r="BT38" i="36"/>
  <c r="CD41" i="36"/>
  <c r="CD42" i="36" s="1"/>
  <c r="CD37" i="36"/>
  <c r="CD33" i="36"/>
  <c r="CD34" i="36" s="1"/>
  <c r="CD38" i="36"/>
  <c r="CD35" i="36"/>
  <c r="CD36" i="36"/>
  <c r="CD17" i="36"/>
  <c r="CD12" i="36"/>
  <c r="CD13" i="36" s="1"/>
  <c r="CD14" i="36"/>
  <c r="CD20" i="36"/>
  <c r="CD21" i="36" s="1"/>
  <c r="CD16" i="36"/>
  <c r="CD15" i="36"/>
  <c r="CJ38" i="36"/>
  <c r="CJ35" i="36"/>
  <c r="CJ36" i="36"/>
  <c r="CJ41" i="36"/>
  <c r="CJ42" i="36" s="1"/>
  <c r="CJ37" i="36"/>
  <c r="CJ33" i="36"/>
  <c r="CJ34" i="36" s="1"/>
  <c r="CH38" i="36"/>
  <c r="CH35" i="36"/>
  <c r="CH36" i="36"/>
  <c r="CH41" i="36"/>
  <c r="CH42" i="36" s="1"/>
  <c r="CH37" i="36"/>
  <c r="CH33" i="36"/>
  <c r="CH34" i="36" s="1"/>
  <c r="CF37" i="36"/>
  <c r="CF33" i="36"/>
  <c r="CF34" i="36" s="1"/>
  <c r="CF38" i="36"/>
  <c r="CF35" i="36"/>
  <c r="CF36" i="36"/>
  <c r="CF41" i="36"/>
  <c r="CF42" i="36" s="1"/>
  <c r="CB17" i="36"/>
  <c r="CB12" i="36"/>
  <c r="CB13" i="36" s="1"/>
  <c r="CB14" i="36"/>
  <c r="CB20" i="36"/>
  <c r="CB21" i="36" s="1"/>
  <c r="CB16" i="36"/>
  <c r="CB15" i="36"/>
  <c r="BX36" i="36"/>
  <c r="BX41" i="36"/>
  <c r="BX42" i="36" s="1"/>
  <c r="BX37" i="36"/>
  <c r="BX33" i="36"/>
  <c r="BX34" i="36" s="1"/>
  <c r="BX38" i="36"/>
  <c r="BX35" i="36"/>
  <c r="BV15" i="36"/>
  <c r="BV17" i="36"/>
  <c r="BV12" i="36"/>
  <c r="BV13" i="36" s="1"/>
  <c r="BV20" i="36"/>
  <c r="BV21" i="36" s="1"/>
  <c r="BV14" i="36"/>
  <c r="BV16" i="36"/>
  <c r="FP2" i="35"/>
  <c r="D18" i="35" s="1"/>
  <c r="E18" i="35" s="1"/>
  <c r="EL3" i="35"/>
  <c r="EL5" i="35"/>
  <c r="AQ3" i="35"/>
  <c r="AQ5" i="35"/>
  <c r="J3" i="35"/>
  <c r="J5" i="35"/>
  <c r="DE3" i="35"/>
  <c r="DE5" i="35"/>
  <c r="BX3" i="35"/>
  <c r="BX5" i="35"/>
  <c r="H20" i="29" l="1"/>
  <c r="E31" i="9" s="1"/>
  <c r="H19" i="29"/>
  <c r="E30" i="9" s="1"/>
  <c r="H18" i="29"/>
  <c r="E29" i="9" s="1"/>
  <c r="H17" i="29"/>
  <c r="BK19" i="36" s="1"/>
  <c r="C19" i="36" s="1"/>
  <c r="D19" i="36" s="1"/>
  <c r="J17" i="29" s="1"/>
  <c r="H14" i="29"/>
  <c r="E25" i="9" s="1"/>
  <c r="H13" i="29"/>
  <c r="E24" i="9" s="1"/>
  <c r="H10" i="29"/>
  <c r="E21" i="9" s="1"/>
  <c r="E16" i="9"/>
  <c r="BK7" i="36"/>
  <c r="C7" i="36" s="1"/>
  <c r="D7" i="36" s="1"/>
  <c r="BZ18" i="36"/>
  <c r="BZ19" i="36" s="1"/>
  <c r="BZ9" i="36" s="1"/>
  <c r="M11" i="36" s="1"/>
  <c r="CD18" i="36"/>
  <c r="CD19" i="36" s="1"/>
  <c r="CD9" i="36" s="1"/>
  <c r="M15" i="36" s="1"/>
  <c r="BZ39" i="36"/>
  <c r="BZ40" i="36" s="1"/>
  <c r="BZ30" i="36" s="1"/>
  <c r="M12" i="36" s="1"/>
  <c r="CB18" i="36"/>
  <c r="CB19" i="36" s="1"/>
  <c r="CB9" i="36" s="1"/>
  <c r="M13" i="36" s="1"/>
  <c r="CJ39" i="36"/>
  <c r="CJ40" i="36" s="1"/>
  <c r="CJ30" i="36" s="1"/>
  <c r="M22" i="36" s="1"/>
  <c r="CH39" i="36"/>
  <c r="CH40" i="36" s="1"/>
  <c r="CH30" i="36" s="1"/>
  <c r="M20" i="36" s="1"/>
  <c r="CH18" i="36"/>
  <c r="CH19" i="36" s="1"/>
  <c r="CH9" i="36" s="1"/>
  <c r="M19" i="36" s="1"/>
  <c r="BT39" i="36"/>
  <c r="BT40" i="36" s="1"/>
  <c r="BT30" i="36" s="1"/>
  <c r="M6" i="36" s="1"/>
  <c r="CB39" i="36"/>
  <c r="CB40" i="36" s="1"/>
  <c r="CB30" i="36" s="1"/>
  <c r="M14" i="36" s="1"/>
  <c r="CF39" i="36"/>
  <c r="CF40" i="36" s="1"/>
  <c r="CF30" i="36" s="1"/>
  <c r="M18" i="36" s="1"/>
  <c r="BV18" i="36"/>
  <c r="BV19" i="36" s="1"/>
  <c r="BV9" i="36" s="1"/>
  <c r="M7" i="36" s="1"/>
  <c r="BX39" i="36"/>
  <c r="BX40" i="36" s="1"/>
  <c r="BX30" i="36" s="1"/>
  <c r="M10" i="36" s="1"/>
  <c r="CD39" i="36"/>
  <c r="CD40" i="36" s="1"/>
  <c r="CD30" i="36" s="1"/>
  <c r="M16" i="36" s="1"/>
  <c r="BX18" i="36"/>
  <c r="BX19" i="36" s="1"/>
  <c r="BX9" i="36" s="1"/>
  <c r="M9" i="36" s="1"/>
  <c r="BV39" i="36"/>
  <c r="BV40" i="36" s="1"/>
  <c r="BV30" i="36" s="1"/>
  <c r="M8" i="36" s="1"/>
  <c r="CF18" i="36"/>
  <c r="CF19" i="36" s="1"/>
  <c r="CF9" i="36" s="1"/>
  <c r="M17" i="36" s="1"/>
  <c r="BK13" i="36"/>
  <c r="C13" i="36" s="1"/>
  <c r="D13" i="36" s="1"/>
  <c r="J11" i="29" s="1"/>
  <c r="E22" i="9"/>
  <c r="BK9" i="36"/>
  <c r="C9" i="36" s="1"/>
  <c r="D9" i="36" s="1"/>
  <c r="J7" i="29" s="1"/>
  <c r="E18" i="9"/>
  <c r="BK10" i="36"/>
  <c r="C10" i="36" s="1"/>
  <c r="D10" i="36" s="1"/>
  <c r="J8" i="29" s="1"/>
  <c r="E19" i="9"/>
  <c r="BK18" i="36"/>
  <c r="C18" i="36" s="1"/>
  <c r="D18" i="36" s="1"/>
  <c r="J16" i="29" s="1"/>
  <c r="E27" i="9"/>
  <c r="CJ18" i="36"/>
  <c r="CJ19" i="36" s="1"/>
  <c r="CJ9" i="36" s="1"/>
  <c r="M21" i="36" s="1"/>
  <c r="U4" i="35"/>
  <c r="R2" i="35" s="1"/>
  <c r="D4" i="35" s="1"/>
  <c r="E4" i="35" s="1"/>
  <c r="BX4" i="35"/>
  <c r="BU2" i="35" s="1"/>
  <c r="D9" i="35" s="1"/>
  <c r="E9" i="35" s="1"/>
  <c r="EL4" i="35"/>
  <c r="EI2" i="35" s="1"/>
  <c r="D15" i="35" s="1"/>
  <c r="E15" i="35" s="1"/>
  <c r="H15" i="29" s="1"/>
  <c r="J4" i="35"/>
  <c r="G2" i="35" s="1"/>
  <c r="D3" i="35" s="1"/>
  <c r="E3" i="35" s="1"/>
  <c r="H3" i="29" s="1"/>
  <c r="E14" i="9" s="1"/>
  <c r="AQ4" i="35"/>
  <c r="AN2" i="35" s="1"/>
  <c r="D6" i="35" s="1"/>
  <c r="E6" i="35" s="1"/>
  <c r="H6" i="29" s="1"/>
  <c r="DE4" i="35"/>
  <c r="DB2" i="35" s="1"/>
  <c r="D12" i="35" s="1"/>
  <c r="E12" i="35" s="1"/>
  <c r="H12" i="29" s="1"/>
  <c r="G19" i="9" l="1"/>
  <c r="L8" i="29"/>
  <c r="G28" i="9"/>
  <c r="L17" i="29"/>
  <c r="L7" i="29"/>
  <c r="G18" i="9"/>
  <c r="G22" i="9"/>
  <c r="L11" i="29"/>
  <c r="G27" i="9"/>
  <c r="L16" i="29"/>
  <c r="BK21" i="36"/>
  <c r="C21" i="36" s="1"/>
  <c r="D21" i="36" s="1"/>
  <c r="J19" i="29" s="1"/>
  <c r="BK15" i="36"/>
  <c r="C15" i="36" s="1"/>
  <c r="D15" i="36" s="1"/>
  <c r="J13" i="29" s="1"/>
  <c r="BK20" i="36"/>
  <c r="C20" i="36" s="1"/>
  <c r="D20" i="36" s="1"/>
  <c r="J18" i="29" s="1"/>
  <c r="BK12" i="36"/>
  <c r="C12" i="36" s="1"/>
  <c r="D12" i="36" s="1"/>
  <c r="J10" i="29" s="1"/>
  <c r="E28" i="9"/>
  <c r="H4" i="29"/>
  <c r="E15" i="9" s="1"/>
  <c r="BK16" i="36"/>
  <c r="C16" i="36" s="1"/>
  <c r="D16" i="36" s="1"/>
  <c r="J14" i="29" s="1"/>
  <c r="BK22" i="36"/>
  <c r="C22" i="36" s="1"/>
  <c r="D22" i="36" s="1"/>
  <c r="J20" i="29" s="1"/>
  <c r="H9" i="29"/>
  <c r="E20" i="9" s="1"/>
  <c r="E17" i="9"/>
  <c r="E26" i="9"/>
  <c r="I16" i="29"/>
  <c r="I7" i="29"/>
  <c r="I17" i="29"/>
  <c r="I11" i="29"/>
  <c r="I8" i="29"/>
  <c r="J5" i="29"/>
  <c r="G7" i="36"/>
  <c r="J7" i="36" s="1"/>
  <c r="N7" i="36" s="1"/>
  <c r="O7" i="36" s="1"/>
  <c r="P7" i="36"/>
  <c r="G13" i="36"/>
  <c r="K11" i="29" s="1"/>
  <c r="P13" i="36"/>
  <c r="G10" i="36"/>
  <c r="P10" i="36"/>
  <c r="P19" i="36"/>
  <c r="G19" i="36"/>
  <c r="K17" i="29" s="1"/>
  <c r="G18" i="36"/>
  <c r="K16" i="29" s="1"/>
  <c r="P18" i="36"/>
  <c r="BK14" i="36"/>
  <c r="C14" i="36" s="1"/>
  <c r="D14" i="36" s="1"/>
  <c r="J12" i="29" s="1"/>
  <c r="E23" i="9"/>
  <c r="BK8" i="36"/>
  <c r="C8" i="36" s="1"/>
  <c r="D8" i="36" s="1"/>
  <c r="J6" i="29" s="1"/>
  <c r="G9" i="36"/>
  <c r="P9" i="36"/>
  <c r="BK17" i="36"/>
  <c r="C17" i="36" s="1"/>
  <c r="D17" i="36" s="1"/>
  <c r="J15" i="29" s="1"/>
  <c r="G17" i="9" l="1"/>
  <c r="L6" i="29"/>
  <c r="L12" i="29"/>
  <c r="G23" i="9"/>
  <c r="I10" i="29"/>
  <c r="G21" i="9"/>
  <c r="L10" i="29"/>
  <c r="I18" i="29"/>
  <c r="G29" i="9"/>
  <c r="L18" i="29"/>
  <c r="I13" i="29"/>
  <c r="G24" i="9"/>
  <c r="L13" i="29"/>
  <c r="L19" i="29"/>
  <c r="G30" i="9"/>
  <c r="G16" i="9"/>
  <c r="L5" i="29"/>
  <c r="G31" i="9"/>
  <c r="L20" i="29"/>
  <c r="I14" i="29"/>
  <c r="G25" i="9"/>
  <c r="L14" i="29"/>
  <c r="G26" i="9"/>
  <c r="L15" i="29"/>
  <c r="P15" i="36"/>
  <c r="G21" i="36"/>
  <c r="J21" i="36" s="1"/>
  <c r="N21" i="36" s="1"/>
  <c r="BN21" i="36" s="1"/>
  <c r="P21" i="36"/>
  <c r="BK6" i="36"/>
  <c r="C6" i="36" s="1"/>
  <c r="D6" i="36" s="1"/>
  <c r="J4" i="29" s="1"/>
  <c r="P20" i="36"/>
  <c r="P22" i="36"/>
  <c r="G16" i="36"/>
  <c r="K14" i="29" s="1"/>
  <c r="G12" i="36"/>
  <c r="J12" i="36" s="1"/>
  <c r="N12" i="36" s="1"/>
  <c r="O12" i="36" s="1"/>
  <c r="P12" i="36"/>
  <c r="G15" i="36"/>
  <c r="K13" i="29" s="1"/>
  <c r="G20" i="36"/>
  <c r="K18" i="29" s="1"/>
  <c r="P16" i="36"/>
  <c r="G22" i="36"/>
  <c r="J22" i="36" s="1"/>
  <c r="N22" i="36" s="1"/>
  <c r="BN22" i="36" s="1"/>
  <c r="BK11" i="36"/>
  <c r="C11" i="36" s="1"/>
  <c r="D11" i="36" s="1"/>
  <c r="J9" i="29" s="1"/>
  <c r="I5" i="29"/>
  <c r="I6" i="29"/>
  <c r="I20" i="29"/>
  <c r="F38" i="6" s="1"/>
  <c r="I12" i="29"/>
  <c r="I15" i="29"/>
  <c r="I19" i="29"/>
  <c r="BK5" i="36"/>
  <c r="C5" i="36" s="1"/>
  <c r="D5" i="36" s="1"/>
  <c r="J3" i="29" s="1"/>
  <c r="K5" i="29"/>
  <c r="J19" i="36"/>
  <c r="N19" i="36" s="1"/>
  <c r="BN19" i="36" s="1"/>
  <c r="J18" i="36"/>
  <c r="N18" i="36" s="1"/>
  <c r="BN18" i="36" s="1"/>
  <c r="J13" i="36"/>
  <c r="N13" i="36" s="1"/>
  <c r="O13" i="36" s="1"/>
  <c r="D9" i="37"/>
  <c r="J10" i="36"/>
  <c r="N10" i="36" s="1"/>
  <c r="BN10" i="36" s="1"/>
  <c r="K8" i="29"/>
  <c r="J9" i="36"/>
  <c r="N9" i="36" s="1"/>
  <c r="BN9" i="36" s="1"/>
  <c r="K7" i="29"/>
  <c r="BN7" i="36"/>
  <c r="G17" i="36"/>
  <c r="K15" i="29" s="1"/>
  <c r="P17" i="36"/>
  <c r="G8" i="36"/>
  <c r="P8" i="36"/>
  <c r="P14" i="36"/>
  <c r="G14" i="36"/>
  <c r="K12" i="29" s="1"/>
  <c r="I9" i="29" l="1"/>
  <c r="L9" i="29"/>
  <c r="G20" i="9"/>
  <c r="G14" i="9"/>
  <c r="L3" i="29"/>
  <c r="I4" i="29"/>
  <c r="L4" i="29"/>
  <c r="G15" i="9"/>
  <c r="K19" i="29"/>
  <c r="K10" i="29"/>
  <c r="P6" i="36"/>
  <c r="G6" i="36"/>
  <c r="K4" i="29" s="1"/>
  <c r="J16" i="36"/>
  <c r="N16" i="36" s="1"/>
  <c r="BN16" i="36" s="1"/>
  <c r="J20" i="36"/>
  <c r="N20" i="36" s="1"/>
  <c r="BN20" i="36" s="1"/>
  <c r="K20" i="29"/>
  <c r="D10" i="37"/>
  <c r="J15" i="36"/>
  <c r="N15" i="36" s="1"/>
  <c r="O15" i="36" s="1"/>
  <c r="P11" i="36"/>
  <c r="G11" i="36"/>
  <c r="J11" i="36" s="1"/>
  <c r="N11" i="36" s="1"/>
  <c r="BN11" i="36" s="1"/>
  <c r="D7" i="37"/>
  <c r="I3" i="29"/>
  <c r="D6" i="37"/>
  <c r="O21" i="36"/>
  <c r="O22" i="36"/>
  <c r="P5" i="36"/>
  <c r="D24" i="36"/>
  <c r="G5" i="36"/>
  <c r="J5" i="36" s="1"/>
  <c r="N5" i="36" s="1"/>
  <c r="M28" i="9"/>
  <c r="D12" i="37"/>
  <c r="O10" i="36"/>
  <c r="O19" i="36"/>
  <c r="O18" i="36"/>
  <c r="M29" i="9"/>
  <c r="M25" i="9"/>
  <c r="M24" i="9"/>
  <c r="J14" i="36"/>
  <c r="N14" i="36" s="1"/>
  <c r="BN14" i="36" s="1"/>
  <c r="BN13" i="36"/>
  <c r="BN12" i="36"/>
  <c r="O9" i="36"/>
  <c r="J8" i="36"/>
  <c r="N8" i="36" s="1"/>
  <c r="O8" i="36" s="1"/>
  <c r="K6" i="29"/>
  <c r="J17" i="36"/>
  <c r="N17" i="36" s="1"/>
  <c r="BN17" i="36" s="1"/>
  <c r="D11" i="37"/>
  <c r="GZ7" i="35"/>
  <c r="M30" i="9" l="1"/>
  <c r="D13" i="37"/>
  <c r="K9" i="29"/>
  <c r="M21" i="9"/>
  <c r="J6" i="36"/>
  <c r="N6" i="36" s="1"/>
  <c r="BN6" i="36" s="1"/>
  <c r="O20" i="36"/>
  <c r="O16" i="36"/>
  <c r="M31" i="9"/>
  <c r="BN15" i="36"/>
  <c r="K7" i="37"/>
  <c r="M16" i="9"/>
  <c r="K11" i="37"/>
  <c r="G24" i="36"/>
  <c r="K3" i="29"/>
  <c r="K10" i="37"/>
  <c r="K12" i="37"/>
  <c r="M19" i="9"/>
  <c r="M22" i="9"/>
  <c r="M18" i="9"/>
  <c r="M27" i="9"/>
  <c r="O14" i="36"/>
  <c r="K9" i="37"/>
  <c r="O11" i="36"/>
  <c r="O17" i="36"/>
  <c r="BN8" i="36"/>
  <c r="M15" i="9"/>
  <c r="BN5" i="36"/>
  <c r="O5" i="36"/>
  <c r="O24" i="36" s="1"/>
  <c r="K13" i="37" l="1"/>
  <c r="J24" i="36"/>
  <c r="K8" i="37"/>
  <c r="N24" i="36"/>
  <c r="O6" i="36"/>
  <c r="D8" i="37"/>
  <c r="M20" i="9"/>
  <c r="M17" i="9"/>
  <c r="M26" i="9"/>
  <c r="K5" i="37"/>
  <c r="D5" i="37"/>
  <c r="K21" i="29"/>
  <c r="G32" i="9"/>
  <c r="M14" i="9"/>
  <c r="K6" i="37"/>
  <c r="M23" i="9"/>
  <c r="BN23" i="36"/>
  <c r="GZ13" i="35"/>
  <c r="GZ17" i="35"/>
  <c r="HA7" i="35"/>
  <c r="GZ9" i="35"/>
  <c r="GZ3" i="35"/>
  <c r="GZ4" i="35"/>
  <c r="GZ16" i="35"/>
  <c r="GZ10" i="35"/>
  <c r="GZ11" i="35"/>
  <c r="L24" i="36" l="1"/>
  <c r="M32" i="9"/>
  <c r="GZ12" i="35"/>
  <c r="GZ8" i="35"/>
  <c r="GY7" i="35"/>
  <c r="GZ19" i="35"/>
  <c r="GZ14" i="35"/>
  <c r="GZ18" i="35"/>
  <c r="GY17" i="35"/>
  <c r="GZ6" i="35"/>
  <c r="HA17" i="35"/>
  <c r="GZ20" i="35"/>
  <c r="HA13" i="35"/>
  <c r="GZ15" i="35"/>
  <c r="GY18" i="35" l="1"/>
  <c r="HA6" i="35"/>
  <c r="HA19" i="35"/>
  <c r="GY19" i="35"/>
  <c r="GY6" i="35"/>
  <c r="HA8" i="35"/>
  <c r="HA18" i="35"/>
  <c r="HA20" i="35"/>
  <c r="HA14" i="35"/>
  <c r="HA16" i="35"/>
  <c r="HA10" i="35"/>
  <c r="GY15" i="35"/>
  <c r="GY20" i="35"/>
  <c r="GY8" i="35"/>
  <c r="HA11" i="35"/>
  <c r="HA12" i="35"/>
  <c r="HA9" i="35"/>
  <c r="GY13" i="35"/>
  <c r="GZ5" i="35"/>
  <c r="GZ21" i="35" s="1"/>
  <c r="GY12" i="35"/>
  <c r="HA3" i="35"/>
  <c r="HA4" i="35"/>
  <c r="HA15" i="35"/>
  <c r="GY3" i="35"/>
  <c r="GY10" i="35" l="1"/>
  <c r="GY9" i="35"/>
  <c r="HA5" i="35"/>
  <c r="GY11" i="35"/>
  <c r="GY14" i="35"/>
  <c r="GY16" i="35"/>
  <c r="GY5" i="35" l="1"/>
  <c r="GY4" i="35"/>
  <c r="GY21" i="35" l="1"/>
  <c r="AH13" i="29"/>
  <c r="F10" i="9"/>
  <c r="A10" i="9"/>
  <c r="I8" i="9"/>
  <c r="D5" i="6"/>
  <c r="R16" i="37"/>
  <c r="R6" i="37"/>
  <c r="R17" i="37"/>
  <c r="R7" i="37"/>
  <c r="R18" i="37"/>
  <c r="R8" i="37"/>
  <c r="R19" i="37"/>
  <c r="R9" i="37"/>
  <c r="R20" i="37"/>
  <c r="R10" i="37"/>
  <c r="R21" i="37"/>
  <c r="R11" i="37"/>
  <c r="R22" i="37"/>
  <c r="R12" i="37"/>
  <c r="R23" i="37"/>
  <c r="R13" i="37"/>
  <c r="R24" i="37"/>
  <c r="G12" i="34"/>
  <c r="D12" i="34"/>
  <c r="A12" i="34"/>
  <c r="J1" i="34"/>
  <c r="G1" i="34"/>
  <c r="D1" i="34"/>
  <c r="A1" i="34"/>
  <c r="R5" i="37" l="1"/>
  <c r="U22" i="6"/>
  <c r="AA8" i="9"/>
  <c r="M22" i="6"/>
  <c r="G34" i="6"/>
  <c r="O34" i="6"/>
  <c r="E34" i="6"/>
  <c r="G22" i="6"/>
  <c r="M34" i="6"/>
  <c r="O22" i="6"/>
  <c r="Q34" i="6"/>
  <c r="Q22" i="6"/>
  <c r="K34" i="6"/>
  <c r="S34" i="6"/>
  <c r="I34" i="6"/>
  <c r="I22" i="6"/>
  <c r="K22" i="6"/>
  <c r="S22" i="6"/>
  <c r="U34" i="6"/>
  <c r="AB22" i="29"/>
  <c r="AC22" i="29" s="1"/>
  <c r="AD22" i="29" s="1"/>
  <c r="AM19" i="29"/>
  <c r="AL19" i="29"/>
  <c r="AT3" i="29"/>
  <c r="AU3" i="29" s="1"/>
  <c r="AT4" i="29"/>
  <c r="AU4" i="29" s="1"/>
  <c r="AT5" i="29"/>
  <c r="AU5" i="29" s="1"/>
  <c r="AV5" i="29" s="1"/>
  <c r="AX5" i="29" s="1"/>
  <c r="AT6" i="29"/>
  <c r="AU6" i="29" s="1"/>
  <c r="AT7" i="29"/>
  <c r="AU7" i="29" s="1"/>
  <c r="AT8" i="29"/>
  <c r="AU8" i="29" s="1"/>
  <c r="AT9" i="29"/>
  <c r="AU9" i="29" s="1"/>
  <c r="AV9" i="29" s="1"/>
  <c r="AX9" i="29" s="1"/>
  <c r="AT10" i="29"/>
  <c r="AU10" i="29" s="1"/>
  <c r="AT11" i="29"/>
  <c r="AU11" i="29" s="1"/>
  <c r="AT12" i="29"/>
  <c r="AU12" i="29" s="1"/>
  <c r="AT13" i="29"/>
  <c r="AU13" i="29" s="1"/>
  <c r="AV13" i="29" s="1"/>
  <c r="AX13" i="29" s="1"/>
  <c r="AT14" i="29"/>
  <c r="AU14" i="29" s="1"/>
  <c r="AT15" i="29"/>
  <c r="AU15" i="29" s="1"/>
  <c r="AT16" i="29"/>
  <c r="AU16" i="29" s="1"/>
  <c r="O20" i="29"/>
  <c r="Q20" i="29" s="1"/>
  <c r="O19" i="29"/>
  <c r="Q19" i="29" s="1"/>
  <c r="O18" i="29"/>
  <c r="Q18" i="29" s="1"/>
  <c r="O17" i="29"/>
  <c r="Q17" i="29" s="1"/>
  <c r="O16" i="29"/>
  <c r="Q16" i="29" s="1"/>
  <c r="O15" i="29"/>
  <c r="Q15" i="29" s="1"/>
  <c r="O14" i="29"/>
  <c r="Q14" i="29" s="1"/>
  <c r="O13" i="29"/>
  <c r="Q13" i="29" s="1"/>
  <c r="O12" i="29"/>
  <c r="Q12" i="29" s="1"/>
  <c r="O11" i="29"/>
  <c r="Q11" i="29" s="1"/>
  <c r="O10" i="29"/>
  <c r="Q10" i="29" s="1"/>
  <c r="O9" i="29"/>
  <c r="O8" i="29"/>
  <c r="Q8" i="29" s="1"/>
  <c r="O7" i="29"/>
  <c r="Q7" i="29" s="1"/>
  <c r="O6" i="29"/>
  <c r="Q6" i="29" s="1"/>
  <c r="O5" i="29"/>
  <c r="Q5" i="29" s="1"/>
  <c r="O4" i="29"/>
  <c r="Q4" i="29" s="1"/>
  <c r="O3" i="29"/>
  <c r="Q3" i="29" s="1"/>
  <c r="AT17" i="29"/>
  <c r="AU17" i="29" s="1"/>
  <c r="AT18" i="29"/>
  <c r="AU18" i="29" s="1"/>
  <c r="AT19" i="29"/>
  <c r="AU19" i="29" s="1"/>
  <c r="AV19" i="29" s="1"/>
  <c r="AX19" i="29" s="1"/>
  <c r="AT20" i="29"/>
  <c r="AU20" i="29" s="1"/>
  <c r="AW20" i="29" s="1"/>
  <c r="Q28" i="9" l="1"/>
  <c r="Q21" i="9"/>
  <c r="Q29" i="9"/>
  <c r="Q30" i="9"/>
  <c r="Q31" i="9"/>
  <c r="Q24" i="9"/>
  <c r="Q15" i="9"/>
  <c r="Q25" i="9"/>
  <c r="Q14" i="9"/>
  <c r="Q26" i="9"/>
  <c r="Q17" i="9"/>
  <c r="Q16" i="9"/>
  <c r="Q9" i="29"/>
  <c r="AE22" i="29"/>
  <c r="AF22" i="29" s="1"/>
  <c r="R20" i="29"/>
  <c r="R19" i="29"/>
  <c r="R18" i="29"/>
  <c r="R17" i="29"/>
  <c r="R16" i="29"/>
  <c r="Q27" i="9"/>
  <c r="R15" i="29"/>
  <c r="R12" i="29"/>
  <c r="Q23" i="9"/>
  <c r="R11" i="29"/>
  <c r="Q22" i="9"/>
  <c r="R8" i="29"/>
  <c r="Q19" i="9"/>
  <c r="R7" i="29"/>
  <c r="Q18" i="9"/>
  <c r="R6" i="29"/>
  <c r="R5" i="29"/>
  <c r="R4" i="29"/>
  <c r="R3" i="29"/>
  <c r="R10" i="29"/>
  <c r="R14" i="29"/>
  <c r="R13" i="29"/>
  <c r="AV12" i="29"/>
  <c r="AX12" i="29" s="1"/>
  <c r="AW12" i="29"/>
  <c r="AV11" i="29"/>
  <c r="AX11" i="29" s="1"/>
  <c r="AW11" i="29"/>
  <c r="AW10" i="29"/>
  <c r="AV10" i="29"/>
  <c r="AX10" i="29" s="1"/>
  <c r="AV16" i="29"/>
  <c r="AX16" i="29" s="1"/>
  <c r="AW16" i="29"/>
  <c r="AV15" i="29"/>
  <c r="AX15" i="29" s="1"/>
  <c r="AW15" i="29"/>
  <c r="AW14" i="29"/>
  <c r="AV14" i="29"/>
  <c r="AX14" i="29" s="1"/>
  <c r="AV8" i="29"/>
  <c r="AX8" i="29" s="1"/>
  <c r="AW8" i="29"/>
  <c r="AV3" i="29"/>
  <c r="AX3" i="29" s="1"/>
  <c r="AW3" i="29"/>
  <c r="AV7" i="29"/>
  <c r="AX7" i="29" s="1"/>
  <c r="AW7" i="29"/>
  <c r="AV4" i="29"/>
  <c r="AX4" i="29" s="1"/>
  <c r="AW4" i="29"/>
  <c r="AW6" i="29"/>
  <c r="AV6" i="29"/>
  <c r="AX6" i="29" s="1"/>
  <c r="AW13" i="29"/>
  <c r="AY13" i="29" s="1"/>
  <c r="AW9" i="29"/>
  <c r="AY9" i="29" s="1"/>
  <c r="AW5" i="29"/>
  <c r="AY5" i="29" s="1"/>
  <c r="AW19" i="29"/>
  <c r="AY19" i="29" s="1"/>
  <c r="P19" i="29" s="1"/>
  <c r="AV20" i="29"/>
  <c r="AX20" i="29" s="1"/>
  <c r="AY20" i="29" s="1"/>
  <c r="P20" i="29" s="1"/>
  <c r="AW18" i="29"/>
  <c r="AV18" i="29"/>
  <c r="AX18" i="29" s="1"/>
  <c r="AV17" i="29"/>
  <c r="AX17" i="29" s="1"/>
  <c r="AW17" i="29"/>
  <c r="Q20" i="9" l="1"/>
  <c r="S24" i="9"/>
  <c r="AA24" i="9" s="1"/>
  <c r="S31" i="9"/>
  <c r="AA31" i="9" s="1"/>
  <c r="U12" i="29"/>
  <c r="AP12" i="29" s="1"/>
  <c r="S25" i="9"/>
  <c r="AA25" i="9" s="1"/>
  <c r="S21" i="9"/>
  <c r="AA21" i="9" s="1"/>
  <c r="S28" i="9"/>
  <c r="AA28" i="9" s="1"/>
  <c r="S14" i="9"/>
  <c r="AA14" i="9" s="1"/>
  <c r="S29" i="9"/>
  <c r="AA29" i="9" s="1"/>
  <c r="S15" i="9"/>
  <c r="AA15" i="9" s="1"/>
  <c r="S17" i="9"/>
  <c r="AA17" i="9" s="1"/>
  <c r="S16" i="9"/>
  <c r="AA16" i="9" s="1"/>
  <c r="S26" i="9"/>
  <c r="AA26" i="9" s="1"/>
  <c r="U19" i="29"/>
  <c r="AR19" i="29" s="1"/>
  <c r="S30" i="9"/>
  <c r="AA30" i="9" s="1"/>
  <c r="U18" i="29"/>
  <c r="H36" i="6" s="1"/>
  <c r="U17" i="29"/>
  <c r="U6" i="29"/>
  <c r="AP6" i="29" s="1"/>
  <c r="U15" i="29"/>
  <c r="U5" i="29"/>
  <c r="AK19" i="29"/>
  <c r="AQ12" i="29"/>
  <c r="AO19" i="29"/>
  <c r="U10" i="29"/>
  <c r="AQ18" i="29"/>
  <c r="R9" i="29"/>
  <c r="AN19" i="29"/>
  <c r="U4" i="29"/>
  <c r="AP4" i="29" s="1"/>
  <c r="U11" i="29"/>
  <c r="U13" i="29"/>
  <c r="S18" i="9"/>
  <c r="U8" i="29"/>
  <c r="U16" i="29"/>
  <c r="AP16" i="29" s="1"/>
  <c r="S23" i="9"/>
  <c r="AE23" i="9" s="1"/>
  <c r="U20" i="29"/>
  <c r="S22" i="9"/>
  <c r="AE22" i="9" s="1"/>
  <c r="S19" i="9"/>
  <c r="AA19" i="9" s="1"/>
  <c r="U7" i="29"/>
  <c r="U3" i="29"/>
  <c r="AP3" i="29" s="1"/>
  <c r="S3" i="29"/>
  <c r="S27" i="9"/>
  <c r="AE27" i="9" s="1"/>
  <c r="U14" i="29"/>
  <c r="AR14" i="29" s="1"/>
  <c r="AY8" i="29"/>
  <c r="P8" i="29" s="1"/>
  <c r="AY16" i="29"/>
  <c r="P16" i="29" s="1"/>
  <c r="AY10" i="29"/>
  <c r="P10" i="29" s="1"/>
  <c r="AY18" i="29"/>
  <c r="P18" i="29" s="1"/>
  <c r="AY6" i="29"/>
  <c r="P6" i="29" s="1"/>
  <c r="AY7" i="29"/>
  <c r="P7" i="29" s="1"/>
  <c r="AY3" i="29"/>
  <c r="P3" i="29" s="1"/>
  <c r="AY15" i="29"/>
  <c r="P15" i="29" s="1"/>
  <c r="AY4" i="29"/>
  <c r="P4" i="29" s="1"/>
  <c r="AY14" i="29"/>
  <c r="P14" i="29" s="1"/>
  <c r="AY11" i="29"/>
  <c r="P11" i="29" s="1"/>
  <c r="AY12" i="29"/>
  <c r="P12" i="29" s="1"/>
  <c r="AY17" i="29"/>
  <c r="P17" i="29" s="1"/>
  <c r="P13" i="29"/>
  <c r="P9" i="29"/>
  <c r="P5" i="29"/>
  <c r="AQ17" i="29" l="1"/>
  <c r="AP17" i="29"/>
  <c r="AJ15" i="29"/>
  <c r="AP15" i="29"/>
  <c r="AR8" i="29"/>
  <c r="AQ8" i="29"/>
  <c r="AQ15" i="29"/>
  <c r="AO20" i="29"/>
  <c r="AO13" i="29"/>
  <c r="AP13" i="29"/>
  <c r="AQ7" i="29"/>
  <c r="AP18" i="29"/>
  <c r="AR4" i="29"/>
  <c r="AQ6" i="29"/>
  <c r="AR18" i="29"/>
  <c r="AJ19" i="29"/>
  <c r="AP11" i="29"/>
  <c r="AO10" i="29"/>
  <c r="AP10" i="29"/>
  <c r="AK5" i="29"/>
  <c r="AQ5" i="29"/>
  <c r="AL18" i="29"/>
  <c r="AQ19" i="29"/>
  <c r="AO18" i="29"/>
  <c r="AO17" i="29"/>
  <c r="AN17" i="29"/>
  <c r="AR6" i="29"/>
  <c r="AR15" i="29"/>
  <c r="AR17" i="29"/>
  <c r="AR12" i="29"/>
  <c r="AE25" i="9"/>
  <c r="AE31" i="9"/>
  <c r="S20" i="9"/>
  <c r="AA20" i="9" s="1"/>
  <c r="AN6" i="29"/>
  <c r="AN5" i="29"/>
  <c r="AN15" i="29"/>
  <c r="AK6" i="29"/>
  <c r="AL17" i="29"/>
  <c r="AJ17" i="29"/>
  <c r="AJ18" i="29"/>
  <c r="AM6" i="29"/>
  <c r="AM5" i="29"/>
  <c r="AJ6" i="29"/>
  <c r="AL6" i="29"/>
  <c r="C13" i="37"/>
  <c r="AN18" i="29"/>
  <c r="J6" i="37"/>
  <c r="AE14" i="9"/>
  <c r="J12" i="37"/>
  <c r="C12" i="37"/>
  <c r="AL5" i="29"/>
  <c r="AL15" i="29"/>
  <c r="AK15" i="29"/>
  <c r="AR5" i="29"/>
  <c r="AP5" i="29"/>
  <c r="AM15" i="29"/>
  <c r="AJ5" i="29"/>
  <c r="C6" i="37"/>
  <c r="C11" i="37"/>
  <c r="AQ3" i="29"/>
  <c r="AO3" i="29"/>
  <c r="AR7" i="29"/>
  <c r="AP7" i="29"/>
  <c r="AQ16" i="29"/>
  <c r="AR16" i="29"/>
  <c r="AP14" i="29"/>
  <c r="AQ14" i="29"/>
  <c r="AQ13" i="29"/>
  <c r="AR13" i="29"/>
  <c r="AQ11" i="29"/>
  <c r="AR11" i="29"/>
  <c r="AQ10" i="29"/>
  <c r="AR10" i="29"/>
  <c r="AA18" i="9"/>
  <c r="AJ10" i="29"/>
  <c r="AL10" i="29"/>
  <c r="J7" i="37"/>
  <c r="AP8" i="29"/>
  <c r="AN10" i="29"/>
  <c r="J8" i="37"/>
  <c r="AR20" i="29"/>
  <c r="AP20" i="29"/>
  <c r="AM20" i="29"/>
  <c r="AQ20" i="29"/>
  <c r="AO4" i="29"/>
  <c r="AQ4" i="29"/>
  <c r="U9" i="29"/>
  <c r="P24" i="6" s="1"/>
  <c r="AM3" i="29"/>
  <c r="AN3" i="29"/>
  <c r="J11" i="37"/>
  <c r="AK16" i="29"/>
  <c r="J5" i="37"/>
  <c r="AN4" i="29"/>
  <c r="AL14" i="29"/>
  <c r="AK14" i="29"/>
  <c r="AL13" i="29"/>
  <c r="AK13" i="29"/>
  <c r="AJ8" i="29"/>
  <c r="AN20" i="29"/>
  <c r="J13" i="37"/>
  <c r="AO12" i="29"/>
  <c r="J9" i="37"/>
  <c r="AO11" i="29"/>
  <c r="C9" i="37"/>
  <c r="AK7" i="29"/>
  <c r="C7" i="37"/>
  <c r="AM14" i="29"/>
  <c r="J10" i="37"/>
  <c r="AM13" i="29"/>
  <c r="C10" i="37"/>
  <c r="AK3" i="29"/>
  <c r="C5" i="37"/>
  <c r="AJ13" i="29"/>
  <c r="AO8" i="29"/>
  <c r="AK8" i="29"/>
  <c r="AL7" i="29"/>
  <c r="AO7" i="29"/>
  <c r="AL16" i="29"/>
  <c r="AO16" i="29"/>
  <c r="AL12" i="29"/>
  <c r="AK12" i="29"/>
  <c r="AL11" i="29"/>
  <c r="AK11" i="29"/>
  <c r="AJ4" i="29"/>
  <c r="AM4" i="29"/>
  <c r="AM8" i="29"/>
  <c r="AL8" i="29"/>
  <c r="AK4" i="29"/>
  <c r="AJ20" i="29"/>
  <c r="AK20" i="29"/>
  <c r="AJ16" i="29"/>
  <c r="AM16" i="29"/>
  <c r="AJ12" i="29"/>
  <c r="AM12" i="29"/>
  <c r="AJ11" i="29"/>
  <c r="AM11" i="29"/>
  <c r="AJ7" i="29"/>
  <c r="AM7" i="29"/>
  <c r="AR3" i="29"/>
  <c r="AL3" i="29"/>
  <c r="AE18" i="9"/>
  <c r="AA23" i="9"/>
  <c r="AE19" i="9"/>
  <c r="AA22" i="9"/>
  <c r="AE29" i="9"/>
  <c r="AE30" i="9"/>
  <c r="AE28" i="9"/>
  <c r="AA27" i="9"/>
  <c r="AE26" i="9"/>
  <c r="AE15" i="9"/>
  <c r="AE24" i="9"/>
  <c r="AE21" i="9"/>
  <c r="AE17" i="9"/>
  <c r="AE16" i="9"/>
  <c r="AJ14" i="29"/>
  <c r="AO14" i="29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I34" i="30"/>
  <c r="I35" i="30"/>
  <c r="I36" i="30"/>
  <c r="I37" i="30"/>
  <c r="I38" i="30"/>
  <c r="I39" i="30"/>
  <c r="I40" i="30"/>
  <c r="I41" i="30"/>
  <c r="I42" i="30"/>
  <c r="I43" i="30"/>
  <c r="I44" i="30"/>
  <c r="I45" i="30"/>
  <c r="I46" i="30"/>
  <c r="I47" i="30"/>
  <c r="I48" i="30"/>
  <c r="I49" i="30"/>
  <c r="I50" i="30"/>
  <c r="I51" i="30"/>
  <c r="I52" i="30"/>
  <c r="I53" i="30"/>
  <c r="I54" i="30"/>
  <c r="I55" i="30"/>
  <c r="I56" i="30"/>
  <c r="I57" i="30"/>
  <c r="I58" i="30"/>
  <c r="I59" i="30"/>
  <c r="I60" i="30"/>
  <c r="I61" i="30"/>
  <c r="I62" i="30"/>
  <c r="I63" i="30"/>
  <c r="I64" i="30"/>
  <c r="I65" i="30"/>
  <c r="I66" i="30"/>
  <c r="I67" i="30"/>
  <c r="I68" i="30"/>
  <c r="I69" i="30"/>
  <c r="I7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L21" i="30"/>
  <c r="L22" i="30"/>
  <c r="L23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50" i="30"/>
  <c r="L51" i="30"/>
  <c r="L52" i="30"/>
  <c r="L53" i="30"/>
  <c r="L54" i="30"/>
  <c r="L55" i="30"/>
  <c r="L56" i="30"/>
  <c r="L57" i="30"/>
  <c r="L58" i="30"/>
  <c r="L59" i="30"/>
  <c r="L60" i="30"/>
  <c r="L61" i="30"/>
  <c r="L62" i="30"/>
  <c r="L63" i="30"/>
  <c r="L64" i="30"/>
  <c r="L65" i="30"/>
  <c r="L66" i="30"/>
  <c r="L67" i="30"/>
  <c r="L68" i="30"/>
  <c r="L69" i="30"/>
  <c r="L70" i="30"/>
  <c r="K21" i="30"/>
  <c r="K22" i="30"/>
  <c r="K23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K40" i="30"/>
  <c r="K41" i="30"/>
  <c r="K42" i="30"/>
  <c r="K43" i="30"/>
  <c r="K44" i="30"/>
  <c r="K45" i="30"/>
  <c r="K46" i="30"/>
  <c r="K47" i="30"/>
  <c r="K48" i="30"/>
  <c r="K49" i="30"/>
  <c r="K50" i="30"/>
  <c r="K51" i="30"/>
  <c r="K52" i="30"/>
  <c r="K53" i="30"/>
  <c r="K54" i="30"/>
  <c r="K55" i="30"/>
  <c r="K56" i="30"/>
  <c r="K57" i="30"/>
  <c r="K58" i="30"/>
  <c r="K59" i="30"/>
  <c r="K60" i="30"/>
  <c r="K61" i="30"/>
  <c r="K62" i="30"/>
  <c r="K63" i="30"/>
  <c r="K64" i="30"/>
  <c r="K65" i="30"/>
  <c r="K66" i="30"/>
  <c r="K67" i="30"/>
  <c r="K68" i="30"/>
  <c r="K69" i="30"/>
  <c r="K70" i="30"/>
  <c r="B20" i="30"/>
  <c r="K20" i="30"/>
  <c r="E9" i="30"/>
  <c r="C12" i="30"/>
  <c r="C13" i="30"/>
  <c r="C14" i="30"/>
  <c r="C15" i="30"/>
  <c r="C11" i="30"/>
  <c r="F11" i="6"/>
  <c r="F12" i="6"/>
  <c r="F13" i="6"/>
  <c r="F15" i="6"/>
  <c r="F16" i="6"/>
  <c r="F17" i="6"/>
  <c r="F18" i="6"/>
  <c r="F10" i="6"/>
  <c r="D11" i="6"/>
  <c r="D12" i="6"/>
  <c r="D13" i="6"/>
  <c r="D15" i="6"/>
  <c r="D16" i="6"/>
  <c r="D17" i="6"/>
  <c r="D10" i="6"/>
  <c r="B12" i="6"/>
  <c r="B13" i="6"/>
  <c r="B15" i="6"/>
  <c r="B16" i="6"/>
  <c r="B17" i="6"/>
  <c r="B18" i="6"/>
  <c r="B10" i="6"/>
  <c r="B11" i="6"/>
  <c r="J9" i="30"/>
  <c r="H9" i="30"/>
  <c r="C3" i="29"/>
  <c r="AB4" i="29"/>
  <c r="AC4" i="29" s="1"/>
  <c r="AB5" i="29"/>
  <c r="AC5" i="29" s="1"/>
  <c r="AB6" i="29"/>
  <c r="AC6" i="29" s="1"/>
  <c r="AB7" i="29"/>
  <c r="AC7" i="29" s="1"/>
  <c r="AB8" i="29"/>
  <c r="AC8" i="29" s="1"/>
  <c r="AD8" i="29" s="1"/>
  <c r="AB9" i="29"/>
  <c r="AC9" i="29" s="1"/>
  <c r="AB10" i="29"/>
  <c r="AC10" i="29" s="1"/>
  <c r="AB11" i="29"/>
  <c r="AC11" i="29" s="1"/>
  <c r="AB12" i="29"/>
  <c r="AC12" i="29" s="1"/>
  <c r="AE12" i="29" s="1"/>
  <c r="AB13" i="29"/>
  <c r="AC13" i="29" s="1"/>
  <c r="AB14" i="29"/>
  <c r="AC14" i="29" s="1"/>
  <c r="AB15" i="29"/>
  <c r="AC15" i="29" s="1"/>
  <c r="AB16" i="29"/>
  <c r="AC16" i="29" s="1"/>
  <c r="AB17" i="29"/>
  <c r="AC17" i="29" s="1"/>
  <c r="AB18" i="29"/>
  <c r="AC18" i="29" s="1"/>
  <c r="AB3" i="29"/>
  <c r="AC3" i="29" s="1"/>
  <c r="AP9" i="29" l="1"/>
  <c r="AR9" i="29"/>
  <c r="AO9" i="29"/>
  <c r="Q5" i="37"/>
  <c r="B5" i="37" s="1"/>
  <c r="C8" i="37"/>
  <c r="AQ9" i="29"/>
  <c r="S32" i="9"/>
  <c r="AA32" i="9"/>
  <c r="AJ9" i="29"/>
  <c r="AL9" i="29"/>
  <c r="AN9" i="29"/>
  <c r="AE20" i="9"/>
  <c r="AE32" i="9" s="1"/>
  <c r="AD9" i="29"/>
  <c r="AE8" i="29"/>
  <c r="AF8" i="29" s="1"/>
  <c r="AD4" i="29"/>
  <c r="AE4" i="29"/>
  <c r="AD3" i="29"/>
  <c r="AE3" i="29"/>
  <c r="AD18" i="29"/>
  <c r="AE18" i="29"/>
  <c r="AE13" i="29"/>
  <c r="AD13" i="29"/>
  <c r="AD10" i="29"/>
  <c r="AE10" i="29"/>
  <c r="AD7" i="29"/>
  <c r="AE7" i="29"/>
  <c r="AE15" i="29"/>
  <c r="AD15" i="29"/>
  <c r="AE14" i="29"/>
  <c r="AD14" i="29"/>
  <c r="AE11" i="29"/>
  <c r="AD11" i="29"/>
  <c r="AD6" i="29"/>
  <c r="AE6" i="29"/>
  <c r="AE17" i="29"/>
  <c r="AD17" i="29"/>
  <c r="AD5" i="29"/>
  <c r="AE5" i="29"/>
  <c r="AE16" i="29"/>
  <c r="AD16" i="29"/>
  <c r="AE9" i="29"/>
  <c r="AD12" i="29"/>
  <c r="AF12" i="29" s="1"/>
  <c r="AF4" i="29" l="1"/>
  <c r="AF16" i="29"/>
  <c r="AF11" i="29"/>
  <c r="AF15" i="29"/>
  <c r="AA36" i="9"/>
  <c r="AF17" i="29"/>
  <c r="AK17" i="29" s="1"/>
  <c r="AF5" i="29"/>
  <c r="AF10" i="29"/>
  <c r="AF14" i="29"/>
  <c r="AF13" i="29"/>
  <c r="AF6" i="29"/>
  <c r="AF18" i="29"/>
  <c r="AF9" i="29"/>
  <c r="AF7" i="29"/>
  <c r="AM10" i="29"/>
  <c r="AF3" i="29"/>
  <c r="AP19" i="29"/>
  <c r="AL20" i="29"/>
  <c r="AN16" i="29"/>
  <c r="AN11" i="29"/>
  <c r="AN14" i="29"/>
  <c r="AN13" i="29"/>
  <c r="AM17" i="29"/>
  <c r="AK10" i="29"/>
  <c r="G36" i="9"/>
  <c r="P10" i="9"/>
  <c r="K10" i="9"/>
  <c r="F8" i="37" l="1"/>
  <c r="M12" i="37"/>
  <c r="AN8" i="29"/>
  <c r="AN12" i="29"/>
  <c r="AM18" i="29"/>
  <c r="AK18" i="29"/>
  <c r="AK9" i="29"/>
  <c r="AM9" i="29"/>
  <c r="AO15" i="29"/>
  <c r="AN7" i="29"/>
  <c r="AO5" i="29"/>
  <c r="AO6" i="29"/>
  <c r="L20" i="30"/>
  <c r="J20" i="30"/>
  <c r="H20" i="30"/>
  <c r="I20" i="30" s="1"/>
  <c r="C18" i="9"/>
  <c r="O18" i="9"/>
  <c r="C19" i="9"/>
  <c r="O19" i="9"/>
  <c r="C22" i="9"/>
  <c r="O22" i="9"/>
  <c r="C23" i="9"/>
  <c r="O23" i="9"/>
  <c r="C27" i="9"/>
  <c r="O27" i="9"/>
  <c r="D36" i="9" l="1"/>
  <c r="C4" i="29"/>
  <c r="C5" i="29"/>
  <c r="C6" i="29"/>
  <c r="S33" i="6" s="1"/>
  <c r="C8" i="29"/>
  <c r="C10" i="29"/>
  <c r="C11" i="29"/>
  <c r="C12" i="29"/>
  <c r="C13" i="29"/>
  <c r="C14" i="29"/>
  <c r="C15" i="29"/>
  <c r="C16" i="29"/>
  <c r="C17" i="29"/>
  <c r="Q24" i="37"/>
  <c r="I13" i="37" s="1"/>
  <c r="L23" i="6"/>
  <c r="M36" i="9"/>
  <c r="K36" i="9"/>
  <c r="F35" i="6"/>
  <c r="J35" i="6"/>
  <c r="J23" i="6"/>
  <c r="L35" i="6"/>
  <c r="N35" i="6"/>
  <c r="N23" i="6"/>
  <c r="P35" i="6"/>
  <c r="P23" i="6"/>
  <c r="R35" i="6"/>
  <c r="R23" i="6"/>
  <c r="T35" i="6"/>
  <c r="T23" i="6"/>
  <c r="V35" i="6"/>
  <c r="V23" i="6"/>
  <c r="Q18" i="37" l="1"/>
  <c r="I7" i="37" s="1"/>
  <c r="Q12" i="37"/>
  <c r="B12" i="37" s="1"/>
  <c r="Q8" i="37"/>
  <c r="B8" i="37" s="1"/>
  <c r="Q7" i="37"/>
  <c r="B7" i="37" s="1"/>
  <c r="Q23" i="37"/>
  <c r="I12" i="37" s="1"/>
  <c r="Q21" i="37"/>
  <c r="I10" i="37" s="1"/>
  <c r="Q17" i="37"/>
  <c r="I6" i="37" s="1"/>
  <c r="Q10" i="37"/>
  <c r="B10" i="37" s="1"/>
  <c r="Q6" i="37"/>
  <c r="B6" i="37" s="1"/>
  <c r="Q16" i="37"/>
  <c r="I5" i="37" s="1"/>
  <c r="Q19" i="37"/>
  <c r="I8" i="37" s="1"/>
  <c r="Q13" i="37"/>
  <c r="B13" i="37" s="1"/>
  <c r="Q22" i="37"/>
  <c r="I11" i="37" s="1"/>
  <c r="Q11" i="37"/>
  <c r="B11" i="37" s="1"/>
  <c r="Q20" i="37"/>
  <c r="I9" i="37" s="1"/>
  <c r="Q9" i="37"/>
  <c r="B9" i="37" s="1"/>
  <c r="O33" i="6"/>
  <c r="G27" i="6"/>
  <c r="S27" i="6"/>
  <c r="G33" i="6"/>
  <c r="E33" i="6"/>
  <c r="U33" i="6"/>
  <c r="I33" i="6"/>
  <c r="M33" i="6"/>
  <c r="Q33" i="6"/>
  <c r="M27" i="6"/>
  <c r="Q27" i="6"/>
  <c r="U27" i="6"/>
  <c r="O27" i="6"/>
  <c r="I27" i="6"/>
  <c r="K27" i="6"/>
  <c r="K33" i="6"/>
  <c r="H23" i="6"/>
  <c r="H35" i="6"/>
  <c r="F6" i="37" l="1"/>
  <c r="F9" i="37"/>
  <c r="M11" i="37"/>
  <c r="M6" i="37"/>
  <c r="F7" i="37"/>
  <c r="F11" i="37"/>
  <c r="F12" i="37"/>
  <c r="S9" i="29"/>
  <c r="AL4" i="29"/>
  <c r="V37" i="6"/>
  <c r="T10" i="29"/>
  <c r="F13" i="37"/>
  <c r="T13" i="29"/>
  <c r="T11" i="29"/>
  <c r="T25" i="6"/>
  <c r="R25" i="6"/>
  <c r="P25" i="6"/>
  <c r="P37" i="6"/>
  <c r="F37" i="6"/>
  <c r="L25" i="6"/>
  <c r="N37" i="6"/>
  <c r="J37" i="6"/>
  <c r="T37" i="6"/>
  <c r="R37" i="6"/>
  <c r="M7" i="37" l="1"/>
  <c r="M8" i="37"/>
  <c r="F10" i="37"/>
  <c r="M5" i="37"/>
  <c r="M13" i="37"/>
  <c r="M10" i="37"/>
  <c r="M9" i="37"/>
  <c r="T18" i="29"/>
  <c r="T9" i="29"/>
  <c r="S10" i="29"/>
  <c r="S11" i="29"/>
  <c r="S18" i="29"/>
  <c r="S16" i="29"/>
  <c r="T16" i="29"/>
  <c r="S8" i="29"/>
  <c r="T8" i="29"/>
  <c r="S5" i="29"/>
  <c r="T5" i="29"/>
  <c r="AJ3" i="29"/>
  <c r="T17" i="29"/>
  <c r="T7" i="29"/>
  <c r="T6" i="29"/>
  <c r="S13" i="29"/>
  <c r="T20" i="29"/>
  <c r="T15" i="29"/>
  <c r="T19" i="29"/>
  <c r="T12" i="29"/>
  <c r="J21" i="29"/>
  <c r="V25" i="6"/>
  <c r="Q36" i="9"/>
  <c r="N25" i="6"/>
  <c r="J25" i="6"/>
  <c r="L37" i="6"/>
  <c r="H37" i="6"/>
  <c r="H25" i="6"/>
  <c r="F5" i="37" l="1"/>
  <c r="T14" i="29"/>
  <c r="U21" i="29"/>
  <c r="T4" i="29"/>
  <c r="S12" i="29"/>
  <c r="S6" i="29"/>
  <c r="S7" i="29"/>
  <c r="S4" i="29"/>
  <c r="S17" i="29"/>
  <c r="S20" i="29"/>
  <c r="F36" i="6"/>
  <c r="S14" i="29"/>
  <c r="S19" i="29"/>
  <c r="S15" i="29"/>
  <c r="R24" i="6"/>
  <c r="L21" i="29"/>
  <c r="T24" i="6"/>
  <c r="J36" i="6"/>
  <c r="L24" i="6"/>
  <c r="R36" i="6"/>
  <c r="P36" i="6"/>
  <c r="T36" i="6"/>
  <c r="I36" i="9"/>
  <c r="N36" i="6"/>
  <c r="AL21" i="29" l="1"/>
  <c r="AN21" i="29"/>
  <c r="AH7" i="29" s="1"/>
  <c r="J14" i="6" s="1"/>
  <c r="AO21" i="29"/>
  <c r="AH8" i="29" s="1"/>
  <c r="V36" i="6"/>
  <c r="T3" i="29"/>
  <c r="S21" i="29"/>
  <c r="R21" i="29"/>
  <c r="AQ21" i="29"/>
  <c r="AH10" i="29" s="1"/>
  <c r="AP21" i="29"/>
  <c r="AH9" i="29" s="1"/>
  <c r="AM21" i="29"/>
  <c r="AH6" i="29" s="1"/>
  <c r="AR21" i="29"/>
  <c r="AH11" i="29" s="1"/>
  <c r="N24" i="6"/>
  <c r="O36" i="9"/>
  <c r="J24" i="6"/>
  <c r="H24" i="6"/>
  <c r="J17" i="6" l="1"/>
  <c r="B15" i="34"/>
  <c r="B18" i="34" s="1"/>
  <c r="B19" i="34" s="1"/>
  <c r="B20" i="34" s="1"/>
  <c r="J15" i="6"/>
  <c r="J13" i="6"/>
  <c r="AH5" i="29"/>
  <c r="K4" i="34"/>
  <c r="K5" i="34" s="1"/>
  <c r="K6" i="34" s="1"/>
  <c r="J18" i="6"/>
  <c r="AJ21" i="29"/>
  <c r="AH3" i="29" s="1"/>
  <c r="E14" i="30"/>
  <c r="AK21" i="29"/>
  <c r="AH4" i="29" s="1"/>
  <c r="T21" i="29"/>
  <c r="V24" i="6"/>
  <c r="S36" i="9"/>
  <c r="L36" i="6"/>
  <c r="E15" i="30" l="1"/>
  <c r="E15" i="34"/>
  <c r="E18" i="34" s="1"/>
  <c r="E19" i="34" s="1"/>
  <c r="E20" i="34" s="1"/>
  <c r="J11" i="6"/>
  <c r="J12" i="6"/>
  <c r="H15" i="34"/>
  <c r="H18" i="34" s="1"/>
  <c r="H19" i="34" s="1"/>
  <c r="H20" i="34" s="1"/>
  <c r="H4" i="34"/>
  <c r="H5" i="34" s="1"/>
  <c r="H6" i="34" s="1"/>
  <c r="E13" i="30"/>
  <c r="K7" i="34"/>
  <c r="K8" i="34" s="1"/>
  <c r="K9" i="34" s="1"/>
  <c r="B16" i="34"/>
  <c r="B17" i="34" s="1"/>
  <c r="E4" i="34"/>
  <c r="E5" i="34" s="1"/>
  <c r="E6" i="34" s="1"/>
  <c r="E12" i="30"/>
  <c r="W36" i="9"/>
  <c r="E16" i="34" l="1"/>
  <c r="E17" i="34" s="1"/>
  <c r="B4" i="34"/>
  <c r="B5" i="34" s="1"/>
  <c r="B6" i="34" s="1"/>
  <c r="H16" i="34"/>
  <c r="H17" i="34" s="1"/>
  <c r="E11" i="30"/>
  <c r="J10" i="6"/>
  <c r="J16" i="6"/>
  <c r="H7" i="34"/>
  <c r="H8" i="34" s="1"/>
  <c r="H9" i="34" s="1"/>
  <c r="E7" i="34"/>
  <c r="E8" i="34" s="1"/>
  <c r="E9" i="34" s="1"/>
  <c r="B7" i="34" l="1"/>
  <c r="B8" i="34" s="1"/>
  <c r="B9" i="3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Deniz Kaplan</author>
  </authors>
  <commentList>
    <comment ref="B19" authorId="0" shapeId="0" xr:uid="{00000000-0006-0000-0A00-000001000000}">
      <text>
        <r>
          <rPr>
            <b/>
            <sz val="9"/>
            <color indexed="81"/>
            <rFont val="Tahoma"/>
            <family val="2"/>
            <charset val="162"/>
          </rPr>
          <t>Deniz Kaplan:</t>
        </r>
        <r>
          <rPr>
            <sz val="9"/>
            <color indexed="81"/>
            <rFont val="Tahoma"/>
            <family val="2"/>
            <charset val="162"/>
          </rPr>
          <t xml:space="preserve">
tarih girilmez ise hesaplama açılmaz 
</t>
        </r>
      </text>
    </comment>
  </commentList>
</comments>
</file>

<file path=xl/sharedStrings.xml><?xml version="1.0" encoding="utf-8"?>
<sst xmlns="http://schemas.openxmlformats.org/spreadsheetml/2006/main" count="1434" uniqueCount="324">
  <si>
    <t>TERMINAL</t>
  </si>
  <si>
    <t>Free Water</t>
  </si>
  <si>
    <t>GSV</t>
  </si>
  <si>
    <t>GOV</t>
  </si>
  <si>
    <t>1P</t>
  </si>
  <si>
    <t>1S</t>
  </si>
  <si>
    <t>2P</t>
  </si>
  <si>
    <t>2S</t>
  </si>
  <si>
    <t>3P</t>
  </si>
  <si>
    <t>3S</t>
  </si>
  <si>
    <t>4P</t>
  </si>
  <si>
    <t>4S</t>
  </si>
  <si>
    <t>5P</t>
  </si>
  <si>
    <t>5S</t>
  </si>
  <si>
    <t>6P</t>
  </si>
  <si>
    <t>6S</t>
  </si>
  <si>
    <t>7P</t>
  </si>
  <si>
    <t>7S</t>
  </si>
  <si>
    <t>8P</t>
  </si>
  <si>
    <t>8S</t>
  </si>
  <si>
    <t>9S</t>
  </si>
  <si>
    <t>Vessel</t>
  </si>
  <si>
    <t>Voyage</t>
  </si>
  <si>
    <t>Date</t>
  </si>
  <si>
    <t>From</t>
  </si>
  <si>
    <t>Port</t>
  </si>
  <si>
    <t>Cargo</t>
  </si>
  <si>
    <t>Draft Fwd</t>
  </si>
  <si>
    <t>Draft Aft</t>
  </si>
  <si>
    <t>Tanks</t>
  </si>
  <si>
    <t>Ullage</t>
  </si>
  <si>
    <t>TOV</t>
  </si>
  <si>
    <t>Free water</t>
  </si>
  <si>
    <t>Temperature</t>
  </si>
  <si>
    <t>VCF</t>
  </si>
  <si>
    <t>Density</t>
  </si>
  <si>
    <t>Weight</t>
  </si>
  <si>
    <t>Actual</t>
  </si>
  <si>
    <t>Corrected</t>
  </si>
  <si>
    <t>15 Deg C</t>
  </si>
  <si>
    <t>Vacuum</t>
  </si>
  <si>
    <t>COT 1P</t>
  </si>
  <si>
    <t>COT 1S</t>
  </si>
  <si>
    <t>COT 2P</t>
  </si>
  <si>
    <t>COT 2S</t>
  </si>
  <si>
    <t>COT 3P</t>
  </si>
  <si>
    <t>COT 3S</t>
  </si>
  <si>
    <t>COT 4P</t>
  </si>
  <si>
    <t>COT 4S</t>
  </si>
  <si>
    <t>COT 5P</t>
  </si>
  <si>
    <t>COT 5S</t>
  </si>
  <si>
    <t>COT 6P</t>
  </si>
  <si>
    <t>COT 6S</t>
  </si>
  <si>
    <t>COT 7P</t>
  </si>
  <si>
    <t>COT 7S</t>
  </si>
  <si>
    <t>COT 8P</t>
  </si>
  <si>
    <t>COT 8S</t>
  </si>
  <si>
    <t>COT 9P</t>
  </si>
  <si>
    <t>MMC No</t>
  </si>
  <si>
    <t>Product</t>
  </si>
  <si>
    <t>Metric Tonnes</t>
  </si>
  <si>
    <t>Air</t>
  </si>
  <si>
    <t>Remarks:</t>
  </si>
  <si>
    <t>Signature, Master/Chief Officer</t>
  </si>
  <si>
    <t>Name in block letters</t>
  </si>
  <si>
    <t>Signature, Surveyor</t>
  </si>
  <si>
    <t>Company</t>
  </si>
  <si>
    <t>CONTROLLED COPY</t>
  </si>
  <si>
    <t>1 PORT</t>
  </si>
  <si>
    <t>2 PORT</t>
  </si>
  <si>
    <t>4 PORT</t>
  </si>
  <si>
    <t>5 PORT</t>
  </si>
  <si>
    <t>6 PORT</t>
  </si>
  <si>
    <t>7 PORT</t>
  </si>
  <si>
    <t>8 PORT</t>
  </si>
  <si>
    <t>CARGO</t>
  </si>
  <si>
    <t>MT</t>
  </si>
  <si>
    <t>SL (P)</t>
  </si>
  <si>
    <t>ULL</t>
  </si>
  <si>
    <t>%</t>
  </si>
  <si>
    <t>SL (S)</t>
  </si>
  <si>
    <t>CBM</t>
  </si>
  <si>
    <t>TANK NO</t>
  </si>
  <si>
    <t xml:space="preserve">9P </t>
  </si>
  <si>
    <t>MT (AIR)</t>
  </si>
  <si>
    <t>MT (VAC)</t>
  </si>
  <si>
    <t>GRADE</t>
  </si>
  <si>
    <t>LİMAN / PORT</t>
  </si>
  <si>
    <t>% FILL</t>
  </si>
  <si>
    <t>DENSITY</t>
  </si>
  <si>
    <t>TEMP (C)</t>
  </si>
  <si>
    <t>Σ:</t>
  </si>
  <si>
    <t>TERMİNAL</t>
  </si>
  <si>
    <t>AVG.TEMP</t>
  </si>
  <si>
    <t>WEIGHT (MT IN AIR)</t>
  </si>
  <si>
    <t>Draft FWD</t>
  </si>
  <si>
    <t>Draft AFT</t>
  </si>
  <si>
    <t>FINAL VALUES</t>
  </si>
  <si>
    <t>% OR mt</t>
  </si>
  <si>
    <t>SADECE MAVİ KUTULARI KULLANINIZ!</t>
  </si>
  <si>
    <t>0.00</t>
  </si>
  <si>
    <t>AVERAGE 
VCF</t>
  </si>
  <si>
    <t xml:space="preserve">Sea State: </t>
  </si>
  <si>
    <t>RECEIVER</t>
  </si>
  <si>
    <t>PARCEL</t>
  </si>
  <si>
    <t>ALL</t>
  </si>
  <si>
    <t>SADECE MAVİ BÖLÜMLERİ DEĞİŞTİRİNİZ. DİĞER BÖLÜMLER MASTER TABLOSU İLE BAĞLANTILIDIR.</t>
  </si>
  <si>
    <t>Receiver</t>
  </si>
  <si>
    <t>COT 1 -9 ARASINDA İSTEMEDİĞİNİZ SATIRLARI SİLİNİZ! FORMÜLLER KENDİNİ GÜNCELLER.</t>
  </si>
  <si>
    <t>VOY</t>
  </si>
  <si>
    <t>DATE</t>
  </si>
  <si>
    <t xml:space="preserve">PETROL OFİSİ A.Ş. 
 POGUM 010 – DENİZ ULAŞTIRMA MÜDÜRLÜĞÜ
</t>
  </si>
  <si>
    <t>Form No        : POGUM 005
Revision        : 006                                                                Date               : Feb 2021                                                               Approved      : Pogum</t>
  </si>
  <si>
    <r>
      <t xml:space="preserve">Vessel / </t>
    </r>
    <r>
      <rPr>
        <sz val="10"/>
        <color indexed="8"/>
        <rFont val="Calibri"/>
        <family val="2"/>
        <charset val="162"/>
      </rPr>
      <t xml:space="preserve">Gemi: </t>
    </r>
  </si>
  <si>
    <t xml:space="preserve">Port / Terminal : </t>
  </si>
  <si>
    <r>
      <t xml:space="preserve">Date / </t>
    </r>
    <r>
      <rPr>
        <sz val="10"/>
        <rFont val="Calibri"/>
        <family val="2"/>
        <charset val="162"/>
      </rPr>
      <t>Tarih :</t>
    </r>
  </si>
  <si>
    <t>Voy No / Sefer No :</t>
  </si>
  <si>
    <t xml:space="preserve">Product / Ürün : </t>
  </si>
  <si>
    <t>Miktar / Total:</t>
  </si>
  <si>
    <t>Start :</t>
  </si>
  <si>
    <t>Stop :</t>
  </si>
  <si>
    <t>Product / Ürün :</t>
  </si>
  <si>
    <t xml:space="preserve">Miktar / Total: </t>
  </si>
  <si>
    <t>TARİH</t>
  </si>
  <si>
    <t>SAAT</t>
  </si>
  <si>
    <t>ÜRÜN</t>
  </si>
  <si>
    <t>BASINÇ</t>
  </si>
  <si>
    <t>DEBİ</t>
  </si>
  <si>
    <t>TIME</t>
  </si>
  <si>
    <t>dd/mm/yyyy</t>
  </si>
  <si>
    <t>hh/mm</t>
  </si>
  <si>
    <r>
      <t>SHORE</t>
    </r>
    <r>
      <rPr>
        <sz val="9"/>
        <color indexed="8"/>
        <rFont val="Calibri"/>
        <family val="2"/>
        <charset val="162"/>
      </rPr>
      <t xml:space="preserve"> / SAHİL</t>
    </r>
  </si>
  <si>
    <r>
      <t>SHIP</t>
    </r>
    <r>
      <rPr>
        <sz val="9"/>
        <color indexed="8"/>
        <rFont val="Calibri"/>
        <family val="2"/>
        <charset val="162"/>
      </rPr>
      <t xml:space="preserve"> / GEMİ</t>
    </r>
  </si>
  <si>
    <r>
      <t>DIFFERENCE</t>
    </r>
    <r>
      <rPr>
        <sz val="9"/>
        <color indexed="8"/>
        <rFont val="Calibri"/>
        <family val="2"/>
        <charset val="162"/>
      </rPr>
      <t xml:space="preserve"> / FARK</t>
    </r>
  </si>
  <si>
    <t>Chief Officer
1. Zabit</t>
  </si>
  <si>
    <t>     </t>
  </si>
  <si>
    <r>
      <t xml:space="preserve">Cargo Surveyor/Shore Rep </t>
    </r>
    <r>
      <rPr>
        <i/>
        <sz val="10"/>
        <rFont val="Calibri"/>
        <family val="2"/>
        <charset val="162"/>
      </rPr>
      <t>Sörveyör  -  Sahil Temsilcisi</t>
    </r>
  </si>
  <si>
    <t>GRADES (PRODUCTS)</t>
  </si>
  <si>
    <t xml:space="preserve">PORT/ TERMİNAL : </t>
  </si>
  <si>
    <t>VOYAGE/ SEFER :</t>
  </si>
  <si>
    <t>Capacity</t>
  </si>
  <si>
    <t>MM</t>
  </si>
  <si>
    <t>M3</t>
  </si>
  <si>
    <t>1 STBD</t>
  </si>
  <si>
    <t>2 STBD</t>
  </si>
  <si>
    <t>3 STBD</t>
  </si>
  <si>
    <t>4 STBD</t>
  </si>
  <si>
    <t>5 STBD</t>
  </si>
  <si>
    <t>6 STBD</t>
  </si>
  <si>
    <t>7 STBD</t>
  </si>
  <si>
    <t>8 STBD</t>
  </si>
  <si>
    <t>SLOP PORT</t>
  </si>
  <si>
    <t>SLOP STBD</t>
  </si>
  <si>
    <t>ULLAGE (mm)</t>
  </si>
  <si>
    <t>COT3P</t>
  </si>
  <si>
    <t>VAC @15</t>
  </si>
  <si>
    <t>M/T KUZEY EKİM</t>
  </si>
  <si>
    <t>KUZEY EKİM STOWAGE PLAN</t>
  </si>
  <si>
    <t>MT IN AIR</t>
  </si>
  <si>
    <t>GEMİ MİKTARI (SHIP TOTAL FIGURE) CBM</t>
  </si>
  <si>
    <t xml:space="preserve"> TAHLİYE EDİLEN MİKTAR</t>
  </si>
  <si>
    <t>TEMP</t>
  </si>
  <si>
    <t>FACT</t>
  </si>
  <si>
    <t>0,999S02</t>
  </si>
  <si>
    <t>Ullage (mm)</t>
  </si>
  <si>
    <t>AIR DENST</t>
  </si>
  <si>
    <r>
      <t>ULSD 10</t>
    </r>
    <r>
      <rPr>
        <b/>
        <sz val="11"/>
        <color rgb="FF000000"/>
        <rFont val="Times New Roman"/>
        <family val="1"/>
        <charset val="162"/>
      </rPr>
      <t>PPM</t>
    </r>
  </si>
  <si>
    <t>Gross Metric Tons (in air)</t>
  </si>
  <si>
    <t>B/L Figure</t>
  </si>
  <si>
    <t>Ship Figure W/O VEF</t>
  </si>
  <si>
    <t>Quantity Difference W/O VEF</t>
  </si>
  <si>
    <t>Difference  W/O VEF  ‰</t>
  </si>
  <si>
    <t>Ship Figure with VEF</t>
  </si>
  <si>
    <t>Quantity Difference with VEF</t>
  </si>
  <si>
    <t xml:space="preserve">Difference  with VEF ‰ </t>
  </si>
  <si>
    <t>VEF:</t>
  </si>
  <si>
    <t>TERM.
CORR</t>
  </si>
  <si>
    <t>CORRECTED ULLAGE</t>
  </si>
  <si>
    <t>MT(AIR)</t>
  </si>
  <si>
    <t>TANKS</t>
  </si>
  <si>
    <t>MMC ULLAGE</t>
  </si>
  <si>
    <t>MMC CORR.</t>
  </si>
  <si>
    <t>TRIM CORR</t>
  </si>
  <si>
    <t>CORR. ULLAGE</t>
  </si>
  <si>
    <t>tcorr</t>
  </si>
  <si>
    <t>trim</t>
  </si>
  <si>
    <t>alt</t>
  </si>
  <si>
    <t>üst</t>
  </si>
  <si>
    <t>SLP-P</t>
  </si>
  <si>
    <t>SLP-S</t>
  </si>
  <si>
    <t xml:space="preserve">COT </t>
  </si>
  <si>
    <t>M TON</t>
  </si>
  <si>
    <t>SLOP P</t>
  </si>
  <si>
    <t>SLOP S</t>
  </si>
  <si>
    <t>ULLAGE</t>
  </si>
  <si>
    <t>*</t>
  </si>
  <si>
    <t>SLP P</t>
  </si>
  <si>
    <t>SLP S</t>
  </si>
  <si>
    <t>Trim</t>
  </si>
  <si>
    <t>Tank</t>
  </si>
  <si>
    <t>Ullages(cm)</t>
  </si>
  <si>
    <t>T.O.V</t>
  </si>
  <si>
    <t xml:space="preserve">Thermal </t>
  </si>
  <si>
    <t>T.O.V.cbm</t>
  </si>
  <si>
    <t>G.O.V</t>
  </si>
  <si>
    <t>TEMP.</t>
  </si>
  <si>
    <t>V.C.F.</t>
  </si>
  <si>
    <t>G.S.V</t>
  </si>
  <si>
    <t>WEIGHT</t>
  </si>
  <si>
    <t>ORTALAMA SICAKLIK ICIN  (SILME)</t>
  </si>
  <si>
    <t>SLOP-P</t>
  </si>
  <si>
    <t>No</t>
  </si>
  <si>
    <t>Obs.</t>
  </si>
  <si>
    <t>Corr.</t>
  </si>
  <si>
    <t>(CBM)</t>
  </si>
  <si>
    <t>Corr.Fac.</t>
  </si>
  <si>
    <t>Therm Cor.</t>
  </si>
  <si>
    <t>Dip</t>
  </si>
  <si>
    <t>Volume</t>
  </si>
  <si>
    <t>( C)</t>
  </si>
  <si>
    <t>(MTON)</t>
  </si>
  <si>
    <t>LOAD%</t>
  </si>
  <si>
    <t>%100</t>
  </si>
  <si>
    <t>TRIM CORR(+)</t>
  </si>
  <si>
    <t>TRIM CORR(-)</t>
  </si>
  <si>
    <t>(cm)</t>
  </si>
  <si>
    <t>(IN AIR)</t>
  </si>
  <si>
    <t>ADJ TEMP</t>
  </si>
  <si>
    <t>ADJ DENSITY</t>
  </si>
  <si>
    <t>H CALCULATION</t>
  </si>
  <si>
    <t>3 PORT</t>
  </si>
  <si>
    <t>ASTM 54 B</t>
  </si>
  <si>
    <t>A, B of D</t>
  </si>
  <si>
    <t>B</t>
  </si>
  <si>
    <t>Tafel of Routine</t>
  </si>
  <si>
    <t>R</t>
  </si>
  <si>
    <t>Dens</t>
  </si>
  <si>
    <t>Temp</t>
  </si>
  <si>
    <t>D</t>
  </si>
  <si>
    <t>T</t>
  </si>
  <si>
    <t>alfa54A</t>
  </si>
  <si>
    <t>VCF 54A</t>
  </si>
  <si>
    <t>alfa541</t>
  </si>
  <si>
    <t>alfa542</t>
  </si>
  <si>
    <t>alfa543</t>
  </si>
  <si>
    <t>alfa544</t>
  </si>
  <si>
    <t>alfa54B</t>
  </si>
  <si>
    <t>VCF 54B</t>
  </si>
  <si>
    <t>alpha</t>
  </si>
  <si>
    <t>SLOP-S</t>
  </si>
  <si>
    <t>TOTAL</t>
  </si>
  <si>
    <t>Terminal Represantative</t>
  </si>
  <si>
    <t>Surveyor</t>
  </si>
  <si>
    <r>
      <rPr>
        <strike/>
        <sz val="10"/>
        <rFont val="Times New Roman"/>
        <family val="1"/>
        <charset val="162"/>
      </rPr>
      <t>Master</t>
    </r>
    <r>
      <rPr>
        <sz val="10"/>
        <rFont val="Times New Roman"/>
        <family val="1"/>
        <charset val="162"/>
      </rPr>
      <t>/Chief Officer</t>
    </r>
  </si>
  <si>
    <t>VAC DENST</t>
  </si>
  <si>
    <t>DİKKAT : LOAD COMPUTER'DA (SHIP Manager) THERMAL CORRECTION YOKTUR. BU NEDENLE SICAKLIGIN 20 C DEN FARKLI OLDUGU DURUMLARDA BU TABLO VE BILGISAYARDA KUCUK FARKLILIKLAR OLABILIR. EN DOĞRU DEGERLER BU TABLODA OLANLARDIR. (TEST ETMEK İÇİN BURADA VE LOADCOMPUTER DA SICAKLIGI 20 C YAPABILIRSINIZ.</t>
  </si>
  <si>
    <t>Density Vacuum</t>
  </si>
  <si>
    <t>KULLANMA TALİMATI</t>
  </si>
  <si>
    <t>SADECE MAVI KUTULARA GİRİŞ YAPINIZ. PROTESTOLARINIZ BURADAN KOPYALA-YAPIŞTIR YAPABİLİRSİNİZ.</t>
  </si>
  <si>
    <t>TABLOLARI İSTEDİĞİNİZ GİBİ DEĞİŞTİRİBELİRİSİNİZ.</t>
  </si>
  <si>
    <t>2. EĞER BAŞ VE KIÇ DRAFT FARKLI İSE TRİM DÜZELTMESİNİ OTOMATİK YAPAR</t>
  </si>
  <si>
    <t>3. PARSEL VE GRADE TABLOSU YUKARIDADIR. BURAYI MUTLAKA KULLANINIZ.</t>
  </si>
  <si>
    <t xml:space="preserve">1. TOV DEĞERİNDE TERMAL CORRECTION VARDIR. </t>
  </si>
  <si>
    <t>PARSEL BAZINDA MT (AIR) HESABI OTOMATİKTİR.</t>
  </si>
  <si>
    <t>4. DOSYA İSMİNİ DEĞİŞTİRMEYİNİZ. DEĞİŞTİRİSENİZ FORMÜLLER BOZULUR.</t>
  </si>
  <si>
    <t>5 MAVİ RENKLİ KUTULARDAN BAŞKA VERİ GİRİŞİ YAPMAYINIZ</t>
  </si>
  <si>
    <t>6. KORUMAYI KALDIRMAYINIZ</t>
  </si>
  <si>
    <t>7. ULLAGE TABLE VE STOWAGE PLAN DÜĞMELERİNE BASTIĞINIZDA ÇIKAN</t>
  </si>
  <si>
    <t>8. PROTESTOLARI BURADAN ÇIKARIP KENDİ EVRAKINIZA KOPYALAYABİLİRSİNİZ</t>
  </si>
  <si>
    <t>THERMAL CORR TOV</t>
  </si>
  <si>
    <t xml:space="preserve"> TOV</t>
  </si>
  <si>
    <t>ULSD</t>
  </si>
  <si>
    <t>Slp P</t>
  </si>
  <si>
    <t xml:space="preserve">Port Side </t>
  </si>
  <si>
    <t>Slp S</t>
  </si>
  <si>
    <t>Starboard Side</t>
  </si>
  <si>
    <t xml:space="preserve">BINDE </t>
  </si>
  <si>
    <t>D:</t>
  </si>
  <si>
    <t>C:</t>
  </si>
  <si>
    <t>B:</t>
  </si>
  <si>
    <t>A:</t>
  </si>
  <si>
    <t xml:space="preserve">TOPLAM </t>
  </si>
  <si>
    <t>TOPLAM ULSD</t>
  </si>
  <si>
    <t>JET-A1</t>
  </si>
  <si>
    <t>TOPLAM JET-A1</t>
  </si>
  <si>
    <t>AKPET/STAR/OPET</t>
  </si>
  <si>
    <t>SOCAR</t>
  </si>
  <si>
    <t>SHELL</t>
  </si>
  <si>
    <t>CEKISAN GUZEL</t>
  </si>
  <si>
    <t xml:space="preserve"> </t>
  </si>
  <si>
    <t xml:space="preserve">      </t>
  </si>
  <si>
    <t>,</t>
  </si>
  <si>
    <t>ANNEX I WASHING WATER</t>
  </si>
  <si>
    <t>MOTORIN</t>
  </si>
  <si>
    <t>Issue No</t>
  </si>
  <si>
    <t>02</t>
  </si>
  <si>
    <t>Issue Date</t>
  </si>
  <si>
    <t>01/11/2024</t>
  </si>
  <si>
    <t>Rev. No</t>
  </si>
  <si>
    <t>0</t>
  </si>
  <si>
    <t>Page</t>
  </si>
  <si>
    <t>1</t>
  </si>
  <si>
    <t>INTEGRATED MANAGEMENT SYSTEM MANUAL</t>
  </si>
  <si>
    <t>Chapter 7.5</t>
  </si>
  <si>
    <t>CBO 07</t>
  </si>
  <si>
    <t>ULLAGE REPORT &amp; TEMPERATURE LOG</t>
  </si>
  <si>
    <t>TFC-90782107</t>
  </si>
  <si>
    <t>ALIAGA/TUPRAS RAFINERY</t>
  </si>
  <si>
    <t>KB-95</t>
  </si>
  <si>
    <t>MODERATE</t>
  </si>
  <si>
    <t>ALIAGA</t>
  </si>
  <si>
    <t>TUPRAS</t>
  </si>
  <si>
    <t>ULLAGE REPORT - AFTER LOADING</t>
  </si>
  <si>
    <t>M/T KUZEY EKİM  STOWAGE PLAN</t>
  </si>
  <si>
    <t>SLOP</t>
  </si>
  <si>
    <t>IKMAL-1 TUPRAS MERSIN BENZIN</t>
  </si>
  <si>
    <t>DAP-1 OPET MERSIN BENZIN</t>
  </si>
  <si>
    <t>DAP-3 POAS MERSIN BENZIN</t>
  </si>
  <si>
    <t>DAP-4 OPET ANTALYA BENZIN</t>
  </si>
  <si>
    <t>DAP-2 SHELL MERSIN BENZIN</t>
  </si>
  <si>
    <t>DAP-7 OPET ANTALYA MOTORIN</t>
  </si>
  <si>
    <t>DAP-5 SHELL ANTALYA BENZIN</t>
  </si>
  <si>
    <t>DAP-6 POAS ANTALYA BENZIN</t>
  </si>
  <si>
    <t>0,999802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</si>
</sst>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"/>
    <numFmt numFmtId="165" formatCode="0.0000"/>
    <numFmt numFmtId="166" formatCode="0.000000"/>
    <numFmt numFmtId="167" formatCode="0.0"/>
    <numFmt numFmtId="168" formatCode="#,##0.00&quot; TL &quot;;#,##0.00&quot; TL &quot;;&quot;-&quot;#&quot; TL &quot;;@&quot; &quot;"/>
    <numFmt numFmtId="169" formatCode="#,##0.00[$YTL-41F];[Red]&quot;-&quot;#,##0.00[$YTL-41F]"/>
    <numFmt numFmtId="170" formatCode="dd/mm/yyyy;@"/>
    <numFmt numFmtId="171" formatCode="0.00000000"/>
    <numFmt numFmtId="172" formatCode="#,##0\ _T_L"/>
    <numFmt numFmtId="173" formatCode="0.00\ &quot;m&quot;"/>
    <numFmt numFmtId="174" formatCode="#,##0.000"/>
    <numFmt numFmtId="175" formatCode="General_)"/>
    <numFmt numFmtId="176" formatCode="0.0000_)"/>
    <numFmt numFmtId="177" formatCode="0.0000000"/>
    <numFmt numFmtId="178" formatCode="0.0000000_)"/>
  </numFmts>
  <fonts count="146">
    <font>
      <sz val="11"/>
      <color theme="1"/>
      <name val="Liberation Sans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8"/>
      <name val="Arial"/>
      <family val="2"/>
      <charset val="16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204"/>
    </font>
    <font>
      <b/>
      <i/>
      <sz val="8"/>
      <name val="Arial"/>
      <family val="2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i/>
      <sz val="16"/>
      <color theme="1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sz val="10"/>
      <color rgb="FF996600"/>
      <name val="Liberation Sans"/>
    </font>
    <font>
      <sz val="10"/>
      <color theme="1"/>
      <name val="Arial1"/>
    </font>
    <font>
      <sz val="10"/>
      <color rgb="FF333333"/>
      <name val="Liberation Sans"/>
    </font>
    <font>
      <b/>
      <i/>
      <u/>
      <sz val="11"/>
      <color theme="1"/>
      <name val="Liberation Sans"/>
    </font>
    <font>
      <sz val="8"/>
      <color theme="1"/>
      <name val="Liberation Sans"/>
    </font>
    <font>
      <b/>
      <sz val="8"/>
      <color theme="1"/>
      <name val="Arial"/>
      <family val="2"/>
      <charset val="16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Liberation Sans"/>
      <charset val="162"/>
    </font>
    <font>
      <b/>
      <sz val="10"/>
      <color theme="1"/>
      <name val="Liberation Sans"/>
      <charset val="162"/>
    </font>
    <font>
      <b/>
      <sz val="8"/>
      <color theme="1"/>
      <name val="Liberation Sans"/>
      <charset val="162"/>
    </font>
    <font>
      <b/>
      <i/>
      <sz val="8"/>
      <color theme="1"/>
      <name val="Arial"/>
      <family val="2"/>
      <charset val="162"/>
    </font>
    <font>
      <b/>
      <i/>
      <sz val="8"/>
      <name val="Arial"/>
      <family val="2"/>
      <charset val="162"/>
    </font>
    <font>
      <b/>
      <sz val="8"/>
      <name val="Arial"/>
      <family val="2"/>
      <charset val="162"/>
    </font>
    <font>
      <sz val="8"/>
      <color theme="1"/>
      <name val="Liberation Sans"/>
      <charset val="162"/>
    </font>
    <font>
      <b/>
      <sz val="16"/>
      <color theme="1"/>
      <name val="Liberation Sans"/>
      <charset val="162"/>
    </font>
    <font>
      <sz val="10"/>
      <name val="Times New Roman"/>
      <family val="1"/>
    </font>
    <font>
      <b/>
      <sz val="16"/>
      <name val="Calibri"/>
      <family val="2"/>
      <charset val="162"/>
    </font>
    <font>
      <sz val="10"/>
      <name val="Calibri"/>
      <family val="2"/>
      <charset val="162"/>
    </font>
    <font>
      <b/>
      <sz val="12"/>
      <name val="Calibri"/>
      <family val="2"/>
      <charset val="162"/>
    </font>
    <font>
      <b/>
      <sz val="14"/>
      <name val="Arial"/>
      <family val="2"/>
      <charset val="162"/>
    </font>
    <font>
      <b/>
      <sz val="14"/>
      <color indexed="8"/>
      <name val="Calibri"/>
      <family val="2"/>
      <charset val="162"/>
    </font>
    <font>
      <sz val="10"/>
      <name val="Arial"/>
      <family val="2"/>
      <charset val="162"/>
    </font>
    <font>
      <b/>
      <sz val="10"/>
      <name val="Arial"/>
      <family val="2"/>
    </font>
    <font>
      <b/>
      <sz val="10"/>
      <color indexed="8"/>
      <name val="Calibri"/>
      <family val="2"/>
      <charset val="162"/>
    </font>
    <font>
      <b/>
      <sz val="10"/>
      <name val="Calibri"/>
      <family val="2"/>
      <charset val="162"/>
    </font>
    <font>
      <b/>
      <sz val="11"/>
      <color indexed="8"/>
      <name val="Calibri"/>
      <family val="2"/>
      <charset val="162"/>
    </font>
    <font>
      <b/>
      <sz val="9"/>
      <name val="Calibri"/>
      <family val="2"/>
      <charset val="162"/>
    </font>
    <font>
      <sz val="12"/>
      <color indexed="8"/>
      <name val="Times New Roman"/>
      <family val="1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sz val="10"/>
      <color indexed="8"/>
      <name val="Calibri"/>
      <family val="2"/>
      <charset val="162"/>
    </font>
    <font>
      <sz val="10"/>
      <name val="Arial"/>
      <family val="2"/>
    </font>
    <font>
      <b/>
      <sz val="22"/>
      <color theme="1"/>
      <name val="Calibri"/>
      <family val="2"/>
      <charset val="162"/>
      <scheme val="minor"/>
    </font>
    <font>
      <sz val="10"/>
      <color theme="1"/>
      <name val="Liberation Sans"/>
      <charset val="162"/>
    </font>
    <font>
      <sz val="10"/>
      <color theme="0" tint="-0.34998626667073579"/>
      <name val="Liberation Sans"/>
      <charset val="162"/>
    </font>
    <font>
      <sz val="10"/>
      <name val="Liberation Sans"/>
      <charset val="162"/>
    </font>
    <font>
      <b/>
      <sz val="10"/>
      <color theme="1"/>
      <name val="Calibri"/>
      <family val="2"/>
      <charset val="162"/>
    </font>
    <font>
      <b/>
      <sz val="10"/>
      <color theme="4"/>
      <name val="Liberation Sans"/>
      <charset val="162"/>
    </font>
    <font>
      <b/>
      <sz val="20"/>
      <color theme="1"/>
      <name val="Liberation Sans"/>
      <charset val="162"/>
    </font>
    <font>
      <sz val="8"/>
      <name val="Liberation Sans"/>
    </font>
    <font>
      <b/>
      <sz val="10"/>
      <name val="Liberation Sans"/>
      <charset val="162"/>
    </font>
    <font>
      <b/>
      <sz val="10"/>
      <color theme="1"/>
      <name val="Liberation Sans"/>
    </font>
    <font>
      <b/>
      <sz val="9"/>
      <color theme="1"/>
      <name val="Liberation Sans"/>
    </font>
    <font>
      <sz val="10"/>
      <color theme="1"/>
      <name val="Liberation Sans"/>
    </font>
    <font>
      <sz val="10"/>
      <color indexed="18"/>
      <name val="Times New Roman"/>
      <family val="1"/>
    </font>
    <font>
      <b/>
      <sz val="10"/>
      <color rgb="FF000000"/>
      <name val="Calibri"/>
      <family val="2"/>
      <charset val="162"/>
    </font>
    <font>
      <sz val="9"/>
      <name val="Calibri"/>
      <family val="2"/>
      <charset val="162"/>
    </font>
    <font>
      <sz val="9"/>
      <color rgb="FF000000"/>
      <name val="Calibri"/>
      <family val="2"/>
      <charset val="162"/>
    </font>
    <font>
      <b/>
      <sz val="9"/>
      <color rgb="FF000000"/>
      <name val="Calibri"/>
      <family val="2"/>
      <charset val="162"/>
    </font>
    <font>
      <sz val="9"/>
      <color indexed="8"/>
      <name val="Calibri"/>
      <family val="2"/>
      <charset val="162"/>
    </font>
    <font>
      <i/>
      <sz val="10"/>
      <name val="Calibri"/>
      <family val="2"/>
      <charset val="162"/>
    </font>
    <font>
      <b/>
      <sz val="9"/>
      <color indexed="81"/>
      <name val="Tahoma"/>
      <family val="2"/>
      <charset val="162"/>
    </font>
    <font>
      <sz val="9"/>
      <color indexed="81"/>
      <name val="Tahoma"/>
      <family val="2"/>
      <charset val="162"/>
    </font>
    <font>
      <b/>
      <i/>
      <sz val="10"/>
      <color indexed="59"/>
      <name val="Arial"/>
      <family val="2"/>
      <charset val="162"/>
    </font>
    <font>
      <b/>
      <sz val="10"/>
      <color indexed="59"/>
      <name val="Arial"/>
      <family val="2"/>
      <charset val="162"/>
    </font>
    <font>
      <b/>
      <sz val="10"/>
      <color theme="1"/>
      <name val="Arial"/>
      <family val="2"/>
      <charset val="162"/>
    </font>
    <font>
      <b/>
      <i/>
      <sz val="10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name val="Courier New"/>
      <family val="3"/>
      <charset val="162"/>
    </font>
    <font>
      <b/>
      <sz val="11"/>
      <name val="Courier New"/>
      <family val="3"/>
      <charset val="162"/>
    </font>
    <font>
      <sz val="11"/>
      <name val="Arial"/>
      <family val="2"/>
      <charset val="162"/>
    </font>
    <font>
      <sz val="11"/>
      <name val="Courier New"/>
      <family val="3"/>
      <charset val="162"/>
    </font>
    <font>
      <sz val="10"/>
      <name val="Times New Roman"/>
      <family val="1"/>
      <charset val="162"/>
    </font>
    <font>
      <sz val="10"/>
      <name val="Courier New"/>
      <family val="3"/>
      <charset val="162"/>
    </font>
    <font>
      <sz val="11"/>
      <name val="Times New Roman"/>
      <family val="1"/>
      <charset val="162"/>
    </font>
    <font>
      <b/>
      <sz val="8"/>
      <color theme="1"/>
      <name val="Liberation Sans"/>
    </font>
    <font>
      <b/>
      <i/>
      <sz val="10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b/>
      <sz val="20"/>
      <color theme="1"/>
      <name val="Calibri"/>
      <family val="2"/>
      <scheme val="minor"/>
    </font>
    <font>
      <sz val="8"/>
      <color rgb="FF000000"/>
      <name val="Calibri"/>
      <family val="2"/>
      <charset val="162"/>
    </font>
    <font>
      <sz val="9"/>
      <name val="Courier New"/>
      <family val="3"/>
      <charset val="162"/>
    </font>
    <font>
      <b/>
      <sz val="9"/>
      <color theme="1"/>
      <name val="Liberation Sans"/>
      <charset val="162"/>
    </font>
    <font>
      <b/>
      <sz val="11"/>
      <color theme="1"/>
      <name val="Times New Roman"/>
      <family val="1"/>
      <charset val="162"/>
    </font>
    <font>
      <b/>
      <sz val="11"/>
      <color rgb="FF000000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rgb="FF000000"/>
      <name val="Calibri"/>
      <family val="2"/>
      <charset val="162"/>
    </font>
    <font>
      <sz val="14"/>
      <color theme="1"/>
      <name val="Liberation Sans"/>
    </font>
    <font>
      <b/>
      <sz val="9"/>
      <color theme="0" tint="-0.249977111117893"/>
      <name val="Liberation Sans"/>
      <charset val="162"/>
    </font>
    <font>
      <sz val="9"/>
      <color theme="0" tint="-0.249977111117893"/>
      <name val="Liberation Sans"/>
      <charset val="162"/>
    </font>
    <font>
      <sz val="11"/>
      <color theme="4" tint="-0.499984740745262"/>
      <name val="Liberation Sans"/>
    </font>
    <font>
      <sz val="10"/>
      <color theme="4" tint="-0.499984740745262"/>
      <name val="Liberation Sans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  <charset val="162"/>
    </font>
    <font>
      <sz val="8"/>
      <color theme="1"/>
      <name val="Calibri"/>
      <family val="2"/>
      <charset val="162"/>
      <scheme val="minor"/>
    </font>
    <font>
      <sz val="28"/>
      <color theme="1"/>
      <name val="Calibri"/>
      <family val="2"/>
      <scheme val="minor"/>
    </font>
    <font>
      <b/>
      <sz val="12"/>
      <color theme="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name val="Times New Roman"/>
      <family val="1"/>
      <charset val="162"/>
    </font>
    <font>
      <b/>
      <sz val="10"/>
      <name val="Times New Roman"/>
      <family val="1"/>
      <charset val="162"/>
    </font>
    <font>
      <b/>
      <sz val="7"/>
      <name val="Times New Roman"/>
      <family val="1"/>
      <charset val="162"/>
    </font>
    <font>
      <b/>
      <sz val="9"/>
      <name val="Times New Roman"/>
      <family val="1"/>
      <charset val="162"/>
    </font>
    <font>
      <b/>
      <sz val="10"/>
      <color theme="0"/>
      <name val="Times New Roman"/>
      <family val="1"/>
      <charset val="162"/>
    </font>
    <font>
      <b/>
      <sz val="11"/>
      <color theme="0"/>
      <name val="Arial Tur"/>
      <charset val="162"/>
    </font>
    <font>
      <b/>
      <sz val="10"/>
      <color rgb="FF0070C0"/>
      <name val="Times New Roman"/>
      <family val="1"/>
      <charset val="162"/>
    </font>
    <font>
      <b/>
      <sz val="6"/>
      <name val="Times New Roman"/>
      <family val="1"/>
      <charset val="162"/>
    </font>
    <font>
      <sz val="12"/>
      <name val="Helv"/>
    </font>
    <font>
      <sz val="11"/>
      <name val="Arial Tur"/>
      <family val="2"/>
      <charset val="162"/>
    </font>
    <font>
      <sz val="12"/>
      <color indexed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8"/>
      <color theme="1"/>
      <name val="Arial"/>
      <family val="2"/>
    </font>
    <font>
      <sz val="11"/>
      <name val="Arial Tur"/>
      <charset val="162"/>
    </font>
    <font>
      <sz val="8"/>
      <color indexed="10"/>
      <name val="Arial"/>
      <family val="2"/>
    </font>
    <font>
      <sz val="10"/>
      <color rgb="FF0070C0"/>
      <name val="Times New Roman"/>
      <family val="1"/>
      <charset val="162"/>
    </font>
    <font>
      <strike/>
      <sz val="10"/>
      <name val="Times New Roman"/>
      <family val="1"/>
      <charset val="162"/>
    </font>
    <font>
      <sz val="6"/>
      <name val="Times New Roman"/>
      <family val="1"/>
      <charset val="162"/>
    </font>
    <font>
      <sz val="18"/>
      <color theme="1"/>
      <name val="Liberation Sans"/>
    </font>
    <font>
      <sz val="11"/>
      <color theme="1"/>
      <name val="Liberation Sans"/>
      <charset val="162"/>
    </font>
    <font>
      <sz val="7"/>
      <color rgb="FF000000"/>
      <name val="Calibri Light"/>
      <family val="2"/>
      <charset val="162"/>
    </font>
    <font>
      <b/>
      <sz val="7"/>
      <color rgb="FF000000"/>
      <name val="Calibri Light"/>
      <family val="2"/>
      <charset val="162"/>
    </font>
    <font>
      <sz val="10"/>
      <color theme="1"/>
      <name val="Calibri"/>
      <family val="2"/>
      <scheme val="minor"/>
    </font>
    <font>
      <b/>
      <sz val="10"/>
      <color theme="0" tint="-0.34998626667073579"/>
      <name val="Liberation Sans"/>
      <charset val="162"/>
    </font>
    <font>
      <sz val="11"/>
      <color theme="2"/>
      <name val="Liberation Sans"/>
    </font>
    <font>
      <b/>
      <sz val="10"/>
      <color rgb="FF7030A0"/>
      <name val="Liberation Sans"/>
      <charset val="162"/>
    </font>
    <font>
      <b/>
      <sz val="8"/>
      <name val="Calibri"/>
      <family val="2"/>
      <charset val="162"/>
    </font>
    <font>
      <sz val="9"/>
      <color theme="1"/>
      <name val="Liberation Sans"/>
      <charset val="162"/>
    </font>
    <font>
      <sz val="9"/>
      <color indexed="59"/>
      <name val="Arial"/>
      <family val="2"/>
      <charset val="162"/>
    </font>
    <font>
      <sz val="8"/>
      <color indexed="59"/>
      <name val="Arial"/>
      <family val="2"/>
      <charset val="162"/>
    </font>
    <font>
      <sz val="9"/>
      <name val="Arial"/>
      <family val="2"/>
      <charset val="162"/>
    </font>
    <font>
      <sz val="6"/>
      <name val="Arial"/>
      <family val="2"/>
      <charset val="162"/>
    </font>
    <font>
      <sz val="7"/>
      <color indexed="59"/>
      <name val="Arial"/>
      <family val="2"/>
      <charset val="162"/>
    </font>
    <font>
      <sz val="7"/>
      <name val="Arial"/>
      <family val="2"/>
      <charset val="162"/>
    </font>
  </fonts>
  <fills count="3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1"/>
        <bgColor indexed="64"/>
      </patternFill>
    </fill>
  </fills>
  <borders count="1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theme="1"/>
      </bottom>
      <diagonal/>
    </border>
    <border>
      <left/>
      <right style="thick">
        <color indexed="64"/>
      </right>
      <top style="thick">
        <color indexed="64"/>
      </top>
      <bottom style="thick">
        <color theme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theme="1"/>
      </right>
      <top/>
      <bottom/>
      <diagonal/>
    </border>
    <border>
      <left style="thick">
        <color indexed="64"/>
      </left>
      <right style="thick">
        <color theme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ck">
        <color theme="1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/>
      <bottom style="thin">
        <color indexed="64"/>
      </bottom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n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</borders>
  <cellStyleXfs count="35">
    <xf numFmtId="0" fontId="0" fillId="0" borderId="0"/>
    <xf numFmtId="0" fontId="9" fillId="0" borderId="0"/>
    <xf numFmtId="0" fontId="10" fillId="2" borderId="0"/>
    <xf numFmtId="0" fontId="10" fillId="3" borderId="0"/>
    <xf numFmtId="0" fontId="9" fillId="4" borderId="0"/>
    <xf numFmtId="0" fontId="11" fillId="5" borderId="0"/>
    <xf numFmtId="0" fontId="12" fillId="6" borderId="0"/>
    <xf numFmtId="168" fontId="8" fillId="0" borderId="0"/>
    <xf numFmtId="0" fontId="13" fillId="0" borderId="0"/>
    <xf numFmtId="0" fontId="14" fillId="7" borderId="0"/>
    <xf numFmtId="0" fontId="15" fillId="0" borderId="0">
      <alignment horizontal="center"/>
    </xf>
    <xf numFmtId="0" fontId="16" fillId="0" borderId="0"/>
    <xf numFmtId="0" fontId="17" fillId="0" borderId="0"/>
    <xf numFmtId="0" fontId="18" fillId="0" borderId="0"/>
    <xf numFmtId="0" fontId="15" fillId="0" borderId="0">
      <alignment horizontal="center" textRotation="90"/>
    </xf>
    <xf numFmtId="0" fontId="19" fillId="8" borderId="0"/>
    <xf numFmtId="0" fontId="20" fillId="0" borderId="0"/>
    <xf numFmtId="0" fontId="6" fillId="0" borderId="0"/>
    <xf numFmtId="0" fontId="21" fillId="8" borderId="13"/>
    <xf numFmtId="0" fontId="22" fillId="0" borderId="0"/>
    <xf numFmtId="169" fontId="22" fillId="0" borderId="0"/>
    <xf numFmtId="0" fontId="8" fillId="0" borderId="0"/>
    <xf numFmtId="0" fontId="8" fillId="0" borderId="0"/>
    <xf numFmtId="0" fontId="11" fillId="0" borderId="0"/>
    <xf numFmtId="0" fontId="2" fillId="0" borderId="0"/>
    <xf numFmtId="0" fontId="41" fillId="0" borderId="0"/>
    <xf numFmtId="0" fontId="41" fillId="0" borderId="0"/>
    <xf numFmtId="0" fontId="101" fillId="0" borderId="0"/>
    <xf numFmtId="0" fontId="101" fillId="0" borderId="0"/>
    <xf numFmtId="0" fontId="1" fillId="0" borderId="0"/>
    <xf numFmtId="175" fontId="119" fillId="0" borderId="0"/>
    <xf numFmtId="0" fontId="121" fillId="0" borderId="0"/>
    <xf numFmtId="0" fontId="51" fillId="0" borderId="0"/>
    <xf numFmtId="0" fontId="3" fillId="0" borderId="0"/>
    <xf numFmtId="43" fontId="101" fillId="0" borderId="0" applyFont="0" applyFill="0" applyBorder="0" applyAlignment="0" applyProtection="0"/>
  </cellStyleXfs>
  <cellXfs count="1111">
    <xf numFmtId="0" fontId="0" fillId="0" borderId="0" xfId="0"/>
    <xf numFmtId="0" fontId="0" fillId="0" borderId="0" xfId="0" applyProtection="1">
      <protection locked="0"/>
    </xf>
    <xf numFmtId="0" fontId="23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2" fontId="4" fillId="0" borderId="0" xfId="0" applyNumberFormat="1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2" fontId="7" fillId="0" borderId="0" xfId="0" applyNumberFormat="1" applyFont="1" applyAlignment="1" applyProtection="1">
      <alignment horizontal="center"/>
      <protection locked="0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25" xfId="0" applyBorder="1"/>
    <xf numFmtId="0" fontId="2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9" fillId="0" borderId="0" xfId="0" applyFont="1"/>
    <xf numFmtId="0" fontId="29" fillId="0" borderId="0" xfId="0" applyFont="1" applyAlignment="1" applyProtection="1">
      <alignment horizontal="center" vertical="center"/>
      <protection locked="0"/>
    </xf>
    <xf numFmtId="0" fontId="29" fillId="0" borderId="0" xfId="0" applyFont="1" applyProtection="1">
      <protection locked="0"/>
    </xf>
    <xf numFmtId="0" fontId="27" fillId="0" borderId="0" xfId="0" applyFont="1"/>
    <xf numFmtId="0" fontId="27" fillId="0" borderId="0" xfId="0" applyFont="1" applyProtection="1">
      <protection locked="0"/>
    </xf>
    <xf numFmtId="0" fontId="33" fillId="0" borderId="0" xfId="0" applyFont="1"/>
    <xf numFmtId="0" fontId="33" fillId="0" borderId="0" xfId="0" applyFont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27" fillId="0" borderId="42" xfId="0" applyFont="1" applyBorder="1"/>
    <xf numFmtId="49" fontId="7" fillId="0" borderId="0" xfId="0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9" fillId="0" borderId="0" xfId="0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0" fontId="2" fillId="0" borderId="0" xfId="24"/>
    <xf numFmtId="0" fontId="43" fillId="0" borderId="0" xfId="24" applyFont="1"/>
    <xf numFmtId="0" fontId="45" fillId="0" borderId="0" xfId="24" applyFont="1"/>
    <xf numFmtId="0" fontId="47" fillId="0" borderId="0" xfId="24" applyFont="1"/>
    <xf numFmtId="0" fontId="2" fillId="0" borderId="66" xfId="24" applyBorder="1"/>
    <xf numFmtId="0" fontId="39" fillId="0" borderId="56" xfId="24" applyFont="1" applyBorder="1" applyAlignment="1">
      <alignment horizontal="center" vertical="center"/>
    </xf>
    <xf numFmtId="0" fontId="37" fillId="0" borderId="56" xfId="24" applyFont="1" applyBorder="1" applyAlignment="1">
      <alignment horizontal="left" wrapText="1"/>
    </xf>
    <xf numFmtId="0" fontId="5" fillId="0" borderId="52" xfId="25" applyFont="1" applyBorder="1" applyAlignment="1">
      <alignment horizontal="center" vertical="center"/>
    </xf>
    <xf numFmtId="2" fontId="5" fillId="0" borderId="9" xfId="25" applyNumberFormat="1" applyFont="1" applyBorder="1" applyAlignment="1">
      <alignment horizontal="center" vertical="center"/>
    </xf>
    <xf numFmtId="2" fontId="5" fillId="0" borderId="10" xfId="25" applyNumberFormat="1" applyFont="1" applyBorder="1" applyAlignment="1">
      <alignment horizontal="center" vertical="center"/>
    </xf>
    <xf numFmtId="0" fontId="35" fillId="0" borderId="56" xfId="24" applyFont="1" applyBorder="1" applyAlignment="1">
      <alignment horizontal="center" vertical="center"/>
    </xf>
    <xf numFmtId="0" fontId="2" fillId="0" borderId="56" xfId="24" applyBorder="1" applyAlignment="1">
      <alignment horizontal="left" wrapText="1"/>
    </xf>
    <xf numFmtId="0" fontId="5" fillId="0" borderId="0" xfId="25" applyFont="1" applyAlignment="1">
      <alignment horizontal="left" vertical="center" wrapText="1"/>
    </xf>
    <xf numFmtId="164" fontId="55" fillId="10" borderId="31" xfId="0" applyNumberFormat="1" applyFont="1" applyFill="1" applyBorder="1" applyAlignment="1">
      <alignment horizontal="right" vertical="center"/>
    </xf>
    <xf numFmtId="164" fontId="55" fillId="10" borderId="39" xfId="0" applyNumberFormat="1" applyFont="1" applyFill="1" applyBorder="1" applyAlignment="1">
      <alignment horizontal="right" vertical="center"/>
    </xf>
    <xf numFmtId="164" fontId="55" fillId="17" borderId="34" xfId="0" applyNumberFormat="1" applyFont="1" applyFill="1" applyBorder="1" applyAlignment="1">
      <alignment horizontal="right" vertical="center"/>
    </xf>
    <xf numFmtId="164" fontId="55" fillId="17" borderId="70" xfId="0" applyNumberFormat="1" applyFont="1" applyFill="1" applyBorder="1" applyAlignment="1">
      <alignment horizontal="right" vertical="center"/>
    </xf>
    <xf numFmtId="164" fontId="55" fillId="10" borderId="34" xfId="0" applyNumberFormat="1" applyFont="1" applyFill="1" applyBorder="1" applyAlignment="1">
      <alignment horizontal="right" vertical="center"/>
    </xf>
    <xf numFmtId="164" fontId="55" fillId="17" borderId="24" xfId="0" applyNumberFormat="1" applyFont="1" applyFill="1" applyBorder="1" applyAlignment="1">
      <alignment horizontal="right" vertical="center"/>
    </xf>
    <xf numFmtId="164" fontId="28" fillId="15" borderId="22" xfId="0" applyNumberFormat="1" applyFont="1" applyFill="1" applyBorder="1" applyAlignment="1">
      <alignment horizontal="center" vertical="center"/>
    </xf>
    <xf numFmtId="0" fontId="53" fillId="10" borderId="23" xfId="0" applyFont="1" applyFill="1" applyBorder="1" applyAlignment="1">
      <alignment vertical="center"/>
    </xf>
    <xf numFmtId="0" fontId="53" fillId="10" borderId="24" xfId="0" applyFont="1" applyFill="1" applyBorder="1" applyAlignment="1">
      <alignment vertical="center"/>
    </xf>
    <xf numFmtId="0" fontId="53" fillId="11" borderId="23" xfId="0" applyFont="1" applyFill="1" applyBorder="1" applyAlignment="1">
      <alignment vertical="center"/>
    </xf>
    <xf numFmtId="0" fontId="53" fillId="11" borderId="24" xfId="0" applyFont="1" applyFill="1" applyBorder="1" applyAlignment="1">
      <alignment vertical="center"/>
    </xf>
    <xf numFmtId="0" fontId="60" fillId="14" borderId="18" xfId="0" applyFont="1" applyFill="1" applyBorder="1" applyAlignment="1">
      <alignment horizontal="center" vertical="center" wrapText="1"/>
    </xf>
    <xf numFmtId="0" fontId="64" fillId="0" borderId="36" xfId="25" applyFont="1" applyBorder="1" applyAlignment="1">
      <alignment horizontal="center"/>
    </xf>
    <xf numFmtId="0" fontId="64" fillId="0" borderId="51" xfId="25" applyFont="1" applyBorder="1"/>
    <xf numFmtId="0" fontId="64" fillId="0" borderId="52" xfId="25" applyFont="1" applyBorder="1"/>
    <xf numFmtId="0" fontId="64" fillId="0" borderId="53" xfId="25" applyFont="1" applyBorder="1"/>
    <xf numFmtId="0" fontId="64" fillId="0" borderId="0" xfId="25" applyFont="1"/>
    <xf numFmtId="0" fontId="64" fillId="0" borderId="27" xfId="25" applyFont="1" applyBorder="1" applyAlignment="1">
      <alignment horizontal="center"/>
    </xf>
    <xf numFmtId="0" fontId="64" fillId="0" borderId="14" xfId="25" applyFont="1" applyBorder="1" applyAlignment="1">
      <alignment horizontal="center"/>
    </xf>
    <xf numFmtId="0" fontId="64" fillId="0" borderId="0" xfId="25" applyFont="1" applyAlignment="1">
      <alignment horizontal="center"/>
    </xf>
    <xf numFmtId="0" fontId="64" fillId="0" borderId="0" xfId="25" applyFont="1" applyAlignment="1">
      <alignment horizontal="left" wrapText="1"/>
    </xf>
    <xf numFmtId="0" fontId="64" fillId="0" borderId="0" xfId="25" applyFont="1" applyAlignment="1" applyProtection="1">
      <alignment horizontal="center"/>
      <protection locked="0"/>
    </xf>
    <xf numFmtId="0" fontId="64" fillId="0" borderId="0" xfId="25" applyFont="1" applyAlignment="1" applyProtection="1">
      <alignment horizontal="left" wrapText="1"/>
      <protection locked="0"/>
    </xf>
    <xf numFmtId="0" fontId="67" fillId="0" borderId="8" xfId="25" applyFont="1" applyBorder="1" applyAlignment="1" applyProtection="1">
      <alignment vertical="center" wrapText="1"/>
      <protection locked="0"/>
    </xf>
    <xf numFmtId="0" fontId="66" fillId="0" borderId="8" xfId="25" applyFont="1" applyBorder="1" applyAlignment="1" applyProtection="1">
      <alignment vertical="center" wrapText="1"/>
      <protection locked="0"/>
    </xf>
    <xf numFmtId="0" fontId="67" fillId="0" borderId="8" xfId="25" applyFont="1" applyBorder="1" applyAlignment="1">
      <alignment horizontal="center" vertical="center" wrapText="1"/>
    </xf>
    <xf numFmtId="0" fontId="68" fillId="0" borderId="8" xfId="25" applyFont="1" applyBorder="1" applyAlignment="1">
      <alignment horizontal="center" vertical="center" wrapText="1"/>
    </xf>
    <xf numFmtId="0" fontId="41" fillId="0" borderId="8" xfId="25" applyBorder="1" applyAlignment="1">
      <alignment horizontal="center" vertical="top" wrapText="1"/>
    </xf>
    <xf numFmtId="49" fontId="65" fillId="0" borderId="8" xfId="25" applyNumberFormat="1" applyFont="1" applyBorder="1" applyAlignment="1" applyProtection="1">
      <alignment horizontal="center" vertical="center" wrapText="1"/>
      <protection locked="0"/>
    </xf>
    <xf numFmtId="20" fontId="65" fillId="0" borderId="8" xfId="25" applyNumberFormat="1" applyFont="1" applyBorder="1" applyAlignment="1" applyProtection="1">
      <alignment horizontal="center" vertical="center" wrapText="1"/>
      <protection locked="0"/>
    </xf>
    <xf numFmtId="0" fontId="65" fillId="0" borderId="8" xfId="25" applyFont="1" applyBorder="1" applyAlignment="1" applyProtection="1">
      <alignment horizontal="center" vertical="center" wrapText="1"/>
      <protection locked="0"/>
    </xf>
    <xf numFmtId="0" fontId="65" fillId="11" borderId="8" xfId="25" applyFont="1" applyFill="1" applyBorder="1" applyAlignment="1">
      <alignment horizontal="center" vertical="center" wrapText="1"/>
    </xf>
    <xf numFmtId="0" fontId="65" fillId="16" borderId="8" xfId="25" applyFont="1" applyFill="1" applyBorder="1" applyAlignment="1" applyProtection="1">
      <alignment horizontal="center" vertical="center" wrapText="1"/>
      <protection locked="0"/>
    </xf>
    <xf numFmtId="0" fontId="65" fillId="0" borderId="0" xfId="25" applyFont="1" applyAlignment="1" applyProtection="1">
      <alignment vertical="center"/>
      <protection locked="0"/>
    </xf>
    <xf numFmtId="0" fontId="41" fillId="0" borderId="0" xfId="25" applyProtection="1">
      <protection locked="0"/>
    </xf>
    <xf numFmtId="0" fontId="64" fillId="0" borderId="0" xfId="25" applyFont="1" applyProtection="1">
      <protection locked="0"/>
    </xf>
    <xf numFmtId="0" fontId="28" fillId="14" borderId="72" xfId="0" applyFont="1" applyFill="1" applyBorder="1" applyAlignment="1">
      <alignment horizontal="center" wrapText="1"/>
    </xf>
    <xf numFmtId="0" fontId="28" fillId="14" borderId="75" xfId="0" applyFont="1" applyFill="1" applyBorder="1" applyAlignment="1">
      <alignment horizontal="center" wrapText="1"/>
    </xf>
    <xf numFmtId="0" fontId="28" fillId="14" borderId="73" xfId="0" applyFont="1" applyFill="1" applyBorder="1" applyAlignment="1">
      <alignment horizontal="center" wrapText="1"/>
    </xf>
    <xf numFmtId="0" fontId="62" fillId="14" borderId="76" xfId="0" applyFont="1" applyFill="1" applyBorder="1" applyAlignment="1">
      <alignment horizontal="left" wrapText="1"/>
    </xf>
    <xf numFmtId="0" fontId="62" fillId="14" borderId="72" xfId="0" applyFont="1" applyFill="1" applyBorder="1" applyAlignment="1">
      <alignment horizontal="left" wrapText="1"/>
    </xf>
    <xf numFmtId="0" fontId="63" fillId="12" borderId="31" xfId="0" applyFont="1" applyFill="1" applyBorder="1" applyProtection="1">
      <protection locked="0"/>
    </xf>
    <xf numFmtId="165" fontId="63" fillId="12" borderId="31" xfId="0" applyNumberFormat="1" applyFont="1" applyFill="1" applyBorder="1" applyAlignment="1" applyProtection="1">
      <alignment horizontal="center"/>
      <protection locked="0"/>
    </xf>
    <xf numFmtId="0" fontId="63" fillId="12" borderId="32" xfId="0" applyFont="1" applyFill="1" applyBorder="1" applyProtection="1">
      <protection locked="0"/>
    </xf>
    <xf numFmtId="0" fontId="63" fillId="12" borderId="74" xfId="0" applyFont="1" applyFill="1" applyBorder="1" applyProtection="1">
      <protection locked="0"/>
    </xf>
    <xf numFmtId="1" fontId="61" fillId="20" borderId="31" xfId="0" applyNumberFormat="1" applyFont="1" applyFill="1" applyBorder="1" applyAlignment="1">
      <alignment horizontal="center"/>
    </xf>
    <xf numFmtId="1" fontId="61" fillId="20" borderId="32" xfId="0" applyNumberFormat="1" applyFont="1" applyFill="1" applyBorder="1" applyAlignment="1">
      <alignment horizontal="center"/>
    </xf>
    <xf numFmtId="1" fontId="61" fillId="20" borderId="33" xfId="0" applyNumberFormat="1" applyFont="1" applyFill="1" applyBorder="1" applyAlignment="1">
      <alignment horizontal="center"/>
    </xf>
    <xf numFmtId="0" fontId="0" fillId="0" borderId="0" xfId="0" applyProtection="1">
      <protection hidden="1"/>
    </xf>
    <xf numFmtId="167" fontId="63" fillId="0" borderId="22" xfId="0" applyNumberFormat="1" applyFont="1" applyBorder="1" applyProtection="1">
      <protection hidden="1"/>
    </xf>
    <xf numFmtId="0" fontId="63" fillId="0" borderId="17" xfId="0" applyFont="1" applyBorder="1" applyProtection="1">
      <protection hidden="1"/>
    </xf>
    <xf numFmtId="164" fontId="63" fillId="0" borderId="17" xfId="0" applyNumberFormat="1" applyFont="1" applyBorder="1" applyProtection="1">
      <protection hidden="1"/>
    </xf>
    <xf numFmtId="0" fontId="63" fillId="10" borderId="17" xfId="0" applyFont="1" applyFill="1" applyBorder="1" applyAlignment="1" applyProtection="1">
      <alignment horizontal="center"/>
      <protection hidden="1"/>
    </xf>
    <xf numFmtId="0" fontId="63" fillId="11" borderId="17" xfId="0" applyFont="1" applyFill="1" applyBorder="1" applyAlignment="1" applyProtection="1">
      <alignment horizontal="center"/>
      <protection hidden="1"/>
    </xf>
    <xf numFmtId="0" fontId="0" fillId="13" borderId="0" xfId="0" applyFill="1"/>
    <xf numFmtId="0" fontId="0" fillId="12" borderId="42" xfId="0" applyFill="1" applyBorder="1"/>
    <xf numFmtId="0" fontId="62" fillId="14" borderId="76" xfId="0" applyFont="1" applyFill="1" applyBorder="1" applyAlignment="1">
      <alignment horizontal="center" wrapText="1"/>
    </xf>
    <xf numFmtId="0" fontId="53" fillId="0" borderId="0" xfId="0" applyFont="1"/>
    <xf numFmtId="0" fontId="53" fillId="0" borderId="0" xfId="0" applyFont="1" applyAlignment="1">
      <alignment horizontal="center" vertical="center"/>
    </xf>
    <xf numFmtId="0" fontId="53" fillId="0" borderId="0" xfId="0" applyFont="1" applyAlignment="1" applyProtection="1">
      <alignment horizontal="center" vertical="center"/>
      <protection locked="0"/>
    </xf>
    <xf numFmtId="0" fontId="53" fillId="0" borderId="0" xfId="0" applyFont="1" applyProtection="1">
      <protection locked="0"/>
    </xf>
    <xf numFmtId="0" fontId="76" fillId="0" borderId="0" xfId="0" applyFont="1" applyAlignment="1">
      <alignment horizontal="left" vertical="center"/>
    </xf>
    <xf numFmtId="49" fontId="49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75" fillId="0" borderId="0" xfId="0" applyFont="1" applyAlignment="1">
      <alignment vertical="center"/>
    </xf>
    <xf numFmtId="0" fontId="73" fillId="0" borderId="0" xfId="0" applyFont="1" applyAlignment="1">
      <alignment vertical="center"/>
    </xf>
    <xf numFmtId="0" fontId="57" fillId="9" borderId="21" xfId="0" applyFont="1" applyFill="1" applyBorder="1" applyAlignment="1">
      <alignment vertical="center"/>
    </xf>
    <xf numFmtId="0" fontId="60" fillId="14" borderId="38" xfId="0" applyFont="1" applyFill="1" applyBorder="1" applyAlignment="1">
      <alignment horizontal="center" vertical="center" wrapText="1"/>
    </xf>
    <xf numFmtId="0" fontId="28" fillId="14" borderId="17" xfId="0" applyFont="1" applyFill="1" applyBorder="1" applyAlignment="1">
      <alignment horizontal="center" vertical="center" wrapText="1"/>
    </xf>
    <xf numFmtId="0" fontId="56" fillId="9" borderId="71" xfId="0" applyFont="1" applyFill="1" applyBorder="1" applyAlignment="1">
      <alignment horizontal="center" vertical="center"/>
    </xf>
    <xf numFmtId="0" fontId="78" fillId="0" borderId="36" xfId="0" applyFont="1" applyBorder="1" applyAlignment="1" applyProtection="1">
      <alignment horizontal="center" vertical="center"/>
      <protection hidden="1"/>
    </xf>
    <xf numFmtId="164" fontId="78" fillId="0" borderId="36" xfId="0" applyNumberFormat="1" applyFont="1" applyBorder="1" applyAlignment="1" applyProtection="1">
      <alignment horizontal="center" vertical="center"/>
      <protection hidden="1"/>
    </xf>
    <xf numFmtId="0" fontId="79" fillId="0" borderId="36" xfId="0" applyFont="1" applyBorder="1" applyAlignment="1" applyProtection="1">
      <alignment horizontal="center" vertical="center"/>
      <protection hidden="1"/>
    </xf>
    <xf numFmtId="0" fontId="49" fillId="0" borderId="36" xfId="0" applyFont="1" applyBorder="1" applyAlignment="1" applyProtection="1">
      <alignment horizontal="center" vertical="center"/>
      <protection hidden="1"/>
    </xf>
    <xf numFmtId="0" fontId="78" fillId="0" borderId="14" xfId="0" applyFont="1" applyBorder="1" applyAlignment="1" applyProtection="1">
      <alignment horizontal="center" vertical="center"/>
      <protection hidden="1"/>
    </xf>
    <xf numFmtId="164" fontId="78" fillId="0" borderId="14" xfId="0" applyNumberFormat="1" applyFont="1" applyBorder="1" applyAlignment="1" applyProtection="1">
      <alignment horizontal="center" vertical="center"/>
      <protection hidden="1"/>
    </xf>
    <xf numFmtId="0" fontId="79" fillId="0" borderId="14" xfId="0" applyFont="1" applyBorder="1" applyAlignment="1" applyProtection="1">
      <alignment horizontal="center" vertical="center"/>
      <protection hidden="1"/>
    </xf>
    <xf numFmtId="0" fontId="49" fillId="0" borderId="14" xfId="0" applyFont="1" applyBorder="1" applyAlignment="1" applyProtection="1">
      <alignment horizontal="center" vertical="center"/>
      <protection hidden="1"/>
    </xf>
    <xf numFmtId="0" fontId="78" fillId="0" borderId="9" xfId="0" applyFont="1" applyBorder="1" applyAlignment="1" applyProtection="1">
      <alignment horizontal="center" vertical="center"/>
      <protection hidden="1"/>
    </xf>
    <xf numFmtId="0" fontId="80" fillId="0" borderId="8" xfId="16" applyFont="1" applyBorder="1" applyAlignment="1" applyProtection="1">
      <alignment horizontal="center" vertical="top"/>
      <protection hidden="1"/>
    </xf>
    <xf numFmtId="164" fontId="81" fillId="0" borderId="8" xfId="16" applyNumberFormat="1" applyFont="1" applyBorder="1" applyAlignment="1" applyProtection="1">
      <alignment horizontal="center" vertical="top"/>
      <protection hidden="1"/>
    </xf>
    <xf numFmtId="164" fontId="81" fillId="0" borderId="8" xfId="0" applyNumberFormat="1" applyFont="1" applyBorder="1" applyAlignment="1" applyProtection="1">
      <alignment horizontal="center" vertical="top"/>
      <protection hidden="1"/>
    </xf>
    <xf numFmtId="0" fontId="80" fillId="0" borderId="8" xfId="0" applyFont="1" applyBorder="1" applyAlignment="1" applyProtection="1">
      <alignment horizontal="center" vertical="top"/>
      <protection hidden="1"/>
    </xf>
    <xf numFmtId="1" fontId="80" fillId="0" borderId="8" xfId="0" applyNumberFormat="1" applyFont="1" applyBorder="1" applyAlignment="1" applyProtection="1">
      <alignment horizontal="center" vertical="top"/>
      <protection hidden="1"/>
    </xf>
    <xf numFmtId="0" fontId="80" fillId="0" borderId="8" xfId="0" applyFont="1" applyBorder="1" applyAlignment="1" applyProtection="1">
      <alignment horizontal="center" vertical="center"/>
      <protection hidden="1"/>
    </xf>
    <xf numFmtId="164" fontId="81" fillId="0" borderId="8" xfId="0" applyNumberFormat="1" applyFont="1" applyBorder="1" applyAlignment="1" applyProtection="1">
      <alignment horizontal="center" vertical="top" wrapText="1"/>
      <protection hidden="1"/>
    </xf>
    <xf numFmtId="164" fontId="81" fillId="0" borderId="8" xfId="0" applyNumberFormat="1" applyFont="1" applyBorder="1" applyAlignment="1" applyProtection="1">
      <alignment vertical="top" wrapText="1"/>
      <protection hidden="1"/>
    </xf>
    <xf numFmtId="0" fontId="81" fillId="0" borderId="8" xfId="0" applyFont="1" applyBorder="1" applyAlignment="1" applyProtection="1">
      <alignment horizontal="center" vertical="top"/>
      <protection hidden="1"/>
    </xf>
    <xf numFmtId="164" fontId="81" fillId="0" borderId="8" xfId="0" applyNumberFormat="1" applyFont="1" applyBorder="1" applyAlignment="1" applyProtection="1">
      <alignment horizontal="center" vertical="center"/>
      <protection hidden="1"/>
    </xf>
    <xf numFmtId="164" fontId="81" fillId="0" borderId="8" xfId="0" quotePrefix="1" applyNumberFormat="1" applyFont="1" applyBorder="1" applyAlignment="1" applyProtection="1">
      <alignment horizontal="center" vertical="top"/>
      <protection hidden="1"/>
    </xf>
    <xf numFmtId="164" fontId="81" fillId="0" borderId="14" xfId="0" applyNumberFormat="1" applyFont="1" applyBorder="1" applyAlignment="1" applyProtection="1">
      <alignment horizontal="center" vertical="top"/>
      <protection hidden="1"/>
    </xf>
    <xf numFmtId="0" fontId="82" fillId="0" borderId="0" xfId="26" applyFont="1" applyProtection="1">
      <protection hidden="1"/>
    </xf>
    <xf numFmtId="164" fontId="82" fillId="0" borderId="0" xfId="26" applyNumberFormat="1" applyFont="1" applyProtection="1">
      <protection hidden="1"/>
    </xf>
    <xf numFmtId="164" fontId="81" fillId="0" borderId="53" xfId="0" applyNumberFormat="1" applyFont="1" applyBorder="1" applyAlignment="1" applyProtection="1">
      <alignment horizontal="center" vertical="top"/>
      <protection hidden="1"/>
    </xf>
    <xf numFmtId="0" fontId="80" fillId="0" borderId="14" xfId="0" applyFont="1" applyBorder="1" applyAlignment="1" applyProtection="1">
      <alignment horizontal="center" vertical="top"/>
      <protection hidden="1"/>
    </xf>
    <xf numFmtId="0" fontId="83" fillId="0" borderId="0" xfId="26" applyFont="1" applyProtection="1">
      <protection hidden="1"/>
    </xf>
    <xf numFmtId="0" fontId="84" fillId="0" borderId="0" xfId="26" applyFont="1" applyProtection="1">
      <protection hidden="1"/>
    </xf>
    <xf numFmtId="0" fontId="81" fillId="0" borderId="0" xfId="26" applyFont="1" applyProtection="1">
      <protection hidden="1"/>
    </xf>
    <xf numFmtId="0" fontId="85" fillId="14" borderId="72" xfId="0" applyFont="1" applyFill="1" applyBorder="1" applyAlignment="1">
      <alignment horizontal="center" wrapText="1"/>
    </xf>
    <xf numFmtId="167" fontId="63" fillId="0" borderId="17" xfId="0" applyNumberFormat="1" applyFont="1" applyBorder="1" applyProtection="1">
      <protection hidden="1"/>
    </xf>
    <xf numFmtId="0" fontId="89" fillId="0" borderId="9" xfId="25" applyFont="1" applyBorder="1" applyAlignment="1" applyProtection="1">
      <alignment vertical="center" wrapText="1"/>
      <protection locked="0"/>
    </xf>
    <xf numFmtId="0" fontId="64" fillId="21" borderId="0" xfId="25" applyFont="1" applyFill="1"/>
    <xf numFmtId="14" fontId="65" fillId="0" borderId="8" xfId="25" applyNumberFormat="1" applyFont="1" applyBorder="1" applyAlignment="1" applyProtection="1">
      <alignment horizontal="center" vertical="center" wrapText="1"/>
      <protection locked="0"/>
    </xf>
    <xf numFmtId="167" fontId="0" fillId="0" borderId="0" xfId="0" applyNumberFormat="1"/>
    <xf numFmtId="166" fontId="0" fillId="0" borderId="0" xfId="0" applyNumberFormat="1"/>
    <xf numFmtId="0" fontId="28" fillId="14" borderId="17" xfId="0" applyFont="1" applyFill="1" applyBorder="1" applyAlignment="1">
      <alignment horizontal="center" wrapText="1"/>
    </xf>
    <xf numFmtId="167" fontId="53" fillId="10" borderId="23" xfId="0" applyNumberFormat="1" applyFont="1" applyFill="1" applyBorder="1" applyAlignment="1">
      <alignment horizontal="center" vertical="center"/>
    </xf>
    <xf numFmtId="167" fontId="53" fillId="10" borderId="24" xfId="0" applyNumberFormat="1" applyFont="1" applyFill="1" applyBorder="1" applyAlignment="1">
      <alignment horizontal="center" vertical="center"/>
    </xf>
    <xf numFmtId="167" fontId="53" fillId="0" borderId="23" xfId="0" applyNumberFormat="1" applyFont="1" applyBorder="1" applyAlignment="1">
      <alignment horizontal="center" vertical="center"/>
    </xf>
    <xf numFmtId="167" fontId="53" fillId="0" borderId="24" xfId="0" applyNumberFormat="1" applyFont="1" applyBorder="1" applyAlignment="1">
      <alignment horizontal="center" vertical="center"/>
    </xf>
    <xf numFmtId="167" fontId="53" fillId="10" borderId="35" xfId="0" applyNumberFormat="1" applyFont="1" applyFill="1" applyBorder="1" applyAlignment="1">
      <alignment horizontal="center" vertical="center"/>
    </xf>
    <xf numFmtId="167" fontId="53" fillId="10" borderId="34" xfId="0" applyNumberFormat="1" applyFont="1" applyFill="1" applyBorder="1" applyAlignment="1">
      <alignment horizontal="center" vertical="center"/>
    </xf>
    <xf numFmtId="167" fontId="53" fillId="10" borderId="72" xfId="0" applyNumberFormat="1" applyFont="1" applyFill="1" applyBorder="1" applyAlignment="1">
      <alignment horizontal="center" vertical="center"/>
    </xf>
    <xf numFmtId="0" fontId="82" fillId="0" borderId="36" xfId="26" applyFont="1" applyBorder="1"/>
    <xf numFmtId="1" fontId="83" fillId="0" borderId="8" xfId="0" applyNumberFormat="1" applyFont="1" applyBorder="1" applyAlignment="1">
      <alignment horizontal="center" vertical="top"/>
    </xf>
    <xf numFmtId="171" fontId="0" fillId="0" borderId="0" xfId="0" applyNumberFormat="1"/>
    <xf numFmtId="0" fontId="53" fillId="10" borderId="70" xfId="0" applyFont="1" applyFill="1" applyBorder="1" applyAlignment="1">
      <alignment vertical="center"/>
    </xf>
    <xf numFmtId="164" fontId="28" fillId="10" borderId="23" xfId="0" applyNumberFormat="1" applyFont="1" applyFill="1" applyBorder="1" applyAlignment="1">
      <alignment horizontal="right" vertical="center"/>
    </xf>
    <xf numFmtId="164" fontId="28" fillId="10" borderId="35" xfId="0" applyNumberFormat="1" applyFont="1" applyFill="1" applyBorder="1" applyAlignment="1">
      <alignment horizontal="right" vertical="center"/>
    </xf>
    <xf numFmtId="164" fontId="28" fillId="10" borderId="34" xfId="0" applyNumberFormat="1" applyFont="1" applyFill="1" applyBorder="1" applyAlignment="1">
      <alignment horizontal="right" vertical="center"/>
    </xf>
    <xf numFmtId="164" fontId="28" fillId="10" borderId="72" xfId="0" applyNumberFormat="1" applyFont="1" applyFill="1" applyBorder="1" applyAlignment="1">
      <alignment horizontal="right" vertical="center"/>
    </xf>
    <xf numFmtId="0" fontId="91" fillId="14" borderId="26" xfId="0" applyFont="1" applyFill="1" applyBorder="1" applyAlignment="1">
      <alignment horizontal="center" wrapText="1"/>
    </xf>
    <xf numFmtId="164" fontId="0" fillId="0" borderId="0" xfId="0" applyNumberFormat="1"/>
    <xf numFmtId="0" fontId="60" fillId="14" borderId="21" xfId="0" applyFont="1" applyFill="1" applyBorder="1" applyAlignment="1">
      <alignment horizontal="center" vertical="center" wrapText="1"/>
    </xf>
    <xf numFmtId="0" fontId="60" fillId="14" borderId="17" xfId="0" applyFont="1" applyFill="1" applyBorder="1" applyAlignment="1">
      <alignment horizontal="center" vertical="center" wrapText="1"/>
    </xf>
    <xf numFmtId="164" fontId="28" fillId="9" borderId="38" xfId="0" applyNumberFormat="1" applyFont="1" applyFill="1" applyBorder="1" applyAlignment="1">
      <alignment horizontal="right" vertical="center"/>
    </xf>
    <xf numFmtId="0" fontId="53" fillId="10" borderId="39" xfId="0" applyFont="1" applyFill="1" applyBorder="1" applyAlignment="1">
      <alignment vertical="center"/>
    </xf>
    <xf numFmtId="0" fontId="28" fillId="12" borderId="22" xfId="0" applyFont="1" applyFill="1" applyBorder="1" applyAlignment="1" applyProtection="1">
      <alignment horizontal="center" vertical="center"/>
      <protection locked="0"/>
    </xf>
    <xf numFmtId="0" fontId="53" fillId="10" borderId="72" xfId="0" applyFont="1" applyFill="1" applyBorder="1" applyAlignment="1">
      <alignment vertical="center"/>
    </xf>
    <xf numFmtId="0" fontId="28" fillId="19" borderId="22" xfId="0" applyFont="1" applyFill="1" applyBorder="1" applyAlignment="1" applyProtection="1">
      <alignment horizontal="center" vertical="center"/>
      <protection locked="0"/>
    </xf>
    <xf numFmtId="14" fontId="28" fillId="19" borderId="22" xfId="0" applyNumberFormat="1" applyFont="1" applyFill="1" applyBorder="1" applyAlignment="1">
      <alignment horizontal="center" vertical="center" wrapText="1"/>
    </xf>
    <xf numFmtId="0" fontId="28" fillId="10" borderId="16" xfId="0" applyFont="1" applyFill="1" applyBorder="1" applyAlignment="1">
      <alignment horizontal="center" vertical="center"/>
    </xf>
    <xf numFmtId="0" fontId="28" fillId="10" borderId="19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28" fillId="11" borderId="19" xfId="0" applyFont="1" applyFill="1" applyBorder="1" applyAlignment="1">
      <alignment horizontal="center" vertical="center"/>
    </xf>
    <xf numFmtId="0" fontId="28" fillId="14" borderId="73" xfId="0" applyFont="1" applyFill="1" applyBorder="1" applyAlignment="1">
      <alignment horizontal="center" vertical="center"/>
    </xf>
    <xf numFmtId="0" fontId="29" fillId="14" borderId="17" xfId="0" applyFont="1" applyFill="1" applyBorder="1" applyAlignment="1">
      <alignment horizontal="center" wrapText="1"/>
    </xf>
    <xf numFmtId="164" fontId="97" fillId="9" borderId="71" xfId="0" applyNumberFormat="1" applyFont="1" applyFill="1" applyBorder="1" applyAlignment="1">
      <alignment horizontal="right" vertical="center"/>
    </xf>
    <xf numFmtId="0" fontId="57" fillId="9" borderId="71" xfId="0" applyFont="1" applyFill="1" applyBorder="1" applyAlignment="1">
      <alignment vertical="center"/>
    </xf>
    <xf numFmtId="0" fontId="57" fillId="9" borderId="22" xfId="0" applyFont="1" applyFill="1" applyBorder="1" applyAlignment="1">
      <alignment vertical="center"/>
    </xf>
    <xf numFmtId="164" fontId="98" fillId="9" borderId="17" xfId="0" applyNumberFormat="1" applyFont="1" applyFill="1" applyBorder="1" applyAlignment="1">
      <alignment horizontal="right" vertical="center"/>
    </xf>
    <xf numFmtId="0" fontId="28" fillId="14" borderId="17" xfId="0" applyFont="1" applyFill="1" applyBorder="1" applyAlignment="1">
      <alignment vertical="center"/>
    </xf>
    <xf numFmtId="0" fontId="28" fillId="14" borderId="17" xfId="0" applyFont="1" applyFill="1" applyBorder="1" applyAlignment="1">
      <alignment vertical="center" wrapText="1"/>
    </xf>
    <xf numFmtId="164" fontId="55" fillId="10" borderId="35" xfId="0" applyNumberFormat="1" applyFont="1" applyFill="1" applyBorder="1" applyAlignment="1">
      <alignment horizontal="right" vertical="center"/>
    </xf>
    <xf numFmtId="164" fontId="55" fillId="10" borderId="23" xfId="0" applyNumberFormat="1" applyFont="1" applyFill="1" applyBorder="1" applyAlignment="1">
      <alignment horizontal="right" vertical="center"/>
    </xf>
    <xf numFmtId="164" fontId="55" fillId="10" borderId="72" xfId="0" applyNumberFormat="1" applyFont="1" applyFill="1" applyBorder="1" applyAlignment="1">
      <alignment horizontal="right" vertical="center"/>
    </xf>
    <xf numFmtId="0" fontId="28" fillId="14" borderId="76" xfId="0" applyFont="1" applyFill="1" applyBorder="1" applyAlignment="1">
      <alignment horizontal="center" vertical="center" wrapText="1"/>
    </xf>
    <xf numFmtId="0" fontId="28" fillId="10" borderId="24" xfId="0" applyFont="1" applyFill="1" applyBorder="1" applyAlignment="1">
      <alignment horizontal="center" vertical="center"/>
    </xf>
    <xf numFmtId="0" fontId="91" fillId="14" borderId="30" xfId="0" applyFont="1" applyFill="1" applyBorder="1" applyAlignment="1">
      <alignment horizontal="center" wrapText="1"/>
    </xf>
    <xf numFmtId="165" fontId="54" fillId="10" borderId="95" xfId="0" applyNumberFormat="1" applyFont="1" applyFill="1" applyBorder="1" applyAlignment="1">
      <alignment horizontal="right" vertical="center"/>
    </xf>
    <xf numFmtId="165" fontId="54" fillId="10" borderId="30" xfId="0" applyNumberFormat="1" applyFont="1" applyFill="1" applyBorder="1" applyAlignment="1">
      <alignment horizontal="right" vertical="center"/>
    </xf>
    <xf numFmtId="165" fontId="54" fillId="11" borderId="37" xfId="0" applyNumberFormat="1" applyFont="1" applyFill="1" applyBorder="1" applyAlignment="1">
      <alignment horizontal="right" vertical="center"/>
    </xf>
    <xf numFmtId="165" fontId="54" fillId="11" borderId="94" xfId="0" applyNumberFormat="1" applyFont="1" applyFill="1" applyBorder="1" applyAlignment="1">
      <alignment horizontal="right" vertical="center"/>
    </xf>
    <xf numFmtId="165" fontId="54" fillId="10" borderId="37" xfId="0" applyNumberFormat="1" applyFont="1" applyFill="1" applyBorder="1" applyAlignment="1">
      <alignment horizontal="right" vertical="center"/>
    </xf>
    <xf numFmtId="165" fontId="54" fillId="10" borderId="94" xfId="0" applyNumberFormat="1" applyFont="1" applyFill="1" applyBorder="1" applyAlignment="1">
      <alignment horizontal="right" vertical="center"/>
    </xf>
    <xf numFmtId="165" fontId="54" fillId="11" borderId="95" xfId="0" applyNumberFormat="1" applyFont="1" applyFill="1" applyBorder="1" applyAlignment="1">
      <alignment horizontal="right" vertical="center"/>
    </xf>
    <xf numFmtId="165" fontId="54" fillId="11" borderId="30" xfId="0" applyNumberFormat="1" applyFont="1" applyFill="1" applyBorder="1" applyAlignment="1">
      <alignment horizontal="right" vertical="center"/>
    </xf>
    <xf numFmtId="167" fontId="28" fillId="12" borderId="23" xfId="0" applyNumberFormat="1" applyFont="1" applyFill="1" applyBorder="1" applyAlignment="1" applyProtection="1">
      <alignment horizontal="center" vertical="center"/>
      <protection locked="0"/>
    </xf>
    <xf numFmtId="167" fontId="28" fillId="12" borderId="24" xfId="0" applyNumberFormat="1" applyFont="1" applyFill="1" applyBorder="1" applyAlignment="1" applyProtection="1">
      <alignment horizontal="center" vertical="center"/>
      <protection locked="0"/>
    </xf>
    <xf numFmtId="167" fontId="28" fillId="19" borderId="23" xfId="0" applyNumberFormat="1" applyFont="1" applyFill="1" applyBorder="1" applyAlignment="1" applyProtection="1">
      <alignment horizontal="center" vertical="center"/>
      <protection locked="0"/>
    </xf>
    <xf numFmtId="167" fontId="28" fillId="19" borderId="24" xfId="0" applyNumberFormat="1" applyFont="1" applyFill="1" applyBorder="1" applyAlignment="1" applyProtection="1">
      <alignment horizontal="center" vertical="center"/>
      <protection locked="0"/>
    </xf>
    <xf numFmtId="0" fontId="0" fillId="23" borderId="0" xfId="0" applyFill="1"/>
    <xf numFmtId="167" fontId="63" fillId="23" borderId="22" xfId="0" applyNumberFormat="1" applyFont="1" applyFill="1" applyBorder="1"/>
    <xf numFmtId="167" fontId="63" fillId="23" borderId="17" xfId="0" applyNumberFormat="1" applyFont="1" applyFill="1" applyBorder="1"/>
    <xf numFmtId="0" fontId="63" fillId="23" borderId="17" xfId="0" applyFont="1" applyFill="1" applyBorder="1"/>
    <xf numFmtId="164" fontId="63" fillId="23" borderId="17" xfId="0" applyNumberFormat="1" applyFont="1" applyFill="1" applyBorder="1"/>
    <xf numFmtId="0" fontId="0" fillId="23" borderId="17" xfId="0" applyFill="1" applyBorder="1" applyAlignment="1">
      <alignment horizontal="center"/>
    </xf>
    <xf numFmtId="167" fontId="0" fillId="23" borderId="0" xfId="0" applyNumberFormat="1" applyFill="1"/>
    <xf numFmtId="2" fontId="0" fillId="24" borderId="8" xfId="0" applyNumberFormat="1" applyFill="1" applyBorder="1" applyAlignment="1" applyProtection="1">
      <alignment horizontal="center"/>
      <protection locked="0"/>
    </xf>
    <xf numFmtId="0" fontId="99" fillId="23" borderId="0" xfId="0" applyFont="1" applyFill="1" applyProtection="1">
      <protection hidden="1"/>
    </xf>
    <xf numFmtId="0" fontId="99" fillId="23" borderId="29" xfId="0" applyFont="1" applyFill="1" applyBorder="1" applyProtection="1">
      <protection hidden="1"/>
    </xf>
    <xf numFmtId="167" fontId="100" fillId="23" borderId="22" xfId="0" applyNumberFormat="1" applyFont="1" applyFill="1" applyBorder="1" applyProtection="1">
      <protection hidden="1"/>
    </xf>
    <xf numFmtId="167" fontId="100" fillId="23" borderId="17" xfId="0" applyNumberFormat="1" applyFont="1" applyFill="1" applyBorder="1" applyProtection="1">
      <protection hidden="1"/>
    </xf>
    <xf numFmtId="0" fontId="100" fillId="23" borderId="17" xfId="0" applyFont="1" applyFill="1" applyBorder="1" applyProtection="1">
      <protection hidden="1"/>
    </xf>
    <xf numFmtId="164" fontId="100" fillId="23" borderId="17" xfId="0" applyNumberFormat="1" applyFont="1" applyFill="1" applyBorder="1" applyProtection="1">
      <protection hidden="1"/>
    </xf>
    <xf numFmtId="0" fontId="99" fillId="23" borderId="71" xfId="0" applyFont="1" applyFill="1" applyBorder="1" applyAlignment="1" applyProtection="1">
      <alignment horizontal="center"/>
      <protection hidden="1"/>
    </xf>
    <xf numFmtId="0" fontId="0" fillId="23" borderId="96" xfId="0" applyFill="1" applyBorder="1"/>
    <xf numFmtId="167" fontId="63" fillId="23" borderId="97" xfId="0" applyNumberFormat="1" applyFont="1" applyFill="1" applyBorder="1" applyProtection="1">
      <protection hidden="1"/>
    </xf>
    <xf numFmtId="167" fontId="63" fillId="23" borderId="98" xfId="0" applyNumberFormat="1" applyFont="1" applyFill="1" applyBorder="1" applyProtection="1">
      <protection hidden="1"/>
    </xf>
    <xf numFmtId="0" fontId="63" fillId="23" borderId="98" xfId="0" applyFont="1" applyFill="1" applyBorder="1" applyProtection="1">
      <protection hidden="1"/>
    </xf>
    <xf numFmtId="164" fontId="63" fillId="23" borderId="98" xfId="0" applyNumberFormat="1" applyFont="1" applyFill="1" applyBorder="1" applyProtection="1">
      <protection hidden="1"/>
    </xf>
    <xf numFmtId="0" fontId="0" fillId="23" borderId="98" xfId="0" applyFill="1" applyBorder="1" applyAlignment="1" applyProtection="1">
      <alignment horizontal="center"/>
      <protection hidden="1"/>
    </xf>
    <xf numFmtId="0" fontId="99" fillId="23" borderId="99" xfId="0" applyFont="1" applyFill="1" applyBorder="1" applyProtection="1">
      <protection hidden="1"/>
    </xf>
    <xf numFmtId="0" fontId="0" fillId="23" borderId="100" xfId="0" applyFill="1" applyBorder="1"/>
    <xf numFmtId="0" fontId="0" fillId="23" borderId="101" xfId="0" applyFill="1" applyBorder="1"/>
    <xf numFmtId="164" fontId="63" fillId="20" borderId="102" xfId="0" applyNumberFormat="1" applyFont="1" applyFill="1" applyBorder="1" applyAlignment="1">
      <alignment horizontal="right" vertical="center"/>
    </xf>
    <xf numFmtId="164" fontId="63" fillId="20" borderId="103" xfId="0" applyNumberFormat="1" applyFont="1" applyFill="1" applyBorder="1" applyAlignment="1">
      <alignment horizontal="right" vertical="center"/>
    </xf>
    <xf numFmtId="164" fontId="63" fillId="20" borderId="104" xfId="0" applyNumberFormat="1" applyFont="1" applyFill="1" applyBorder="1" applyAlignment="1">
      <alignment horizontal="right" vertical="center"/>
    </xf>
    <xf numFmtId="2" fontId="99" fillId="23" borderId="100" xfId="0" applyNumberFormat="1" applyFont="1" applyFill="1" applyBorder="1"/>
    <xf numFmtId="0" fontId="101" fillId="0" borderId="0" xfId="27"/>
    <xf numFmtId="164" fontId="101" fillId="0" borderId="0" xfId="27" applyNumberFormat="1" applyProtection="1">
      <protection hidden="1"/>
    </xf>
    <xf numFmtId="10" fontId="101" fillId="0" borderId="0" xfId="27" applyNumberFormat="1" applyAlignment="1" applyProtection="1">
      <alignment horizontal="center" vertical="center"/>
      <protection hidden="1"/>
    </xf>
    <xf numFmtId="0" fontId="101" fillId="0" borderId="0" xfId="27" applyAlignment="1">
      <alignment horizontal="center" vertical="center"/>
    </xf>
    <xf numFmtId="0" fontId="101" fillId="0" borderId="0" xfId="27" applyProtection="1">
      <protection hidden="1"/>
    </xf>
    <xf numFmtId="0" fontId="101" fillId="0" borderId="110" xfId="27" applyBorder="1" applyAlignment="1" applyProtection="1">
      <alignment horizontal="center" vertical="center"/>
      <protection hidden="1"/>
    </xf>
    <xf numFmtId="0" fontId="101" fillId="0" borderId="8" xfId="27" applyBorder="1" applyAlignment="1" applyProtection="1">
      <alignment horizontal="center" vertical="center"/>
      <protection hidden="1"/>
    </xf>
    <xf numFmtId="0" fontId="101" fillId="0" borderId="111" xfId="27" applyBorder="1" applyAlignment="1" applyProtection="1">
      <alignment horizontal="center" vertical="center"/>
      <protection hidden="1"/>
    </xf>
    <xf numFmtId="0" fontId="101" fillId="16" borderId="0" xfId="27" applyFill="1" applyAlignment="1">
      <alignment shrinkToFit="1"/>
    </xf>
    <xf numFmtId="0" fontId="101" fillId="0" borderId="110" xfId="27" applyBorder="1" applyProtection="1">
      <protection hidden="1"/>
    </xf>
    <xf numFmtId="164" fontId="101" fillId="0" borderId="8" xfId="27" applyNumberFormat="1" applyBorder="1" applyProtection="1">
      <protection hidden="1"/>
    </xf>
    <xf numFmtId="164" fontId="101" fillId="0" borderId="9" xfId="27" applyNumberFormat="1" applyBorder="1" applyProtection="1">
      <protection hidden="1"/>
    </xf>
    <xf numFmtId="10" fontId="101" fillId="16" borderId="111" xfId="27" applyNumberFormat="1" applyFill="1" applyBorder="1" applyProtection="1">
      <protection hidden="1"/>
    </xf>
    <xf numFmtId="49" fontId="101" fillId="0" borderId="0" xfId="27" applyNumberFormat="1" applyAlignment="1" applyProtection="1">
      <alignment horizontal="center" vertical="center"/>
      <protection hidden="1"/>
    </xf>
    <xf numFmtId="167" fontId="101" fillId="0" borderId="0" xfId="27" applyNumberFormat="1" applyAlignment="1">
      <alignment horizontal="center" vertical="center"/>
    </xf>
    <xf numFmtId="0" fontId="101" fillId="0" borderId="0" xfId="27" applyAlignment="1">
      <alignment horizontal="center"/>
    </xf>
    <xf numFmtId="1" fontId="101" fillId="0" borderId="0" xfId="27" applyNumberFormat="1" applyAlignment="1">
      <alignment horizontal="center"/>
    </xf>
    <xf numFmtId="165" fontId="101" fillId="0" borderId="0" xfId="27" applyNumberFormat="1" applyAlignment="1" applyProtection="1">
      <alignment horizontal="left"/>
      <protection hidden="1"/>
    </xf>
    <xf numFmtId="0" fontId="101" fillId="0" borderId="0" xfId="27" applyAlignment="1" applyProtection="1">
      <alignment horizontal="center" vertical="center"/>
      <protection hidden="1"/>
    </xf>
    <xf numFmtId="2" fontId="101" fillId="0" borderId="0" xfId="27" applyNumberFormat="1" applyAlignment="1">
      <alignment horizontal="center" vertical="center"/>
    </xf>
    <xf numFmtId="164" fontId="101" fillId="0" borderId="0" xfId="27" applyNumberFormat="1" applyAlignment="1">
      <alignment horizontal="center" vertical="center"/>
    </xf>
    <xf numFmtId="0" fontId="101" fillId="0" borderId="117" xfId="27" applyBorder="1" applyProtection="1">
      <protection hidden="1"/>
    </xf>
    <xf numFmtId="10" fontId="101" fillId="16" borderId="118" xfId="27" applyNumberFormat="1" applyFill="1" applyBorder="1" applyProtection="1">
      <protection hidden="1"/>
    </xf>
    <xf numFmtId="49" fontId="101" fillId="0" borderId="0" xfId="27" applyNumberFormat="1" applyAlignment="1">
      <alignment horizontal="center" vertical="center"/>
    </xf>
    <xf numFmtId="165" fontId="101" fillId="0" borderId="119" xfId="27" applyNumberFormat="1" applyBorder="1" applyAlignment="1" applyProtection="1">
      <alignment horizontal="left"/>
      <protection hidden="1"/>
    </xf>
    <xf numFmtId="164" fontId="110" fillId="16" borderId="120" xfId="27" applyNumberFormat="1" applyFont="1" applyFill="1" applyBorder="1" applyProtection="1">
      <protection hidden="1"/>
    </xf>
    <xf numFmtId="164" fontId="101" fillId="16" borderId="120" xfId="27" applyNumberFormat="1" applyFill="1" applyBorder="1" applyProtection="1">
      <protection hidden="1"/>
    </xf>
    <xf numFmtId="0" fontId="101" fillId="0" borderId="121" xfId="27" applyBorder="1" applyProtection="1">
      <protection hidden="1"/>
    </xf>
    <xf numFmtId="2" fontId="101" fillId="0" borderId="0" xfId="27" applyNumberFormat="1" applyAlignment="1" applyProtection="1">
      <alignment horizontal="left"/>
      <protection hidden="1"/>
    </xf>
    <xf numFmtId="10" fontId="101" fillId="0" borderId="0" xfId="27" applyNumberFormat="1" applyProtection="1">
      <protection hidden="1"/>
    </xf>
    <xf numFmtId="0" fontId="101" fillId="0" borderId="0" xfId="27" applyProtection="1">
      <protection locked="0"/>
    </xf>
    <xf numFmtId="164" fontId="101" fillId="0" borderId="0" xfId="27" applyNumberFormat="1" applyProtection="1">
      <protection locked="0"/>
    </xf>
    <xf numFmtId="10" fontId="101" fillId="0" borderId="0" xfId="27" applyNumberFormat="1" applyProtection="1">
      <protection locked="0"/>
    </xf>
    <xf numFmtId="164" fontId="110" fillId="0" borderId="0" xfId="27" applyNumberFormat="1" applyFont="1" applyProtection="1">
      <protection locked="0"/>
    </xf>
    <xf numFmtId="0" fontId="101" fillId="0" borderId="0" xfId="27" applyAlignment="1" applyProtection="1">
      <alignment horizontal="center" vertical="center"/>
      <protection locked="0"/>
    </xf>
    <xf numFmtId="164" fontId="101" fillId="0" borderId="0" xfId="27" applyNumberFormat="1"/>
    <xf numFmtId="165" fontId="101" fillId="0" borderId="0" xfId="27" applyNumberFormat="1" applyAlignment="1" applyProtection="1">
      <alignment horizontal="left"/>
      <protection locked="0"/>
    </xf>
    <xf numFmtId="1" fontId="101" fillId="0" borderId="0" xfId="27" applyNumberFormat="1"/>
    <xf numFmtId="172" fontId="101" fillId="0" borderId="0" xfId="27" applyNumberFormat="1"/>
    <xf numFmtId="1" fontId="106" fillId="0" borderId="8" xfId="28" applyNumberFormat="1" applyFont="1" applyBorder="1" applyAlignment="1">
      <alignment horizontal="center" vertical="top"/>
    </xf>
    <xf numFmtId="1" fontId="106" fillId="28" borderId="8" xfId="28" applyNumberFormat="1" applyFont="1" applyFill="1" applyBorder="1" applyAlignment="1">
      <alignment horizontal="center" vertical="top"/>
    </xf>
    <xf numFmtId="173" fontId="106" fillId="16" borderId="8" xfId="28" applyNumberFormat="1" applyFont="1" applyFill="1" applyBorder="1" applyAlignment="1">
      <alignment horizontal="center" vertical="top"/>
    </xf>
    <xf numFmtId="173" fontId="106" fillId="16" borderId="8" xfId="27" applyNumberFormat="1" applyFont="1" applyFill="1" applyBorder="1" applyAlignment="1">
      <alignment horizontal="center" vertical="top"/>
    </xf>
    <xf numFmtId="1" fontId="28" fillId="9" borderId="24" xfId="0" applyNumberFormat="1" applyFont="1" applyFill="1" applyBorder="1" applyAlignment="1">
      <alignment horizontal="center" vertical="center"/>
    </xf>
    <xf numFmtId="0" fontId="41" fillId="0" borderId="0" xfId="26" applyProtection="1">
      <protection hidden="1"/>
    </xf>
    <xf numFmtId="0" fontId="82" fillId="0" borderId="124" xfId="26" applyFont="1" applyBorder="1" applyProtection="1">
      <protection hidden="1"/>
    </xf>
    <xf numFmtId="0" fontId="112" fillId="0" borderId="0" xfId="26" applyFont="1" applyProtection="1">
      <protection hidden="1"/>
    </xf>
    <xf numFmtId="0" fontId="112" fillId="0" borderId="56" xfId="26" applyFont="1" applyBorder="1" applyProtection="1">
      <protection hidden="1"/>
    </xf>
    <xf numFmtId="0" fontId="112" fillId="0" borderId="55" xfId="26" applyFont="1" applyBorder="1" applyProtection="1">
      <protection hidden="1"/>
    </xf>
    <xf numFmtId="0" fontId="82" fillId="0" borderId="57" xfId="26" applyFont="1" applyBorder="1" applyProtection="1">
      <protection hidden="1"/>
    </xf>
    <xf numFmtId="0" fontId="82" fillId="0" borderId="10" xfId="26" applyFont="1" applyBorder="1" applyProtection="1">
      <protection hidden="1"/>
    </xf>
    <xf numFmtId="0" fontId="112" fillId="0" borderId="8" xfId="26" applyFont="1" applyBorder="1" applyAlignment="1" applyProtection="1">
      <alignment horizontal="center"/>
      <protection hidden="1"/>
    </xf>
    <xf numFmtId="49" fontId="111" fillId="0" borderId="36" xfId="26" applyNumberFormat="1" applyFont="1" applyBorder="1" applyAlignment="1" applyProtection="1">
      <alignment horizontal="center"/>
      <protection hidden="1"/>
    </xf>
    <xf numFmtId="49" fontId="113" fillId="0" borderId="36" xfId="26" applyNumberFormat="1" applyFont="1" applyBorder="1" applyAlignment="1" applyProtection="1">
      <alignment horizontal="center"/>
      <protection hidden="1"/>
    </xf>
    <xf numFmtId="0" fontId="114" fillId="0" borderId="36" xfId="26" applyFont="1" applyBorder="1" applyAlignment="1" applyProtection="1">
      <alignment horizontal="center"/>
      <protection hidden="1"/>
    </xf>
    <xf numFmtId="0" fontId="112" fillId="0" borderId="36" xfId="26" applyFont="1" applyBorder="1" applyAlignment="1" applyProtection="1">
      <alignment horizontal="center"/>
      <protection hidden="1"/>
    </xf>
    <xf numFmtId="0" fontId="111" fillId="0" borderId="53" xfId="26" applyFont="1" applyBorder="1" applyAlignment="1" applyProtection="1">
      <alignment horizontal="center"/>
      <protection hidden="1"/>
    </xf>
    <xf numFmtId="0" fontId="113" fillId="0" borderId="0" xfId="26" applyFont="1" applyProtection="1">
      <protection hidden="1"/>
    </xf>
    <xf numFmtId="0" fontId="78" fillId="0" borderId="36" xfId="29" applyFont="1" applyBorder="1" applyAlignment="1" applyProtection="1">
      <alignment horizontal="center" vertical="center"/>
      <protection hidden="1"/>
    </xf>
    <xf numFmtId="164" fontId="78" fillId="0" borderId="36" xfId="29" applyNumberFormat="1" applyFont="1" applyBorder="1" applyAlignment="1" applyProtection="1">
      <alignment horizontal="center" vertical="center"/>
      <protection hidden="1"/>
    </xf>
    <xf numFmtId="0" fontId="79" fillId="0" borderId="36" xfId="29" applyFont="1" applyBorder="1" applyAlignment="1" applyProtection="1">
      <alignment horizontal="center" vertical="center"/>
      <protection hidden="1"/>
    </xf>
    <xf numFmtId="0" fontId="49" fillId="0" borderId="36" xfId="29" applyFont="1" applyBorder="1" applyAlignment="1" applyProtection="1">
      <alignment horizontal="center" vertical="center"/>
      <protection hidden="1"/>
    </xf>
    <xf numFmtId="49" fontId="111" fillId="0" borderId="14" xfId="26" applyNumberFormat="1" applyFont="1" applyBorder="1" applyAlignment="1" applyProtection="1">
      <alignment horizontal="center"/>
      <protection hidden="1"/>
    </xf>
    <xf numFmtId="49" fontId="113" fillId="0" borderId="14" xfId="26" applyNumberFormat="1" applyFont="1" applyBorder="1" applyAlignment="1" applyProtection="1">
      <alignment horizontal="center"/>
      <protection hidden="1"/>
    </xf>
    <xf numFmtId="0" fontId="114" fillId="0" borderId="27" xfId="26" applyFont="1" applyBorder="1" applyAlignment="1" applyProtection="1">
      <alignment horizontal="center"/>
      <protection hidden="1"/>
    </xf>
    <xf numFmtId="0" fontId="112" fillId="0" borderId="27" xfId="26" applyFont="1" applyBorder="1" applyAlignment="1" applyProtection="1">
      <alignment horizontal="center"/>
      <protection hidden="1"/>
    </xf>
    <xf numFmtId="0" fontId="112" fillId="0" borderId="37" xfId="26" applyFont="1" applyBorder="1" applyAlignment="1" applyProtection="1">
      <alignment horizontal="center"/>
      <protection hidden="1"/>
    </xf>
    <xf numFmtId="0" fontId="78" fillId="0" borderId="14" xfId="29" applyFont="1" applyBorder="1" applyAlignment="1" applyProtection="1">
      <alignment horizontal="center" vertical="center"/>
      <protection hidden="1"/>
    </xf>
    <xf numFmtId="164" fontId="78" fillId="0" borderId="14" xfId="29" applyNumberFormat="1" applyFont="1" applyBorder="1" applyAlignment="1" applyProtection="1">
      <alignment horizontal="center" vertical="center"/>
      <protection hidden="1"/>
    </xf>
    <xf numFmtId="0" fontId="79" fillId="0" borderId="14" xfId="29" applyFont="1" applyBorder="1" applyAlignment="1" applyProtection="1">
      <alignment horizontal="center" vertical="center"/>
      <protection hidden="1"/>
    </xf>
    <xf numFmtId="0" fontId="49" fillId="0" borderId="14" xfId="29" applyFont="1" applyBorder="1" applyAlignment="1" applyProtection="1">
      <alignment horizontal="center" vertical="center"/>
      <protection hidden="1"/>
    </xf>
    <xf numFmtId="0" fontId="82" fillId="0" borderId="8" xfId="26" applyFont="1" applyBorder="1" applyProtection="1">
      <protection hidden="1"/>
    </xf>
    <xf numFmtId="0" fontId="112" fillId="0" borderId="14" xfId="26" applyFont="1" applyBorder="1" applyAlignment="1" applyProtection="1">
      <alignment horizontal="center"/>
      <protection hidden="1"/>
    </xf>
    <xf numFmtId="0" fontId="112" fillId="0" borderId="55" xfId="26" applyFont="1" applyBorder="1" applyAlignment="1" applyProtection="1">
      <alignment horizontal="center"/>
      <protection hidden="1"/>
    </xf>
    <xf numFmtId="0" fontId="112" fillId="0" borderId="15" xfId="26" applyFont="1" applyBorder="1" applyAlignment="1" applyProtection="1">
      <alignment horizontal="center"/>
      <protection hidden="1"/>
    </xf>
    <xf numFmtId="166" fontId="82" fillId="0" borderId="8" xfId="26" applyNumberFormat="1" applyFont="1" applyBorder="1" applyAlignment="1" applyProtection="1">
      <alignment horizontal="center"/>
      <protection hidden="1"/>
    </xf>
    <xf numFmtId="164" fontId="82" fillId="0" borderId="8" xfId="26" quotePrefix="1" applyNumberFormat="1" applyFont="1" applyBorder="1" applyAlignment="1" applyProtection="1">
      <alignment horizontal="right"/>
      <protection hidden="1"/>
    </xf>
    <xf numFmtId="0" fontId="114" fillId="0" borderId="14" xfId="26" applyFont="1" applyBorder="1" applyAlignment="1" applyProtection="1">
      <alignment horizontal="center"/>
      <protection hidden="1"/>
    </xf>
    <xf numFmtId="0" fontId="117" fillId="0" borderId="14" xfId="26" applyFont="1" applyBorder="1" applyAlignment="1" applyProtection="1">
      <alignment horizontal="center"/>
      <protection hidden="1"/>
    </xf>
    <xf numFmtId="0" fontId="118" fillId="0" borderId="14" xfId="26" applyFont="1" applyBorder="1" applyProtection="1">
      <protection hidden="1"/>
    </xf>
    <xf numFmtId="0" fontId="118" fillId="0" borderId="15" xfId="26" applyFont="1" applyBorder="1" applyAlignment="1" applyProtection="1">
      <alignment horizontal="center"/>
      <protection hidden="1"/>
    </xf>
    <xf numFmtId="175" fontId="5" fillId="0" borderId="10" xfId="30" applyFont="1" applyBorder="1" applyAlignment="1" applyProtection="1">
      <alignment horizontal="center"/>
      <protection hidden="1"/>
    </xf>
    <xf numFmtId="49" fontId="120" fillId="30" borderId="8" xfId="29" applyNumberFormat="1" applyFont="1" applyFill="1" applyBorder="1" applyProtection="1">
      <protection hidden="1"/>
    </xf>
    <xf numFmtId="49" fontId="120" fillId="30" borderId="8" xfId="29" applyNumberFormat="1" applyFont="1" applyFill="1" applyBorder="1" applyAlignment="1" applyProtection="1">
      <alignment horizontal="center"/>
      <protection hidden="1"/>
    </xf>
    <xf numFmtId="176" fontId="122" fillId="11" borderId="0" xfId="31" applyNumberFormat="1" applyFont="1" applyFill="1" applyProtection="1">
      <protection hidden="1"/>
    </xf>
    <xf numFmtId="0" fontId="123" fillId="11" borderId="0" xfId="31" applyFont="1" applyFill="1" applyProtection="1">
      <protection hidden="1"/>
    </xf>
    <xf numFmtId="0" fontId="82" fillId="16" borderId="8" xfId="32" applyFont="1" applyFill="1" applyBorder="1" applyAlignment="1" applyProtection="1">
      <alignment horizontal="center"/>
      <protection hidden="1"/>
    </xf>
    <xf numFmtId="1" fontId="82" fillId="16" borderId="8" xfId="26" applyNumberFormat="1" applyFont="1" applyFill="1" applyBorder="1" applyAlignment="1" applyProtection="1">
      <alignment horizontal="center"/>
      <protection hidden="1"/>
    </xf>
    <xf numFmtId="166" fontId="82" fillId="16" borderId="8" xfId="26" applyNumberFormat="1" applyFont="1" applyFill="1" applyBorder="1" applyAlignment="1" applyProtection="1">
      <alignment horizontal="center"/>
      <protection hidden="1"/>
    </xf>
    <xf numFmtId="164" fontId="82" fillId="16" borderId="8" xfId="26" quotePrefix="1" applyNumberFormat="1" applyFont="1" applyFill="1" applyBorder="1" applyAlignment="1" applyProtection="1">
      <alignment horizontal="center"/>
      <protection hidden="1"/>
    </xf>
    <xf numFmtId="0" fontId="82" fillId="16" borderId="8" xfId="26" applyFont="1" applyFill="1" applyBorder="1" applyAlignment="1" applyProtection="1">
      <alignment horizontal="center"/>
      <protection hidden="1"/>
    </xf>
    <xf numFmtId="167" fontId="82" fillId="16" borderId="8" xfId="26" applyNumberFormat="1" applyFont="1" applyFill="1" applyBorder="1" applyAlignment="1" applyProtection="1">
      <alignment horizontal="center"/>
      <protection hidden="1"/>
    </xf>
    <xf numFmtId="165" fontId="82" fillId="16" borderId="8" xfId="26" applyNumberFormat="1" applyFont="1" applyFill="1" applyBorder="1" applyAlignment="1" applyProtection="1">
      <alignment horizontal="center"/>
      <protection hidden="1"/>
    </xf>
    <xf numFmtId="164" fontId="82" fillId="16" borderId="8" xfId="26" applyNumberFormat="1" applyFont="1" applyFill="1" applyBorder="1" applyAlignment="1" applyProtection="1">
      <alignment horizontal="center"/>
      <protection hidden="1"/>
    </xf>
    <xf numFmtId="10" fontId="120" fillId="31" borderId="127" xfId="29" applyNumberFormat="1" applyFont="1" applyFill="1" applyBorder="1" applyProtection="1">
      <protection hidden="1"/>
    </xf>
    <xf numFmtId="164" fontId="120" fillId="19" borderId="127" xfId="29" applyNumberFormat="1" applyFont="1" applyFill="1" applyBorder="1" applyAlignment="1" applyProtection="1">
      <alignment horizontal="right"/>
      <protection hidden="1"/>
    </xf>
    <xf numFmtId="175" fontId="124" fillId="0" borderId="10" xfId="30" quotePrefix="1" applyFont="1" applyBorder="1" applyAlignment="1" applyProtection="1">
      <alignment horizontal="center"/>
      <protection hidden="1"/>
    </xf>
    <xf numFmtId="0" fontId="125" fillId="30" borderId="8" xfId="33" applyFont="1" applyFill="1" applyBorder="1" applyProtection="1">
      <protection hidden="1"/>
    </xf>
    <xf numFmtId="177" fontId="125" fillId="30" borderId="8" xfId="33" applyNumberFormat="1" applyFont="1" applyFill="1" applyBorder="1" applyProtection="1">
      <protection hidden="1"/>
    </xf>
    <xf numFmtId="0" fontId="80" fillId="0" borderId="8" xfId="32" applyFont="1" applyBorder="1" applyAlignment="1" applyProtection="1">
      <alignment horizontal="center" vertical="top"/>
      <protection hidden="1"/>
    </xf>
    <xf numFmtId="164" fontId="81" fillId="0" borderId="8" xfId="32" applyNumberFormat="1" applyFont="1" applyBorder="1" applyAlignment="1" applyProtection="1">
      <alignment horizontal="center" vertical="top"/>
      <protection hidden="1"/>
    </xf>
    <xf numFmtId="164" fontId="81" fillId="0" borderId="8" xfId="29" applyNumberFormat="1" applyFont="1" applyBorder="1" applyAlignment="1" applyProtection="1">
      <alignment horizontal="center" vertical="top"/>
      <protection hidden="1"/>
    </xf>
    <xf numFmtId="0" fontId="80" fillId="0" borderId="8" xfId="29" applyFont="1" applyBorder="1" applyAlignment="1" applyProtection="1">
      <alignment horizontal="center" vertical="top"/>
      <protection hidden="1"/>
    </xf>
    <xf numFmtId="1" fontId="80" fillId="0" borderId="8" xfId="29" applyNumberFormat="1" applyFont="1" applyBorder="1" applyAlignment="1" applyProtection="1">
      <alignment horizontal="center" vertical="top"/>
      <protection hidden="1"/>
    </xf>
    <xf numFmtId="164" fontId="80" fillId="0" borderId="8" xfId="29" applyNumberFormat="1" applyFont="1" applyBorder="1" applyAlignment="1" applyProtection="1">
      <alignment horizontal="center" vertical="top"/>
      <protection hidden="1"/>
    </xf>
    <xf numFmtId="0" fontId="105" fillId="12" borderId="8" xfId="29" applyFont="1" applyFill="1" applyBorder="1" applyAlignment="1" applyProtection="1">
      <alignment vertical="top"/>
      <protection hidden="1"/>
    </xf>
    <xf numFmtId="1" fontId="106" fillId="16" borderId="8" xfId="29" applyNumberFormat="1" applyFont="1" applyFill="1" applyBorder="1" applyAlignment="1" applyProtection="1">
      <alignment horizontal="center" vertical="top"/>
      <protection hidden="1"/>
    </xf>
    <xf numFmtId="1" fontId="107" fillId="12" borderId="8" xfId="29" applyNumberFormat="1" applyFont="1" applyFill="1" applyBorder="1" applyAlignment="1" applyProtection="1">
      <alignment vertical="top"/>
      <protection hidden="1"/>
    </xf>
    <xf numFmtId="1" fontId="106" fillId="16" borderId="8" xfId="29" applyNumberFormat="1" applyFont="1" applyFill="1" applyBorder="1" applyAlignment="1" applyProtection="1">
      <alignment vertical="top"/>
      <protection hidden="1"/>
    </xf>
    <xf numFmtId="1" fontId="108" fillId="12" borderId="8" xfId="29" applyNumberFormat="1" applyFont="1" applyFill="1" applyBorder="1" applyAlignment="1" applyProtection="1">
      <alignment horizontal="center" vertical="top"/>
      <protection hidden="1"/>
    </xf>
    <xf numFmtId="167" fontId="49" fillId="16" borderId="8" xfId="29" applyNumberFormat="1" applyFont="1" applyFill="1" applyBorder="1" applyAlignment="1" applyProtection="1">
      <alignment horizontal="right" vertical="top"/>
      <protection hidden="1"/>
    </xf>
    <xf numFmtId="176" fontId="123" fillId="11" borderId="0" xfId="31" applyNumberFormat="1" applyFont="1" applyFill="1" applyProtection="1">
      <protection hidden="1"/>
    </xf>
    <xf numFmtId="0" fontId="122" fillId="11" borderId="0" xfId="31" applyFont="1" applyFill="1" applyAlignment="1" applyProtection="1">
      <alignment horizontal="center"/>
      <protection hidden="1"/>
    </xf>
    <xf numFmtId="0" fontId="80" fillId="0" borderId="8" xfId="29" applyFont="1" applyBorder="1" applyAlignment="1" applyProtection="1">
      <alignment horizontal="center" vertical="center"/>
      <protection hidden="1"/>
    </xf>
    <xf numFmtId="165" fontId="122" fillId="11" borderId="0" xfId="31" applyNumberFormat="1" applyFont="1" applyFill="1" applyAlignment="1" applyProtection="1">
      <alignment horizontal="center"/>
      <protection hidden="1"/>
    </xf>
    <xf numFmtId="2" fontId="122" fillId="11" borderId="0" xfId="31" applyNumberFormat="1" applyFont="1" applyFill="1" applyAlignment="1" applyProtection="1">
      <alignment horizontal="center"/>
      <protection hidden="1"/>
    </xf>
    <xf numFmtId="165" fontId="122" fillId="11" borderId="128" xfId="31" applyNumberFormat="1" applyFont="1" applyFill="1" applyBorder="1" applyProtection="1">
      <protection hidden="1"/>
    </xf>
    <xf numFmtId="176" fontId="122" fillId="11" borderId="128" xfId="31" applyNumberFormat="1" applyFont="1" applyFill="1" applyBorder="1" applyProtection="1">
      <protection hidden="1"/>
    </xf>
    <xf numFmtId="178" fontId="123" fillId="11" borderId="0" xfId="31" applyNumberFormat="1" applyFont="1" applyFill="1" applyProtection="1">
      <protection hidden="1"/>
    </xf>
    <xf numFmtId="164" fontId="81" fillId="0" borderId="8" xfId="29" applyNumberFormat="1" applyFont="1" applyBorder="1" applyAlignment="1" applyProtection="1">
      <alignment horizontal="center" vertical="top" wrapText="1"/>
      <protection hidden="1"/>
    </xf>
    <xf numFmtId="175" fontId="126" fillId="0" borderId="10" xfId="30" quotePrefix="1" applyFont="1" applyBorder="1" applyAlignment="1" applyProtection="1">
      <alignment horizontal="center"/>
      <protection hidden="1"/>
    </xf>
    <xf numFmtId="0" fontId="82" fillId="0" borderId="8" xfId="32" applyFont="1" applyBorder="1" applyAlignment="1" applyProtection="1">
      <alignment horizontal="center"/>
      <protection hidden="1"/>
    </xf>
    <xf numFmtId="0" fontId="82" fillId="0" borderId="8" xfId="26" applyFont="1" applyBorder="1" applyAlignment="1" applyProtection="1">
      <alignment horizontal="center"/>
      <protection hidden="1"/>
    </xf>
    <xf numFmtId="1" fontId="82" fillId="0" borderId="8" xfId="26" applyNumberFormat="1" applyFont="1" applyBorder="1" applyAlignment="1" applyProtection="1">
      <alignment horizontal="center"/>
      <protection hidden="1"/>
    </xf>
    <xf numFmtId="164" fontId="82" fillId="0" borderId="8" xfId="26" quotePrefix="1" applyNumberFormat="1" applyFont="1" applyBorder="1" applyAlignment="1" applyProtection="1">
      <alignment horizontal="center"/>
      <protection hidden="1"/>
    </xf>
    <xf numFmtId="0" fontId="112" fillId="0" borderId="8" xfId="32" applyFont="1" applyBorder="1" applyAlignment="1" applyProtection="1">
      <alignment horizontal="center"/>
      <protection hidden="1"/>
    </xf>
    <xf numFmtId="164" fontId="82" fillId="0" borderId="56" xfId="26" applyNumberFormat="1" applyFont="1" applyBorder="1" applyAlignment="1" applyProtection="1">
      <alignment horizontal="center"/>
      <protection hidden="1"/>
    </xf>
    <xf numFmtId="164" fontId="82" fillId="0" borderId="8" xfId="26" applyNumberFormat="1" applyFont="1" applyBorder="1" applyAlignment="1" applyProtection="1">
      <alignment horizontal="center"/>
      <protection hidden="1"/>
    </xf>
    <xf numFmtId="2" fontId="82" fillId="0" borderId="8" xfId="26" applyNumberFormat="1" applyFont="1" applyBorder="1" applyAlignment="1" applyProtection="1">
      <alignment horizontal="center"/>
      <protection hidden="1"/>
    </xf>
    <xf numFmtId="0" fontId="82" fillId="0" borderId="0" xfId="26" applyFont="1" applyAlignment="1" applyProtection="1">
      <alignment horizontal="center"/>
      <protection hidden="1"/>
    </xf>
    <xf numFmtId="0" fontId="117" fillId="0" borderId="0" xfId="26" applyFont="1" applyProtection="1">
      <protection hidden="1"/>
    </xf>
    <xf numFmtId="0" fontId="127" fillId="0" borderId="0" xfId="26" applyFont="1" applyProtection="1">
      <protection hidden="1"/>
    </xf>
    <xf numFmtId="0" fontId="127" fillId="0" borderId="0" xfId="26" applyFont="1" applyAlignment="1" applyProtection="1">
      <alignment horizontal="center"/>
      <protection hidden="1"/>
    </xf>
    <xf numFmtId="0" fontId="82" fillId="0" borderId="0" xfId="26" applyFont="1" applyAlignment="1" applyProtection="1">
      <alignment horizontal="left"/>
      <protection hidden="1"/>
    </xf>
    <xf numFmtId="49" fontId="82" fillId="0" borderId="124" xfId="26" applyNumberFormat="1" applyFont="1" applyBorder="1" applyProtection="1">
      <protection hidden="1"/>
    </xf>
    <xf numFmtId="164" fontId="81" fillId="0" borderId="8" xfId="29" applyNumberFormat="1" applyFont="1" applyBorder="1" applyAlignment="1" applyProtection="1">
      <alignment vertical="top" wrapText="1"/>
      <protection hidden="1"/>
    </xf>
    <xf numFmtId="0" fontId="81" fillId="0" borderId="8" xfId="29" applyFont="1" applyBorder="1" applyAlignment="1" applyProtection="1">
      <alignment horizontal="center" vertical="top"/>
      <protection hidden="1"/>
    </xf>
    <xf numFmtId="164" fontId="81" fillId="0" borderId="8" xfId="29" applyNumberFormat="1" applyFont="1" applyBorder="1" applyAlignment="1" applyProtection="1">
      <alignment horizontal="center" vertical="center"/>
      <protection hidden="1"/>
    </xf>
    <xf numFmtId="164" fontId="81" fillId="0" borderId="8" xfId="29" quotePrefix="1" applyNumberFormat="1" applyFont="1" applyBorder="1" applyAlignment="1" applyProtection="1">
      <alignment horizontal="center" vertical="top"/>
      <protection hidden="1"/>
    </xf>
    <xf numFmtId="164" fontId="81" fillId="0" borderId="14" xfId="29" applyNumberFormat="1" applyFont="1" applyBorder="1" applyAlignment="1" applyProtection="1">
      <alignment horizontal="center" vertical="top"/>
      <protection hidden="1"/>
    </xf>
    <xf numFmtId="164" fontId="81" fillId="0" borderId="53" xfId="29" applyNumberFormat="1" applyFont="1" applyBorder="1" applyAlignment="1" applyProtection="1">
      <alignment horizontal="center" vertical="top"/>
      <protection hidden="1"/>
    </xf>
    <xf numFmtId="0" fontId="80" fillId="0" borderId="14" xfId="29" applyFont="1" applyBorder="1" applyAlignment="1" applyProtection="1">
      <alignment horizontal="center" vertical="top"/>
      <protection hidden="1"/>
    </xf>
    <xf numFmtId="164" fontId="28" fillId="9" borderId="129" xfId="0" applyNumberFormat="1" applyFont="1" applyFill="1" applyBorder="1" applyAlignment="1">
      <alignment horizontal="right" vertical="center"/>
    </xf>
    <xf numFmtId="0" fontId="82" fillId="0" borderId="0" xfId="26" applyFont="1"/>
    <xf numFmtId="0" fontId="112" fillId="0" borderId="0" xfId="26" applyFont="1"/>
    <xf numFmtId="0" fontId="82" fillId="0" borderId="0" xfId="26" applyFont="1" applyAlignment="1">
      <alignment horizontal="left"/>
    </xf>
    <xf numFmtId="1" fontId="83" fillId="0" borderId="8" xfId="29" applyNumberFormat="1" applyFont="1" applyBorder="1" applyAlignment="1">
      <alignment horizontal="center" vertical="top"/>
    </xf>
    <xf numFmtId="0" fontId="129" fillId="0" borderId="0" xfId="26" applyFont="1"/>
    <xf numFmtId="3" fontId="129" fillId="0" borderId="0" xfId="26" applyNumberFormat="1" applyFont="1"/>
    <xf numFmtId="0" fontId="103" fillId="0" borderId="45" xfId="27" applyFont="1" applyBorder="1" applyAlignment="1">
      <alignment horizontal="center"/>
    </xf>
    <xf numFmtId="0" fontId="103" fillId="0" borderId="46" xfId="27" applyFont="1" applyBorder="1" applyAlignment="1">
      <alignment horizontal="center"/>
    </xf>
    <xf numFmtId="0" fontId="103" fillId="0" borderId="47" xfId="27" applyFont="1" applyBorder="1" applyAlignment="1">
      <alignment horizontal="center"/>
    </xf>
    <xf numFmtId="0" fontId="101" fillId="0" borderId="1" xfId="27" applyBorder="1" applyAlignment="1">
      <alignment horizontal="center"/>
    </xf>
    <xf numFmtId="0" fontId="101" fillId="0" borderId="60" xfId="27" applyBorder="1" applyAlignment="1">
      <alignment horizontal="center"/>
    </xf>
    <xf numFmtId="0" fontId="101" fillId="0" borderId="6" xfId="27" applyBorder="1" applyAlignment="1">
      <alignment horizontal="center"/>
    </xf>
    <xf numFmtId="0" fontId="103" fillId="0" borderId="65" xfId="27" applyFont="1" applyBorder="1" applyAlignment="1">
      <alignment horizontal="center"/>
    </xf>
    <xf numFmtId="0" fontId="101" fillId="0" borderId="1" xfId="27" applyBorder="1"/>
    <xf numFmtId="0" fontId="101" fillId="0" borderId="60" xfId="27" applyBorder="1"/>
    <xf numFmtId="1" fontId="101" fillId="0" borderId="60" xfId="27" applyNumberFormat="1" applyBorder="1"/>
    <xf numFmtId="172" fontId="101" fillId="0" borderId="60" xfId="27" applyNumberFormat="1" applyBorder="1"/>
    <xf numFmtId="0" fontId="101" fillId="0" borderId="6" xfId="27" applyBorder="1"/>
    <xf numFmtId="2" fontId="103" fillId="26" borderId="48" xfId="27" applyNumberFormat="1" applyFont="1" applyFill="1" applyBorder="1" applyAlignment="1">
      <alignment horizontal="center"/>
    </xf>
    <xf numFmtId="2" fontId="103" fillId="0" borderId="8" xfId="27" applyNumberFormat="1" applyFont="1" applyBorder="1" applyAlignment="1">
      <alignment horizontal="center"/>
    </xf>
    <xf numFmtId="2" fontId="103" fillId="0" borderId="49" xfId="27" applyNumberFormat="1" applyFont="1" applyBorder="1" applyAlignment="1">
      <alignment horizontal="center"/>
    </xf>
    <xf numFmtId="0" fontId="101" fillId="0" borderId="3" xfId="27" applyBorder="1" applyAlignment="1">
      <alignment horizontal="center"/>
    </xf>
    <xf numFmtId="0" fontId="101" fillId="0" borderId="4" xfId="27" applyBorder="1" applyAlignment="1">
      <alignment horizontal="center"/>
    </xf>
    <xf numFmtId="0" fontId="101" fillId="0" borderId="3" xfId="27" applyBorder="1"/>
    <xf numFmtId="0" fontId="101" fillId="0" borderId="4" xfId="27" applyBorder="1"/>
    <xf numFmtId="0" fontId="105" fillId="12" borderId="8" xfId="27" applyFont="1" applyFill="1" applyBorder="1" applyAlignment="1">
      <alignment vertical="top"/>
    </xf>
    <xf numFmtId="1" fontId="107" fillId="12" borderId="8" xfId="27" applyNumberFormat="1" applyFont="1" applyFill="1" applyBorder="1" applyAlignment="1">
      <alignment horizontal="center" vertical="top"/>
    </xf>
    <xf numFmtId="1" fontId="108" fillId="12" borderId="8" xfId="27" applyNumberFormat="1" applyFont="1" applyFill="1" applyBorder="1" applyAlignment="1">
      <alignment horizontal="center" vertical="top"/>
    </xf>
    <xf numFmtId="167" fontId="49" fillId="0" borderId="49" xfId="28" applyNumberFormat="1" applyFont="1" applyBorder="1" applyAlignment="1">
      <alignment horizontal="center" vertical="top"/>
    </xf>
    <xf numFmtId="0" fontId="103" fillId="0" borderId="48" xfId="27" applyFont="1" applyBorder="1" applyAlignment="1">
      <alignment horizontal="center"/>
    </xf>
    <xf numFmtId="1" fontId="103" fillId="0" borderId="8" xfId="27" applyNumberFormat="1" applyFont="1" applyBorder="1" applyAlignment="1">
      <alignment horizontal="center"/>
    </xf>
    <xf numFmtId="0" fontId="103" fillId="0" borderId="49" xfId="27" applyFont="1" applyBorder="1" applyAlignment="1">
      <alignment horizontal="center"/>
    </xf>
    <xf numFmtId="0" fontId="103" fillId="0" borderId="10" xfId="27" applyFont="1" applyBorder="1" applyAlignment="1">
      <alignment horizontal="center"/>
    </xf>
    <xf numFmtId="167" fontId="103" fillId="0" borderId="48" xfId="27" applyNumberFormat="1" applyFont="1" applyBorder="1" applyAlignment="1">
      <alignment horizontal="center"/>
    </xf>
    <xf numFmtId="0" fontId="103" fillId="26" borderId="8" xfId="27" applyFont="1" applyFill="1" applyBorder="1" applyAlignment="1">
      <alignment horizontal="center"/>
    </xf>
    <xf numFmtId="0" fontId="103" fillId="26" borderId="49" xfId="27" applyFont="1" applyFill="1" applyBorder="1" applyAlignment="1">
      <alignment horizontal="center"/>
    </xf>
    <xf numFmtId="167" fontId="103" fillId="0" borderId="10" xfId="27" applyNumberFormat="1" applyFont="1" applyBorder="1" applyAlignment="1">
      <alignment horizontal="center"/>
    </xf>
    <xf numFmtId="2" fontId="103" fillId="26" borderId="8" xfId="27" applyNumberFormat="1" applyFont="1" applyFill="1" applyBorder="1" applyAlignment="1">
      <alignment horizontal="center"/>
    </xf>
    <xf numFmtId="2" fontId="103" fillId="26" borderId="49" xfId="27" applyNumberFormat="1" applyFont="1" applyFill="1" applyBorder="1" applyAlignment="1">
      <alignment horizontal="center"/>
    </xf>
    <xf numFmtId="0" fontId="103" fillId="0" borderId="112" xfId="27" applyFont="1" applyBorder="1" applyAlignment="1">
      <alignment horizontal="center"/>
    </xf>
    <xf numFmtId="1" fontId="103" fillId="0" borderId="113" xfId="27" applyNumberFormat="1" applyFont="1" applyBorder="1" applyAlignment="1">
      <alignment horizontal="center"/>
    </xf>
    <xf numFmtId="0" fontId="103" fillId="0" borderId="113" xfId="27" applyFont="1" applyBorder="1" applyAlignment="1">
      <alignment horizontal="center"/>
    </xf>
    <xf numFmtId="0" fontId="103" fillId="0" borderId="50" xfId="27" applyFont="1" applyBorder="1" applyAlignment="1">
      <alignment horizontal="center"/>
    </xf>
    <xf numFmtId="0" fontId="101" fillId="0" borderId="2" xfId="27" applyBorder="1" applyAlignment="1">
      <alignment horizontal="center"/>
    </xf>
    <xf numFmtId="0" fontId="101" fillId="0" borderId="7" xfId="27" applyBorder="1" applyAlignment="1">
      <alignment horizontal="center"/>
    </xf>
    <xf numFmtId="0" fontId="101" fillId="0" borderId="5" xfId="27" applyBorder="1" applyAlignment="1">
      <alignment horizontal="center"/>
    </xf>
    <xf numFmtId="0" fontId="103" fillId="0" borderId="114" xfId="27" applyFont="1" applyBorder="1" applyAlignment="1">
      <alignment horizontal="center"/>
    </xf>
    <xf numFmtId="0" fontId="101" fillId="0" borderId="2" xfId="27" applyBorder="1"/>
    <xf numFmtId="0" fontId="101" fillId="0" borderId="7" xfId="27" applyBorder="1"/>
    <xf numFmtId="1" fontId="101" fillId="0" borderId="7" xfId="27" applyNumberFormat="1" applyBorder="1"/>
    <xf numFmtId="172" fontId="101" fillId="0" borderId="7" xfId="27" applyNumberFormat="1" applyBorder="1"/>
    <xf numFmtId="0" fontId="101" fillId="0" borderId="5" xfId="27" applyBorder="1"/>
    <xf numFmtId="0" fontId="101" fillId="27" borderId="48" xfId="27" applyFill="1" applyBorder="1" applyAlignment="1">
      <alignment horizontal="center"/>
    </xf>
    <xf numFmtId="2" fontId="106" fillId="27" borderId="36" xfId="27" applyNumberFormat="1" applyFont="1" applyFill="1" applyBorder="1" applyAlignment="1">
      <alignment horizontal="center" vertical="top"/>
    </xf>
    <xf numFmtId="2" fontId="106" fillId="27" borderId="8" xfId="27" applyNumberFormat="1" applyFont="1" applyFill="1" applyBorder="1" applyAlignment="1">
      <alignment horizontal="center" vertical="top"/>
    </xf>
    <xf numFmtId="2" fontId="106" fillId="27" borderId="49" xfId="27" applyNumberFormat="1" applyFont="1" applyFill="1" applyBorder="1" applyAlignment="1">
      <alignment horizontal="center" vertical="top"/>
    </xf>
    <xf numFmtId="4" fontId="106" fillId="27" borderId="8" xfId="27" applyNumberFormat="1" applyFont="1" applyFill="1" applyBorder="1" applyAlignment="1">
      <alignment horizontal="center" vertical="top"/>
    </xf>
    <xf numFmtId="0" fontId="101" fillId="27" borderId="3" xfId="27" applyFill="1" applyBorder="1" applyAlignment="1">
      <alignment horizontal="center"/>
    </xf>
    <xf numFmtId="2" fontId="106" fillId="27" borderId="9" xfId="27" applyNumberFormat="1" applyFont="1" applyFill="1" applyBorder="1" applyAlignment="1">
      <alignment horizontal="center" vertical="top"/>
    </xf>
    <xf numFmtId="1" fontId="101" fillId="18" borderId="3" xfId="27" applyNumberFormat="1" applyFill="1" applyBorder="1" applyAlignment="1">
      <alignment horizontal="center"/>
    </xf>
    <xf numFmtId="1" fontId="101" fillId="0" borderId="51" xfId="27" applyNumberFormat="1" applyBorder="1" applyAlignment="1">
      <alignment horizontal="center"/>
    </xf>
    <xf numFmtId="1" fontId="101" fillId="0" borderId="52" xfId="27" applyNumberFormat="1" applyBorder="1" applyAlignment="1">
      <alignment horizontal="center"/>
    </xf>
    <xf numFmtId="1" fontId="101" fillId="0" borderId="115" xfId="27" applyNumberFormat="1" applyBorder="1" applyAlignment="1">
      <alignment horizontal="center"/>
    </xf>
    <xf numFmtId="172" fontId="101" fillId="0" borderId="0" xfId="27" applyNumberFormat="1" applyAlignment="1">
      <alignment horizontal="center"/>
    </xf>
    <xf numFmtId="0" fontId="101" fillId="16" borderId="0" xfId="27" applyFill="1" applyAlignment="1">
      <alignment horizontal="center"/>
    </xf>
    <xf numFmtId="0" fontId="101" fillId="16" borderId="4" xfId="27" applyFill="1" applyBorder="1" applyAlignment="1">
      <alignment horizontal="center"/>
    </xf>
    <xf numFmtId="1" fontId="101" fillId="16" borderId="0" xfId="27" applyNumberFormat="1" applyFill="1" applyAlignment="1">
      <alignment horizontal="center"/>
    </xf>
    <xf numFmtId="1" fontId="101" fillId="0" borderId="116" xfId="27" applyNumberFormat="1" applyBorder="1" applyAlignment="1">
      <alignment horizontal="center"/>
    </xf>
    <xf numFmtId="1" fontId="101" fillId="18" borderId="116" xfId="27" applyNumberFormat="1" applyFill="1" applyBorder="1" applyAlignment="1">
      <alignment horizontal="center"/>
    </xf>
    <xf numFmtId="1" fontId="101" fillId="0" borderId="54" xfId="27" applyNumberFormat="1" applyBorder="1" applyAlignment="1">
      <alignment horizontal="center"/>
    </xf>
    <xf numFmtId="1" fontId="101" fillId="0" borderId="4" xfId="27" applyNumberFormat="1" applyBorder="1" applyAlignment="1">
      <alignment horizontal="center"/>
    </xf>
    <xf numFmtId="1" fontId="101" fillId="0" borderId="3" xfId="27" applyNumberFormat="1" applyBorder="1" applyAlignment="1">
      <alignment horizontal="center"/>
    </xf>
    <xf numFmtId="0" fontId="102" fillId="12" borderId="8" xfId="27" applyFont="1" applyFill="1" applyBorder="1" applyAlignment="1">
      <alignment vertical="top"/>
    </xf>
    <xf numFmtId="167" fontId="49" fillId="28" borderId="49" xfId="28" applyNumberFormat="1" applyFont="1" applyFill="1" applyBorder="1" applyAlignment="1">
      <alignment horizontal="center" vertical="top"/>
    </xf>
    <xf numFmtId="1" fontId="101" fillId="18" borderId="122" xfId="27" applyNumberFormat="1" applyFill="1" applyBorder="1" applyAlignment="1">
      <alignment horizontal="center"/>
    </xf>
    <xf numFmtId="1" fontId="101" fillId="18" borderId="123" xfId="27" applyNumberFormat="1" applyFill="1" applyBorder="1" applyAlignment="1">
      <alignment horizontal="center"/>
    </xf>
    <xf numFmtId="0" fontId="28" fillId="14" borderId="132" xfId="0" applyFont="1" applyFill="1" applyBorder="1" applyAlignment="1">
      <alignment horizontal="center" wrapText="1"/>
    </xf>
    <xf numFmtId="164" fontId="91" fillId="9" borderId="25" xfId="0" applyNumberFormat="1" applyFont="1" applyFill="1" applyBorder="1" applyAlignment="1">
      <alignment horizontal="right" vertical="center"/>
    </xf>
    <xf numFmtId="0" fontId="28" fillId="14" borderId="135" xfId="0" applyFont="1" applyFill="1" applyBorder="1" applyAlignment="1">
      <alignment horizontal="center" wrapText="1"/>
    </xf>
    <xf numFmtId="165" fontId="54" fillId="10" borderId="55" xfId="0" applyNumberFormat="1" applyFont="1" applyFill="1" applyBorder="1" applyAlignment="1">
      <alignment horizontal="right" vertical="center"/>
    </xf>
    <xf numFmtId="165" fontId="54" fillId="10" borderId="69" xfId="0" applyNumberFormat="1" applyFont="1" applyFill="1" applyBorder="1" applyAlignment="1">
      <alignment horizontal="right" vertical="center"/>
    </xf>
    <xf numFmtId="165" fontId="54" fillId="11" borderId="55" xfId="0" applyNumberFormat="1" applyFont="1" applyFill="1" applyBorder="1" applyAlignment="1">
      <alignment horizontal="right" vertical="center"/>
    </xf>
    <xf numFmtId="165" fontId="54" fillId="11" borderId="54" xfId="0" applyNumberFormat="1" applyFont="1" applyFill="1" applyBorder="1" applyAlignment="1">
      <alignment horizontal="right" vertical="center"/>
    </xf>
    <xf numFmtId="165" fontId="54" fillId="10" borderId="68" xfId="0" applyNumberFormat="1" applyFont="1" applyFill="1" applyBorder="1" applyAlignment="1">
      <alignment horizontal="right" vertical="center"/>
    </xf>
    <xf numFmtId="165" fontId="54" fillId="10" borderId="54" xfId="0" applyNumberFormat="1" applyFont="1" applyFill="1" applyBorder="1" applyAlignment="1">
      <alignment horizontal="right" vertical="center"/>
    </xf>
    <xf numFmtId="165" fontId="54" fillId="11" borderId="68" xfId="0" applyNumberFormat="1" applyFont="1" applyFill="1" applyBorder="1" applyAlignment="1">
      <alignment horizontal="right" vertical="center"/>
    </xf>
    <xf numFmtId="164" fontId="54" fillId="10" borderId="23" xfId="0" applyNumberFormat="1" applyFont="1" applyFill="1" applyBorder="1" applyAlignment="1">
      <alignment horizontal="right" vertical="center"/>
    </xf>
    <xf numFmtId="164" fontId="53" fillId="10" borderId="136" xfId="0" applyNumberFormat="1" applyFont="1" applyFill="1" applyBorder="1" applyAlignment="1">
      <alignment horizontal="right" vertical="center"/>
    </xf>
    <xf numFmtId="164" fontId="54" fillId="10" borderId="31" xfId="0" applyNumberFormat="1" applyFont="1" applyFill="1" applyBorder="1" applyAlignment="1">
      <alignment horizontal="right" vertical="center"/>
    </xf>
    <xf numFmtId="164" fontId="54" fillId="10" borderId="24" xfId="0" applyNumberFormat="1" applyFont="1" applyFill="1" applyBorder="1" applyAlignment="1">
      <alignment horizontal="right" vertical="center"/>
    </xf>
    <xf numFmtId="164" fontId="53" fillId="10" borderId="137" xfId="0" applyNumberFormat="1" applyFont="1" applyFill="1" applyBorder="1" applyAlignment="1">
      <alignment horizontal="right" vertical="center"/>
    </xf>
    <xf numFmtId="164" fontId="54" fillId="11" borderId="23" xfId="0" applyNumberFormat="1" applyFont="1" applyFill="1" applyBorder="1" applyAlignment="1">
      <alignment horizontal="right" vertical="center"/>
    </xf>
    <xf numFmtId="164" fontId="53" fillId="11" borderId="138" xfId="0" applyNumberFormat="1" applyFont="1" applyFill="1" applyBorder="1" applyAlignment="1">
      <alignment horizontal="right" vertical="center"/>
    </xf>
    <xf numFmtId="164" fontId="54" fillId="11" borderId="133" xfId="0" applyNumberFormat="1" applyFont="1" applyFill="1" applyBorder="1" applyAlignment="1">
      <alignment horizontal="right" vertical="center"/>
    </xf>
    <xf numFmtId="164" fontId="54" fillId="11" borderId="24" xfId="0" applyNumberFormat="1" applyFont="1" applyFill="1" applyBorder="1" applyAlignment="1">
      <alignment horizontal="right" vertical="center"/>
    </xf>
    <xf numFmtId="164" fontId="53" fillId="11" borderId="137" xfId="0" applyNumberFormat="1" applyFont="1" applyFill="1" applyBorder="1" applyAlignment="1">
      <alignment horizontal="right" vertical="center"/>
    </xf>
    <xf numFmtId="164" fontId="54" fillId="11" borderId="130" xfId="0" applyNumberFormat="1" applyFont="1" applyFill="1" applyBorder="1" applyAlignment="1">
      <alignment horizontal="right" vertical="center"/>
    </xf>
    <xf numFmtId="164" fontId="53" fillId="10" borderId="138" xfId="0" applyNumberFormat="1" applyFont="1" applyFill="1" applyBorder="1" applyAlignment="1">
      <alignment horizontal="right" vertical="center"/>
    </xf>
    <xf numFmtId="164" fontId="54" fillId="11" borderId="134" xfId="0" applyNumberFormat="1" applyFont="1" applyFill="1" applyBorder="1" applyAlignment="1">
      <alignment horizontal="right" vertical="center"/>
    </xf>
    <xf numFmtId="164" fontId="53" fillId="11" borderId="139" xfId="0" applyNumberFormat="1" applyFont="1" applyFill="1" applyBorder="1" applyAlignment="1">
      <alignment horizontal="right" vertical="center"/>
    </xf>
    <xf numFmtId="164" fontId="53" fillId="10" borderId="139" xfId="0" applyNumberFormat="1" applyFont="1" applyFill="1" applyBorder="1" applyAlignment="1">
      <alignment horizontal="right" vertical="center"/>
    </xf>
    <xf numFmtId="164" fontId="53" fillId="11" borderId="136" xfId="0" applyNumberFormat="1" applyFont="1" applyFill="1" applyBorder="1" applyAlignment="1">
      <alignment horizontal="right" vertical="center"/>
    </xf>
    <xf numFmtId="164" fontId="53" fillId="10" borderId="140" xfId="0" applyNumberFormat="1" applyFont="1" applyFill="1" applyBorder="1" applyAlignment="1">
      <alignment horizontal="right" vertical="center"/>
    </xf>
    <xf numFmtId="164" fontId="93" fillId="22" borderId="8" xfId="0" applyNumberFormat="1" applyFont="1" applyFill="1" applyBorder="1" applyAlignment="1">
      <alignment horizontal="right" vertical="center"/>
    </xf>
    <xf numFmtId="0" fontId="92" fillId="22" borderId="8" xfId="0" applyFont="1" applyFill="1" applyBorder="1" applyAlignment="1">
      <alignment vertical="center"/>
    </xf>
    <xf numFmtId="0" fontId="93" fillId="22" borderId="8" xfId="0" applyFont="1" applyFill="1" applyBorder="1" applyAlignment="1">
      <alignment horizontal="center" vertical="center"/>
    </xf>
    <xf numFmtId="0" fontId="94" fillId="22" borderId="8" xfId="0" applyFont="1" applyFill="1" applyBorder="1" applyAlignment="1">
      <alignment vertical="center"/>
    </xf>
    <xf numFmtId="164" fontId="94" fillId="22" borderId="8" xfId="0" applyNumberFormat="1" applyFont="1" applyFill="1" applyBorder="1" applyAlignment="1">
      <alignment horizontal="right" vertical="center"/>
    </xf>
    <xf numFmtId="0" fontId="93" fillId="22" borderId="8" xfId="0" applyFont="1" applyFill="1" applyBorder="1" applyAlignment="1">
      <alignment vertical="center"/>
    </xf>
    <xf numFmtId="164" fontId="95" fillId="22" borderId="8" xfId="0" applyNumberFormat="1" applyFont="1" applyFill="1" applyBorder="1" applyAlignment="1">
      <alignment horizontal="right" vertical="center"/>
    </xf>
    <xf numFmtId="0" fontId="28" fillId="12" borderId="22" xfId="0" applyFont="1" applyFill="1" applyBorder="1" applyAlignment="1" applyProtection="1">
      <alignment horizontal="center" vertical="center" wrapText="1"/>
      <protection locked="0"/>
    </xf>
    <xf numFmtId="0" fontId="2" fillId="0" borderId="0" xfId="24" applyProtection="1">
      <protection locked="0"/>
    </xf>
    <xf numFmtId="0" fontId="0" fillId="13" borderId="39" xfId="0" applyFill="1" applyBorder="1"/>
    <xf numFmtId="0" fontId="53" fillId="14" borderId="21" xfId="0" applyFont="1" applyFill="1" applyBorder="1" applyAlignment="1">
      <alignment horizontal="left" wrapText="1"/>
    </xf>
    <xf numFmtId="0" fontId="0" fillId="23" borderId="131" xfId="0" applyFill="1" applyBorder="1"/>
    <xf numFmtId="167" fontId="63" fillId="23" borderId="73" xfId="0" applyNumberFormat="1" applyFont="1" applyFill="1" applyBorder="1" applyProtection="1">
      <protection hidden="1"/>
    </xf>
    <xf numFmtId="167" fontId="63" fillId="23" borderId="72" xfId="0" applyNumberFormat="1" applyFont="1" applyFill="1" applyBorder="1" applyProtection="1">
      <protection hidden="1"/>
    </xf>
    <xf numFmtId="0" fontId="63" fillId="23" borderId="72" xfId="0" applyFont="1" applyFill="1" applyBorder="1" applyProtection="1">
      <protection hidden="1"/>
    </xf>
    <xf numFmtId="164" fontId="63" fillId="23" borderId="72" xfId="0" applyNumberFormat="1" applyFont="1" applyFill="1" applyBorder="1" applyProtection="1">
      <protection hidden="1"/>
    </xf>
    <xf numFmtId="0" fontId="0" fillId="23" borderId="72" xfId="0" applyFill="1" applyBorder="1" applyAlignment="1" applyProtection="1">
      <alignment horizontal="center"/>
      <protection hidden="1"/>
    </xf>
    <xf numFmtId="167" fontId="63" fillId="23" borderId="22" xfId="0" applyNumberFormat="1" applyFont="1" applyFill="1" applyBorder="1" applyProtection="1">
      <protection hidden="1"/>
    </xf>
    <xf numFmtId="167" fontId="63" fillId="23" borderId="17" xfId="0" applyNumberFormat="1" applyFont="1" applyFill="1" applyBorder="1" applyProtection="1">
      <protection hidden="1"/>
    </xf>
    <xf numFmtId="0" fontId="63" fillId="23" borderId="17" xfId="0" applyFont="1" applyFill="1" applyBorder="1" applyProtection="1">
      <protection hidden="1"/>
    </xf>
    <xf numFmtId="164" fontId="63" fillId="23" borderId="17" xfId="0" applyNumberFormat="1" applyFont="1" applyFill="1" applyBorder="1" applyProtection="1">
      <protection hidden="1"/>
    </xf>
    <xf numFmtId="0" fontId="0" fillId="23" borderId="17" xfId="0" applyFill="1" applyBorder="1" applyAlignment="1" applyProtection="1">
      <alignment horizontal="center"/>
      <protection hidden="1"/>
    </xf>
    <xf numFmtId="167" fontId="63" fillId="23" borderId="39" xfId="0" applyNumberFormat="1" applyFont="1" applyFill="1" applyBorder="1" applyProtection="1">
      <protection hidden="1"/>
    </xf>
    <xf numFmtId="167" fontId="63" fillId="23" borderId="35" xfId="0" applyNumberFormat="1" applyFont="1" applyFill="1" applyBorder="1" applyProtection="1">
      <protection hidden="1"/>
    </xf>
    <xf numFmtId="0" fontId="63" fillId="23" borderId="35" xfId="0" applyFont="1" applyFill="1" applyBorder="1" applyProtection="1">
      <protection hidden="1"/>
    </xf>
    <xf numFmtId="174" fontId="0" fillId="23" borderId="0" xfId="0" applyNumberFormat="1" applyFill="1"/>
    <xf numFmtId="0" fontId="0" fillId="23" borderId="25" xfId="0" applyFill="1" applyBorder="1"/>
    <xf numFmtId="0" fontId="27" fillId="23" borderId="0" xfId="0" applyFont="1" applyFill="1"/>
    <xf numFmtId="0" fontId="27" fillId="23" borderId="35" xfId="0" applyFont="1" applyFill="1" applyBorder="1" applyAlignment="1">
      <alignment horizontal="center" wrapText="1"/>
    </xf>
    <xf numFmtId="49" fontId="0" fillId="23" borderId="35" xfId="0" applyNumberFormat="1" applyFill="1" applyBorder="1" applyAlignment="1">
      <alignment horizontal="left"/>
    </xf>
    <xf numFmtId="49" fontId="0" fillId="23" borderId="0" xfId="0" applyNumberFormat="1" applyFill="1" applyAlignment="1">
      <alignment horizontal="left"/>
    </xf>
    <xf numFmtId="49" fontId="27" fillId="23" borderId="0" xfId="0" applyNumberFormat="1" applyFont="1" applyFill="1" applyAlignment="1">
      <alignment horizontal="left" vertical="center"/>
    </xf>
    <xf numFmtId="14" fontId="27" fillId="23" borderId="0" xfId="0" applyNumberFormat="1" applyFont="1" applyFill="1" applyAlignment="1">
      <alignment horizontal="left" vertical="center"/>
    </xf>
    <xf numFmtId="49" fontId="0" fillId="23" borderId="92" xfId="0" applyNumberFormat="1" applyFill="1" applyBorder="1" applyAlignment="1">
      <alignment horizontal="left"/>
    </xf>
    <xf numFmtId="0" fontId="0" fillId="0" borderId="29" xfId="0" applyBorder="1"/>
    <xf numFmtId="164" fontId="93" fillId="0" borderId="8" xfId="0" applyNumberFormat="1" applyFont="1" applyBorder="1" applyAlignment="1" applyProtection="1">
      <alignment horizontal="right" vertical="center"/>
      <protection locked="0"/>
    </xf>
    <xf numFmtId="164" fontId="28" fillId="11" borderId="34" xfId="0" applyNumberFormat="1" applyFont="1" applyFill="1" applyBorder="1" applyAlignment="1">
      <alignment horizontal="right" vertical="center"/>
    </xf>
    <xf numFmtId="164" fontId="28" fillId="11" borderId="35" xfId="0" applyNumberFormat="1" applyFont="1" applyFill="1" applyBorder="1" applyAlignment="1">
      <alignment horizontal="right" vertical="center"/>
    </xf>
    <xf numFmtId="0" fontId="0" fillId="16" borderId="0" xfId="0" applyFill="1"/>
    <xf numFmtId="1" fontId="28" fillId="12" borderId="23" xfId="0" applyNumberFormat="1" applyFont="1" applyFill="1" applyBorder="1" applyAlignment="1" applyProtection="1">
      <alignment horizontal="center"/>
      <protection locked="0"/>
    </xf>
    <xf numFmtId="1" fontId="28" fillId="12" borderId="24" xfId="0" applyNumberFormat="1" applyFont="1" applyFill="1" applyBorder="1" applyAlignment="1" applyProtection="1">
      <alignment horizontal="center"/>
      <protection locked="0"/>
    </xf>
    <xf numFmtId="1" fontId="28" fillId="19" borderId="23" xfId="0" applyNumberFormat="1" applyFont="1" applyFill="1" applyBorder="1" applyAlignment="1" applyProtection="1">
      <alignment horizontal="center"/>
      <protection locked="0"/>
    </xf>
    <xf numFmtId="1" fontId="28" fillId="19" borderId="24" xfId="0" applyNumberFormat="1" applyFont="1" applyFill="1" applyBorder="1" applyAlignment="1" applyProtection="1">
      <alignment horizontal="center"/>
      <protection locked="0"/>
    </xf>
    <xf numFmtId="1" fontId="28" fillId="12" borderId="35" xfId="0" applyNumberFormat="1" applyFont="1" applyFill="1" applyBorder="1" applyAlignment="1" applyProtection="1">
      <alignment horizontal="center"/>
      <protection locked="0"/>
    </xf>
    <xf numFmtId="0" fontId="132" fillId="0" borderId="141" xfId="0" applyFont="1" applyBorder="1" applyAlignment="1">
      <alignment horizontal="center" vertical="center" wrapText="1"/>
    </xf>
    <xf numFmtId="0" fontId="132" fillId="0" borderId="142" xfId="0" applyFont="1" applyBorder="1" applyAlignment="1">
      <alignment horizontal="center" vertical="center" wrapText="1"/>
    </xf>
    <xf numFmtId="0" fontId="132" fillId="0" borderId="143" xfId="0" applyFont="1" applyBorder="1" applyAlignment="1">
      <alignment horizontal="center" vertical="center" wrapText="1"/>
    </xf>
    <xf numFmtId="0" fontId="133" fillId="0" borderId="141" xfId="0" applyFont="1" applyBorder="1" applyAlignment="1">
      <alignment horizontal="center" vertical="center" wrapText="1"/>
    </xf>
    <xf numFmtId="0" fontId="133" fillId="0" borderId="142" xfId="0" applyFont="1" applyBorder="1" applyAlignment="1">
      <alignment horizontal="center" vertical="center" wrapText="1"/>
    </xf>
    <xf numFmtId="0" fontId="133" fillId="0" borderId="143" xfId="0" applyFont="1" applyBorder="1" applyAlignment="1">
      <alignment horizontal="center" vertical="center" wrapText="1"/>
    </xf>
    <xf numFmtId="164" fontId="132" fillId="0" borderId="141" xfId="0" applyNumberFormat="1" applyFont="1" applyBorder="1" applyAlignment="1">
      <alignment horizontal="center" vertical="center" wrapText="1"/>
    </xf>
    <xf numFmtId="2" fontId="132" fillId="0" borderId="141" xfId="0" applyNumberFormat="1" applyFont="1" applyBorder="1" applyAlignment="1">
      <alignment horizontal="center" vertical="center" wrapText="1"/>
    </xf>
    <xf numFmtId="0" fontId="101" fillId="0" borderId="15" xfId="27" applyBorder="1"/>
    <xf numFmtId="2" fontId="101" fillId="0" borderId="56" xfId="27" applyNumberFormat="1" applyBorder="1"/>
    <xf numFmtId="0" fontId="101" fillId="0" borderId="56" xfId="27" applyBorder="1"/>
    <xf numFmtId="0" fontId="101" fillId="0" borderId="14" xfId="27" applyBorder="1"/>
    <xf numFmtId="0" fontId="101" fillId="0" borderId="10" xfId="27" applyBorder="1"/>
    <xf numFmtId="0" fontId="101" fillId="0" borderId="8" xfId="27" applyBorder="1"/>
    <xf numFmtId="0" fontId="101" fillId="0" borderId="14" xfId="27" applyBorder="1" applyProtection="1">
      <protection locked="0"/>
    </xf>
    <xf numFmtId="0" fontId="101" fillId="0" borderId="8" xfId="27" applyBorder="1" applyProtection="1">
      <protection locked="0"/>
    </xf>
    <xf numFmtId="0" fontId="134" fillId="0" borderId="8" xfId="27" applyFont="1" applyBorder="1"/>
    <xf numFmtId="0" fontId="110" fillId="0" borderId="0" xfId="27" applyFont="1"/>
    <xf numFmtId="0" fontId="110" fillId="0" borderId="8" xfId="27" applyFont="1" applyBorder="1"/>
    <xf numFmtId="0" fontId="101" fillId="0" borderId="0" xfId="27" applyProtection="1">
      <protection locked="0" hidden="1"/>
    </xf>
    <xf numFmtId="0" fontId="101" fillId="0" borderId="37" xfId="27" applyBorder="1"/>
    <xf numFmtId="166" fontId="135" fillId="11" borderId="14" xfId="0" applyNumberFormat="1" applyFont="1" applyFill="1" applyBorder="1" applyAlignment="1">
      <alignment horizontal="right" vertical="center"/>
    </xf>
    <xf numFmtId="166" fontId="135" fillId="11" borderId="26" xfId="0" applyNumberFormat="1" applyFont="1" applyFill="1" applyBorder="1" applyAlignment="1">
      <alignment horizontal="right" vertical="center"/>
    </xf>
    <xf numFmtId="166" fontId="135" fillId="11" borderId="28" xfId="0" applyNumberFormat="1" applyFont="1" applyFill="1" applyBorder="1" applyAlignment="1">
      <alignment horizontal="right" vertical="center"/>
    </xf>
    <xf numFmtId="166" fontId="135" fillId="11" borderId="27" xfId="0" applyNumberFormat="1" applyFont="1" applyFill="1" applyBorder="1" applyAlignment="1">
      <alignment horizontal="right" vertical="center"/>
    </xf>
    <xf numFmtId="166" fontId="135" fillId="11" borderId="93" xfId="0" applyNumberFormat="1" applyFont="1" applyFill="1" applyBorder="1" applyAlignment="1">
      <alignment horizontal="right" vertical="center"/>
    </xf>
    <xf numFmtId="166" fontId="135" fillId="11" borderId="20" xfId="0" applyNumberFormat="1" applyFont="1" applyFill="1" applyBorder="1" applyAlignment="1">
      <alignment horizontal="right" vertical="center"/>
    </xf>
    <xf numFmtId="1" fontId="137" fillId="12" borderId="23" xfId="0" applyNumberFormat="1" applyFont="1" applyFill="1" applyBorder="1" applyAlignment="1" applyProtection="1">
      <alignment horizontal="center" vertical="center"/>
      <protection locked="0"/>
    </xf>
    <xf numFmtId="167" fontId="137" fillId="12" borderId="14" xfId="0" applyNumberFormat="1" applyFont="1" applyFill="1" applyBorder="1" applyAlignment="1" applyProtection="1">
      <alignment horizontal="center" vertical="center"/>
      <protection locked="0"/>
    </xf>
    <xf numFmtId="164" fontId="28" fillId="11" borderId="145" xfId="0" applyNumberFormat="1" applyFont="1" applyFill="1" applyBorder="1" applyAlignment="1">
      <alignment horizontal="right" vertical="center"/>
    </xf>
    <xf numFmtId="17" fontId="77" fillId="11" borderId="49" xfId="0" quotePrefix="1" applyNumberFormat="1" applyFont="1" applyFill="1" applyBorder="1" applyAlignment="1" applyProtection="1">
      <alignment horizontal="center" vertical="center"/>
      <protection locked="0"/>
    </xf>
    <xf numFmtId="2" fontId="77" fillId="11" borderId="49" xfId="0" applyNumberFormat="1" applyFont="1" applyFill="1" applyBorder="1" applyAlignment="1" applyProtection="1">
      <alignment horizontal="center" vertical="center"/>
      <protection locked="0"/>
    </xf>
    <xf numFmtId="2" fontId="77" fillId="11" borderId="50" xfId="0" applyNumberFormat="1" applyFont="1" applyFill="1" applyBorder="1" applyAlignment="1" applyProtection="1">
      <alignment horizontal="center" vertical="center"/>
      <protection locked="0"/>
    </xf>
    <xf numFmtId="0" fontId="136" fillId="0" borderId="0" xfId="0" applyFont="1"/>
    <xf numFmtId="0" fontId="77" fillId="11" borderId="48" xfId="0" applyFont="1" applyFill="1" applyBorder="1" applyAlignment="1" applyProtection="1">
      <alignment horizontal="left" vertical="center"/>
      <protection locked="0"/>
    </xf>
    <xf numFmtId="0" fontId="77" fillId="11" borderId="8" xfId="0" applyFont="1" applyFill="1" applyBorder="1" applyAlignment="1" applyProtection="1">
      <alignment horizontal="left" vertical="center"/>
      <protection locked="0"/>
    </xf>
    <xf numFmtId="0" fontId="73" fillId="14" borderId="46" xfId="0" applyFont="1" applyFill="1" applyBorder="1" applyAlignment="1">
      <alignment horizontal="right" vertical="center"/>
    </xf>
    <xf numFmtId="0" fontId="73" fillId="14" borderId="47" xfId="0" applyFont="1" applyFill="1" applyBorder="1" applyAlignment="1">
      <alignment horizontal="right" vertical="center"/>
    </xf>
    <xf numFmtId="1" fontId="137" fillId="12" borderId="74" xfId="0" applyNumberFormat="1" applyFont="1" applyFill="1" applyBorder="1" applyAlignment="1" applyProtection="1">
      <alignment horizontal="center" vertical="center"/>
      <protection locked="0"/>
    </xf>
    <xf numFmtId="0" fontId="139" fillId="14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39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40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1" fontId="49" fillId="0" borderId="4" xfId="0" applyNumberFormat="1" applyFont="1" applyBorder="1" applyAlignment="1">
      <alignment horizontal="center" vertical="center"/>
    </xf>
    <xf numFmtId="1" fontId="32" fillId="0" borderId="4" xfId="0" applyNumberFormat="1" applyFont="1" applyBorder="1" applyAlignment="1">
      <alignment horizontal="center" vertical="center"/>
    </xf>
    <xf numFmtId="167" fontId="32" fillId="0" borderId="4" xfId="0" applyNumberFormat="1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167" fontId="32" fillId="0" borderId="5" xfId="0" applyNumberFormat="1" applyFont="1" applyBorder="1" applyAlignment="1">
      <alignment horizontal="center" vertical="center"/>
    </xf>
    <xf numFmtId="0" fontId="30" fillId="33" borderId="3" xfId="0" applyFont="1" applyFill="1" applyBorder="1" applyAlignment="1">
      <alignment horizontal="center" vertical="center"/>
    </xf>
    <xf numFmtId="1" fontId="86" fillId="33" borderId="39" xfId="0" applyNumberFormat="1" applyFont="1" applyFill="1" applyBorder="1" applyAlignment="1">
      <alignment horizontal="center" vertical="center"/>
    </xf>
    <xf numFmtId="1" fontId="30" fillId="33" borderId="39" xfId="0" applyNumberFormat="1" applyFont="1" applyFill="1" applyBorder="1" applyAlignment="1">
      <alignment horizontal="center" vertical="center"/>
    </xf>
    <xf numFmtId="0" fontId="30" fillId="33" borderId="2" xfId="0" applyFont="1" applyFill="1" applyBorder="1" applyAlignment="1">
      <alignment horizontal="center" vertical="center"/>
    </xf>
    <xf numFmtId="167" fontId="30" fillId="33" borderId="40" xfId="0" applyNumberFormat="1" applyFont="1" applyFill="1" applyBorder="1" applyAlignment="1">
      <alignment horizontal="center" vertical="center"/>
    </xf>
    <xf numFmtId="0" fontId="24" fillId="33" borderId="3" xfId="0" applyFont="1" applyFill="1" applyBorder="1" applyAlignment="1">
      <alignment horizontal="center" vertical="center"/>
    </xf>
    <xf numFmtId="1" fontId="75" fillId="33" borderId="4" xfId="0" applyNumberFormat="1" applyFont="1" applyFill="1" applyBorder="1" applyAlignment="1">
      <alignment horizontal="center" vertical="center"/>
    </xf>
    <xf numFmtId="1" fontId="24" fillId="33" borderId="4" xfId="0" applyNumberFormat="1" applyFont="1" applyFill="1" applyBorder="1" applyAlignment="1">
      <alignment horizontal="center" vertical="center"/>
    </xf>
    <xf numFmtId="0" fontId="24" fillId="33" borderId="2" xfId="0" applyFont="1" applyFill="1" applyBorder="1" applyAlignment="1">
      <alignment horizontal="center" vertical="center"/>
    </xf>
    <xf numFmtId="167" fontId="24" fillId="33" borderId="5" xfId="0" applyNumberFormat="1" applyFont="1" applyFill="1" applyBorder="1" applyAlignment="1">
      <alignment horizontal="center" vertical="center"/>
    </xf>
    <xf numFmtId="0" fontId="24" fillId="33" borderId="1" xfId="0" applyFont="1" applyFill="1" applyBorder="1" applyAlignment="1">
      <alignment horizontal="center" vertical="center"/>
    </xf>
    <xf numFmtId="1" fontId="75" fillId="33" borderId="6" xfId="0" applyNumberFormat="1" applyFont="1" applyFill="1" applyBorder="1" applyAlignment="1">
      <alignment horizontal="center" vertical="center"/>
    </xf>
    <xf numFmtId="167" fontId="24" fillId="33" borderId="4" xfId="0" applyNumberFormat="1" applyFont="1" applyFill="1" applyBorder="1" applyAlignment="1">
      <alignment horizontal="center" vertical="center"/>
    </xf>
    <xf numFmtId="0" fontId="24" fillId="26" borderId="3" xfId="0" applyFont="1" applyFill="1" applyBorder="1" applyAlignment="1">
      <alignment horizontal="center" vertical="center"/>
    </xf>
    <xf numFmtId="1" fontId="75" fillId="26" borderId="4" xfId="0" applyNumberFormat="1" applyFont="1" applyFill="1" applyBorder="1" applyAlignment="1">
      <alignment horizontal="center" vertical="center"/>
    </xf>
    <xf numFmtId="1" fontId="24" fillId="26" borderId="4" xfId="0" applyNumberFormat="1" applyFont="1" applyFill="1" applyBorder="1" applyAlignment="1">
      <alignment horizontal="center" vertical="center"/>
    </xf>
    <xf numFmtId="0" fontId="24" fillId="26" borderId="2" xfId="0" applyFont="1" applyFill="1" applyBorder="1" applyAlignment="1">
      <alignment horizontal="center" vertical="center"/>
    </xf>
    <xf numFmtId="167" fontId="24" fillId="26" borderId="5" xfId="0" applyNumberFormat="1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1" fontId="75" fillId="26" borderId="6" xfId="0" applyNumberFormat="1" applyFont="1" applyFill="1" applyBorder="1" applyAlignment="1">
      <alignment horizontal="center" vertical="center"/>
    </xf>
    <xf numFmtId="167" fontId="24" fillId="26" borderId="4" xfId="0" applyNumberFormat="1" applyFont="1" applyFill="1" applyBorder="1" applyAlignment="1">
      <alignment horizontal="center" vertical="center"/>
    </xf>
    <xf numFmtId="0" fontId="30" fillId="26" borderId="1" xfId="0" applyFont="1" applyFill="1" applyBorder="1" applyAlignment="1">
      <alignment horizontal="center" vertical="center"/>
    </xf>
    <xf numFmtId="1" fontId="86" fillId="26" borderId="39" xfId="0" applyNumberFormat="1" applyFont="1" applyFill="1" applyBorder="1" applyAlignment="1">
      <alignment horizontal="center" vertical="center"/>
    </xf>
    <xf numFmtId="0" fontId="30" fillId="26" borderId="3" xfId="0" applyFont="1" applyFill="1" applyBorder="1" applyAlignment="1">
      <alignment horizontal="center" vertical="center"/>
    </xf>
    <xf numFmtId="1" fontId="30" fillId="26" borderId="39" xfId="0" applyNumberFormat="1" applyFont="1" applyFill="1" applyBorder="1" applyAlignment="1">
      <alignment horizontal="center" vertical="center"/>
    </xf>
    <xf numFmtId="167" fontId="30" fillId="26" borderId="39" xfId="0" applyNumberFormat="1" applyFont="1" applyFill="1" applyBorder="1" applyAlignment="1">
      <alignment horizontal="center" vertical="center"/>
    </xf>
    <xf numFmtId="0" fontId="24" fillId="35" borderId="1" xfId="0" applyFont="1" applyFill="1" applyBorder="1" applyAlignment="1">
      <alignment horizontal="center" vertical="center"/>
    </xf>
    <xf numFmtId="1" fontId="75" fillId="35" borderId="6" xfId="0" applyNumberFormat="1" applyFont="1" applyFill="1" applyBorder="1" applyAlignment="1">
      <alignment horizontal="center" vertical="center"/>
    </xf>
    <xf numFmtId="0" fontId="24" fillId="35" borderId="3" xfId="0" applyFont="1" applyFill="1" applyBorder="1" applyAlignment="1">
      <alignment horizontal="center" vertical="center"/>
    </xf>
    <xf numFmtId="1" fontId="24" fillId="35" borderId="4" xfId="0" applyNumberFormat="1" applyFont="1" applyFill="1" applyBorder="1" applyAlignment="1">
      <alignment horizontal="center" vertical="center"/>
    </xf>
    <xf numFmtId="167" fontId="24" fillId="35" borderId="4" xfId="0" applyNumberFormat="1" applyFont="1" applyFill="1" applyBorder="1" applyAlignment="1">
      <alignment horizontal="center" vertical="center"/>
    </xf>
    <xf numFmtId="0" fontId="24" fillId="15" borderId="3" xfId="0" applyFont="1" applyFill="1" applyBorder="1" applyAlignment="1">
      <alignment horizontal="center" vertical="center"/>
    </xf>
    <xf numFmtId="1" fontId="75" fillId="15" borderId="4" xfId="0" applyNumberFormat="1" applyFont="1" applyFill="1" applyBorder="1" applyAlignment="1">
      <alignment horizontal="center" vertical="center"/>
    </xf>
    <xf numFmtId="1" fontId="24" fillId="15" borderId="4" xfId="0" applyNumberFormat="1" applyFont="1" applyFill="1" applyBorder="1" applyAlignment="1">
      <alignment horizontal="center" vertical="center"/>
    </xf>
    <xf numFmtId="0" fontId="24" fillId="15" borderId="2" xfId="0" applyFont="1" applyFill="1" applyBorder="1" applyAlignment="1">
      <alignment horizontal="center" vertical="center"/>
    </xf>
    <xf numFmtId="167" fontId="24" fillId="15" borderId="5" xfId="0" applyNumberFormat="1" applyFont="1" applyFill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1" fontId="75" fillId="15" borderId="6" xfId="0" applyNumberFormat="1" applyFont="1" applyFill="1" applyBorder="1" applyAlignment="1">
      <alignment horizontal="center" vertical="center"/>
    </xf>
    <xf numFmtId="167" fontId="24" fillId="15" borderId="4" xfId="0" applyNumberFormat="1" applyFont="1" applyFill="1" applyBorder="1" applyAlignment="1">
      <alignment horizontal="center" vertical="center"/>
    </xf>
    <xf numFmtId="0" fontId="24" fillId="32" borderId="3" xfId="0" applyFont="1" applyFill="1" applyBorder="1" applyAlignment="1">
      <alignment horizontal="center" vertical="center"/>
    </xf>
    <xf numFmtId="1" fontId="75" fillId="32" borderId="4" xfId="0" applyNumberFormat="1" applyFont="1" applyFill="1" applyBorder="1" applyAlignment="1">
      <alignment horizontal="center" vertical="center"/>
    </xf>
    <xf numFmtId="1" fontId="24" fillId="32" borderId="4" xfId="0" applyNumberFormat="1" applyFont="1" applyFill="1" applyBorder="1" applyAlignment="1">
      <alignment horizontal="center" vertical="center"/>
    </xf>
    <xf numFmtId="0" fontId="24" fillId="32" borderId="2" xfId="0" applyFont="1" applyFill="1" applyBorder="1" applyAlignment="1">
      <alignment horizontal="center" vertical="center"/>
    </xf>
    <xf numFmtId="167" fontId="24" fillId="32" borderId="5" xfId="0" applyNumberFormat="1" applyFont="1" applyFill="1" applyBorder="1" applyAlignment="1">
      <alignment horizontal="center" vertical="center"/>
    </xf>
    <xf numFmtId="0" fontId="24" fillId="21" borderId="1" xfId="0" applyFont="1" applyFill="1" applyBorder="1" applyAlignment="1">
      <alignment horizontal="center" vertical="center"/>
    </xf>
    <xf numFmtId="1" fontId="24" fillId="21" borderId="6" xfId="0" applyNumberFormat="1" applyFont="1" applyFill="1" applyBorder="1" applyAlignment="1">
      <alignment horizontal="center" vertical="center"/>
    </xf>
    <xf numFmtId="0" fontId="24" fillId="21" borderId="3" xfId="0" applyFont="1" applyFill="1" applyBorder="1" applyAlignment="1">
      <alignment horizontal="center" vertical="center"/>
    </xf>
    <xf numFmtId="1" fontId="24" fillId="21" borderId="4" xfId="0" applyNumberFormat="1" applyFont="1" applyFill="1" applyBorder="1" applyAlignment="1">
      <alignment horizontal="center" vertical="center"/>
    </xf>
    <xf numFmtId="167" fontId="24" fillId="21" borderId="4" xfId="0" applyNumberFormat="1" applyFont="1" applyFill="1" applyBorder="1" applyAlignment="1">
      <alignment horizontal="center" vertical="center"/>
    </xf>
    <xf numFmtId="0" fontId="24" fillId="36" borderId="3" xfId="0" applyFont="1" applyFill="1" applyBorder="1" applyAlignment="1">
      <alignment horizontal="center" vertical="center"/>
    </xf>
    <xf numFmtId="1" fontId="75" fillId="36" borderId="4" xfId="0" applyNumberFormat="1" applyFont="1" applyFill="1" applyBorder="1" applyAlignment="1">
      <alignment horizontal="center" vertical="center"/>
    </xf>
    <xf numFmtId="1" fontId="24" fillId="36" borderId="4" xfId="0" applyNumberFormat="1" applyFont="1" applyFill="1" applyBorder="1" applyAlignment="1">
      <alignment horizontal="center" vertical="center"/>
    </xf>
    <xf numFmtId="167" fontId="24" fillId="36" borderId="4" xfId="0" applyNumberFormat="1" applyFont="1" applyFill="1" applyBorder="1" applyAlignment="1">
      <alignment horizontal="center" vertical="center"/>
    </xf>
    <xf numFmtId="0" fontId="24" fillId="36" borderId="2" xfId="0" applyFont="1" applyFill="1" applyBorder="1" applyAlignment="1">
      <alignment horizontal="center" vertical="center"/>
    </xf>
    <xf numFmtId="167" fontId="24" fillId="36" borderId="5" xfId="0" applyNumberFormat="1" applyFont="1" applyFill="1" applyBorder="1" applyAlignment="1">
      <alignment horizontal="center" vertical="center"/>
    </xf>
    <xf numFmtId="0" fontId="24" fillId="37" borderId="1" xfId="0" applyFont="1" applyFill="1" applyBorder="1" applyAlignment="1">
      <alignment horizontal="center" vertical="center"/>
    </xf>
    <xf numFmtId="1" fontId="75" fillId="37" borderId="6" xfId="0" applyNumberFormat="1" applyFont="1" applyFill="1" applyBorder="1" applyAlignment="1">
      <alignment horizontal="center" vertical="center"/>
    </xf>
    <xf numFmtId="0" fontId="24" fillId="37" borderId="3" xfId="0" applyFont="1" applyFill="1" applyBorder="1" applyAlignment="1">
      <alignment horizontal="center" vertical="center"/>
    </xf>
    <xf numFmtId="1" fontId="24" fillId="37" borderId="4" xfId="0" applyNumberFormat="1" applyFont="1" applyFill="1" applyBorder="1" applyAlignment="1">
      <alignment horizontal="center" vertical="center"/>
    </xf>
    <xf numFmtId="167" fontId="24" fillId="37" borderId="5" xfId="0" applyNumberFormat="1" applyFont="1" applyFill="1" applyBorder="1" applyAlignment="1">
      <alignment horizontal="center" vertical="center"/>
    </xf>
    <xf numFmtId="1" fontId="75" fillId="37" borderId="4" xfId="0" applyNumberFormat="1" applyFont="1" applyFill="1" applyBorder="1" applyAlignment="1">
      <alignment horizontal="center" vertical="center"/>
    </xf>
    <xf numFmtId="0" fontId="24" fillId="37" borderId="2" xfId="0" applyFont="1" applyFill="1" applyBorder="1" applyAlignment="1">
      <alignment horizontal="center" vertical="center"/>
    </xf>
    <xf numFmtId="0" fontId="112" fillId="0" borderId="9" xfId="26" applyFont="1" applyBorder="1" applyAlignment="1" applyProtection="1">
      <alignment horizontal="center"/>
      <protection hidden="1"/>
    </xf>
    <xf numFmtId="0" fontId="112" fillId="0" borderId="10" xfId="26" applyFont="1" applyBorder="1" applyAlignment="1" applyProtection="1">
      <alignment horizontal="center"/>
      <protection hidden="1"/>
    </xf>
    <xf numFmtId="0" fontId="112" fillId="0" borderId="51" xfId="26" applyFont="1" applyBorder="1" applyAlignment="1" applyProtection="1">
      <alignment horizontal="center"/>
      <protection hidden="1"/>
    </xf>
    <xf numFmtId="0" fontId="112" fillId="0" borderId="53" xfId="26" applyFont="1" applyBorder="1" applyAlignment="1" applyProtection="1">
      <alignment horizontal="center"/>
      <protection hidden="1"/>
    </xf>
    <xf numFmtId="0" fontId="112" fillId="0" borderId="8" xfId="26" applyFont="1" applyBorder="1" applyAlignment="1" applyProtection="1">
      <alignment horizontal="center"/>
      <protection hidden="1"/>
    </xf>
    <xf numFmtId="0" fontId="112" fillId="0" borderId="54" xfId="26" applyFont="1" applyBorder="1" applyAlignment="1" applyProtection="1">
      <alignment horizontal="center"/>
      <protection hidden="1"/>
    </xf>
    <xf numFmtId="0" fontId="112" fillId="0" borderId="37" xfId="26" applyFont="1" applyBorder="1" applyAlignment="1" applyProtection="1">
      <alignment horizontal="center"/>
      <protection hidden="1"/>
    </xf>
    <xf numFmtId="0" fontId="115" fillId="29" borderId="125" xfId="29" applyFont="1" applyFill="1" applyBorder="1" applyAlignment="1" applyProtection="1">
      <alignment horizontal="center" vertical="center"/>
      <protection hidden="1"/>
    </xf>
    <xf numFmtId="0" fontId="115" fillId="29" borderId="126" xfId="29" applyFont="1" applyFill="1" applyBorder="1" applyAlignment="1" applyProtection="1">
      <alignment horizontal="center" vertical="center"/>
      <protection hidden="1"/>
    </xf>
    <xf numFmtId="49" fontId="116" fillId="29" borderId="125" xfId="29" applyNumberFormat="1" applyFont="1" applyFill="1" applyBorder="1" applyAlignment="1" applyProtection="1">
      <alignment horizontal="center" vertical="center"/>
      <protection hidden="1"/>
    </xf>
    <xf numFmtId="49" fontId="116" fillId="29" borderId="126" xfId="29" applyNumberFormat="1" applyFont="1" applyFill="1" applyBorder="1" applyAlignment="1" applyProtection="1">
      <alignment horizontal="center" vertical="center"/>
      <protection hidden="1"/>
    </xf>
    <xf numFmtId="0" fontId="102" fillId="24" borderId="36" xfId="29" applyFont="1" applyFill="1" applyBorder="1" applyAlignment="1" applyProtection="1">
      <alignment horizontal="center" vertical="top"/>
      <protection hidden="1"/>
    </xf>
    <xf numFmtId="0" fontId="102" fillId="24" borderId="14" xfId="29" applyFont="1" applyFill="1" applyBorder="1" applyAlignment="1" applyProtection="1">
      <alignment horizontal="center" vertical="top"/>
      <protection hidden="1"/>
    </xf>
    <xf numFmtId="0" fontId="102" fillId="24" borderId="36" xfId="29" applyFont="1" applyFill="1" applyBorder="1" applyAlignment="1" applyProtection="1">
      <alignment horizontal="center" vertical="top" wrapText="1"/>
      <protection hidden="1"/>
    </xf>
    <xf numFmtId="0" fontId="102" fillId="24" borderId="14" xfId="29" applyFont="1" applyFill="1" applyBorder="1" applyAlignment="1" applyProtection="1">
      <alignment horizontal="center" vertical="top" wrapText="1"/>
      <protection hidden="1"/>
    </xf>
    <xf numFmtId="0" fontId="82" fillId="0" borderId="8" xfId="26" applyFont="1" applyBorder="1" applyAlignment="1" applyProtection="1">
      <alignment horizontal="center"/>
      <protection hidden="1"/>
    </xf>
    <xf numFmtId="0" fontId="78" fillId="0" borderId="51" xfId="29" applyFont="1" applyBorder="1" applyAlignment="1" applyProtection="1">
      <alignment horizontal="center" vertical="center"/>
      <protection hidden="1"/>
    </xf>
    <xf numFmtId="0" fontId="78" fillId="0" borderId="53" xfId="29" applyFont="1" applyBorder="1" applyAlignment="1" applyProtection="1">
      <alignment horizontal="center" vertical="center"/>
      <protection hidden="1"/>
    </xf>
    <xf numFmtId="164" fontId="82" fillId="16" borderId="9" xfId="26" applyNumberFormat="1" applyFont="1" applyFill="1" applyBorder="1" applyAlignment="1" applyProtection="1">
      <alignment horizontal="center"/>
      <protection hidden="1"/>
    </xf>
    <xf numFmtId="164" fontId="82" fillId="16" borderId="10" xfId="26" applyNumberFormat="1" applyFont="1" applyFill="1" applyBorder="1" applyAlignment="1" applyProtection="1">
      <alignment horizontal="center"/>
      <protection hidden="1"/>
    </xf>
    <xf numFmtId="0" fontId="78" fillId="0" borderId="9" xfId="29" applyFont="1" applyBorder="1" applyAlignment="1" applyProtection="1">
      <alignment horizontal="center" vertical="center"/>
      <protection hidden="1"/>
    </xf>
    <xf numFmtId="0" fontId="78" fillId="0" borderId="10" xfId="29" applyFont="1" applyBorder="1" applyAlignment="1" applyProtection="1">
      <alignment horizontal="center" vertical="center"/>
      <protection hidden="1"/>
    </xf>
    <xf numFmtId="0" fontId="79" fillId="0" borderId="9" xfId="29" applyFont="1" applyBorder="1" applyAlignment="1" applyProtection="1">
      <alignment horizontal="center" vertical="center"/>
      <protection hidden="1"/>
    </xf>
    <xf numFmtId="0" fontId="79" fillId="0" borderId="10" xfId="29" applyFont="1" applyBorder="1" applyAlignment="1" applyProtection="1">
      <alignment horizontal="center" vertical="center"/>
      <protection hidden="1"/>
    </xf>
    <xf numFmtId="0" fontId="102" fillId="24" borderId="36" xfId="29" applyFont="1" applyFill="1" applyBorder="1" applyAlignment="1" applyProtection="1">
      <alignment horizontal="center" vertical="center"/>
      <protection hidden="1"/>
    </xf>
    <xf numFmtId="0" fontId="102" fillId="24" borderId="14" xfId="29" applyFont="1" applyFill="1" applyBorder="1" applyAlignment="1" applyProtection="1">
      <alignment horizontal="center" vertical="center"/>
      <protection hidden="1"/>
    </xf>
    <xf numFmtId="0" fontId="82" fillId="0" borderId="9" xfId="26" applyFont="1" applyBorder="1" applyAlignment="1" applyProtection="1">
      <alignment horizontal="center"/>
      <protection hidden="1"/>
    </xf>
    <xf numFmtId="0" fontId="82" fillId="0" borderId="10" xfId="26" applyFont="1" applyBorder="1" applyAlignment="1" applyProtection="1">
      <alignment horizontal="center"/>
      <protection hidden="1"/>
    </xf>
    <xf numFmtId="164" fontId="82" fillId="0" borderId="9" xfId="26" applyNumberFormat="1" applyFont="1" applyBorder="1" applyAlignment="1" applyProtection="1">
      <alignment horizontal="center"/>
      <protection hidden="1"/>
    </xf>
    <xf numFmtId="164" fontId="82" fillId="0" borderId="10" xfId="26" applyNumberFormat="1" applyFont="1" applyBorder="1" applyAlignment="1" applyProtection="1">
      <alignment horizontal="center"/>
      <protection hidden="1"/>
    </xf>
    <xf numFmtId="164" fontId="82" fillId="0" borderId="9" xfId="26" applyNumberFormat="1" applyFont="1" applyBorder="1" applyAlignment="1" applyProtection="1">
      <alignment horizontal="left"/>
      <protection hidden="1"/>
    </xf>
    <xf numFmtId="164" fontId="82" fillId="0" borderId="57" xfId="26" applyNumberFormat="1" applyFont="1" applyBorder="1" applyAlignment="1" applyProtection="1">
      <alignment horizontal="left"/>
      <protection hidden="1"/>
    </xf>
    <xf numFmtId="164" fontId="82" fillId="0" borderId="10" xfId="26" applyNumberFormat="1" applyFont="1" applyBorder="1" applyAlignment="1" applyProtection="1">
      <alignment horizontal="left"/>
      <protection hidden="1"/>
    </xf>
    <xf numFmtId="164" fontId="82" fillId="0" borderId="9" xfId="32" applyNumberFormat="1" applyFont="1" applyBorder="1" applyAlignment="1" applyProtection="1">
      <alignment horizontal="left"/>
      <protection hidden="1"/>
    </xf>
    <xf numFmtId="164" fontId="82" fillId="0" borderId="57" xfId="32" applyNumberFormat="1" applyFont="1" applyBorder="1" applyAlignment="1" applyProtection="1">
      <alignment horizontal="left"/>
      <protection hidden="1"/>
    </xf>
    <xf numFmtId="164" fontId="82" fillId="0" borderId="10" xfId="32" applyNumberFormat="1" applyFont="1" applyBorder="1" applyAlignment="1" applyProtection="1">
      <alignment horizontal="left"/>
      <protection hidden="1"/>
    </xf>
    <xf numFmtId="164" fontId="82" fillId="0" borderId="57" xfId="26" applyNumberFormat="1" applyFont="1" applyBorder="1" applyAlignment="1" applyProtection="1">
      <alignment horizontal="center"/>
      <protection hidden="1"/>
    </xf>
    <xf numFmtId="0" fontId="82" fillId="0" borderId="0" xfId="26" applyFont="1" applyAlignment="1" applyProtection="1">
      <alignment horizontal="center"/>
      <protection hidden="1"/>
    </xf>
    <xf numFmtId="166" fontId="90" fillId="0" borderId="8" xfId="29" applyNumberFormat="1" applyFont="1" applyBorder="1" applyAlignment="1">
      <alignment horizontal="center" vertical="top"/>
    </xf>
    <xf numFmtId="0" fontId="82" fillId="0" borderId="0" xfId="26" applyFont="1" applyAlignment="1">
      <alignment horizontal="center"/>
    </xf>
    <xf numFmtId="0" fontId="82" fillId="0" borderId="9" xfId="26" applyFont="1" applyBorder="1" applyAlignment="1">
      <alignment horizontal="center"/>
    </xf>
    <xf numFmtId="0" fontId="82" fillId="0" borderId="10" xfId="26" applyFont="1" applyBorder="1" applyAlignment="1">
      <alignment horizontal="center"/>
    </xf>
    <xf numFmtId="0" fontId="132" fillId="0" borderId="144" xfId="0" applyFont="1" applyBorder="1" applyAlignment="1">
      <alignment horizontal="center" vertical="center" wrapText="1"/>
    </xf>
    <xf numFmtId="0" fontId="132" fillId="0" borderId="12" xfId="0" applyFont="1" applyBorder="1" applyAlignment="1">
      <alignment horizontal="center" vertical="center" wrapText="1"/>
    </xf>
    <xf numFmtId="0" fontId="131" fillId="23" borderId="92" xfId="0" applyFont="1" applyFill="1" applyBorder="1" applyAlignment="1">
      <alignment horizontal="center" vertical="center" wrapText="1"/>
    </xf>
    <xf numFmtId="0" fontId="131" fillId="23" borderId="29" xfId="0" applyFont="1" applyFill="1" applyBorder="1" applyAlignment="1">
      <alignment horizontal="center" vertical="center" wrapText="1"/>
    </xf>
    <xf numFmtId="0" fontId="131" fillId="23" borderId="79" xfId="0" applyFont="1" applyFill="1" applyBorder="1" applyAlignment="1">
      <alignment horizontal="center" vertical="center" wrapText="1"/>
    </xf>
    <xf numFmtId="0" fontId="131" fillId="23" borderId="42" xfId="0" applyFont="1" applyFill="1" applyBorder="1" applyAlignment="1">
      <alignment horizontal="center" vertical="center" wrapText="1"/>
    </xf>
    <xf numFmtId="0" fontId="131" fillId="23" borderId="0" xfId="0" applyFont="1" applyFill="1" applyAlignment="1">
      <alignment horizontal="center" vertical="center" wrapText="1"/>
    </xf>
    <xf numFmtId="0" fontId="131" fillId="23" borderId="39" xfId="0" applyFont="1" applyFill="1" applyBorder="1" applyAlignment="1">
      <alignment horizontal="center" vertical="center" wrapText="1"/>
    </xf>
    <xf numFmtId="0" fontId="131" fillId="23" borderId="76" xfId="0" applyFont="1" applyFill="1" applyBorder="1" applyAlignment="1">
      <alignment horizontal="center" vertical="center" wrapText="1"/>
    </xf>
    <xf numFmtId="0" fontId="131" fillId="23" borderId="25" xfId="0" applyFont="1" applyFill="1" applyBorder="1" applyAlignment="1">
      <alignment horizontal="center" vertical="center" wrapText="1"/>
    </xf>
    <xf numFmtId="0" fontId="131" fillId="23" borderId="73" xfId="0" applyFont="1" applyFill="1" applyBorder="1" applyAlignment="1">
      <alignment horizontal="center" vertical="center" wrapText="1"/>
    </xf>
    <xf numFmtId="0" fontId="58" fillId="18" borderId="77" xfId="0" applyFont="1" applyFill="1" applyBorder="1" applyAlignment="1" applyProtection="1">
      <alignment horizontal="center" vertical="center"/>
      <protection locked="0"/>
    </xf>
    <xf numFmtId="0" fontId="58" fillId="18" borderId="78" xfId="0" applyFont="1" applyFill="1" applyBorder="1" applyAlignment="1" applyProtection="1">
      <alignment horizontal="center" vertical="center"/>
      <protection locked="0"/>
    </xf>
    <xf numFmtId="0" fontId="96" fillId="12" borderId="71" xfId="0" applyFont="1" applyFill="1" applyBorder="1" applyAlignment="1">
      <alignment horizontal="center" vertical="center"/>
    </xf>
    <xf numFmtId="0" fontId="96" fillId="12" borderId="21" xfId="0" applyFont="1" applyFill="1" applyBorder="1" applyAlignment="1">
      <alignment horizontal="center" vertical="center"/>
    </xf>
    <xf numFmtId="0" fontId="96" fillId="12" borderId="29" xfId="0" applyFont="1" applyFill="1" applyBorder="1" applyAlignment="1">
      <alignment horizontal="center" vertical="center"/>
    </xf>
    <xf numFmtId="0" fontId="96" fillId="12" borderId="22" xfId="0" applyFont="1" applyFill="1" applyBorder="1" applyAlignment="1">
      <alignment horizontal="center" vertical="center"/>
    </xf>
    <xf numFmtId="0" fontId="28" fillId="14" borderId="71" xfId="0" applyFont="1" applyFill="1" applyBorder="1" applyAlignment="1">
      <alignment horizontal="center" vertical="center"/>
    </xf>
    <xf numFmtId="0" fontId="28" fillId="14" borderId="22" xfId="0" applyFont="1" applyFill="1" applyBorder="1" applyAlignment="1">
      <alignment horizontal="center" vertical="center"/>
    </xf>
    <xf numFmtId="0" fontId="28" fillId="14" borderId="71" xfId="0" applyFont="1" applyFill="1" applyBorder="1" applyAlignment="1">
      <alignment horizontal="center" vertical="center" wrapText="1"/>
    </xf>
    <xf numFmtId="0" fontId="28" fillId="14" borderId="22" xfId="0" applyFont="1" applyFill="1" applyBorder="1" applyAlignment="1">
      <alignment horizontal="center" vertical="center" wrapText="1"/>
    </xf>
    <xf numFmtId="0" fontId="60" fillId="19" borderId="71" xfId="0" applyFont="1" applyFill="1" applyBorder="1" applyAlignment="1">
      <alignment horizontal="right" vertical="center" wrapText="1"/>
    </xf>
    <xf numFmtId="0" fontId="60" fillId="19" borderId="21" xfId="0" applyFont="1" applyFill="1" applyBorder="1" applyAlignment="1">
      <alignment horizontal="right" vertical="center" wrapText="1"/>
    </xf>
    <xf numFmtId="165" fontId="28" fillId="19" borderId="21" xfId="0" applyNumberFormat="1" applyFont="1" applyFill="1" applyBorder="1" applyAlignment="1" applyProtection="1">
      <alignment horizontal="left" vertical="center"/>
      <protection locked="0"/>
    </xf>
    <xf numFmtId="165" fontId="28" fillId="19" borderId="22" xfId="0" applyNumberFormat="1" applyFont="1" applyFill="1" applyBorder="1" applyAlignment="1" applyProtection="1">
      <alignment horizontal="left" vertical="center"/>
      <protection locked="0"/>
    </xf>
    <xf numFmtId="164" fontId="28" fillId="15" borderId="71" xfId="0" applyNumberFormat="1" applyFont="1" applyFill="1" applyBorder="1" applyAlignment="1">
      <alignment horizontal="center" vertical="center"/>
    </xf>
    <xf numFmtId="164" fontId="28" fillId="15" borderId="22" xfId="0" applyNumberFormat="1" applyFont="1" applyFill="1" applyBorder="1" applyAlignment="1">
      <alignment horizontal="center" vertical="center"/>
    </xf>
    <xf numFmtId="2" fontId="0" fillId="24" borderId="8" xfId="0" applyNumberFormat="1" applyFill="1" applyBorder="1" applyAlignment="1" applyProtection="1">
      <alignment horizontal="center"/>
      <protection locked="0"/>
    </xf>
    <xf numFmtId="0" fontId="28" fillId="14" borderId="92" xfId="0" applyFont="1" applyFill="1" applyBorder="1" applyAlignment="1">
      <alignment horizontal="center" vertical="center"/>
    </xf>
    <xf numFmtId="0" fontId="28" fillId="14" borderId="79" xfId="0" applyFont="1" applyFill="1" applyBorder="1" applyAlignment="1">
      <alignment horizontal="center" vertical="center"/>
    </xf>
    <xf numFmtId="0" fontId="28" fillId="14" borderId="76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0" fillId="12" borderId="29" xfId="0" applyFill="1" applyBorder="1" applyAlignment="1">
      <alignment horizontal="center"/>
    </xf>
    <xf numFmtId="0" fontId="0" fillId="12" borderId="79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9" xfId="0" applyFill="1" applyBorder="1" applyAlignment="1">
      <alignment horizontal="center"/>
    </xf>
    <xf numFmtId="0" fontId="0" fillId="12" borderId="25" xfId="0" applyFill="1" applyBorder="1" applyAlignment="1">
      <alignment horizontal="center"/>
    </xf>
    <xf numFmtId="0" fontId="0" fillId="12" borderId="73" xfId="0" applyFill="1" applyBorder="1" applyAlignment="1">
      <alignment horizontal="center"/>
    </xf>
    <xf numFmtId="0" fontId="102" fillId="24" borderId="105" xfId="27" applyFont="1" applyFill="1" applyBorder="1" applyAlignment="1">
      <alignment horizontal="center" vertical="center"/>
    </xf>
    <xf numFmtId="0" fontId="102" fillId="24" borderId="109" xfId="27" applyFont="1" applyFill="1" applyBorder="1" applyAlignment="1">
      <alignment horizontal="center" vertical="center"/>
    </xf>
    <xf numFmtId="0" fontId="102" fillId="24" borderId="36" xfId="27" applyFont="1" applyFill="1" applyBorder="1" applyAlignment="1">
      <alignment horizontal="center" vertical="top"/>
    </xf>
    <xf numFmtId="0" fontId="102" fillId="24" borderId="14" xfId="27" applyFont="1" applyFill="1" applyBorder="1" applyAlignment="1">
      <alignment horizontal="center" vertical="top"/>
    </xf>
    <xf numFmtId="0" fontId="102" fillId="24" borderId="36" xfId="27" applyFont="1" applyFill="1" applyBorder="1" applyAlignment="1">
      <alignment horizontal="center" vertical="top" wrapText="1"/>
    </xf>
    <xf numFmtId="0" fontId="102" fillId="24" borderId="14" xfId="27" applyFont="1" applyFill="1" applyBorder="1" applyAlignment="1">
      <alignment horizontal="center" vertical="top" wrapText="1"/>
    </xf>
    <xf numFmtId="0" fontId="104" fillId="0" borderId="0" xfId="27" applyFont="1" applyAlignment="1">
      <alignment horizontal="center" vertical="center"/>
    </xf>
    <xf numFmtId="0" fontId="101" fillId="25" borderId="106" xfId="27" applyFill="1" applyBorder="1" applyAlignment="1" applyProtection="1">
      <alignment horizontal="center" vertical="center"/>
      <protection hidden="1"/>
    </xf>
    <xf numFmtId="0" fontId="101" fillId="25" borderId="107" xfId="27" applyFill="1" applyBorder="1" applyAlignment="1" applyProtection="1">
      <alignment horizontal="center" vertical="center"/>
      <protection hidden="1"/>
    </xf>
    <xf numFmtId="0" fontId="101" fillId="25" borderId="108" xfId="27" applyFill="1" applyBorder="1" applyAlignment="1" applyProtection="1">
      <alignment horizontal="center" vertical="center"/>
      <protection hidden="1"/>
    </xf>
    <xf numFmtId="0" fontId="109" fillId="0" borderId="85" xfId="27" applyFont="1" applyBorder="1" applyAlignment="1">
      <alignment horizontal="center"/>
    </xf>
    <xf numFmtId="0" fontId="109" fillId="0" borderId="64" xfId="27" applyFont="1" applyBorder="1" applyAlignment="1">
      <alignment horizontal="center"/>
    </xf>
    <xf numFmtId="0" fontId="109" fillId="0" borderId="84" xfId="27" applyFont="1" applyBorder="1" applyAlignment="1">
      <alignment horizontal="center"/>
    </xf>
    <xf numFmtId="0" fontId="44" fillId="0" borderId="36" xfId="25" applyFont="1" applyBorder="1" applyAlignment="1">
      <alignment horizontal="left" vertical="center" wrapText="1"/>
    </xf>
    <xf numFmtId="49" fontId="37" fillId="0" borderId="56" xfId="24" applyNumberFormat="1" applyFont="1" applyBorder="1" applyAlignment="1">
      <alignment horizontal="left" wrapText="1"/>
    </xf>
    <xf numFmtId="49" fontId="2" fillId="0" borderId="56" xfId="24" applyNumberFormat="1" applyBorder="1" applyAlignment="1">
      <alignment horizontal="left" wrapText="1"/>
    </xf>
    <xf numFmtId="49" fontId="2" fillId="0" borderId="15" xfId="24" applyNumberFormat="1" applyBorder="1" applyAlignment="1">
      <alignment horizontal="left" wrapText="1"/>
    </xf>
    <xf numFmtId="0" fontId="40" fillId="0" borderId="9" xfId="24" applyFont="1" applyBorder="1" applyAlignment="1">
      <alignment horizontal="center"/>
    </xf>
    <xf numFmtId="0" fontId="40" fillId="0" borderId="57" xfId="24" applyFont="1" applyBorder="1" applyAlignment="1">
      <alignment horizontal="center"/>
    </xf>
    <xf numFmtId="0" fontId="40" fillId="0" borderId="10" xfId="24" applyFont="1" applyBorder="1" applyAlignment="1">
      <alignment horizontal="center"/>
    </xf>
    <xf numFmtId="0" fontId="42" fillId="0" borderId="55" xfId="25" applyFont="1" applyBorder="1" applyAlignment="1">
      <alignment horizontal="left" vertical="center" wrapText="1"/>
    </xf>
    <xf numFmtId="0" fontId="42" fillId="0" borderId="56" xfId="25" applyFont="1" applyBorder="1" applyAlignment="1">
      <alignment horizontal="left" vertical="center" wrapText="1"/>
    </xf>
    <xf numFmtId="0" fontId="49" fillId="0" borderId="56" xfId="25" applyFont="1" applyBorder="1" applyAlignment="1">
      <alignment horizontal="left" vertical="center" wrapText="1"/>
    </xf>
    <xf numFmtId="0" fontId="50" fillId="0" borderId="56" xfId="24" applyFont="1" applyBorder="1" applyAlignment="1">
      <alignment horizontal="left" vertical="center" wrapText="1"/>
    </xf>
    <xf numFmtId="0" fontId="50" fillId="0" borderId="15" xfId="24" applyFont="1" applyBorder="1" applyAlignment="1">
      <alignment horizontal="left" vertical="center" wrapText="1"/>
    </xf>
    <xf numFmtId="49" fontId="42" fillId="0" borderId="55" xfId="25" applyNumberFormat="1" applyFont="1" applyBorder="1" applyAlignment="1">
      <alignment horizontal="center" vertical="center" wrapText="1"/>
    </xf>
    <xf numFmtId="49" fontId="42" fillId="0" borderId="56" xfId="25" applyNumberFormat="1" applyFont="1" applyBorder="1" applyAlignment="1">
      <alignment horizontal="center" vertical="center" wrapText="1"/>
    </xf>
    <xf numFmtId="1" fontId="42" fillId="0" borderId="56" xfId="25" applyNumberFormat="1" applyFont="1" applyBorder="1" applyAlignment="1" applyProtection="1">
      <alignment horizontal="left" vertical="center" wrapText="1"/>
      <protection locked="0"/>
    </xf>
    <xf numFmtId="0" fontId="42" fillId="0" borderId="56" xfId="25" applyFont="1" applyBorder="1" applyAlignment="1" applyProtection="1">
      <alignment horizontal="left" vertical="center" wrapText="1"/>
      <protection locked="0"/>
    </xf>
    <xf numFmtId="0" fontId="42" fillId="0" borderId="15" xfId="25" applyFont="1" applyBorder="1" applyAlignment="1" applyProtection="1">
      <alignment horizontal="left" vertical="center" wrapText="1"/>
      <protection locked="0"/>
    </xf>
    <xf numFmtId="170" fontId="42" fillId="0" borderId="55" xfId="25" applyNumberFormat="1" applyFont="1" applyBorder="1" applyAlignment="1">
      <alignment horizontal="left" vertical="center" wrapText="1"/>
    </xf>
    <xf numFmtId="170" fontId="42" fillId="0" borderId="56" xfId="25" applyNumberFormat="1" applyFont="1" applyBorder="1" applyAlignment="1">
      <alignment horizontal="left" vertical="center" wrapText="1"/>
    </xf>
    <xf numFmtId="170" fontId="42" fillId="0" borderId="57" xfId="25" applyNumberFormat="1" applyFont="1" applyBorder="1" applyAlignment="1" applyProtection="1">
      <alignment horizontal="left" vertical="center" wrapText="1"/>
      <protection locked="0"/>
    </xf>
    <xf numFmtId="170" fontId="42" fillId="0" borderId="10" xfId="25" applyNumberFormat="1" applyFont="1" applyBorder="1" applyAlignment="1" applyProtection="1">
      <alignment horizontal="left" vertical="center" wrapText="1"/>
      <protection locked="0"/>
    </xf>
    <xf numFmtId="0" fontId="35" fillId="0" borderId="51" xfId="24" applyFont="1" applyBorder="1" applyAlignment="1">
      <alignment horizontal="center" vertical="center"/>
    </xf>
    <xf numFmtId="0" fontId="35" fillId="0" borderId="52" xfId="24" applyFont="1" applyBorder="1" applyAlignment="1">
      <alignment horizontal="center" vertical="center"/>
    </xf>
    <xf numFmtId="0" fontId="35" fillId="0" borderId="54" xfId="24" applyFont="1" applyBorder="1" applyAlignment="1">
      <alignment horizontal="center" vertical="center"/>
    </xf>
    <xf numFmtId="0" fontId="35" fillId="0" borderId="0" xfId="24" applyFont="1" applyAlignment="1">
      <alignment horizontal="center" vertical="center"/>
    </xf>
    <xf numFmtId="0" fontId="35" fillId="0" borderId="55" xfId="24" applyFont="1" applyBorder="1" applyAlignment="1">
      <alignment horizontal="center" vertical="center"/>
    </xf>
    <xf numFmtId="0" fontId="35" fillId="0" borderId="56" xfId="24" applyFont="1" applyBorder="1" applyAlignment="1">
      <alignment horizontal="center" vertical="center"/>
    </xf>
    <xf numFmtId="0" fontId="37" fillId="0" borderId="51" xfId="24" applyFont="1" applyBorder="1" applyAlignment="1">
      <alignment horizontal="left" wrapText="1"/>
    </xf>
    <xf numFmtId="0" fontId="2" fillId="0" borderId="52" xfId="24" applyBorder="1" applyAlignment="1">
      <alignment horizontal="left" wrapText="1"/>
    </xf>
    <xf numFmtId="49" fontId="37" fillId="0" borderId="52" xfId="24" applyNumberFormat="1" applyFont="1" applyBorder="1" applyAlignment="1">
      <alignment horizontal="left" wrapText="1"/>
    </xf>
    <xf numFmtId="49" fontId="37" fillId="0" borderId="53" xfId="24" applyNumberFormat="1" applyFont="1" applyBorder="1" applyAlignment="1">
      <alignment horizontal="left" wrapText="1"/>
    </xf>
    <xf numFmtId="0" fontId="37" fillId="0" borderId="54" xfId="24" applyFont="1" applyBorder="1" applyAlignment="1">
      <alignment horizontal="left" wrapText="1"/>
    </xf>
    <xf numFmtId="0" fontId="2" fillId="0" borderId="0" xfId="24" applyAlignment="1">
      <alignment horizontal="left" wrapText="1"/>
    </xf>
    <xf numFmtId="14" fontId="37" fillId="0" borderId="0" xfId="24" quotePrefix="1" applyNumberFormat="1" applyFont="1" applyAlignment="1">
      <alignment horizontal="left" wrapText="1"/>
    </xf>
    <xf numFmtId="49" fontId="2" fillId="0" borderId="0" xfId="24" applyNumberFormat="1" applyAlignment="1">
      <alignment horizontal="left" wrapText="1"/>
    </xf>
    <xf numFmtId="49" fontId="2" fillId="0" borderId="37" xfId="24" applyNumberFormat="1" applyBorder="1" applyAlignment="1">
      <alignment horizontal="left" wrapText="1"/>
    </xf>
    <xf numFmtId="49" fontId="37" fillId="0" borderId="0" xfId="24" applyNumberFormat="1" applyFont="1" applyAlignment="1">
      <alignment horizontal="left" wrapText="1"/>
    </xf>
    <xf numFmtId="0" fontId="37" fillId="0" borderId="55" xfId="24" applyFont="1" applyBorder="1" applyAlignment="1">
      <alignment horizontal="left" wrapText="1"/>
    </xf>
    <xf numFmtId="0" fontId="2" fillId="0" borderId="56" xfId="24" applyBorder="1" applyAlignment="1">
      <alignment horizontal="left" wrapText="1"/>
    </xf>
    <xf numFmtId="0" fontId="36" fillId="0" borderId="51" xfId="24" applyFont="1" applyBorder="1" applyAlignment="1">
      <alignment horizontal="center" vertical="center"/>
    </xf>
    <xf numFmtId="0" fontId="36" fillId="0" borderId="52" xfId="24" applyFont="1" applyBorder="1" applyAlignment="1">
      <alignment horizontal="center" vertical="center"/>
    </xf>
    <xf numFmtId="0" fontId="36" fillId="0" borderId="53" xfId="24" applyFont="1" applyBorder="1" applyAlignment="1">
      <alignment horizontal="center" vertical="center"/>
    </xf>
    <xf numFmtId="0" fontId="36" fillId="0" borderId="54" xfId="24" applyFont="1" applyBorder="1" applyAlignment="1">
      <alignment horizontal="center" vertical="center"/>
    </xf>
    <xf numFmtId="0" fontId="36" fillId="0" borderId="0" xfId="24" applyFont="1" applyAlignment="1">
      <alignment horizontal="center" vertical="center"/>
    </xf>
    <xf numFmtId="0" fontId="36" fillId="0" borderId="37" xfId="24" applyFont="1" applyBorder="1" applyAlignment="1">
      <alignment horizontal="center" vertical="center"/>
    </xf>
    <xf numFmtId="0" fontId="38" fillId="0" borderId="54" xfId="24" applyFont="1" applyBorder="1" applyAlignment="1">
      <alignment horizontal="center" vertical="center"/>
    </xf>
    <xf numFmtId="0" fontId="38" fillId="0" borderId="0" xfId="24" applyFont="1" applyAlignment="1">
      <alignment horizontal="center" vertical="center"/>
    </xf>
    <xf numFmtId="0" fontId="38" fillId="0" borderId="55" xfId="24" applyFont="1" applyBorder="1" applyAlignment="1">
      <alignment horizontal="center" vertical="center"/>
    </xf>
    <xf numFmtId="0" fontId="38" fillId="0" borderId="56" xfId="24" applyFont="1" applyBorder="1" applyAlignment="1">
      <alignment horizontal="center" vertical="center"/>
    </xf>
    <xf numFmtId="0" fontId="38" fillId="0" borderId="37" xfId="24" applyFont="1" applyBorder="1" applyAlignment="1">
      <alignment horizontal="center" vertical="center"/>
    </xf>
    <xf numFmtId="0" fontId="38" fillId="0" borderId="15" xfId="24" applyFont="1" applyBorder="1" applyAlignment="1">
      <alignment horizontal="center" vertical="center"/>
    </xf>
    <xf numFmtId="0" fontId="44" fillId="0" borderId="51" xfId="25" applyFont="1" applyBorder="1" applyAlignment="1">
      <alignment horizontal="left" vertical="center" wrapText="1"/>
    </xf>
    <xf numFmtId="0" fontId="44" fillId="0" borderId="52" xfId="25" applyFont="1" applyBorder="1" applyAlignment="1">
      <alignment horizontal="left" vertical="center" wrapText="1"/>
    </xf>
    <xf numFmtId="2" fontId="51" fillId="0" borderId="14" xfId="25" applyNumberFormat="1" applyFont="1" applyBorder="1" applyAlignment="1" applyProtection="1">
      <alignment horizontal="center" vertical="center" wrapText="1"/>
      <protection locked="0"/>
    </xf>
    <xf numFmtId="0" fontId="46" fillId="0" borderId="62" xfId="25" applyFont="1" applyBorder="1" applyAlignment="1">
      <alignment horizontal="center" vertical="center"/>
    </xf>
    <xf numFmtId="0" fontId="46" fillId="0" borderId="61" xfId="25" applyFont="1" applyBorder="1" applyAlignment="1">
      <alignment horizontal="center" vertical="center"/>
    </xf>
    <xf numFmtId="0" fontId="138" fillId="0" borderId="62" xfId="25" applyFont="1" applyBorder="1" applyAlignment="1">
      <alignment horizontal="center" vertical="center"/>
    </xf>
    <xf numFmtId="0" fontId="138" fillId="0" borderId="61" xfId="25" applyFont="1" applyBorder="1" applyAlignment="1">
      <alignment horizontal="center" vertical="center"/>
    </xf>
    <xf numFmtId="0" fontId="42" fillId="0" borderId="0" xfId="25" applyFont="1" applyAlignment="1">
      <alignment horizontal="left" wrapText="1"/>
    </xf>
    <xf numFmtId="0" fontId="46" fillId="0" borderId="1" xfId="25" applyFont="1" applyBorder="1" applyAlignment="1">
      <alignment horizontal="center" vertical="center"/>
    </xf>
    <xf numFmtId="0" fontId="46" fillId="0" borderId="58" xfId="25" applyFont="1" applyBorder="1" applyAlignment="1">
      <alignment horizontal="center" vertical="center"/>
    </xf>
    <xf numFmtId="0" fontId="46" fillId="0" borderId="2" xfId="25" applyFont="1" applyBorder="1" applyAlignment="1">
      <alignment horizontal="center" vertical="center"/>
    </xf>
    <xf numFmtId="0" fontId="46" fillId="0" borderId="59" xfId="25" applyFont="1" applyBorder="1" applyAlignment="1">
      <alignment horizontal="center" vertical="center"/>
    </xf>
    <xf numFmtId="0" fontId="46" fillId="0" borderId="60" xfId="25" applyFont="1" applyBorder="1" applyAlignment="1">
      <alignment horizontal="center" vertical="center"/>
    </xf>
    <xf numFmtId="0" fontId="46" fillId="0" borderId="6" xfId="25" applyFont="1" applyBorder="1" applyAlignment="1">
      <alignment horizontal="center" vertical="center"/>
    </xf>
    <xf numFmtId="0" fontId="51" fillId="0" borderId="55" xfId="25" applyFont="1" applyBorder="1" applyAlignment="1" applyProtection="1">
      <alignment horizontal="center" vertical="center" wrapText="1"/>
      <protection locked="0"/>
    </xf>
    <xf numFmtId="0" fontId="51" fillId="0" borderId="56" xfId="25" applyFont="1" applyBorder="1" applyAlignment="1" applyProtection="1">
      <alignment horizontal="center" vertical="center" wrapText="1"/>
      <protection locked="0"/>
    </xf>
    <xf numFmtId="0" fontId="51" fillId="0" borderId="15" xfId="25" applyFont="1" applyBorder="1" applyAlignment="1" applyProtection="1">
      <alignment horizontal="center" vertical="center" wrapText="1"/>
      <protection locked="0"/>
    </xf>
    <xf numFmtId="0" fontId="51" fillId="0" borderId="14" xfId="25" applyFont="1" applyBorder="1" applyAlignment="1" applyProtection="1">
      <alignment horizontal="center" vertical="center" wrapText="1"/>
      <protection locked="0"/>
    </xf>
    <xf numFmtId="0" fontId="5" fillId="0" borderId="14" xfId="25" applyFont="1" applyBorder="1" applyAlignment="1" applyProtection="1">
      <alignment horizontal="center" vertical="center" wrapText="1"/>
      <protection locked="0"/>
    </xf>
    <xf numFmtId="164" fontId="5" fillId="0" borderId="55" xfId="25" applyNumberFormat="1" applyFont="1" applyBorder="1" applyAlignment="1" applyProtection="1">
      <alignment horizontal="right" vertical="center"/>
      <protection locked="0"/>
    </xf>
    <xf numFmtId="164" fontId="5" fillId="0" borderId="56" xfId="25" applyNumberFormat="1" applyFont="1" applyBorder="1" applyAlignment="1" applyProtection="1">
      <alignment horizontal="right" vertical="center"/>
      <protection locked="0"/>
    </xf>
    <xf numFmtId="164" fontId="5" fillId="0" borderId="15" xfId="25" applyNumberFormat="1" applyFont="1" applyBorder="1" applyAlignment="1" applyProtection="1">
      <alignment horizontal="right" vertical="center"/>
      <protection locked="0"/>
    </xf>
    <xf numFmtId="165" fontId="5" fillId="0" borderId="55" xfId="25" applyNumberFormat="1" applyFont="1" applyBorder="1" applyAlignment="1" applyProtection="1">
      <alignment horizontal="center" vertical="center"/>
      <protection locked="0"/>
    </xf>
    <xf numFmtId="165" fontId="5" fillId="0" borderId="56" xfId="25" applyNumberFormat="1" applyFont="1" applyBorder="1" applyAlignment="1" applyProtection="1">
      <alignment horizontal="center" vertical="center"/>
      <protection locked="0"/>
    </xf>
    <xf numFmtId="165" fontId="5" fillId="0" borderId="15" xfId="25" applyNumberFormat="1" applyFont="1" applyBorder="1" applyAlignment="1" applyProtection="1">
      <alignment horizontal="center" vertical="center"/>
      <protection locked="0"/>
    </xf>
    <xf numFmtId="2" fontId="5" fillId="0" borderId="9" xfId="25" applyNumberFormat="1" applyFont="1" applyBorder="1" applyAlignment="1" applyProtection="1">
      <alignment horizontal="center" vertical="center"/>
      <protection locked="0"/>
    </xf>
    <xf numFmtId="2" fontId="5" fillId="0" borderId="10" xfId="25" applyNumberFormat="1" applyFont="1" applyBorder="1" applyAlignment="1" applyProtection="1">
      <alignment horizontal="center" vertical="center"/>
      <protection locked="0"/>
    </xf>
    <xf numFmtId="0" fontId="46" fillId="0" borderId="7" xfId="25" applyFont="1" applyBorder="1" applyAlignment="1">
      <alignment horizontal="center" vertical="center"/>
    </xf>
    <xf numFmtId="0" fontId="46" fillId="0" borderId="5" xfId="25" applyFont="1" applyBorder="1" applyAlignment="1">
      <alignment horizontal="center" vertical="center"/>
    </xf>
    <xf numFmtId="164" fontId="5" fillId="0" borderId="9" xfId="25" applyNumberFormat="1" applyFont="1" applyBorder="1" applyAlignment="1" applyProtection="1">
      <alignment horizontal="right" vertical="center"/>
      <protection locked="0"/>
    </xf>
    <xf numFmtId="164" fontId="5" fillId="0" borderId="10" xfId="25" applyNumberFormat="1" applyFont="1" applyBorder="1" applyAlignment="1" applyProtection="1">
      <alignment horizontal="right" vertical="center"/>
      <protection locked="0"/>
    </xf>
    <xf numFmtId="165" fontId="5" fillId="0" borderId="9" xfId="25" applyNumberFormat="1" applyFont="1" applyBorder="1" applyAlignment="1" applyProtection="1">
      <alignment horizontal="center" vertical="center"/>
      <protection locked="0"/>
    </xf>
    <xf numFmtId="165" fontId="5" fillId="0" borderId="10" xfId="25" applyNumberFormat="1" applyFont="1" applyBorder="1" applyAlignment="1" applyProtection="1">
      <alignment horizontal="center" vertical="center"/>
      <protection locked="0"/>
    </xf>
    <xf numFmtId="164" fontId="5" fillId="0" borderId="57" xfId="25" applyNumberFormat="1" applyFont="1" applyBorder="1" applyAlignment="1" applyProtection="1">
      <alignment horizontal="right" vertical="center"/>
      <protection locked="0"/>
    </xf>
    <xf numFmtId="165" fontId="5" fillId="0" borderId="57" xfId="25" applyNumberFormat="1" applyFont="1" applyBorder="1" applyAlignment="1" applyProtection="1">
      <alignment horizontal="center" vertical="center"/>
      <protection locked="0"/>
    </xf>
    <xf numFmtId="0" fontId="5" fillId="0" borderId="9" xfId="25" applyFont="1" applyBorder="1" applyAlignment="1" applyProtection="1">
      <alignment horizontal="center" vertical="center"/>
      <protection locked="0"/>
    </xf>
    <xf numFmtId="0" fontId="5" fillId="0" borderId="10" xfId="25" applyFont="1" applyBorder="1" applyAlignment="1" applyProtection="1">
      <alignment horizontal="center" vertical="center"/>
      <protection locked="0"/>
    </xf>
    <xf numFmtId="1" fontId="5" fillId="0" borderId="9" xfId="25" applyNumberFormat="1" applyFont="1" applyBorder="1" applyAlignment="1" applyProtection="1">
      <alignment horizontal="center" vertical="center"/>
      <protection locked="0"/>
    </xf>
    <xf numFmtId="1" fontId="5" fillId="0" borderId="10" xfId="25" applyNumberFormat="1" applyFont="1" applyBorder="1" applyAlignment="1" applyProtection="1">
      <alignment horizontal="center" vertical="center"/>
      <protection locked="0"/>
    </xf>
    <xf numFmtId="1" fontId="5" fillId="0" borderId="55" xfId="25" applyNumberFormat="1" applyFont="1" applyBorder="1" applyAlignment="1" applyProtection="1">
      <alignment horizontal="center" vertical="center"/>
      <protection locked="0"/>
    </xf>
    <xf numFmtId="1" fontId="5" fillId="0" borderId="15" xfId="25" applyNumberFormat="1" applyFont="1" applyBorder="1" applyAlignment="1" applyProtection="1">
      <alignment horizontal="center" vertical="center"/>
      <protection locked="0"/>
    </xf>
    <xf numFmtId="0" fontId="5" fillId="0" borderId="55" xfId="25" applyFont="1" applyBorder="1" applyAlignment="1" applyProtection="1">
      <alignment horizontal="center" vertical="center" wrapText="1"/>
      <protection locked="0"/>
    </xf>
    <xf numFmtId="0" fontId="5" fillId="0" borderId="56" xfId="25" applyFont="1" applyBorder="1" applyAlignment="1" applyProtection="1">
      <alignment horizontal="center" vertical="center" wrapText="1"/>
      <protection locked="0"/>
    </xf>
    <xf numFmtId="0" fontId="5" fillId="0" borderId="15" xfId="25" applyFont="1" applyBorder="1" applyAlignment="1" applyProtection="1">
      <alignment horizontal="center" vertical="center" wrapText="1"/>
      <protection locked="0"/>
    </xf>
    <xf numFmtId="0" fontId="2" fillId="0" borderId="66" xfId="24" applyBorder="1" applyAlignment="1">
      <alignment horizontal="left"/>
    </xf>
    <xf numFmtId="0" fontId="2" fillId="0" borderId="66" xfId="24" applyBorder="1" applyAlignment="1">
      <alignment horizontal="right"/>
    </xf>
    <xf numFmtId="0" fontId="46" fillId="0" borderId="51" xfId="25" applyFont="1" applyBorder="1" applyAlignment="1">
      <alignment horizontal="left" vertical="top" wrapText="1"/>
    </xf>
    <xf numFmtId="0" fontId="46" fillId="0" borderId="52" xfId="25" applyFont="1" applyBorder="1" applyAlignment="1">
      <alignment horizontal="left" vertical="top" wrapText="1"/>
    </xf>
    <xf numFmtId="0" fontId="46" fillId="0" borderId="53" xfId="25" applyFont="1" applyBorder="1" applyAlignment="1">
      <alignment horizontal="left" vertical="top" wrapText="1"/>
    </xf>
    <xf numFmtId="0" fontId="46" fillId="0" borderId="55" xfId="25" applyFont="1" applyBorder="1" applyAlignment="1">
      <alignment horizontal="center" vertical="center" wrapText="1"/>
    </xf>
    <xf numFmtId="0" fontId="46" fillId="0" borderId="56" xfId="25" applyFont="1" applyBorder="1" applyAlignment="1">
      <alignment horizontal="center" vertical="center" wrapText="1"/>
    </xf>
    <xf numFmtId="0" fontId="46" fillId="0" borderId="55" xfId="25" applyFont="1" applyBorder="1" applyAlignment="1" applyProtection="1">
      <alignment horizontal="left" vertical="center" wrapText="1"/>
      <protection locked="0"/>
    </xf>
    <xf numFmtId="0" fontId="46" fillId="0" borderId="56" xfId="25" applyFont="1" applyBorder="1" applyAlignment="1" applyProtection="1">
      <alignment horizontal="left" vertical="center" wrapText="1"/>
      <protection locked="0"/>
    </xf>
    <xf numFmtId="0" fontId="46" fillId="0" borderId="15" xfId="25" applyFont="1" applyBorder="1" applyAlignment="1" applyProtection="1">
      <alignment horizontal="left" vertical="center" wrapText="1"/>
      <protection locked="0"/>
    </xf>
    <xf numFmtId="0" fontId="46" fillId="0" borderId="55" xfId="25" applyFont="1" applyBorder="1" applyAlignment="1" applyProtection="1">
      <alignment horizontal="center" vertical="center" wrapText="1"/>
      <protection locked="0"/>
    </xf>
    <xf numFmtId="0" fontId="46" fillId="0" borderId="56" xfId="25" applyFont="1" applyBorder="1" applyAlignment="1" applyProtection="1">
      <alignment horizontal="center" vertical="center" wrapText="1"/>
      <protection locked="0"/>
    </xf>
    <xf numFmtId="0" fontId="46" fillId="0" borderId="15" xfId="25" applyFont="1" applyBorder="1" applyAlignment="1" applyProtection="1">
      <alignment horizontal="center" vertical="center" wrapText="1"/>
      <protection locked="0"/>
    </xf>
    <xf numFmtId="164" fontId="48" fillId="0" borderId="55" xfId="25" applyNumberFormat="1" applyFont="1" applyBorder="1" applyAlignment="1">
      <alignment horizontal="right" vertical="center"/>
    </xf>
    <xf numFmtId="164" fontId="48" fillId="0" borderId="15" xfId="25" applyNumberFormat="1" applyFont="1" applyBorder="1" applyAlignment="1">
      <alignment horizontal="right" vertical="center"/>
    </xf>
    <xf numFmtId="165" fontId="5" fillId="0" borderId="55" xfId="25" applyNumberFormat="1" applyFont="1" applyBorder="1" applyAlignment="1">
      <alignment horizontal="center" vertical="center"/>
    </xf>
    <xf numFmtId="165" fontId="5" fillId="0" borderId="15" xfId="25" applyNumberFormat="1" applyFont="1" applyBorder="1" applyAlignment="1">
      <alignment horizontal="center" vertical="center"/>
    </xf>
    <xf numFmtId="164" fontId="48" fillId="0" borderId="56" xfId="25" applyNumberFormat="1" applyFont="1" applyBorder="1" applyAlignment="1">
      <alignment horizontal="right" vertical="center"/>
    </xf>
    <xf numFmtId="0" fontId="46" fillId="0" borderId="9" xfId="25" applyFont="1" applyBorder="1" applyAlignment="1">
      <alignment horizontal="left" vertical="center" wrapText="1"/>
    </xf>
    <xf numFmtId="0" fontId="46" fillId="0" borderId="57" xfId="25" applyFont="1" applyBorder="1" applyAlignment="1">
      <alignment horizontal="left" vertical="center" wrapText="1"/>
    </xf>
    <xf numFmtId="2" fontId="5" fillId="0" borderId="55" xfId="25" applyNumberFormat="1" applyFont="1" applyBorder="1" applyAlignment="1">
      <alignment horizontal="center" vertical="center"/>
    </xf>
    <xf numFmtId="2" fontId="5" fillId="0" borderId="15" xfId="25" applyNumberFormat="1" applyFont="1" applyBorder="1" applyAlignment="1">
      <alignment horizontal="center" vertical="center"/>
    </xf>
    <xf numFmtId="164" fontId="5" fillId="0" borderId="55" xfId="25" applyNumberFormat="1" applyFont="1" applyBorder="1" applyAlignment="1">
      <alignment horizontal="right" vertical="center"/>
    </xf>
    <xf numFmtId="164" fontId="5" fillId="0" borderId="15" xfId="25" applyNumberFormat="1" applyFont="1" applyBorder="1" applyAlignment="1">
      <alignment horizontal="right" vertical="center"/>
    </xf>
    <xf numFmtId="0" fontId="46" fillId="0" borderId="59" xfId="25" applyFont="1" applyBorder="1" applyAlignment="1">
      <alignment horizontal="center" vertical="center" wrapText="1"/>
    </xf>
    <xf numFmtId="0" fontId="52" fillId="0" borderId="56" xfId="24" applyFont="1" applyBorder="1" applyAlignment="1">
      <alignment horizontal="center" vertical="center"/>
    </xf>
    <xf numFmtId="0" fontId="5" fillId="0" borderId="67" xfId="25" applyFont="1" applyBorder="1" applyAlignment="1">
      <alignment horizontal="center" vertical="center"/>
    </xf>
    <xf numFmtId="164" fontId="5" fillId="0" borderId="56" xfId="25" applyNumberFormat="1" applyFont="1" applyBorder="1" applyAlignment="1">
      <alignment horizontal="right" vertical="center"/>
    </xf>
    <xf numFmtId="166" fontId="5" fillId="0" borderId="55" xfId="25" applyNumberFormat="1" applyFont="1" applyBorder="1" applyAlignment="1">
      <alignment horizontal="center" vertical="center"/>
    </xf>
    <xf numFmtId="166" fontId="5" fillId="0" borderId="56" xfId="25" applyNumberFormat="1" applyFont="1" applyBorder="1" applyAlignment="1">
      <alignment horizontal="center" vertical="center"/>
    </xf>
    <xf numFmtId="166" fontId="5" fillId="0" borderId="15" xfId="25" applyNumberFormat="1" applyFont="1" applyBorder="1" applyAlignment="1">
      <alignment horizontal="center" vertical="center"/>
    </xf>
    <xf numFmtId="0" fontId="5" fillId="0" borderId="55" xfId="25" applyFont="1" applyBorder="1" applyAlignment="1">
      <alignment horizontal="center" vertical="center"/>
    </xf>
    <xf numFmtId="0" fontId="5" fillId="0" borderId="15" xfId="25" applyFont="1" applyBorder="1" applyAlignment="1">
      <alignment horizontal="center" vertical="center"/>
    </xf>
    <xf numFmtId="170" fontId="46" fillId="0" borderId="9" xfId="25" applyNumberFormat="1" applyFont="1" applyBorder="1" applyAlignment="1" applyProtection="1">
      <alignment horizontal="left" vertical="center" wrapText="1"/>
      <protection locked="0"/>
    </xf>
    <xf numFmtId="170" fontId="46" fillId="0" borderId="57" xfId="25" applyNumberFormat="1" applyFont="1" applyBorder="1" applyAlignment="1" applyProtection="1">
      <alignment horizontal="left" vertical="center" wrapText="1"/>
      <protection locked="0"/>
    </xf>
    <xf numFmtId="170" fontId="46" fillId="0" borderId="10" xfId="25" applyNumberFormat="1" applyFont="1" applyBorder="1" applyAlignment="1" applyProtection="1">
      <alignment horizontal="left" vertical="center" wrapText="1"/>
      <protection locked="0"/>
    </xf>
    <xf numFmtId="0" fontId="46" fillId="0" borderId="57" xfId="25" applyFont="1" applyBorder="1" applyAlignment="1" applyProtection="1">
      <alignment horizontal="left" vertical="center" wrapText="1"/>
      <protection locked="0"/>
    </xf>
    <xf numFmtId="0" fontId="46" fillId="0" borderId="10" xfId="25" applyFont="1" applyBorder="1" applyAlignment="1" applyProtection="1">
      <alignment horizontal="left" vertical="center" wrapText="1"/>
      <protection locked="0"/>
    </xf>
    <xf numFmtId="0" fontId="5" fillId="0" borderId="63" xfId="25" applyFont="1" applyBorder="1" applyAlignment="1" applyProtection="1">
      <alignment horizontal="center" vertical="center"/>
      <protection locked="0"/>
    </xf>
    <xf numFmtId="0" fontId="5" fillId="0" borderId="64" xfId="25" applyFont="1" applyBorder="1" applyAlignment="1" applyProtection="1">
      <alignment horizontal="center" vertical="center"/>
      <protection locked="0"/>
    </xf>
    <xf numFmtId="0" fontId="5" fillId="0" borderId="63" xfId="25" applyFont="1" applyBorder="1" applyAlignment="1">
      <alignment horizontal="center" vertical="center"/>
    </xf>
    <xf numFmtId="0" fontId="5" fillId="0" borderId="64" xfId="25" applyFont="1" applyBorder="1" applyAlignment="1">
      <alignment horizontal="center" vertical="center"/>
    </xf>
    <xf numFmtId="0" fontId="5" fillId="0" borderId="65" xfId="25" applyFont="1" applyBorder="1" applyAlignment="1">
      <alignment horizontal="center" vertical="center"/>
    </xf>
    <xf numFmtId="164" fontId="5" fillId="0" borderId="55" xfId="25" applyNumberFormat="1" applyFont="1" applyBorder="1" applyAlignment="1">
      <alignment horizontal="center" vertical="center"/>
    </xf>
    <xf numFmtId="164" fontId="5" fillId="0" borderId="15" xfId="25" applyNumberFormat="1" applyFont="1" applyBorder="1" applyAlignment="1">
      <alignment horizontal="center" vertical="center"/>
    </xf>
    <xf numFmtId="0" fontId="24" fillId="35" borderId="43" xfId="0" applyFont="1" applyFill="1" applyBorder="1" applyAlignment="1">
      <alignment horizontal="center" vertical="center"/>
    </xf>
    <xf numFmtId="0" fontId="24" fillId="35" borderId="44" xfId="0" applyFont="1" applyFill="1" applyBorder="1" applyAlignment="1">
      <alignment horizontal="center" vertical="center"/>
    </xf>
    <xf numFmtId="0" fontId="24" fillId="36" borderId="43" xfId="0" applyFont="1" applyFill="1" applyBorder="1" applyAlignment="1">
      <alignment horizontal="center" vertical="center"/>
    </xf>
    <xf numFmtId="0" fontId="24" fillId="36" borderId="44" xfId="0" applyFont="1" applyFill="1" applyBorder="1" applyAlignment="1">
      <alignment horizontal="center" vertical="center"/>
    </xf>
    <xf numFmtId="49" fontId="3" fillId="36" borderId="11" xfId="0" applyNumberFormat="1" applyFont="1" applyFill="1" applyBorder="1" applyAlignment="1">
      <alignment horizontal="center" vertical="center"/>
    </xf>
    <xf numFmtId="49" fontId="3" fillId="36" borderId="12" xfId="0" applyNumberFormat="1" applyFont="1" applyFill="1" applyBorder="1" applyAlignment="1">
      <alignment horizontal="center" vertical="center"/>
    </xf>
    <xf numFmtId="49" fontId="143" fillId="0" borderId="11" xfId="0" applyNumberFormat="1" applyFont="1" applyBorder="1" applyAlignment="1">
      <alignment horizontal="center" vertical="center"/>
    </xf>
    <xf numFmtId="49" fontId="143" fillId="0" borderId="12" xfId="0" applyNumberFormat="1" applyFont="1" applyBorder="1" applyAlignment="1">
      <alignment horizontal="center" vertical="center"/>
    </xf>
    <xf numFmtId="0" fontId="3" fillId="35" borderId="11" xfId="0" applyFont="1" applyFill="1" applyBorder="1" applyAlignment="1">
      <alignment horizontal="center" vertical="center"/>
    </xf>
    <xf numFmtId="0" fontId="3" fillId="35" borderId="12" xfId="0" applyFont="1" applyFill="1" applyBorder="1" applyAlignment="1">
      <alignment horizontal="center" vertical="center"/>
    </xf>
    <xf numFmtId="0" fontId="87" fillId="0" borderId="92" xfId="0" applyFont="1" applyBorder="1" applyAlignment="1">
      <alignment horizontal="center" vertical="center" textRotation="90"/>
    </xf>
    <xf numFmtId="0" fontId="87" fillId="0" borderId="90" xfId="0" applyFont="1" applyBorder="1" applyAlignment="1">
      <alignment horizontal="center" vertical="center" textRotation="90"/>
    </xf>
    <xf numFmtId="0" fontId="87" fillId="0" borderId="42" xfId="0" applyFont="1" applyBorder="1" applyAlignment="1">
      <alignment horizontal="center" vertical="center" textRotation="90"/>
    </xf>
    <xf numFmtId="0" fontId="87" fillId="0" borderId="4" xfId="0" applyFont="1" applyBorder="1" applyAlignment="1">
      <alignment horizontal="center" vertical="center" textRotation="90"/>
    </xf>
    <xf numFmtId="0" fontId="87" fillId="0" borderId="76" xfId="0" applyFont="1" applyBorder="1" applyAlignment="1">
      <alignment horizontal="center" vertical="center" textRotation="90"/>
    </xf>
    <xf numFmtId="0" fontId="87" fillId="0" borderId="91" xfId="0" applyFont="1" applyBorder="1" applyAlignment="1">
      <alignment horizontal="center" vertical="center" textRotation="90"/>
    </xf>
    <xf numFmtId="0" fontId="88" fillId="0" borderId="0" xfId="0" applyFont="1" applyAlignment="1">
      <alignment horizontal="center" vertical="center" wrapText="1"/>
    </xf>
    <xf numFmtId="49" fontId="30" fillId="26" borderId="11" xfId="0" applyNumberFormat="1" applyFont="1" applyFill="1" applyBorder="1" applyAlignment="1">
      <alignment horizontal="center" vertical="center" wrapText="1"/>
    </xf>
    <xf numFmtId="49" fontId="30" fillId="26" borderId="41" xfId="0" applyNumberFormat="1" applyFont="1" applyFill="1" applyBorder="1" applyAlignment="1">
      <alignment horizontal="center" vertical="center" wrapText="1"/>
    </xf>
    <xf numFmtId="49" fontId="31" fillId="21" borderId="88" xfId="0" applyNumberFormat="1" applyFont="1" applyFill="1" applyBorder="1" applyAlignment="1">
      <alignment horizontal="center" vertical="center" wrapText="1"/>
    </xf>
    <xf numFmtId="49" fontId="31" fillId="21" borderId="12" xfId="0" applyNumberFormat="1" applyFont="1" applyFill="1" applyBorder="1" applyAlignment="1">
      <alignment horizontal="center" vertical="center" wrapText="1"/>
    </xf>
    <xf numFmtId="49" fontId="31" fillId="15" borderId="88" xfId="0" applyNumberFormat="1" applyFont="1" applyFill="1" applyBorder="1" applyAlignment="1">
      <alignment horizontal="center" vertical="center" wrapText="1"/>
    </xf>
    <xf numFmtId="49" fontId="31" fillId="15" borderId="87" xfId="0" applyNumberFormat="1" applyFont="1" applyFill="1" applyBorder="1" applyAlignment="1">
      <alignment horizontal="center" vertical="center" wrapText="1"/>
    </xf>
    <xf numFmtId="49" fontId="31" fillId="15" borderId="63" xfId="0" applyNumberFormat="1" applyFont="1" applyFill="1" applyBorder="1" applyAlignment="1">
      <alignment horizontal="center" vertical="center" wrapText="1"/>
    </xf>
    <xf numFmtId="49" fontId="31" fillId="15" borderId="65" xfId="0" applyNumberFormat="1" applyFont="1" applyFill="1" applyBorder="1" applyAlignment="1">
      <alignment horizontal="center" vertical="center" wrapText="1"/>
    </xf>
    <xf numFmtId="0" fontId="24" fillId="33" borderId="43" xfId="0" applyFont="1" applyFill="1" applyBorder="1" applyAlignment="1">
      <alignment horizontal="center" vertical="center"/>
    </xf>
    <xf numFmtId="0" fontId="24" fillId="33" borderId="44" xfId="0" applyFont="1" applyFill="1" applyBorder="1" applyAlignment="1">
      <alignment horizontal="center" vertical="center"/>
    </xf>
    <xf numFmtId="0" fontId="24" fillId="15" borderId="43" xfId="0" applyFont="1" applyFill="1" applyBorder="1" applyAlignment="1">
      <alignment horizontal="center" vertical="center"/>
    </xf>
    <xf numFmtId="0" fontId="24" fillId="15" borderId="44" xfId="0" applyFont="1" applyFill="1" applyBorder="1" applyAlignment="1">
      <alignment horizontal="center" vertical="center"/>
    </xf>
    <xf numFmtId="0" fontId="30" fillId="26" borderId="43" xfId="0" applyFont="1" applyFill="1" applyBorder="1" applyAlignment="1">
      <alignment horizontal="center" vertical="center"/>
    </xf>
    <xf numFmtId="0" fontId="30" fillId="26" borderId="89" xfId="0" applyFont="1" applyFill="1" applyBorder="1" applyAlignment="1">
      <alignment horizontal="center" vertical="center"/>
    </xf>
    <xf numFmtId="0" fontId="24" fillId="21" borderId="43" xfId="0" applyFont="1" applyFill="1" applyBorder="1" applyAlignment="1">
      <alignment horizontal="center" vertical="center"/>
    </xf>
    <xf numFmtId="0" fontId="24" fillId="21" borderId="44" xfId="0" applyFont="1" applyFill="1" applyBorder="1" applyAlignment="1">
      <alignment horizontal="center" vertical="center"/>
    </xf>
    <xf numFmtId="0" fontId="24" fillId="37" borderId="43" xfId="0" applyFont="1" applyFill="1" applyBorder="1" applyAlignment="1">
      <alignment horizontal="center" vertical="center"/>
    </xf>
    <xf numFmtId="0" fontId="24" fillId="37" borderId="44" xfId="0" applyFont="1" applyFill="1" applyBorder="1" applyAlignment="1">
      <alignment horizontal="center" vertical="center"/>
    </xf>
    <xf numFmtId="0" fontId="24" fillId="26" borderId="43" xfId="0" applyFont="1" applyFill="1" applyBorder="1" applyAlignment="1">
      <alignment horizontal="center" vertical="center"/>
    </xf>
    <xf numFmtId="0" fontId="24" fillId="26" borderId="44" xfId="0" applyFont="1" applyFill="1" applyBorder="1" applyAlignment="1">
      <alignment horizontal="center" vertical="center"/>
    </xf>
    <xf numFmtId="49" fontId="3" fillId="15" borderId="11" xfId="0" applyNumberFormat="1" applyFont="1" applyFill="1" applyBorder="1" applyAlignment="1">
      <alignment horizontal="center" vertical="center"/>
    </xf>
    <xf numFmtId="49" fontId="3" fillId="15" borderId="12" xfId="0" applyNumberFormat="1" applyFont="1" applyFill="1" applyBorder="1" applyAlignment="1">
      <alignment horizontal="center" vertical="center"/>
    </xf>
    <xf numFmtId="0" fontId="3" fillId="21" borderId="11" xfId="0" applyFont="1" applyFill="1" applyBorder="1" applyAlignment="1">
      <alignment horizontal="center" vertical="center"/>
    </xf>
    <xf numFmtId="0" fontId="3" fillId="21" borderId="12" xfId="0" applyFont="1" applyFill="1" applyBorder="1" applyAlignment="1">
      <alignment horizontal="center" vertical="center"/>
    </xf>
    <xf numFmtId="0" fontId="3" fillId="37" borderId="11" xfId="0" applyFont="1" applyFill="1" applyBorder="1" applyAlignment="1">
      <alignment horizontal="center" vertical="center"/>
    </xf>
    <xf numFmtId="0" fontId="3" fillId="37" borderId="12" xfId="0" applyFont="1" applyFill="1" applyBorder="1" applyAlignment="1">
      <alignment horizontal="center" vertical="center"/>
    </xf>
    <xf numFmtId="49" fontId="3" fillId="26" borderId="11" xfId="0" applyNumberFormat="1" applyFont="1" applyFill="1" applyBorder="1" applyAlignment="1">
      <alignment horizontal="center" vertical="center"/>
    </xf>
    <xf numFmtId="49" fontId="3" fillId="26" borderId="41" xfId="0" applyNumberFormat="1" applyFont="1" applyFill="1" applyBorder="1" applyAlignment="1">
      <alignment horizontal="center" vertical="center"/>
    </xf>
    <xf numFmtId="1" fontId="140" fillId="34" borderId="80" xfId="0" applyNumberFormat="1" applyFont="1" applyFill="1" applyBorder="1" applyAlignment="1" applyProtection="1">
      <alignment vertical="center"/>
      <protection locked="0"/>
    </xf>
    <xf numFmtId="1" fontId="140" fillId="34" borderId="81" xfId="0" applyNumberFormat="1" applyFont="1" applyFill="1" applyBorder="1" applyAlignment="1" applyProtection="1">
      <alignment vertical="center"/>
      <protection locked="0"/>
    </xf>
    <xf numFmtId="1" fontId="140" fillId="21" borderId="80" xfId="0" applyNumberFormat="1" applyFont="1" applyFill="1" applyBorder="1" applyAlignment="1" applyProtection="1">
      <alignment vertical="center"/>
      <protection locked="0"/>
    </xf>
    <xf numFmtId="1" fontId="140" fillId="21" borderId="57" xfId="0" applyNumberFormat="1" applyFont="1" applyFill="1" applyBorder="1" applyAlignment="1" applyProtection="1">
      <alignment vertical="center"/>
      <protection locked="0"/>
    </xf>
    <xf numFmtId="1" fontId="140" fillId="21" borderId="81" xfId="0" applyNumberFormat="1" applyFont="1" applyFill="1" applyBorder="1" applyAlignment="1" applyProtection="1">
      <alignment vertical="center"/>
      <protection locked="0"/>
    </xf>
    <xf numFmtId="1" fontId="142" fillId="36" borderId="80" xfId="0" applyNumberFormat="1" applyFont="1" applyFill="1" applyBorder="1" applyAlignment="1" applyProtection="1">
      <alignment vertical="center"/>
      <protection locked="0"/>
    </xf>
    <xf numFmtId="1" fontId="142" fillId="36" borderId="57" xfId="0" applyNumberFormat="1" applyFont="1" applyFill="1" applyBorder="1" applyAlignment="1" applyProtection="1">
      <alignment vertical="center"/>
      <protection locked="0"/>
    </xf>
    <xf numFmtId="1" fontId="142" fillId="36" borderId="81" xfId="0" applyNumberFormat="1" applyFont="1" applyFill="1" applyBorder="1" applyAlignment="1" applyProtection="1">
      <alignment vertical="center"/>
      <protection locked="0"/>
    </xf>
    <xf numFmtId="1" fontId="142" fillId="37" borderId="80" xfId="0" applyNumberFormat="1" applyFont="1" applyFill="1" applyBorder="1" applyAlignment="1" applyProtection="1">
      <alignment vertical="center"/>
      <protection locked="0"/>
    </xf>
    <xf numFmtId="1" fontId="142" fillId="37" borderId="57" xfId="0" applyNumberFormat="1" applyFont="1" applyFill="1" applyBorder="1" applyAlignment="1" applyProtection="1">
      <alignment vertical="center"/>
      <protection locked="0"/>
    </xf>
    <xf numFmtId="1" fontId="142" fillId="37" borderId="81" xfId="0" applyNumberFormat="1" applyFont="1" applyFill="1" applyBorder="1" applyAlignment="1" applyProtection="1">
      <alignment vertical="center"/>
      <protection locked="0"/>
    </xf>
    <xf numFmtId="1" fontId="140" fillId="33" borderId="80" xfId="0" applyNumberFormat="1" applyFont="1" applyFill="1" applyBorder="1" applyAlignment="1" applyProtection="1">
      <alignment vertical="center"/>
      <protection locked="0"/>
    </xf>
    <xf numFmtId="1" fontId="140" fillId="33" borderId="57" xfId="0" applyNumberFormat="1" applyFont="1" applyFill="1" applyBorder="1" applyAlignment="1" applyProtection="1">
      <alignment vertical="center"/>
      <protection locked="0"/>
    </xf>
    <xf numFmtId="1" fontId="140" fillId="33" borderId="81" xfId="0" applyNumberFormat="1" applyFont="1" applyFill="1" applyBorder="1" applyAlignment="1" applyProtection="1">
      <alignment vertical="center"/>
      <protection locked="0"/>
    </xf>
    <xf numFmtId="1" fontId="140" fillId="32" borderId="80" xfId="0" applyNumberFormat="1" applyFont="1" applyFill="1" applyBorder="1" applyAlignment="1" applyProtection="1">
      <alignment vertical="center"/>
      <protection locked="0"/>
    </xf>
    <xf numFmtId="1" fontId="140" fillId="32" borderId="57" xfId="0" applyNumberFormat="1" applyFont="1" applyFill="1" applyBorder="1" applyAlignment="1" applyProtection="1">
      <alignment vertical="center"/>
      <protection locked="0"/>
    </xf>
    <xf numFmtId="1" fontId="140" fillId="32" borderId="81" xfId="0" applyNumberFormat="1" applyFont="1" applyFill="1" applyBorder="1" applyAlignment="1" applyProtection="1">
      <alignment vertical="center"/>
      <protection locked="0"/>
    </xf>
    <xf numFmtId="167" fontId="140" fillId="35" borderId="80" xfId="0" applyNumberFormat="1" applyFont="1" applyFill="1" applyBorder="1" applyAlignment="1" applyProtection="1">
      <alignment horizontal="center" vertical="center"/>
      <protection locked="0"/>
    </xf>
    <xf numFmtId="167" fontId="140" fillId="35" borderId="81" xfId="0" applyNumberFormat="1" applyFont="1" applyFill="1" applyBorder="1" applyAlignment="1" applyProtection="1">
      <alignment horizontal="center" vertical="center"/>
      <protection locked="0"/>
    </xf>
    <xf numFmtId="167" fontId="140" fillId="26" borderId="80" xfId="0" applyNumberFormat="1" applyFont="1" applyFill="1" applyBorder="1" applyAlignment="1" applyProtection="1">
      <alignment horizontal="center" vertical="center"/>
      <protection locked="0"/>
    </xf>
    <xf numFmtId="167" fontId="140" fillId="26" borderId="81" xfId="0" applyNumberFormat="1" applyFont="1" applyFill="1" applyBorder="1" applyAlignment="1" applyProtection="1">
      <alignment horizontal="center" vertical="center"/>
      <protection locked="0"/>
    </xf>
    <xf numFmtId="165" fontId="142" fillId="37" borderId="80" xfId="0" applyNumberFormat="1" applyFont="1" applyFill="1" applyBorder="1" applyAlignment="1" applyProtection="1">
      <alignment vertical="center"/>
      <protection locked="0"/>
    </xf>
    <xf numFmtId="165" fontId="142" fillId="37" borderId="81" xfId="0" applyNumberFormat="1" applyFont="1" applyFill="1" applyBorder="1" applyAlignment="1" applyProtection="1">
      <alignment vertical="center"/>
      <protection locked="0"/>
    </xf>
    <xf numFmtId="165" fontId="140" fillId="34" borderId="80" xfId="0" applyNumberFormat="1" applyFont="1" applyFill="1" applyBorder="1" applyAlignment="1" applyProtection="1">
      <alignment vertical="center"/>
      <protection locked="0"/>
    </xf>
    <xf numFmtId="165" fontId="140" fillId="34" borderId="81" xfId="0" applyNumberFormat="1" applyFont="1" applyFill="1" applyBorder="1" applyAlignment="1" applyProtection="1">
      <alignment vertical="center"/>
      <protection locked="0"/>
    </xf>
    <xf numFmtId="0" fontId="24" fillId="36" borderId="82" xfId="0" applyFont="1" applyFill="1" applyBorder="1" applyAlignment="1">
      <alignment horizontal="center" vertical="center"/>
    </xf>
    <xf numFmtId="0" fontId="24" fillId="36" borderId="83" xfId="0" applyFont="1" applyFill="1" applyBorder="1" applyAlignment="1">
      <alignment horizontal="center" vertical="center"/>
    </xf>
    <xf numFmtId="0" fontId="24" fillId="15" borderId="82" xfId="0" applyFont="1" applyFill="1" applyBorder="1" applyAlignment="1">
      <alignment horizontal="center" vertical="center"/>
    </xf>
    <xf numFmtId="0" fontId="24" fillId="15" borderId="83" xfId="0" applyFont="1" applyFill="1" applyBorder="1" applyAlignment="1">
      <alignment horizontal="center" vertical="center"/>
    </xf>
    <xf numFmtId="0" fontId="24" fillId="33" borderId="82" xfId="0" applyFont="1" applyFill="1" applyBorder="1" applyAlignment="1">
      <alignment horizontal="center" vertical="center"/>
    </xf>
    <xf numFmtId="0" fontId="24" fillId="33" borderId="83" xfId="0" applyFont="1" applyFill="1" applyBorder="1" applyAlignment="1">
      <alignment horizontal="center" vertical="center"/>
    </xf>
    <xf numFmtId="0" fontId="24" fillId="32" borderId="82" xfId="0" applyFont="1" applyFill="1" applyBorder="1" applyAlignment="1">
      <alignment horizontal="center" vertical="center"/>
    </xf>
    <xf numFmtId="0" fontId="24" fillId="32" borderId="83" xfId="0" applyFont="1" applyFill="1" applyBorder="1" applyAlignment="1">
      <alignment horizontal="center" vertical="center"/>
    </xf>
    <xf numFmtId="0" fontId="24" fillId="26" borderId="82" xfId="0" applyFont="1" applyFill="1" applyBorder="1" applyAlignment="1">
      <alignment horizontal="center" vertical="center"/>
    </xf>
    <xf numFmtId="0" fontId="24" fillId="26" borderId="83" xfId="0" applyFont="1" applyFill="1" applyBorder="1" applyAlignment="1">
      <alignment horizontal="center" vertical="center"/>
    </xf>
    <xf numFmtId="0" fontId="73" fillId="14" borderId="63" xfId="0" applyFont="1" applyFill="1" applyBorder="1" applyAlignment="1">
      <alignment horizontal="center" vertical="center"/>
    </xf>
    <xf numFmtId="0" fontId="73" fillId="14" borderId="65" xfId="0" applyFont="1" applyFill="1" applyBorder="1" applyAlignment="1">
      <alignment horizontal="center" vertical="center"/>
    </xf>
    <xf numFmtId="0" fontId="73" fillId="14" borderId="63" xfId="0" applyFont="1" applyFill="1" applyBorder="1" applyAlignment="1">
      <alignment horizontal="right" vertical="center"/>
    </xf>
    <xf numFmtId="0" fontId="73" fillId="14" borderId="64" xfId="0" applyFont="1" applyFill="1" applyBorder="1" applyAlignment="1">
      <alignment horizontal="right" vertical="center"/>
    </xf>
    <xf numFmtId="0" fontId="73" fillId="14" borderId="84" xfId="0" applyFont="1" applyFill="1" applyBorder="1" applyAlignment="1">
      <alignment horizontal="right" vertical="center"/>
    </xf>
    <xf numFmtId="167" fontId="142" fillId="37" borderId="80" xfId="0" applyNumberFormat="1" applyFont="1" applyFill="1" applyBorder="1" applyAlignment="1" applyProtection="1">
      <alignment horizontal="center" vertical="center"/>
      <protection locked="0"/>
    </xf>
    <xf numFmtId="167" fontId="142" fillId="37" borderId="81" xfId="0" applyNumberFormat="1" applyFont="1" applyFill="1" applyBorder="1" applyAlignment="1" applyProtection="1">
      <alignment horizontal="center" vertical="center"/>
      <protection locked="0"/>
    </xf>
    <xf numFmtId="167" fontId="140" fillId="34" borderId="80" xfId="0" applyNumberFormat="1" applyFont="1" applyFill="1" applyBorder="1" applyAlignment="1" applyProtection="1">
      <alignment horizontal="center" vertical="center"/>
      <protection locked="0"/>
    </xf>
    <xf numFmtId="167" fontId="140" fillId="34" borderId="81" xfId="0" applyNumberFormat="1" applyFont="1" applyFill="1" applyBorder="1" applyAlignment="1" applyProtection="1">
      <alignment horizontal="center" vertical="center"/>
      <protection locked="0"/>
    </xf>
    <xf numFmtId="49" fontId="31" fillId="37" borderId="11" xfId="0" applyNumberFormat="1" applyFont="1" applyFill="1" applyBorder="1" applyAlignment="1">
      <alignment horizontal="center" vertical="center" wrapText="1"/>
    </xf>
    <xf numFmtId="49" fontId="31" fillId="37" borderId="87" xfId="0" applyNumberFormat="1" applyFont="1" applyFill="1" applyBorder="1" applyAlignment="1">
      <alignment horizontal="center" vertical="center" wrapText="1"/>
    </xf>
    <xf numFmtId="49" fontId="24" fillId="26" borderId="11" xfId="0" applyNumberFormat="1" applyFont="1" applyFill="1" applyBorder="1" applyAlignment="1">
      <alignment horizontal="center" vertical="center" wrapText="1"/>
    </xf>
    <xf numFmtId="49" fontId="24" fillId="26" borderId="12" xfId="0" applyNumberFormat="1" applyFont="1" applyFill="1" applyBorder="1" applyAlignment="1">
      <alignment horizontal="center" vertical="center" wrapText="1"/>
    </xf>
    <xf numFmtId="49" fontId="31" fillId="33" borderId="88" xfId="0" applyNumberFormat="1" applyFont="1" applyFill="1" applyBorder="1" applyAlignment="1">
      <alignment horizontal="center" vertical="center" wrapText="1"/>
    </xf>
    <xf numFmtId="49" fontId="31" fillId="33" borderId="12" xfId="0" applyNumberFormat="1" applyFont="1" applyFill="1" applyBorder="1" applyAlignment="1">
      <alignment horizontal="center" vertical="center" wrapText="1"/>
    </xf>
    <xf numFmtId="49" fontId="31" fillId="35" borderId="11" xfId="0" applyNumberFormat="1" applyFont="1" applyFill="1" applyBorder="1" applyAlignment="1">
      <alignment horizontal="center" vertical="center" wrapText="1"/>
    </xf>
    <xf numFmtId="49" fontId="31" fillId="35" borderId="87" xfId="0" applyNumberFormat="1" applyFont="1" applyFill="1" applyBorder="1" applyAlignment="1">
      <alignment horizontal="center" vertical="center" wrapText="1"/>
    </xf>
    <xf numFmtId="49" fontId="24" fillId="36" borderId="11" xfId="0" applyNumberFormat="1" applyFont="1" applyFill="1" applyBorder="1" applyAlignment="1">
      <alignment horizontal="center" vertical="center" wrapText="1"/>
    </xf>
    <xf numFmtId="49" fontId="24" fillId="36" borderId="12" xfId="0" applyNumberFormat="1" applyFont="1" applyFill="1" applyBorder="1" applyAlignment="1">
      <alignment horizontal="center" vertical="center" wrapText="1"/>
    </xf>
    <xf numFmtId="49" fontId="31" fillId="36" borderId="85" xfId="0" applyNumberFormat="1" applyFont="1" applyFill="1" applyBorder="1" applyAlignment="1">
      <alignment horizontal="center" vertical="center" wrapText="1"/>
    </xf>
    <xf numFmtId="49" fontId="31" fillId="36" borderId="65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Border="1" applyAlignment="1">
      <alignment horizontal="center" vertical="center" wrapText="1"/>
    </xf>
    <xf numFmtId="49" fontId="24" fillId="0" borderId="12" xfId="0" applyNumberFormat="1" applyFont="1" applyBorder="1" applyAlignment="1">
      <alignment horizontal="center" vertical="center" wrapText="1"/>
    </xf>
    <xf numFmtId="0" fontId="3" fillId="33" borderId="11" xfId="0" applyFont="1" applyFill="1" applyBorder="1" applyAlignment="1">
      <alignment horizontal="center" vertical="center"/>
    </xf>
    <xf numFmtId="0" fontId="3" fillId="33" borderId="12" xfId="0" applyFont="1" applyFill="1" applyBorder="1" applyAlignment="1">
      <alignment horizontal="center" vertical="center"/>
    </xf>
    <xf numFmtId="49" fontId="3" fillId="26" borderId="12" xfId="0" applyNumberFormat="1" applyFont="1" applyFill="1" applyBorder="1" applyAlignment="1">
      <alignment horizontal="center" vertical="center"/>
    </xf>
    <xf numFmtId="0" fontId="34" fillId="0" borderId="0" xfId="0" applyFont="1" applyAlignment="1" applyProtection="1">
      <alignment horizontal="center" vertical="center"/>
      <protection locked="0"/>
    </xf>
    <xf numFmtId="0" fontId="77" fillId="11" borderId="80" xfId="0" applyFont="1" applyFill="1" applyBorder="1" applyAlignment="1" applyProtection="1">
      <alignment horizontal="left" vertical="center"/>
      <protection locked="0"/>
    </xf>
    <xf numFmtId="0" fontId="77" fillId="11" borderId="10" xfId="0" applyFont="1" applyFill="1" applyBorder="1" applyAlignment="1" applyProtection="1">
      <alignment horizontal="left" vertical="center"/>
      <protection locked="0"/>
    </xf>
    <xf numFmtId="1" fontId="145" fillId="36" borderId="80" xfId="0" applyNumberFormat="1" applyFont="1" applyFill="1" applyBorder="1" applyAlignment="1" applyProtection="1">
      <alignment vertical="center"/>
      <protection locked="0"/>
    </xf>
    <xf numFmtId="1" fontId="145" fillId="36" borderId="81" xfId="0" applyNumberFormat="1" applyFont="1" applyFill="1" applyBorder="1" applyAlignment="1" applyProtection="1">
      <alignment vertical="center"/>
      <protection locked="0"/>
    </xf>
    <xf numFmtId="165" fontId="142" fillId="36" borderId="80" xfId="0" applyNumberFormat="1" applyFont="1" applyFill="1" applyBorder="1" applyAlignment="1" applyProtection="1">
      <alignment vertical="center"/>
      <protection locked="0"/>
    </xf>
    <xf numFmtId="165" fontId="142" fillId="36" borderId="81" xfId="0" applyNumberFormat="1" applyFont="1" applyFill="1" applyBorder="1" applyAlignment="1" applyProtection="1">
      <alignment vertical="center"/>
      <protection locked="0"/>
    </xf>
    <xf numFmtId="167" fontId="142" fillId="36" borderId="80" xfId="0" applyNumberFormat="1" applyFont="1" applyFill="1" applyBorder="1" applyAlignment="1" applyProtection="1">
      <alignment horizontal="center" vertical="center"/>
      <protection locked="0"/>
    </xf>
    <xf numFmtId="167" fontId="142" fillId="36" borderId="81" xfId="0" applyNumberFormat="1" applyFont="1" applyFill="1" applyBorder="1" applyAlignment="1" applyProtection="1">
      <alignment horizontal="center" vertical="center"/>
      <protection locked="0"/>
    </xf>
    <xf numFmtId="1" fontId="144" fillId="21" borderId="80" xfId="0" applyNumberFormat="1" applyFont="1" applyFill="1" applyBorder="1" applyAlignment="1" applyProtection="1">
      <alignment vertical="center"/>
      <protection locked="0"/>
    </xf>
    <xf numFmtId="1" fontId="144" fillId="21" borderId="81" xfId="0" applyNumberFormat="1" applyFont="1" applyFill="1" applyBorder="1" applyAlignment="1" applyProtection="1">
      <alignment vertical="center"/>
      <protection locked="0"/>
    </xf>
    <xf numFmtId="165" fontId="140" fillId="21" borderId="80" xfId="0" applyNumberFormat="1" applyFont="1" applyFill="1" applyBorder="1" applyAlignment="1" applyProtection="1">
      <alignment vertical="center"/>
      <protection locked="0"/>
    </xf>
    <xf numFmtId="165" fontId="140" fillId="21" borderId="81" xfId="0" applyNumberFormat="1" applyFont="1" applyFill="1" applyBorder="1" applyAlignment="1" applyProtection="1">
      <alignment vertical="center"/>
      <protection locked="0"/>
    </xf>
    <xf numFmtId="167" fontId="140" fillId="21" borderId="80" xfId="0" applyNumberFormat="1" applyFont="1" applyFill="1" applyBorder="1" applyAlignment="1" applyProtection="1">
      <alignment horizontal="center" vertical="center"/>
      <protection locked="0"/>
    </xf>
    <xf numFmtId="167" fontId="140" fillId="21" borderId="81" xfId="0" applyNumberFormat="1" applyFont="1" applyFill="1" applyBorder="1" applyAlignment="1" applyProtection="1">
      <alignment horizontal="center" vertical="center"/>
      <protection locked="0"/>
    </xf>
    <xf numFmtId="1" fontId="144" fillId="32" borderId="80" xfId="0" applyNumberFormat="1" applyFont="1" applyFill="1" applyBorder="1" applyAlignment="1" applyProtection="1">
      <alignment vertical="center"/>
      <protection locked="0"/>
    </xf>
    <xf numFmtId="1" fontId="144" fillId="32" borderId="81" xfId="0" applyNumberFormat="1" applyFont="1" applyFill="1" applyBorder="1" applyAlignment="1" applyProtection="1">
      <alignment vertical="center"/>
      <protection locked="0"/>
    </xf>
    <xf numFmtId="165" fontId="140" fillId="32" borderId="80" xfId="0" applyNumberFormat="1" applyFont="1" applyFill="1" applyBorder="1" applyAlignment="1" applyProtection="1">
      <alignment vertical="center"/>
      <protection locked="0"/>
    </xf>
    <xf numFmtId="165" fontId="140" fillId="32" borderId="81" xfId="0" applyNumberFormat="1" applyFont="1" applyFill="1" applyBorder="1" applyAlignment="1" applyProtection="1">
      <alignment vertical="center"/>
      <protection locked="0"/>
    </xf>
    <xf numFmtId="167" fontId="140" fillId="32" borderId="80" xfId="0" applyNumberFormat="1" applyFont="1" applyFill="1" applyBorder="1" applyAlignment="1" applyProtection="1">
      <alignment horizontal="center" vertical="center"/>
      <protection locked="0"/>
    </xf>
    <xf numFmtId="167" fontId="140" fillId="32" borderId="81" xfId="0" applyNumberFormat="1" applyFont="1" applyFill="1" applyBorder="1" applyAlignment="1" applyProtection="1">
      <alignment horizontal="center" vertical="center"/>
      <protection locked="0"/>
    </xf>
    <xf numFmtId="1" fontId="140" fillId="26" borderId="80" xfId="0" applyNumberFormat="1" applyFont="1" applyFill="1" applyBorder="1" applyAlignment="1" applyProtection="1">
      <alignment vertical="center"/>
      <protection locked="0"/>
    </xf>
    <xf numFmtId="1" fontId="140" fillId="26" borderId="57" xfId="0" applyNumberFormat="1" applyFont="1" applyFill="1" applyBorder="1" applyAlignment="1" applyProtection="1">
      <alignment vertical="center"/>
      <protection locked="0"/>
    </xf>
    <xf numFmtId="1" fontId="140" fillId="26" borderId="81" xfId="0" applyNumberFormat="1" applyFont="1" applyFill="1" applyBorder="1" applyAlignment="1" applyProtection="1">
      <alignment vertical="center"/>
      <protection locked="0"/>
    </xf>
    <xf numFmtId="1" fontId="144" fillId="15" borderId="80" xfId="0" applyNumberFormat="1" applyFont="1" applyFill="1" applyBorder="1" applyAlignment="1" applyProtection="1">
      <alignment vertical="center"/>
      <protection locked="0"/>
    </xf>
    <xf numFmtId="1" fontId="144" fillId="15" borderId="81" xfId="0" applyNumberFormat="1" applyFont="1" applyFill="1" applyBorder="1" applyAlignment="1" applyProtection="1">
      <alignment vertical="center"/>
      <protection locked="0"/>
    </xf>
    <xf numFmtId="1" fontId="140" fillId="35" borderId="80" xfId="0" applyNumberFormat="1" applyFont="1" applyFill="1" applyBorder="1" applyAlignment="1" applyProtection="1">
      <alignment vertical="center"/>
      <protection locked="0"/>
    </xf>
    <xf numFmtId="1" fontId="140" fillId="35" borderId="57" xfId="0" applyNumberFormat="1" applyFont="1" applyFill="1" applyBorder="1" applyAlignment="1" applyProtection="1">
      <alignment vertical="center"/>
      <protection locked="0"/>
    </xf>
    <xf numFmtId="1" fontId="140" fillId="35" borderId="81" xfId="0" applyNumberFormat="1" applyFont="1" applyFill="1" applyBorder="1" applyAlignment="1" applyProtection="1">
      <alignment vertical="center"/>
      <protection locked="0"/>
    </xf>
    <xf numFmtId="1" fontId="140" fillId="15" borderId="80" xfId="0" applyNumberFormat="1" applyFont="1" applyFill="1" applyBorder="1" applyAlignment="1" applyProtection="1">
      <alignment vertical="center"/>
      <protection locked="0"/>
    </xf>
    <xf numFmtId="1" fontId="140" fillId="15" borderId="57" xfId="0" applyNumberFormat="1" applyFont="1" applyFill="1" applyBorder="1" applyAlignment="1" applyProtection="1">
      <alignment vertical="center"/>
      <protection locked="0"/>
    </xf>
    <xf numFmtId="1" fontId="140" fillId="15" borderId="81" xfId="0" applyNumberFormat="1" applyFont="1" applyFill="1" applyBorder="1" applyAlignment="1" applyProtection="1">
      <alignment vertical="center"/>
      <protection locked="0"/>
    </xf>
    <xf numFmtId="165" fontId="140" fillId="26" borderId="80" xfId="0" applyNumberFormat="1" applyFont="1" applyFill="1" applyBorder="1" applyAlignment="1" applyProtection="1">
      <alignment vertical="center"/>
      <protection locked="0"/>
    </xf>
    <xf numFmtId="165" fontId="140" fillId="26" borderId="81" xfId="0" applyNumberFormat="1" applyFont="1" applyFill="1" applyBorder="1" applyAlignment="1" applyProtection="1">
      <alignment vertical="center"/>
      <protection locked="0"/>
    </xf>
    <xf numFmtId="0" fontId="73" fillId="14" borderId="85" xfId="0" applyFont="1" applyFill="1" applyBorder="1" applyAlignment="1">
      <alignment horizontal="left" vertical="center"/>
    </xf>
    <xf numFmtId="0" fontId="73" fillId="14" borderId="65" xfId="0" applyFont="1" applyFill="1" applyBorder="1" applyAlignment="1">
      <alignment horizontal="left" vertical="center"/>
    </xf>
    <xf numFmtId="14" fontId="75" fillId="0" borderId="0" xfId="0" applyNumberFormat="1" applyFont="1" applyAlignment="1">
      <alignment horizontal="center" vertical="center"/>
    </xf>
    <xf numFmtId="1" fontId="144" fillId="26" borderId="80" xfId="0" applyNumberFormat="1" applyFont="1" applyFill="1" applyBorder="1" applyAlignment="1" applyProtection="1">
      <alignment vertical="center"/>
      <protection locked="0"/>
    </xf>
    <xf numFmtId="1" fontId="144" fillId="26" borderId="81" xfId="0" applyNumberFormat="1" applyFont="1" applyFill="1" applyBorder="1" applyAlignment="1" applyProtection="1">
      <alignment vertical="center"/>
      <protection locked="0"/>
    </xf>
    <xf numFmtId="0" fontId="75" fillId="0" borderId="0" xfId="0" applyFont="1" applyAlignment="1">
      <alignment horizontal="left" vertical="center"/>
    </xf>
    <xf numFmtId="49" fontId="76" fillId="16" borderId="0" xfId="0" applyNumberFormat="1" applyFont="1" applyFill="1" applyAlignment="1">
      <alignment horizontal="center" vertical="center"/>
    </xf>
    <xf numFmtId="0" fontId="73" fillId="14" borderId="63" xfId="0" applyFont="1" applyFill="1" applyBorder="1" applyAlignment="1">
      <alignment horizontal="left" vertical="center"/>
    </xf>
    <xf numFmtId="165" fontId="140" fillId="33" borderId="80" xfId="0" applyNumberFormat="1" applyFont="1" applyFill="1" applyBorder="1" applyAlignment="1" applyProtection="1">
      <alignment vertical="center"/>
      <protection locked="0"/>
    </xf>
    <xf numFmtId="165" fontId="140" fillId="33" borderId="81" xfId="0" applyNumberFormat="1" applyFont="1" applyFill="1" applyBorder="1" applyAlignment="1" applyProtection="1">
      <alignment vertical="center"/>
      <protection locked="0"/>
    </xf>
    <xf numFmtId="165" fontId="140" fillId="35" borderId="80" xfId="0" applyNumberFormat="1" applyFont="1" applyFill="1" applyBorder="1" applyAlignment="1" applyProtection="1">
      <alignment vertical="center"/>
      <protection locked="0"/>
    </xf>
    <xf numFmtId="165" fontId="140" fillId="35" borderId="81" xfId="0" applyNumberFormat="1" applyFont="1" applyFill="1" applyBorder="1" applyAlignment="1" applyProtection="1">
      <alignment vertical="center"/>
      <protection locked="0"/>
    </xf>
    <xf numFmtId="165" fontId="140" fillId="15" borderId="80" xfId="0" applyNumberFormat="1" applyFont="1" applyFill="1" applyBorder="1" applyAlignment="1" applyProtection="1">
      <alignment vertical="center"/>
      <protection locked="0"/>
    </xf>
    <xf numFmtId="165" fontId="140" fillId="15" borderId="81" xfId="0" applyNumberFormat="1" applyFont="1" applyFill="1" applyBorder="1" applyAlignment="1" applyProtection="1">
      <alignment vertical="center"/>
      <protection locked="0"/>
    </xf>
    <xf numFmtId="167" fontId="140" fillId="15" borderId="80" xfId="0" applyNumberFormat="1" applyFont="1" applyFill="1" applyBorder="1" applyAlignment="1" applyProtection="1">
      <alignment horizontal="center" vertical="center"/>
      <protection locked="0"/>
    </xf>
    <xf numFmtId="167" fontId="140" fillId="15" borderId="81" xfId="0" applyNumberFormat="1" applyFont="1" applyFill="1" applyBorder="1" applyAlignment="1" applyProtection="1">
      <alignment horizontal="center" vertical="center"/>
      <protection locked="0"/>
    </xf>
    <xf numFmtId="1" fontId="140" fillId="34" borderId="57" xfId="0" applyNumberFormat="1" applyFont="1" applyFill="1" applyBorder="1" applyAlignment="1" applyProtection="1">
      <alignment vertical="center"/>
      <protection locked="0"/>
    </xf>
    <xf numFmtId="167" fontId="140" fillId="33" borderId="80" xfId="0" applyNumberFormat="1" applyFont="1" applyFill="1" applyBorder="1" applyAlignment="1" applyProtection="1">
      <alignment horizontal="center" vertical="center"/>
      <protection locked="0"/>
    </xf>
    <xf numFmtId="167" fontId="140" fillId="33" borderId="81" xfId="0" applyNumberFormat="1" applyFont="1" applyFill="1" applyBorder="1" applyAlignment="1" applyProtection="1">
      <alignment horizontal="center" vertical="center"/>
      <protection locked="0"/>
    </xf>
    <xf numFmtId="0" fontId="24" fillId="37" borderId="82" xfId="0" applyFont="1" applyFill="1" applyBorder="1" applyAlignment="1">
      <alignment horizontal="center" vertical="center"/>
    </xf>
    <xf numFmtId="0" fontId="24" fillId="37" borderId="83" xfId="0" applyFont="1" applyFill="1" applyBorder="1" applyAlignment="1">
      <alignment horizontal="center" vertical="center"/>
    </xf>
    <xf numFmtId="1" fontId="144" fillId="33" borderId="80" xfId="0" applyNumberFormat="1" applyFont="1" applyFill="1" applyBorder="1" applyAlignment="1" applyProtection="1">
      <alignment vertical="center"/>
      <protection locked="0"/>
    </xf>
    <xf numFmtId="1" fontId="144" fillId="33" borderId="81" xfId="0" applyNumberFormat="1" applyFont="1" applyFill="1" applyBorder="1" applyAlignment="1" applyProtection="1">
      <alignment vertical="center"/>
      <protection locked="0"/>
    </xf>
    <xf numFmtId="0" fontId="30" fillId="33" borderId="82" xfId="0" applyFont="1" applyFill="1" applyBorder="1" applyAlignment="1">
      <alignment horizontal="center" vertical="center"/>
    </xf>
    <xf numFmtId="0" fontId="30" fillId="33" borderId="86" xfId="0" applyFont="1" applyFill="1" applyBorder="1" applyAlignment="1">
      <alignment horizontal="center" vertical="center"/>
    </xf>
    <xf numFmtId="1" fontId="145" fillId="37" borderId="80" xfId="0" applyNumberFormat="1" applyFont="1" applyFill="1" applyBorder="1" applyAlignment="1" applyProtection="1">
      <alignment vertical="center"/>
      <protection locked="0"/>
    </xf>
    <xf numFmtId="1" fontId="145" fillId="37" borderId="81" xfId="0" applyNumberFormat="1" applyFont="1" applyFill="1" applyBorder="1" applyAlignment="1" applyProtection="1">
      <alignment vertical="center"/>
      <protection locked="0"/>
    </xf>
    <xf numFmtId="1" fontId="141" fillId="34" borderId="80" xfId="0" applyNumberFormat="1" applyFont="1" applyFill="1" applyBorder="1" applyAlignment="1" applyProtection="1">
      <alignment vertical="center"/>
      <protection locked="0"/>
    </xf>
    <xf numFmtId="1" fontId="141" fillId="34" borderId="81" xfId="0" applyNumberFormat="1" applyFont="1" applyFill="1" applyBorder="1" applyAlignment="1" applyProtection="1">
      <alignment vertical="center"/>
      <protection locked="0"/>
    </xf>
    <xf numFmtId="1" fontId="144" fillId="35" borderId="80" xfId="0" applyNumberFormat="1" applyFont="1" applyFill="1" applyBorder="1" applyAlignment="1" applyProtection="1">
      <alignment vertical="center"/>
      <protection locked="0"/>
    </xf>
    <xf numFmtId="1" fontId="144" fillId="35" borderId="81" xfId="0" applyNumberFormat="1" applyFont="1" applyFill="1" applyBorder="1" applyAlignment="1" applyProtection="1">
      <alignment vertical="center"/>
      <protection locked="0"/>
    </xf>
    <xf numFmtId="0" fontId="24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49" fontId="3" fillId="33" borderId="11" xfId="0" applyNumberFormat="1" applyFont="1" applyFill="1" applyBorder="1" applyAlignment="1">
      <alignment horizontal="center" vertical="center"/>
    </xf>
    <xf numFmtId="49" fontId="3" fillId="33" borderId="41" xfId="0" applyNumberFormat="1" applyFont="1" applyFill="1" applyBorder="1" applyAlignment="1">
      <alignment horizontal="center" vertical="center"/>
    </xf>
    <xf numFmtId="49" fontId="31" fillId="32" borderId="85" xfId="0" applyNumberFormat="1" applyFont="1" applyFill="1" applyBorder="1" applyAlignment="1">
      <alignment horizontal="center" vertical="center" wrapText="1"/>
    </xf>
    <xf numFmtId="49" fontId="31" fillId="32" borderId="65" xfId="0" applyNumberFormat="1" applyFont="1" applyFill="1" applyBorder="1" applyAlignment="1">
      <alignment horizontal="center" vertical="center" wrapText="1"/>
    </xf>
    <xf numFmtId="49" fontId="31" fillId="37" borderId="63" xfId="0" applyNumberFormat="1" applyFont="1" applyFill="1" applyBorder="1" applyAlignment="1">
      <alignment horizontal="center" vertical="center" wrapText="1"/>
    </xf>
    <xf numFmtId="49" fontId="31" fillId="37" borderId="84" xfId="0" applyNumberFormat="1" applyFont="1" applyFill="1" applyBorder="1" applyAlignment="1">
      <alignment horizontal="center" vertical="center" wrapText="1"/>
    </xf>
    <xf numFmtId="49" fontId="30" fillId="33" borderId="11" xfId="0" applyNumberFormat="1" applyFont="1" applyFill="1" applyBorder="1" applyAlignment="1">
      <alignment horizontal="center" vertical="center" wrapText="1"/>
    </xf>
    <xf numFmtId="49" fontId="30" fillId="33" borderId="41" xfId="0" applyNumberFormat="1" applyFont="1" applyFill="1" applyBorder="1" applyAlignment="1">
      <alignment horizontal="center" vertical="center" wrapText="1"/>
    </xf>
    <xf numFmtId="0" fontId="3" fillId="36" borderId="11" xfId="0" applyFont="1" applyFill="1" applyBorder="1" applyAlignment="1">
      <alignment horizontal="center" vertical="center"/>
    </xf>
    <xf numFmtId="0" fontId="3" fillId="36" borderId="12" xfId="0" applyFont="1" applyFill="1" applyBorder="1" applyAlignment="1">
      <alignment horizontal="center" vertical="center"/>
    </xf>
    <xf numFmtId="49" fontId="31" fillId="33" borderId="63" xfId="0" applyNumberFormat="1" applyFont="1" applyFill="1" applyBorder="1" applyAlignment="1">
      <alignment horizontal="center" vertical="center" wrapText="1"/>
    </xf>
    <xf numFmtId="49" fontId="31" fillId="33" borderId="84" xfId="0" applyNumberFormat="1" applyFont="1" applyFill="1" applyBorder="1" applyAlignment="1">
      <alignment horizontal="center" vertical="center" wrapText="1"/>
    </xf>
    <xf numFmtId="0" fontId="3" fillId="32" borderId="11" xfId="0" applyFont="1" applyFill="1" applyBorder="1" applyAlignment="1">
      <alignment horizontal="center" vertical="center"/>
    </xf>
    <xf numFmtId="0" fontId="3" fillId="32" borderId="12" xfId="0" applyFont="1" applyFill="1" applyBorder="1" applyAlignment="1">
      <alignment horizontal="center" vertical="center"/>
    </xf>
    <xf numFmtId="0" fontId="130" fillId="32" borderId="0" xfId="0" applyFont="1" applyFill="1" applyAlignment="1">
      <alignment horizontal="center" vertical="center"/>
    </xf>
    <xf numFmtId="0" fontId="92" fillId="22" borderId="9" xfId="0" applyFont="1" applyFill="1" applyBorder="1" applyAlignment="1">
      <alignment horizontal="center" vertical="center"/>
    </xf>
    <xf numFmtId="0" fontId="92" fillId="22" borderId="10" xfId="0" applyFont="1" applyFill="1" applyBorder="1" applyAlignment="1">
      <alignment horizontal="center" vertical="center"/>
    </xf>
    <xf numFmtId="0" fontId="101" fillId="0" borderId="8" xfId="27" applyBorder="1" applyAlignment="1">
      <alignment horizontal="center"/>
    </xf>
    <xf numFmtId="164" fontId="0" fillId="0" borderId="57" xfId="34" applyNumberFormat="1" applyFont="1" applyBorder="1" applyAlignment="1">
      <alignment horizontal="right"/>
    </xf>
    <xf numFmtId="164" fontId="101" fillId="0" borderId="56" xfId="27" applyNumberFormat="1" applyBorder="1" applyAlignment="1">
      <alignment horizontal="right"/>
    </xf>
    <xf numFmtId="164" fontId="101" fillId="0" borderId="56" xfId="27" applyNumberFormat="1" applyBorder="1" applyAlignment="1">
      <alignment horizontal="center"/>
    </xf>
    <xf numFmtId="0" fontId="101" fillId="0" borderId="56" xfId="27" applyBorder="1" applyAlignment="1">
      <alignment horizontal="center"/>
    </xf>
    <xf numFmtId="0" fontId="101" fillId="0" borderId="0" xfId="27" applyAlignment="1">
      <alignment horizontal="center"/>
    </xf>
    <xf numFmtId="0" fontId="101" fillId="0" borderId="9" xfId="27" applyBorder="1" applyAlignment="1">
      <alignment horizontal="center"/>
    </xf>
    <xf numFmtId="0" fontId="101" fillId="0" borderId="57" xfId="27" applyBorder="1" applyAlignment="1">
      <alignment horizontal="center"/>
    </xf>
    <xf numFmtId="0" fontId="101" fillId="0" borderId="10" xfId="27" applyBorder="1" applyAlignment="1">
      <alignment horizontal="center"/>
    </xf>
    <xf numFmtId="0" fontId="101" fillId="0" borderId="8" xfId="27" applyBorder="1" applyAlignment="1" applyProtection="1">
      <alignment horizontal="center"/>
      <protection locked="0"/>
    </xf>
    <xf numFmtId="164" fontId="0" fillId="0" borderId="57" xfId="34" applyNumberFormat="1" applyFont="1" applyBorder="1" applyAlignment="1" applyProtection="1">
      <alignment horizontal="right"/>
      <protection locked="0"/>
    </xf>
    <xf numFmtId="164" fontId="101" fillId="0" borderId="56" xfId="27" applyNumberFormat="1" applyBorder="1" applyAlignment="1" applyProtection="1">
      <alignment horizontal="right"/>
      <protection locked="0"/>
    </xf>
    <xf numFmtId="166" fontId="90" fillId="0" borderId="8" xfId="0" applyNumberFormat="1" applyFont="1" applyBorder="1" applyAlignment="1">
      <alignment horizontal="center" vertical="top"/>
    </xf>
    <xf numFmtId="0" fontId="78" fillId="0" borderId="9" xfId="0" applyFont="1" applyBorder="1" applyAlignment="1" applyProtection="1">
      <alignment horizontal="center" vertical="center"/>
      <protection hidden="1"/>
    </xf>
    <xf numFmtId="0" fontId="78" fillId="0" borderId="10" xfId="0" applyFont="1" applyBorder="1" applyAlignment="1" applyProtection="1">
      <alignment horizontal="center" vertical="center"/>
      <protection hidden="1"/>
    </xf>
    <xf numFmtId="0" fontId="78" fillId="0" borderId="51" xfId="0" applyFont="1" applyBorder="1" applyAlignment="1" applyProtection="1">
      <alignment horizontal="center" vertical="center"/>
      <protection hidden="1"/>
    </xf>
    <xf numFmtId="0" fontId="78" fillId="0" borderId="53" xfId="0" applyFont="1" applyBorder="1" applyAlignment="1" applyProtection="1">
      <alignment horizontal="center" vertical="center"/>
      <protection hidden="1"/>
    </xf>
    <xf numFmtId="0" fontId="79" fillId="0" borderId="9" xfId="0" applyFont="1" applyBorder="1" applyAlignment="1" applyProtection="1">
      <alignment horizontal="center" vertical="center"/>
      <protection hidden="1"/>
    </xf>
    <xf numFmtId="0" fontId="79" fillId="0" borderId="10" xfId="0" applyFont="1" applyBorder="1" applyAlignment="1" applyProtection="1">
      <alignment horizontal="center" vertical="center"/>
      <protection hidden="1"/>
    </xf>
    <xf numFmtId="164" fontId="67" fillId="0" borderId="9" xfId="25" applyNumberFormat="1" applyFont="1" applyBorder="1" applyAlignment="1" applyProtection="1">
      <alignment horizontal="center" vertical="center" wrapText="1"/>
      <protection locked="0"/>
    </xf>
    <xf numFmtId="164" fontId="67" fillId="0" borderId="10" xfId="25" applyNumberFormat="1" applyFont="1" applyBorder="1" applyAlignment="1" applyProtection="1">
      <alignment horizontal="center" vertical="center" wrapText="1"/>
      <protection locked="0"/>
    </xf>
    <xf numFmtId="22" fontId="66" fillId="0" borderId="9" xfId="25" applyNumberFormat="1" applyFont="1" applyBorder="1" applyAlignment="1" applyProtection="1">
      <alignment horizontal="center" vertical="center" wrapText="1"/>
      <protection locked="0"/>
    </xf>
    <xf numFmtId="22" fontId="66" fillId="0" borderId="10" xfId="25" applyNumberFormat="1" applyFont="1" applyBorder="1" applyAlignment="1" applyProtection="1">
      <alignment horizontal="center" vertical="center" wrapText="1"/>
      <protection locked="0"/>
    </xf>
    <xf numFmtId="0" fontId="68" fillId="0" borderId="8" xfId="25" applyFont="1" applyBorder="1" applyAlignment="1">
      <alignment horizontal="center" vertical="center" wrapText="1"/>
    </xf>
    <xf numFmtId="0" fontId="65" fillId="0" borderId="36" xfId="25" applyFont="1" applyBorder="1" applyAlignment="1" applyProtection="1">
      <alignment horizontal="center" vertical="center" wrapText="1"/>
      <protection locked="0"/>
    </xf>
    <xf numFmtId="0" fontId="65" fillId="0" borderId="14" xfId="25" applyFont="1" applyBorder="1" applyAlignment="1" applyProtection="1">
      <alignment horizontal="center" vertical="center" wrapText="1"/>
      <protection locked="0"/>
    </xf>
    <xf numFmtId="0" fontId="38" fillId="0" borderId="51" xfId="25" applyFont="1" applyBorder="1" applyAlignment="1" applyProtection="1">
      <alignment horizontal="center" vertical="center" wrapText="1"/>
      <protection locked="0"/>
    </xf>
    <xf numFmtId="0" fontId="38" fillId="0" borderId="52" xfId="25" applyFont="1" applyBorder="1" applyAlignment="1" applyProtection="1">
      <alignment horizontal="center" vertical="center" wrapText="1"/>
      <protection locked="0"/>
    </xf>
    <xf numFmtId="0" fontId="38" fillId="0" borderId="53" xfId="25" applyFont="1" applyBorder="1" applyAlignment="1" applyProtection="1">
      <alignment horizontal="center" vertical="center" wrapText="1"/>
      <protection locked="0"/>
    </xf>
    <xf numFmtId="0" fontId="38" fillId="0" borderId="55" xfId="25" applyFont="1" applyBorder="1" applyAlignment="1" applyProtection="1">
      <alignment horizontal="center" vertical="center" wrapText="1"/>
      <protection locked="0"/>
    </xf>
    <xf numFmtId="0" fontId="38" fillId="0" borderId="56" xfId="25" applyFont="1" applyBorder="1" applyAlignment="1" applyProtection="1">
      <alignment horizontal="center" vertical="center" wrapText="1"/>
      <protection locked="0"/>
    </xf>
    <xf numFmtId="0" fontId="38" fillId="0" borderId="15" xfId="25" applyFont="1" applyBorder="1" applyAlignment="1" applyProtection="1">
      <alignment horizontal="center" vertical="center" wrapText="1"/>
      <protection locked="0"/>
    </xf>
    <xf numFmtId="0" fontId="65" fillId="0" borderId="8" xfId="25" applyFont="1" applyBorder="1" applyAlignment="1" applyProtection="1">
      <alignment horizontal="center" vertical="center" wrapText="1"/>
      <protection locked="0"/>
    </xf>
    <xf numFmtId="0" fontId="64" fillId="0" borderId="8" xfId="25" applyFont="1" applyBorder="1" applyAlignment="1" applyProtection="1">
      <alignment horizontal="center"/>
      <protection locked="0"/>
    </xf>
    <xf numFmtId="0" fontId="65" fillId="0" borderId="9" xfId="25" applyFont="1" applyBorder="1" applyAlignment="1" applyProtection="1">
      <alignment horizontal="center" vertical="center" wrapText="1"/>
      <protection locked="0"/>
    </xf>
    <xf numFmtId="0" fontId="65" fillId="0" borderId="57" xfId="25" applyFont="1" applyBorder="1" applyAlignment="1" applyProtection="1">
      <alignment horizontal="center" vertical="center" wrapText="1"/>
      <protection locked="0"/>
    </xf>
    <xf numFmtId="0" fontId="65" fillId="0" borderId="10" xfId="25" applyFont="1" applyBorder="1" applyAlignment="1" applyProtection="1">
      <alignment horizontal="center" vertical="center" wrapText="1"/>
      <protection locked="0"/>
    </xf>
    <xf numFmtId="14" fontId="44" fillId="0" borderId="8" xfId="25" applyNumberFormat="1" applyFont="1" applyBorder="1" applyAlignment="1" applyProtection="1">
      <alignment horizontal="center" vertical="center" wrapText="1"/>
      <protection locked="0"/>
    </xf>
    <xf numFmtId="0" fontId="44" fillId="0" borderId="8" xfId="25" applyFont="1" applyBorder="1" applyAlignment="1" applyProtection="1">
      <alignment horizontal="center" vertical="center" wrapText="1"/>
      <protection locked="0"/>
    </xf>
    <xf numFmtId="0" fontId="67" fillId="0" borderId="8" xfId="25" applyFont="1" applyBorder="1" applyAlignment="1">
      <alignment horizontal="center" vertical="center" wrapText="1"/>
    </xf>
    <xf numFmtId="0" fontId="66" fillId="0" borderId="9" xfId="25" applyFont="1" applyBorder="1" applyAlignment="1" applyProtection="1">
      <alignment horizontal="center" vertical="center" wrapText="1"/>
      <protection locked="0"/>
    </xf>
    <xf numFmtId="0" fontId="66" fillId="0" borderId="10" xfId="25" applyFont="1" applyBorder="1" applyAlignment="1" applyProtection="1">
      <alignment horizontal="center" vertical="center" wrapText="1"/>
      <protection locked="0"/>
    </xf>
    <xf numFmtId="0" fontId="64" fillId="0" borderId="8" xfId="25" applyFont="1" applyBorder="1" applyAlignment="1">
      <alignment horizontal="center" wrapText="1"/>
    </xf>
    <xf numFmtId="0" fontId="64" fillId="0" borderId="8" xfId="25" applyFont="1" applyBorder="1" applyAlignment="1">
      <alignment horizontal="center"/>
    </xf>
    <xf numFmtId="0" fontId="64" fillId="0" borderId="54" xfId="25" applyFont="1" applyBorder="1" applyAlignment="1">
      <alignment horizontal="left" wrapText="1"/>
    </xf>
    <xf numFmtId="0" fontId="64" fillId="0" borderId="0" xfId="25" applyFont="1" applyAlignment="1">
      <alignment horizontal="left" wrapText="1"/>
    </xf>
    <xf numFmtId="0" fontId="64" fillId="0" borderId="37" xfId="25" applyFont="1" applyBorder="1" applyAlignment="1">
      <alignment horizontal="left" wrapText="1"/>
    </xf>
    <xf numFmtId="0" fontId="64" fillId="0" borderId="55" xfId="25" applyFont="1" applyBorder="1" applyAlignment="1">
      <alignment horizontal="left" wrapText="1"/>
    </xf>
    <xf numFmtId="0" fontId="64" fillId="0" borderId="56" xfId="25" applyFont="1" applyBorder="1" applyAlignment="1">
      <alignment horizontal="left" wrapText="1"/>
    </xf>
    <xf numFmtId="0" fontId="64" fillId="0" borderId="15" xfId="25" applyFont="1" applyBorder="1" applyAlignment="1">
      <alignment horizontal="left" wrapText="1"/>
    </xf>
    <xf numFmtId="0" fontId="44" fillId="0" borderId="51" xfId="25" applyFont="1" applyBorder="1" applyAlignment="1" applyProtection="1">
      <alignment horizontal="center" vertical="center" wrapText="1"/>
      <protection locked="0"/>
    </xf>
    <xf numFmtId="0" fontId="44" fillId="0" borderId="53" xfId="25" applyFont="1" applyBorder="1" applyAlignment="1" applyProtection="1">
      <alignment horizontal="center" vertical="center" wrapText="1"/>
      <protection locked="0"/>
    </xf>
    <xf numFmtId="0" fontId="44" fillId="0" borderId="52" xfId="25" applyFont="1" applyBorder="1" applyAlignment="1" applyProtection="1">
      <alignment horizontal="center" vertical="center" wrapText="1"/>
      <protection locked="0"/>
    </xf>
  </cellXfs>
  <cellStyles count="35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Error" xfId="6" xr:uid="{00000000-0005-0000-0000-000005000000}"/>
    <cellStyle name="Excel Built-in Currency" xfId="7" xr:uid="{00000000-0005-0000-0000-000006000000}"/>
    <cellStyle name="Footnote" xfId="8" xr:uid="{00000000-0005-0000-0000-000007000000}"/>
    <cellStyle name="Good" xfId="9" xr:uid="{00000000-0005-0000-0000-000008000000}"/>
    <cellStyle name="Heading" xfId="10" xr:uid="{00000000-0005-0000-0000-000009000000}"/>
    <cellStyle name="Heading (user)" xfId="11" xr:uid="{00000000-0005-0000-0000-00000A000000}"/>
    <cellStyle name="Heading 1" xfId="12" xr:uid="{00000000-0005-0000-0000-00000B000000}"/>
    <cellStyle name="Heading 2" xfId="13" xr:uid="{00000000-0005-0000-0000-00000C000000}"/>
    <cellStyle name="Heading1" xfId="14" xr:uid="{00000000-0005-0000-0000-00000D000000}"/>
    <cellStyle name="Neutral" xfId="15" xr:uid="{00000000-0005-0000-0000-00000E000000}"/>
    <cellStyle name="Normal" xfId="0" builtinId="0" customBuiltin="1"/>
    <cellStyle name="Normal 2" xfId="16" xr:uid="{00000000-0005-0000-0000-000010000000}"/>
    <cellStyle name="Normal 2 2" xfId="25" xr:uid="{00000000-0005-0000-0000-000011000000}"/>
    <cellStyle name="Normal 2 2 2" xfId="26" xr:uid="{00000000-0005-0000-0000-000012000000}"/>
    <cellStyle name="Normal 2 3" xfId="32" xr:uid="{00000000-0005-0000-0000-000013000000}"/>
    <cellStyle name="Normal 3" xfId="17" xr:uid="{00000000-0005-0000-0000-000014000000}"/>
    <cellStyle name="Normal 4" xfId="24" xr:uid="{00000000-0005-0000-0000-000015000000}"/>
    <cellStyle name="Normal 5" xfId="29" xr:uid="{00000000-0005-0000-0000-000016000000}"/>
    <cellStyle name="Normal 7 2" xfId="27" xr:uid="{00000000-0005-0000-0000-000017000000}"/>
    <cellStyle name="Normal 7 2 2" xfId="28" xr:uid="{00000000-0005-0000-0000-000018000000}"/>
    <cellStyle name="Normal_D" xfId="31" xr:uid="{00000000-0005-0000-0000-000019000000}"/>
    <cellStyle name="Normal_ULL_LDG" xfId="30" xr:uid="{00000000-0005-0000-0000-00001A000000}"/>
    <cellStyle name="Note" xfId="18" xr:uid="{00000000-0005-0000-0000-00001B000000}"/>
    <cellStyle name="Result" xfId="19" xr:uid="{00000000-0005-0000-0000-00001C000000}"/>
    <cellStyle name="Result2" xfId="20" xr:uid="{00000000-0005-0000-0000-00001D000000}"/>
    <cellStyle name="Status" xfId="21" xr:uid="{00000000-0005-0000-0000-00001E000000}"/>
    <cellStyle name="Text" xfId="22" xr:uid="{00000000-0005-0000-0000-00001F000000}"/>
    <cellStyle name="Virgül 2" xfId="34" xr:uid="{00000000-0005-0000-0000-000020000000}"/>
    <cellStyle name="Warning" xfId="23" xr:uid="{00000000-0005-0000-0000-000021000000}"/>
    <cellStyle name="Βασικό_BSI REPORT 3" xfId="33" xr:uid="{00000000-0005-0000-0000-000022000000}"/>
  </cellStyles>
  <dxfs count="2">
    <dxf>
      <fill>
        <patternFill>
          <bgColor theme="4" tint="0.7999816888943144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FF484"/>
      <color rgb="FF8947D1"/>
      <color rgb="FF652A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2" dropStyle="combo" dx="22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22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22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22" fmlaLink="$Q$5" fmlaRange="$Q$2:$Q$3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22860</xdr:colOff>
      <xdr:row>12</xdr:row>
      <xdr:rowOff>91440</xdr:rowOff>
    </xdr:from>
    <xdr:to>
      <xdr:col>27</xdr:col>
      <xdr:colOff>7620</xdr:colOff>
      <xdr:row>15</xdr:row>
      <xdr:rowOff>99060</xdr:rowOff>
    </xdr:to>
    <xdr:sp macro="" textlink="">
      <xdr:nvSpPr>
        <xdr:cNvPr id="2" name="Arrow: Pentago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637520" y="2720340"/>
          <a:ext cx="2689860" cy="624840"/>
        </a:xfrm>
        <a:prstGeom prst="homePlate">
          <a:avLst>
            <a:gd name="adj" fmla="val 50837"/>
          </a:avLst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effectLst>
              <a:glow rad="139700">
                <a:schemeClr val="accent4">
                  <a:satMod val="175000"/>
                  <a:alpha val="40000"/>
                </a:schemeClr>
              </a:glow>
            </a:effectLst>
          </a:endParaRPr>
        </a:p>
        <a:p>
          <a:pPr algn="l"/>
          <a:r>
            <a:rPr lang="tr-TR" sz="1400"/>
            <a:t>DRAFT AFT                                             DRAFT FWD</a:t>
          </a:r>
          <a:r>
            <a:rPr lang="tr-TR" sz="1400" baseline="0"/>
            <a:t> </a:t>
          </a:r>
        </a:p>
        <a:p>
          <a:pPr algn="l"/>
          <a:r>
            <a:rPr lang="tr-TR" sz="1400" baseline="0">
              <a:solidFill>
                <a:schemeClr val="bg1"/>
              </a:solidFill>
            </a:rPr>
            <a:t>           mt                                                         mt</a:t>
          </a:r>
          <a:endParaRPr lang="tr-TR" sz="14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23</xdr:row>
          <xdr:rowOff>9525</xdr:rowOff>
        </xdr:from>
        <xdr:to>
          <xdr:col>3</xdr:col>
          <xdr:colOff>2152650</xdr:colOff>
          <xdr:row>24</xdr:row>
          <xdr:rowOff>209550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23</xdr:row>
          <xdr:rowOff>9525</xdr:rowOff>
        </xdr:from>
        <xdr:to>
          <xdr:col>9</xdr:col>
          <xdr:colOff>381000</xdr:colOff>
          <xdr:row>24</xdr:row>
          <xdr:rowOff>200025</xdr:rowOff>
        </xdr:to>
        <xdr:sp macro="" textlink="">
          <xdr:nvSpPr>
            <xdr:cNvPr id="26635" name="CommandButton2" descr="Yukaridaki tabloya göre aleç tablosu hazırlanır.&#10;&#10;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2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238125</xdr:rowOff>
        </xdr:from>
        <xdr:to>
          <xdr:col>2</xdr:col>
          <xdr:colOff>190500</xdr:colOff>
          <xdr:row>24</xdr:row>
          <xdr:rowOff>219075</xdr:rowOff>
        </xdr:to>
        <xdr:sp macro="" textlink="">
          <xdr:nvSpPr>
            <xdr:cNvPr id="26641" name="SpinButton1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2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23</xdr:row>
          <xdr:rowOff>19050</xdr:rowOff>
        </xdr:from>
        <xdr:to>
          <xdr:col>15</xdr:col>
          <xdr:colOff>95250</xdr:colOff>
          <xdr:row>24</xdr:row>
          <xdr:rowOff>200025</xdr:rowOff>
        </xdr:to>
        <xdr:sp macro="" textlink="">
          <xdr:nvSpPr>
            <xdr:cNvPr id="26643" name="CommandButton3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2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38100</xdr:rowOff>
    </xdr:from>
    <xdr:to>
      <xdr:col>5</xdr:col>
      <xdr:colOff>266700</xdr:colOff>
      <xdr:row>4</xdr:row>
      <xdr:rowOff>123825</xdr:rowOff>
    </xdr:to>
    <xdr:pic>
      <xdr:nvPicPr>
        <xdr:cNvPr id="4" name="Resim 3" descr="Battal Marine Log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714375"/>
          <a:ext cx="1924050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44726</xdr:colOff>
      <xdr:row>20</xdr:row>
      <xdr:rowOff>38928</xdr:rowOff>
    </xdr:from>
    <xdr:to>
      <xdr:col>23</xdr:col>
      <xdr:colOff>548640</xdr:colOff>
      <xdr:row>39</xdr:row>
      <xdr:rowOff>15240</xdr:rowOff>
    </xdr:to>
    <xdr:sp macro="" textlink="">
      <xdr:nvSpPr>
        <xdr:cNvPr id="1808" name="Freeform 59">
          <a:extLst>
            <a:ext uri="{FF2B5EF4-FFF2-40B4-BE49-F238E27FC236}">
              <a16:creationId xmlns:a16="http://schemas.microsoft.com/office/drawing/2014/main" id="{00000000-0008-0000-0500-000010070000}"/>
            </a:ext>
          </a:extLst>
        </xdr:cNvPr>
        <xdr:cNvSpPr>
          <a:spLocks/>
        </xdr:cNvSpPr>
      </xdr:nvSpPr>
      <xdr:spPr bwMode="auto">
        <a:xfrm>
          <a:off x="10074551" y="3172653"/>
          <a:ext cx="1046839" cy="3005262"/>
        </a:xfrm>
        <a:custGeom>
          <a:avLst/>
          <a:gdLst>
            <a:gd name="T0" fmla="*/ 0 w 150"/>
            <a:gd name="T1" fmla="*/ 0 h 455"/>
            <a:gd name="T2" fmla="*/ 2147483646 w 150"/>
            <a:gd name="T3" fmla="*/ 2147483646 h 455"/>
            <a:gd name="T4" fmla="*/ 0 w 150"/>
            <a:gd name="T5" fmla="*/ 2147483646 h 455"/>
            <a:gd name="T6" fmla="*/ 0 60000 65536"/>
            <a:gd name="T7" fmla="*/ 0 60000 65536"/>
            <a:gd name="T8" fmla="*/ 0 60000 65536"/>
            <a:gd name="T9" fmla="*/ 0 w 150"/>
            <a:gd name="T10" fmla="*/ 0 h 455"/>
            <a:gd name="T11" fmla="*/ 150 w 150"/>
            <a:gd name="T12" fmla="*/ 455 h 455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50" h="455">
              <a:moveTo>
                <a:pt x="0" y="0"/>
              </a:moveTo>
              <a:cubicBezTo>
                <a:pt x="75" y="83"/>
                <a:pt x="150" y="166"/>
                <a:pt x="150" y="242"/>
              </a:cubicBezTo>
              <a:cubicBezTo>
                <a:pt x="150" y="318"/>
                <a:pt x="25" y="420"/>
                <a:pt x="0" y="455"/>
              </a:cubicBezTo>
            </a:path>
          </a:pathLst>
        </a:cu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112643</xdr:colOff>
      <xdr:row>21</xdr:row>
      <xdr:rowOff>119270</xdr:rowOff>
    </xdr:from>
    <xdr:to>
      <xdr:col>1</xdr:col>
      <xdr:colOff>121920</xdr:colOff>
      <xdr:row>37</xdr:row>
      <xdr:rowOff>22861</xdr:rowOff>
    </xdr:to>
    <xdr:sp macro="" textlink="">
      <xdr:nvSpPr>
        <xdr:cNvPr id="1809" name="Line 44">
          <a:extLst>
            <a:ext uri="{FF2B5EF4-FFF2-40B4-BE49-F238E27FC236}">
              <a16:creationId xmlns:a16="http://schemas.microsoft.com/office/drawing/2014/main" id="{00000000-0008-0000-0500-000011070000}"/>
            </a:ext>
          </a:extLst>
        </xdr:cNvPr>
        <xdr:cNvSpPr>
          <a:spLocks noChangeShapeType="1"/>
        </xdr:cNvSpPr>
      </xdr:nvSpPr>
      <xdr:spPr bwMode="auto">
        <a:xfrm>
          <a:off x="112643" y="4253948"/>
          <a:ext cx="9277" cy="2129956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114300</xdr:colOff>
      <xdr:row>37</xdr:row>
      <xdr:rowOff>0</xdr:rowOff>
    </xdr:from>
    <xdr:to>
      <xdr:col>2</xdr:col>
      <xdr:colOff>0</xdr:colOff>
      <xdr:row>39</xdr:row>
      <xdr:rowOff>7620</xdr:rowOff>
    </xdr:to>
    <xdr:sp macro="" textlink="">
      <xdr:nvSpPr>
        <xdr:cNvPr id="1810" name="Line 51">
          <a:extLst>
            <a:ext uri="{FF2B5EF4-FFF2-40B4-BE49-F238E27FC236}">
              <a16:creationId xmlns:a16="http://schemas.microsoft.com/office/drawing/2014/main" id="{00000000-0008-0000-0500-000012070000}"/>
            </a:ext>
          </a:extLst>
        </xdr:cNvPr>
        <xdr:cNvSpPr>
          <a:spLocks noChangeShapeType="1"/>
        </xdr:cNvSpPr>
      </xdr:nvSpPr>
      <xdr:spPr bwMode="auto">
        <a:xfrm>
          <a:off x="114300" y="5433060"/>
          <a:ext cx="571500" cy="39624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121919</xdr:colOff>
      <xdr:row>20</xdr:row>
      <xdr:rowOff>0</xdr:rowOff>
    </xdr:from>
    <xdr:to>
      <xdr:col>2</xdr:col>
      <xdr:colOff>13249</xdr:colOff>
      <xdr:row>21</xdr:row>
      <xdr:rowOff>121920</xdr:rowOff>
    </xdr:to>
    <xdr:sp macro="" textlink="">
      <xdr:nvSpPr>
        <xdr:cNvPr id="1811" name="Line 53">
          <a:extLst>
            <a:ext uri="{FF2B5EF4-FFF2-40B4-BE49-F238E27FC236}">
              <a16:creationId xmlns:a16="http://schemas.microsoft.com/office/drawing/2014/main" id="{00000000-0008-0000-0500-000013070000}"/>
            </a:ext>
          </a:extLst>
        </xdr:cNvPr>
        <xdr:cNvSpPr>
          <a:spLocks noChangeShapeType="1"/>
        </xdr:cNvSpPr>
      </xdr:nvSpPr>
      <xdr:spPr bwMode="auto">
        <a:xfrm flipH="1">
          <a:off x="807719" y="3459480"/>
          <a:ext cx="577130" cy="37338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152400</xdr:colOff>
          <xdr:row>2</xdr:row>
          <xdr:rowOff>171450</xdr:rowOff>
        </xdr:to>
        <xdr:sp macro="" textlink="">
          <xdr:nvSpPr>
            <xdr:cNvPr id="38913" name="Drop Dow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0</xdr:rowOff>
        </xdr:from>
        <xdr:to>
          <xdr:col>5</xdr:col>
          <xdr:colOff>152400</xdr:colOff>
          <xdr:row>10</xdr:row>
          <xdr:rowOff>171450</xdr:rowOff>
        </xdr:to>
        <xdr:sp macro="" textlink="">
          <xdr:nvSpPr>
            <xdr:cNvPr id="38914" name="Drop Dow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10</xdr:row>
          <xdr:rowOff>0</xdr:rowOff>
        </xdr:from>
        <xdr:to>
          <xdr:col>10</xdr:col>
          <xdr:colOff>152400</xdr:colOff>
          <xdr:row>10</xdr:row>
          <xdr:rowOff>171450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10</xdr:col>
          <xdr:colOff>152400</xdr:colOff>
          <xdr:row>2</xdr:row>
          <xdr:rowOff>171450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121920</xdr:colOff>
      <xdr:row>1</xdr:row>
      <xdr:rowOff>7620</xdr:rowOff>
    </xdr:from>
    <xdr:to>
      <xdr:col>1</xdr:col>
      <xdr:colOff>967740</xdr:colOff>
      <xdr:row>5</xdr:row>
      <xdr:rowOff>137160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167640"/>
          <a:ext cx="845820" cy="769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4F81BD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cr\CCR%20Desktop\report\01036_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report\01036_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.%20L&#304;MAN%20EVRAK\BO&#350;%20FORMLAR\MT%20GAN-SHIELD%20RATE%20CALC.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ortak\ortak%20alan\5.%20Chf%20Officer\1-CARGO\0%20VOYAGES\12-17%20TTN-YK&#214;Y\chief%20mate\OTHERS\CCR%20EVRAK\T.GONUL%20CARGO\Emre%20Algin%20USB\1.L&#304;MAN%20EVRAK\BO&#350;%20FORMLAR\MT%20GAN-SHIELD%20RATE%20CALC.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ortak\ortak%20alan\5.%20Chf%20Officer\1-CARGO\0%20VOYAGES\12-17%20TTN-YK&#214;Y\CCR%20EVRAK\Emre%20Algin%20USB\1.L&#304;MAN%20EVRAK\BO&#350;%20FORMLAR\MT%20GAN-SHIELD%20RATE%20CALC.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ortak\Users\AKINK\Desktop\KUZEY%20EK&#304;M\ULLAGE%20REPORT%20(DITAS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nstructions"/>
      <sheetName val="VAR"/>
      <sheetName val="Summary"/>
      <sheetName val="QAR(T)"/>
      <sheetName val="Ullage"/>
      <sheetName val="ShoreTanks"/>
      <sheetName val="Analysis"/>
      <sheetName val="Others"/>
      <sheetName val="Additional"/>
      <sheetName val="Email"/>
      <sheetName val="Short Report"/>
      <sheetName val="DataExport"/>
    </sheetNames>
    <sheetDataSet>
      <sheetData sheetId="0">
        <row r="3">
          <cell r="D3" t="str">
            <v>190/01036/03</v>
          </cell>
        </row>
        <row r="5">
          <cell r="D5">
            <v>37989</v>
          </cell>
        </row>
        <row r="6">
          <cell r="D6" t="str">
            <v>HELLAS RENAISSANCE</v>
          </cell>
        </row>
        <row r="11">
          <cell r="D11">
            <v>37650</v>
          </cell>
        </row>
        <row r="12">
          <cell r="D12" t="str">
            <v>Hong Kong</v>
          </cell>
          <cell r="F12" t="str">
            <v>G. Ioannou</v>
          </cell>
        </row>
        <row r="13">
          <cell r="F13" t="str">
            <v>Chief Officer</v>
          </cell>
        </row>
      </sheetData>
      <sheetData sheetId="1" refreshError="1"/>
      <sheetData sheetId="2">
        <row r="18">
          <cell r="B18">
            <v>0</v>
          </cell>
        </row>
        <row r="35">
          <cell r="B35">
            <v>2</v>
          </cell>
        </row>
        <row r="54">
          <cell r="B54" t="str">
            <v>ExxonMobil Tsing Yi West Terminal, HK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Instructions"/>
      <sheetName val="VAR"/>
      <sheetName val="Summary"/>
      <sheetName val="QAR(T)"/>
      <sheetName val="Ullage"/>
      <sheetName val="ShoreTanks"/>
      <sheetName val="Analysis"/>
      <sheetName val="Others"/>
      <sheetName val="Additional"/>
      <sheetName val="Email"/>
      <sheetName val="Short Report"/>
      <sheetName val="DataExport"/>
    </sheetNames>
    <sheetDataSet>
      <sheetData sheetId="0">
        <row r="3">
          <cell r="D3" t="str">
            <v>190/01036/03</v>
          </cell>
        </row>
        <row r="5">
          <cell r="D5">
            <v>37989</v>
          </cell>
        </row>
        <row r="6">
          <cell r="D6" t="str">
            <v>HELLAS RENAISSANCE</v>
          </cell>
        </row>
        <row r="11">
          <cell r="D11">
            <v>37650</v>
          </cell>
        </row>
        <row r="12">
          <cell r="D12" t="str">
            <v>Hong Kong</v>
          </cell>
          <cell r="F12" t="str">
            <v>G. Ioannou</v>
          </cell>
        </row>
        <row r="13">
          <cell r="F13" t="str">
            <v>Chief Officer</v>
          </cell>
        </row>
      </sheetData>
      <sheetData sheetId="1" refreshError="1"/>
      <sheetData sheetId="2">
        <row r="18">
          <cell r="B18">
            <v>0</v>
          </cell>
        </row>
        <row r="35">
          <cell r="B35">
            <v>2</v>
          </cell>
        </row>
        <row r="54">
          <cell r="B54" t="str">
            <v>ExxonMobil Tsing Yi West Terminal, HK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GO"/>
      <sheetName val="RATE"/>
      <sheetName val="RATE REPORT"/>
      <sheetName val="CARGO REPORT"/>
      <sheetName val="TRIM CORR."/>
      <sheetName val="HEEL CORR."/>
      <sheetName val="VOLUME CORR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4" t="str">
            <v>TEMP.</v>
          </cell>
          <cell r="C4">
            <v>0.65400000000000003</v>
          </cell>
          <cell r="D4">
            <v>0.66</v>
          </cell>
          <cell r="E4">
            <v>0.67</v>
          </cell>
          <cell r="F4">
            <v>0.68</v>
          </cell>
          <cell r="G4">
            <v>0.69</v>
          </cell>
          <cell r="H4">
            <v>0.7</v>
          </cell>
          <cell r="I4">
            <v>0.71</v>
          </cell>
          <cell r="J4">
            <v>0.72</v>
          </cell>
          <cell r="K4">
            <v>0.73</v>
          </cell>
          <cell r="L4">
            <v>0.74</v>
          </cell>
          <cell r="M4">
            <v>0.75</v>
          </cell>
          <cell r="N4">
            <v>0.76</v>
          </cell>
          <cell r="O4">
            <v>0.77</v>
          </cell>
          <cell r="P4">
            <v>0.78</v>
          </cell>
          <cell r="Q4">
            <v>0.79</v>
          </cell>
          <cell r="R4">
            <v>0.8</v>
          </cell>
          <cell r="S4">
            <v>0.81</v>
          </cell>
          <cell r="T4">
            <v>0.82</v>
          </cell>
          <cell r="U4">
            <v>0.83</v>
          </cell>
          <cell r="V4">
            <v>0.84</v>
          </cell>
          <cell r="W4">
            <v>0.85</v>
          </cell>
          <cell r="X4">
            <v>0.86</v>
          </cell>
          <cell r="Y4">
            <v>0.87</v>
          </cell>
          <cell r="Z4">
            <v>0.88</v>
          </cell>
          <cell r="AA4">
            <v>0.89</v>
          </cell>
          <cell r="AB4">
            <v>0.9</v>
          </cell>
          <cell r="AC4">
            <v>0.91</v>
          </cell>
          <cell r="AD4">
            <v>0.92</v>
          </cell>
          <cell r="AE4">
            <v>0.93</v>
          </cell>
          <cell r="AF4">
            <v>0.94</v>
          </cell>
          <cell r="AG4">
            <v>0.95</v>
          </cell>
          <cell r="AH4">
            <v>0.96</v>
          </cell>
          <cell r="AI4">
            <v>0.97</v>
          </cell>
          <cell r="AJ4">
            <v>0.98</v>
          </cell>
          <cell r="AK4">
            <v>0.99</v>
          </cell>
          <cell r="AL4">
            <v>1</v>
          </cell>
          <cell r="AM4">
            <v>1.01</v>
          </cell>
          <cell r="AN4">
            <v>1.02</v>
          </cell>
          <cell r="AO4">
            <v>1.03</v>
          </cell>
          <cell r="AP4">
            <v>1.04</v>
          </cell>
          <cell r="AQ4">
            <v>1.05</v>
          </cell>
          <cell r="AR4">
            <v>1.06</v>
          </cell>
          <cell r="AS4">
            <v>1.07</v>
          </cell>
          <cell r="AT4">
            <v>1.0740000000000001</v>
          </cell>
        </row>
        <row r="5">
          <cell r="B5">
            <v>-18</v>
          </cell>
          <cell r="C5">
            <v>1.0481</v>
          </cell>
          <cell r="D5">
            <v>1.0474000000000001</v>
          </cell>
          <cell r="E5">
            <v>1.0463</v>
          </cell>
          <cell r="F5">
            <v>1.0452999999999999</v>
          </cell>
          <cell r="G5">
            <v>1.0443</v>
          </cell>
          <cell r="H5">
            <v>1.0434000000000001</v>
          </cell>
          <cell r="I5">
            <v>1.0425</v>
          </cell>
          <cell r="J5">
            <v>1.0416000000000001</v>
          </cell>
          <cell r="K5">
            <v>1.0407</v>
          </cell>
          <cell r="L5">
            <v>1.0399</v>
          </cell>
          <cell r="M5">
            <v>1.0390999999999999</v>
          </cell>
          <cell r="N5">
            <v>1.0384</v>
          </cell>
          <cell r="O5">
            <v>1.0376000000000001</v>
          </cell>
          <cell r="P5">
            <v>1.034</v>
          </cell>
          <cell r="Q5">
            <v>1.0310999999999999</v>
          </cell>
          <cell r="R5">
            <v>1.0304</v>
          </cell>
          <cell r="S5">
            <v>1.0296000000000001</v>
          </cell>
          <cell r="T5">
            <v>1.0288999999999999</v>
          </cell>
          <cell r="U5">
            <v>2.8199999999999999E-2</v>
          </cell>
          <cell r="V5">
            <v>1.0276000000000001</v>
          </cell>
          <cell r="W5">
            <v>1.0271999999999999</v>
          </cell>
          <cell r="X5">
            <v>1.0267999999999999</v>
          </cell>
          <cell r="Y5">
            <v>1.0264</v>
          </cell>
          <cell r="Z5">
            <v>1.026</v>
          </cell>
          <cell r="AA5">
            <v>1.0256000000000001</v>
          </cell>
          <cell r="AB5">
            <v>1.0251999999999999</v>
          </cell>
          <cell r="AC5">
            <v>1.0248999999999999</v>
          </cell>
          <cell r="AD5">
            <v>1.0245</v>
          </cell>
          <cell r="AE5">
            <v>1.0242</v>
          </cell>
          <cell r="AF5">
            <v>1.0239</v>
          </cell>
          <cell r="AG5">
            <v>1.0235000000000001</v>
          </cell>
          <cell r="AH5">
            <v>1.0232000000000001</v>
          </cell>
          <cell r="AI5">
            <v>1.0228999999999999</v>
          </cell>
          <cell r="AJ5">
            <v>1.0226</v>
          </cell>
          <cell r="AK5">
            <v>1.0223</v>
          </cell>
          <cell r="AL5">
            <v>1.0221</v>
          </cell>
          <cell r="AM5">
            <v>1.0218</v>
          </cell>
          <cell r="AN5">
            <v>1.0215000000000001</v>
          </cell>
          <cell r="AO5">
            <v>1.0213000000000001</v>
          </cell>
          <cell r="AP5">
            <v>1.0209999999999999</v>
          </cell>
          <cell r="AQ5">
            <v>1.0206999999999999</v>
          </cell>
          <cell r="AR5">
            <v>1.0205</v>
          </cell>
          <cell r="AS5">
            <v>1.0203</v>
          </cell>
          <cell r="AT5">
            <v>1.0202</v>
          </cell>
        </row>
        <row r="6">
          <cell r="B6">
            <v>-16</v>
          </cell>
          <cell r="C6">
            <v>1.0451999999999999</v>
          </cell>
          <cell r="D6">
            <v>1.0446</v>
          </cell>
          <cell r="E6">
            <v>1.0436000000000001</v>
          </cell>
          <cell r="F6">
            <v>1.0426</v>
          </cell>
          <cell r="G6">
            <v>1.0417000000000001</v>
          </cell>
          <cell r="H6">
            <v>1.0407999999999999</v>
          </cell>
          <cell r="I6">
            <v>1.0399</v>
          </cell>
          <cell r="J6">
            <v>1.0390999999999999</v>
          </cell>
          <cell r="K6">
            <v>1.0383</v>
          </cell>
          <cell r="L6">
            <v>1.0375000000000001</v>
          </cell>
          <cell r="M6">
            <v>1.0367999999999999</v>
          </cell>
          <cell r="N6">
            <v>1.0361</v>
          </cell>
          <cell r="O6">
            <v>1.0354000000000001</v>
          </cell>
          <cell r="P6">
            <v>1.032</v>
          </cell>
          <cell r="Q6">
            <v>1.0293000000000001</v>
          </cell>
          <cell r="R6">
            <v>1.0285</v>
          </cell>
          <cell r="S6">
            <v>1.0278</v>
          </cell>
          <cell r="T6">
            <v>1.0271999999999999</v>
          </cell>
          <cell r="U6">
            <v>1.0265</v>
          </cell>
          <cell r="V6">
            <v>1.0259</v>
          </cell>
          <cell r="W6">
            <v>1.0255000000000001</v>
          </cell>
          <cell r="X6">
            <v>1.0251999999999999</v>
          </cell>
          <cell r="Y6">
            <v>1.0247999999999999</v>
          </cell>
          <cell r="Z6">
            <v>1.0244</v>
          </cell>
          <cell r="AA6">
            <v>1.0241</v>
          </cell>
          <cell r="AB6">
            <v>1.0269999999999999</v>
          </cell>
          <cell r="AC6">
            <v>1.02234</v>
          </cell>
          <cell r="AD6">
            <v>1.0230999999999999</v>
          </cell>
          <cell r="AE6">
            <v>1.0226999999999999</v>
          </cell>
          <cell r="AF6">
            <v>1.0224</v>
          </cell>
          <cell r="AG6">
            <v>1.0221</v>
          </cell>
          <cell r="AH6">
            <v>1.0218</v>
          </cell>
          <cell r="AI6">
            <v>1.0216000000000001</v>
          </cell>
          <cell r="AJ6">
            <v>1.0213000000000001</v>
          </cell>
          <cell r="AK6">
            <v>1.0209999999999999</v>
          </cell>
          <cell r="AL6">
            <v>1.0206999999999999</v>
          </cell>
          <cell r="AM6">
            <v>1.0205</v>
          </cell>
          <cell r="AN6">
            <v>1.0202</v>
          </cell>
          <cell r="AO6">
            <v>1.02</v>
          </cell>
          <cell r="AP6">
            <v>1.0197000000000001</v>
          </cell>
          <cell r="AQ6">
            <v>1.0195000000000001</v>
          </cell>
          <cell r="AR6">
            <v>1.0193000000000001</v>
          </cell>
          <cell r="AS6">
            <v>1.0189999999999999</v>
          </cell>
          <cell r="AT6">
            <v>1.0188999999999999</v>
          </cell>
        </row>
        <row r="7">
          <cell r="B7">
            <v>-14</v>
          </cell>
          <cell r="C7">
            <v>1.0423</v>
          </cell>
          <cell r="D7">
            <v>1.0418000000000001</v>
          </cell>
          <cell r="E7">
            <v>1.0407999999999999</v>
          </cell>
          <cell r="F7">
            <v>1.0399</v>
          </cell>
          <cell r="G7">
            <v>1.0389999999999999</v>
          </cell>
          <cell r="H7">
            <v>1.0382</v>
          </cell>
          <cell r="I7">
            <v>1.0374000000000001</v>
          </cell>
          <cell r="J7">
            <v>1.0366</v>
          </cell>
          <cell r="K7">
            <v>1.359</v>
          </cell>
          <cell r="L7">
            <v>1.0350999999999999</v>
          </cell>
          <cell r="M7">
            <v>1.0344</v>
          </cell>
          <cell r="N7">
            <v>1.0338000000000001</v>
          </cell>
          <cell r="O7">
            <v>1.0330999999999999</v>
          </cell>
          <cell r="P7">
            <v>1.0299</v>
          </cell>
          <cell r="Q7">
            <v>1.0274000000000001</v>
          </cell>
          <cell r="R7">
            <v>1.0266999999999999</v>
          </cell>
          <cell r="S7">
            <v>1.0261</v>
          </cell>
          <cell r="T7">
            <v>1.0254000000000001</v>
          </cell>
          <cell r="U7">
            <v>1.0254000000000001</v>
          </cell>
          <cell r="V7">
            <v>1.0243</v>
          </cell>
          <cell r="W7">
            <v>1.0239</v>
          </cell>
          <cell r="X7">
            <v>1.0235000000000001</v>
          </cell>
          <cell r="Y7">
            <v>1.0232000000000001</v>
          </cell>
          <cell r="Z7">
            <v>1.0228999999999999</v>
          </cell>
          <cell r="AA7">
            <v>1.0225</v>
          </cell>
          <cell r="AB7">
            <v>1.0222</v>
          </cell>
          <cell r="AC7">
            <v>1.0219</v>
          </cell>
          <cell r="AD7">
            <v>1.0216000000000001</v>
          </cell>
          <cell r="AE7">
            <v>1.0213000000000001</v>
          </cell>
          <cell r="AF7">
            <v>1.0209999999999999</v>
          </cell>
          <cell r="AG7">
            <v>1.0206999999999999</v>
          </cell>
          <cell r="AH7">
            <v>1.0204</v>
          </cell>
          <cell r="AI7">
            <v>1.0202</v>
          </cell>
          <cell r="AJ7">
            <v>1.0199</v>
          </cell>
          <cell r="AK7">
            <v>1.0197000000000001</v>
          </cell>
          <cell r="AL7">
            <v>1.0194000000000001</v>
          </cell>
          <cell r="AM7">
            <v>1.0192000000000001</v>
          </cell>
          <cell r="AN7">
            <v>1.0188999999999999</v>
          </cell>
          <cell r="AO7">
            <v>1.0186999999999999</v>
          </cell>
          <cell r="AP7">
            <v>1.0185</v>
          </cell>
          <cell r="AQ7">
            <v>1.0182</v>
          </cell>
          <cell r="AR7">
            <v>1.018</v>
          </cell>
          <cell r="AS7">
            <v>1.0178</v>
          </cell>
          <cell r="AT7">
            <v>1.0177</v>
          </cell>
        </row>
        <row r="8">
          <cell r="B8">
            <v>-12</v>
          </cell>
          <cell r="C8">
            <v>1.0395000000000001</v>
          </cell>
          <cell r="D8">
            <v>1.0388999999999999</v>
          </cell>
          <cell r="E8">
            <v>1.038</v>
          </cell>
          <cell r="F8">
            <v>1.0371999999999999</v>
          </cell>
          <cell r="G8">
            <v>1.0364</v>
          </cell>
          <cell r="H8">
            <v>1.0356000000000001</v>
          </cell>
          <cell r="I8">
            <v>1.0347999999999999</v>
          </cell>
          <cell r="J8">
            <v>1.0341</v>
          </cell>
          <cell r="K8">
            <v>1.0334000000000001</v>
          </cell>
          <cell r="L8">
            <v>1.0327</v>
          </cell>
          <cell r="M8">
            <v>1.0321</v>
          </cell>
          <cell r="N8">
            <v>1.0315000000000001</v>
          </cell>
          <cell r="O8">
            <v>1.0308999999999999</v>
          </cell>
          <cell r="P8">
            <v>1.0279</v>
          </cell>
          <cell r="Q8">
            <v>1.0255000000000001</v>
          </cell>
          <cell r="R8">
            <v>1.0248999999999999</v>
          </cell>
          <cell r="S8">
            <v>1.0243</v>
          </cell>
          <cell r="T8">
            <v>1.0237000000000001</v>
          </cell>
          <cell r="U8">
            <v>1.0230999999999999</v>
          </cell>
          <cell r="V8">
            <v>1.0226</v>
          </cell>
          <cell r="W8">
            <v>1.0223</v>
          </cell>
          <cell r="X8">
            <v>1.0219</v>
          </cell>
          <cell r="Y8">
            <v>1.0216000000000001</v>
          </cell>
          <cell r="Z8">
            <v>1.0213000000000001</v>
          </cell>
          <cell r="AA8">
            <v>1.0209999999999999</v>
          </cell>
          <cell r="AB8">
            <v>1.0206999999999999</v>
          </cell>
          <cell r="AC8">
            <v>1.0204</v>
          </cell>
          <cell r="AD8">
            <v>1.0201</v>
          </cell>
          <cell r="AE8">
            <v>1.0198</v>
          </cell>
          <cell r="AF8">
            <v>1.0196000000000001</v>
          </cell>
          <cell r="AG8">
            <v>1.0193000000000001</v>
          </cell>
          <cell r="AH8">
            <v>1.0189999999999999</v>
          </cell>
          <cell r="AI8">
            <v>1.0187999999999999</v>
          </cell>
          <cell r="AJ8">
            <v>1.0185</v>
          </cell>
          <cell r="AK8">
            <v>1.0183</v>
          </cell>
          <cell r="AL8">
            <v>1.0181</v>
          </cell>
          <cell r="AM8">
            <v>1.0178</v>
          </cell>
          <cell r="AN8">
            <v>1.0176000000000001</v>
          </cell>
          <cell r="AO8">
            <v>1.0174000000000001</v>
          </cell>
          <cell r="AP8">
            <v>1.0172000000000001</v>
          </cell>
          <cell r="AQ8">
            <v>1.0169999999999999</v>
          </cell>
          <cell r="AR8">
            <v>1.0167999999999999</v>
          </cell>
          <cell r="AS8">
            <v>1.0165999999999999</v>
          </cell>
          <cell r="AT8">
            <v>1.0165</v>
          </cell>
        </row>
        <row r="9">
          <cell r="B9">
            <v>-10</v>
          </cell>
          <cell r="C9">
            <v>1.0366</v>
          </cell>
          <cell r="D9">
            <v>1.0361</v>
          </cell>
          <cell r="E9">
            <v>1.0353000000000001</v>
          </cell>
          <cell r="F9">
            <v>1.0345</v>
          </cell>
          <cell r="G9">
            <v>1.0337000000000001</v>
          </cell>
          <cell r="H9">
            <v>1.0329999999999999</v>
          </cell>
          <cell r="I9">
            <v>1.0323</v>
          </cell>
          <cell r="J9">
            <v>1.0316000000000001</v>
          </cell>
          <cell r="K9">
            <v>1.0309999999999999</v>
          </cell>
          <cell r="L9">
            <v>1.0303</v>
          </cell>
          <cell r="M9">
            <v>1.097</v>
          </cell>
          <cell r="N9">
            <v>1.0291999999999999</v>
          </cell>
          <cell r="O9">
            <v>1.0286</v>
          </cell>
          <cell r="P9">
            <v>1.0258</v>
          </cell>
          <cell r="Q9">
            <v>1.0236000000000001</v>
          </cell>
          <cell r="R9">
            <v>1.0230999999999999</v>
          </cell>
          <cell r="S9">
            <v>1.0225</v>
          </cell>
          <cell r="T9">
            <v>1.022</v>
          </cell>
          <cell r="U9">
            <v>1.0214000000000001</v>
          </cell>
          <cell r="V9">
            <v>1.0209999999999999</v>
          </cell>
          <cell r="W9">
            <v>1.0206</v>
          </cell>
          <cell r="X9">
            <v>1.0203</v>
          </cell>
          <cell r="Y9">
            <v>1.02</v>
          </cell>
          <cell r="Z9">
            <v>1.0197000000000001</v>
          </cell>
          <cell r="AA9">
            <v>1.0194000000000001</v>
          </cell>
          <cell r="AB9">
            <v>1.0192000000000001</v>
          </cell>
          <cell r="AC9">
            <v>1.0188999999999999</v>
          </cell>
          <cell r="AD9">
            <v>1.0185999999999999</v>
          </cell>
          <cell r="AE9">
            <v>1.0184</v>
          </cell>
          <cell r="AF9">
            <v>1.0181</v>
          </cell>
          <cell r="AG9">
            <v>1.0179</v>
          </cell>
          <cell r="AH9">
            <v>1.0176000000000001</v>
          </cell>
          <cell r="AI9">
            <v>1.0174000000000001</v>
          </cell>
          <cell r="AJ9">
            <v>1.0172000000000001</v>
          </cell>
          <cell r="AK9">
            <v>1.0169999999999999</v>
          </cell>
          <cell r="AL9">
            <v>1.0166999999999999</v>
          </cell>
          <cell r="AM9">
            <v>1.0165</v>
          </cell>
          <cell r="AN9">
            <v>1.0163</v>
          </cell>
          <cell r="AO9">
            <v>1.0161</v>
          </cell>
          <cell r="AP9">
            <v>1.016</v>
          </cell>
          <cell r="AQ9">
            <v>1.0157</v>
          </cell>
          <cell r="AR9">
            <v>1.0156000000000001</v>
          </cell>
          <cell r="AS9">
            <v>1.0154000000000001</v>
          </cell>
          <cell r="AT9">
            <v>1.0153000000000001</v>
          </cell>
        </row>
        <row r="10">
          <cell r="B10">
            <v>-8</v>
          </cell>
          <cell r="C10">
            <v>1.0337000000000001</v>
          </cell>
          <cell r="D10">
            <v>1.0331999999999999</v>
          </cell>
          <cell r="E10">
            <v>1.0325</v>
          </cell>
          <cell r="F10">
            <v>1.0317000000000001</v>
          </cell>
          <cell r="G10">
            <v>1.0309999999999999</v>
          </cell>
          <cell r="H10">
            <v>1.0304</v>
          </cell>
          <cell r="I10">
            <v>1.0297000000000001</v>
          </cell>
          <cell r="J10">
            <v>1.0290999999999999</v>
          </cell>
          <cell r="K10">
            <v>1.0285</v>
          </cell>
          <cell r="L10">
            <v>1.0279</v>
          </cell>
          <cell r="M10">
            <v>1.0274000000000001</v>
          </cell>
          <cell r="N10">
            <v>2.6800000000000001E-2</v>
          </cell>
          <cell r="O10">
            <v>1.0263</v>
          </cell>
          <cell r="P10">
            <v>1.0238</v>
          </cell>
          <cell r="Q10">
            <v>1.0218</v>
          </cell>
          <cell r="R10">
            <v>1.0212000000000001</v>
          </cell>
          <cell r="S10">
            <v>1.0206999999999999</v>
          </cell>
          <cell r="T10">
            <v>1.0202</v>
          </cell>
          <cell r="U10">
            <v>1.0197000000000001</v>
          </cell>
          <cell r="V10">
            <v>1.0193000000000001</v>
          </cell>
          <cell r="W10">
            <v>1.0189999999999999</v>
          </cell>
          <cell r="X10">
            <v>1.0186999999999999</v>
          </cell>
          <cell r="Y10">
            <v>1.0184</v>
          </cell>
          <cell r="Z10">
            <v>1.0182</v>
          </cell>
          <cell r="AA10">
            <v>1.0179</v>
          </cell>
          <cell r="AB10">
            <v>1.0176000000000001</v>
          </cell>
          <cell r="AC10">
            <v>1.0174000000000001</v>
          </cell>
          <cell r="AD10">
            <v>1.0170999999999999</v>
          </cell>
          <cell r="AE10">
            <v>1.0168999999999999</v>
          </cell>
          <cell r="AF10">
            <v>1.0669999999999999</v>
          </cell>
          <cell r="AG10">
            <v>1.0165</v>
          </cell>
          <cell r="AH10">
            <v>1.0162</v>
          </cell>
          <cell r="AI10">
            <v>1.016</v>
          </cell>
          <cell r="AJ10">
            <v>1.0158</v>
          </cell>
          <cell r="AK10">
            <v>1.0156000000000001</v>
          </cell>
          <cell r="AL10">
            <v>1.0154000000000001</v>
          </cell>
          <cell r="AM10">
            <v>1.0152000000000001</v>
          </cell>
          <cell r="AN10">
            <v>1.0149999999999999</v>
          </cell>
          <cell r="AO10">
            <v>1.0147999999999999</v>
          </cell>
          <cell r="AP10">
            <v>1.0146999999999999</v>
          </cell>
          <cell r="AQ10">
            <v>1.0145</v>
          </cell>
          <cell r="AR10">
            <v>1.0143</v>
          </cell>
          <cell r="AS10">
            <v>1.0141</v>
          </cell>
          <cell r="AT10">
            <v>1.0141</v>
          </cell>
        </row>
        <row r="11">
          <cell r="B11">
            <v>-6</v>
          </cell>
          <cell r="C11">
            <v>1.0307999999999999</v>
          </cell>
          <cell r="D11">
            <v>1.0304</v>
          </cell>
          <cell r="E11">
            <v>1.0297000000000001</v>
          </cell>
          <cell r="F11">
            <v>1.29</v>
          </cell>
          <cell r="G11">
            <v>1.284</v>
          </cell>
          <cell r="H11">
            <v>1.0278</v>
          </cell>
          <cell r="I11">
            <v>1.0271999999999999</v>
          </cell>
          <cell r="J11">
            <v>1.0266</v>
          </cell>
          <cell r="K11">
            <v>1.0261</v>
          </cell>
          <cell r="L11">
            <v>1.0255000000000001</v>
          </cell>
          <cell r="M11">
            <v>1.0249999999999999</v>
          </cell>
          <cell r="N11">
            <v>1.0245</v>
          </cell>
          <cell r="O11">
            <v>1.0241</v>
          </cell>
          <cell r="P11">
            <v>1.0217000000000001</v>
          </cell>
          <cell r="Q11">
            <v>1.0199</v>
          </cell>
          <cell r="R11">
            <v>1.0194000000000001</v>
          </cell>
          <cell r="S11">
            <v>1.0188999999999999</v>
          </cell>
          <cell r="T11">
            <v>1.0185</v>
          </cell>
          <cell r="U11">
            <v>1.018</v>
          </cell>
          <cell r="V11">
            <v>1.0176000000000001</v>
          </cell>
          <cell r="W11">
            <v>1.0174000000000001</v>
          </cell>
          <cell r="X11">
            <v>1.0170999999999999</v>
          </cell>
          <cell r="Y11">
            <v>1.0167999999999999</v>
          </cell>
          <cell r="Z11">
            <v>1.0165999999999999</v>
          </cell>
          <cell r="AA11">
            <v>1.0163</v>
          </cell>
          <cell r="AB11">
            <v>1.0161</v>
          </cell>
          <cell r="AC11">
            <v>1.0159</v>
          </cell>
          <cell r="AD11">
            <v>1.0157</v>
          </cell>
          <cell r="AE11">
            <v>1.0154000000000001</v>
          </cell>
          <cell r="AF11">
            <v>1.0152000000000001</v>
          </cell>
          <cell r="AG11">
            <v>1.0149999999999999</v>
          </cell>
          <cell r="AH11">
            <v>1.0147999999999999</v>
          </cell>
          <cell r="AI11">
            <v>1.0145999999999999</v>
          </cell>
          <cell r="AJ11">
            <v>1.0144</v>
          </cell>
          <cell r="AK11">
            <v>1.0143</v>
          </cell>
          <cell r="AL11">
            <v>1.0141</v>
          </cell>
          <cell r="AM11">
            <v>1.0139</v>
          </cell>
          <cell r="AN11">
            <v>1.0137</v>
          </cell>
          <cell r="AO11">
            <v>1.0136000000000001</v>
          </cell>
          <cell r="AP11">
            <v>1.0134000000000001</v>
          </cell>
          <cell r="AQ11">
            <v>1.0132000000000001</v>
          </cell>
          <cell r="AR11">
            <v>1.0130999999999999</v>
          </cell>
          <cell r="AS11">
            <v>1.0128999999999999</v>
          </cell>
          <cell r="AT11">
            <v>1.0128999999999999</v>
          </cell>
        </row>
        <row r="12">
          <cell r="B12">
            <v>-4</v>
          </cell>
          <cell r="C12">
            <v>1.0279</v>
          </cell>
          <cell r="D12">
            <v>1.0275000000000001</v>
          </cell>
          <cell r="E12">
            <v>1.0268999999999999</v>
          </cell>
          <cell r="F12">
            <v>1.0263</v>
          </cell>
          <cell r="G12">
            <v>1.0257000000000001</v>
          </cell>
          <cell r="H12">
            <v>1.0250999999999999</v>
          </cell>
          <cell r="I12">
            <v>1.0246</v>
          </cell>
          <cell r="J12">
            <v>1.0241</v>
          </cell>
          <cell r="K12">
            <v>1.0236000000000001</v>
          </cell>
          <cell r="L12">
            <v>1.0230999999999999</v>
          </cell>
          <cell r="M12">
            <v>1.0226999999999999</v>
          </cell>
          <cell r="N12">
            <v>1.0222</v>
          </cell>
          <cell r="O12">
            <v>1.0218</v>
          </cell>
          <cell r="P12">
            <v>1.0197000000000001</v>
          </cell>
          <cell r="Q12">
            <v>1.018</v>
          </cell>
          <cell r="R12">
            <v>1.0176000000000001</v>
          </cell>
          <cell r="S12">
            <v>1.0170999999999999</v>
          </cell>
          <cell r="T12">
            <v>1.0166999999999999</v>
          </cell>
          <cell r="U12">
            <v>1.0163</v>
          </cell>
          <cell r="V12">
            <v>1.016</v>
          </cell>
          <cell r="W12">
            <v>1.0157</v>
          </cell>
          <cell r="X12">
            <v>1.0155000000000001</v>
          </cell>
          <cell r="Y12">
            <v>1.0152000000000001</v>
          </cell>
          <cell r="Z12">
            <v>1.0149999999999999</v>
          </cell>
          <cell r="AA12">
            <v>1.0147999999999999</v>
          </cell>
          <cell r="AB12">
            <v>1.0145999999999999</v>
          </cell>
          <cell r="AC12">
            <v>1.0144</v>
          </cell>
          <cell r="AD12">
            <v>1.0142</v>
          </cell>
          <cell r="AE12">
            <v>1.014</v>
          </cell>
          <cell r="AF12">
            <v>1.0138</v>
          </cell>
          <cell r="AG12">
            <v>1.0136000000000001</v>
          </cell>
          <cell r="AH12">
            <v>1.0134000000000001</v>
          </cell>
          <cell r="AI12">
            <v>1.0132000000000001</v>
          </cell>
          <cell r="AJ12">
            <v>1.0130999999999999</v>
          </cell>
          <cell r="AK12">
            <v>1.0128999999999999</v>
          </cell>
          <cell r="AL12">
            <v>1.0126999999999999</v>
          </cell>
          <cell r="AM12">
            <v>1.0125999999999999</v>
          </cell>
          <cell r="AN12">
            <v>1.0124</v>
          </cell>
          <cell r="AO12">
            <v>1.0123</v>
          </cell>
          <cell r="AP12">
            <v>1.0121</v>
          </cell>
          <cell r="AQ12">
            <v>1.012</v>
          </cell>
          <cell r="AR12">
            <v>1.0118</v>
          </cell>
          <cell r="AS12">
            <v>1.0117</v>
          </cell>
          <cell r="AT12">
            <v>1.0116000000000001</v>
          </cell>
        </row>
        <row r="13">
          <cell r="B13">
            <v>-2</v>
          </cell>
          <cell r="C13">
            <v>1.0249999999999999</v>
          </cell>
          <cell r="D13">
            <v>1.0246</v>
          </cell>
          <cell r="E13">
            <v>1.0241</v>
          </cell>
          <cell r="F13">
            <v>1.0235000000000001</v>
          </cell>
          <cell r="G13">
            <v>1.0229999999999999</v>
          </cell>
          <cell r="H13">
            <v>1.0225</v>
          </cell>
          <cell r="I13">
            <v>1.022</v>
          </cell>
          <cell r="J13">
            <v>1.0216000000000001</v>
          </cell>
          <cell r="K13">
            <v>1.0210999999999999</v>
          </cell>
          <cell r="L13">
            <v>1.0206999999999999</v>
          </cell>
          <cell r="M13">
            <v>1.0203</v>
          </cell>
          <cell r="N13">
            <v>1.0199</v>
          </cell>
          <cell r="O13">
            <v>1.0195000000000001</v>
          </cell>
          <cell r="P13">
            <v>1.0176000000000001</v>
          </cell>
          <cell r="Q13">
            <v>1.0161</v>
          </cell>
          <cell r="R13">
            <v>1.0157</v>
          </cell>
          <cell r="S13">
            <v>1.0153000000000001</v>
          </cell>
          <cell r="T13">
            <v>1.0149999999999999</v>
          </cell>
          <cell r="U13">
            <v>1.0145999999999999</v>
          </cell>
          <cell r="V13">
            <v>1.0143</v>
          </cell>
          <cell r="W13">
            <v>1.0141</v>
          </cell>
          <cell r="X13">
            <v>1.0138</v>
          </cell>
          <cell r="Y13">
            <v>1.0136000000000001</v>
          </cell>
          <cell r="Z13">
            <v>1.0134000000000001</v>
          </cell>
          <cell r="AA13">
            <v>1.0132000000000001</v>
          </cell>
          <cell r="AB13">
            <v>1.0130999999999999</v>
          </cell>
          <cell r="AC13">
            <v>1.0128999999999999</v>
          </cell>
          <cell r="AD13">
            <v>1.0126999999999999</v>
          </cell>
          <cell r="AE13">
            <v>1.0125</v>
          </cell>
          <cell r="AF13">
            <v>1.0123</v>
          </cell>
          <cell r="AG13">
            <v>1.0122</v>
          </cell>
          <cell r="AH13">
            <v>1.012</v>
          </cell>
          <cell r="AI13">
            <v>1.0119</v>
          </cell>
          <cell r="AJ13">
            <v>1.0117</v>
          </cell>
          <cell r="AK13">
            <v>1.0116000000000001</v>
          </cell>
          <cell r="AL13">
            <v>1.0114000000000001</v>
          </cell>
          <cell r="AM13">
            <v>1.0113000000000001</v>
          </cell>
          <cell r="AN13">
            <v>1.0111000000000001</v>
          </cell>
          <cell r="AO13">
            <v>1.0109999999999999</v>
          </cell>
          <cell r="AP13">
            <v>1.0108999999999999</v>
          </cell>
          <cell r="AQ13">
            <v>1.0106999999999999</v>
          </cell>
          <cell r="AR13">
            <v>1.0105999999999999</v>
          </cell>
          <cell r="AS13">
            <v>1.0105</v>
          </cell>
          <cell r="AT13">
            <v>1.0104</v>
          </cell>
        </row>
        <row r="14">
          <cell r="B14">
            <v>0</v>
          </cell>
          <cell r="C14">
            <v>1.0221</v>
          </cell>
          <cell r="D14">
            <v>1.0218</v>
          </cell>
          <cell r="E14">
            <v>1.0213000000000001</v>
          </cell>
          <cell r="F14">
            <v>1.028</v>
          </cell>
          <cell r="G14">
            <v>1.0203</v>
          </cell>
          <cell r="H14">
            <v>1.0199</v>
          </cell>
          <cell r="I14">
            <v>1.0195000000000001</v>
          </cell>
          <cell r="J14">
            <v>1.0190999999999999</v>
          </cell>
          <cell r="K14">
            <v>1.0186999999999999</v>
          </cell>
          <cell r="L14">
            <v>1.0183</v>
          </cell>
          <cell r="M14">
            <v>1.0179</v>
          </cell>
          <cell r="N14">
            <v>1.0176000000000001</v>
          </cell>
          <cell r="O14">
            <v>1.0172000000000001</v>
          </cell>
          <cell r="P14">
            <v>1.0156000000000001</v>
          </cell>
          <cell r="Q14">
            <v>1.0142</v>
          </cell>
          <cell r="R14">
            <v>1.0139</v>
          </cell>
          <cell r="S14">
            <v>1.0135000000000001</v>
          </cell>
          <cell r="T14">
            <v>1.0132000000000001</v>
          </cell>
          <cell r="U14">
            <v>1.0128999999999999</v>
          </cell>
          <cell r="V14">
            <v>1.0125999999999999</v>
          </cell>
          <cell r="W14">
            <v>1.0124</v>
          </cell>
          <cell r="X14">
            <v>1.0122</v>
          </cell>
          <cell r="Y14">
            <v>1.012</v>
          </cell>
          <cell r="Z14">
            <v>1.0119</v>
          </cell>
          <cell r="AA14">
            <v>1.0117</v>
          </cell>
          <cell r="AB14">
            <v>1.0115000000000001</v>
          </cell>
          <cell r="AC14">
            <v>1.0114000000000001</v>
          </cell>
          <cell r="AD14">
            <v>1.0112000000000001</v>
          </cell>
          <cell r="AE14">
            <v>1.0109999999999999</v>
          </cell>
          <cell r="AF14">
            <v>1.0108999999999999</v>
          </cell>
          <cell r="AG14">
            <v>1.0106999999999999</v>
          </cell>
          <cell r="AH14">
            <v>1.0105999999999999</v>
          </cell>
          <cell r="AI14">
            <v>1.0105</v>
          </cell>
          <cell r="AJ14">
            <v>1.0103</v>
          </cell>
          <cell r="AK14">
            <v>1.0102</v>
          </cell>
          <cell r="AL14">
            <v>1.0101</v>
          </cell>
          <cell r="AM14">
            <v>1.0099</v>
          </cell>
          <cell r="AN14">
            <v>1.0098</v>
          </cell>
          <cell r="AO14">
            <v>1.0097</v>
          </cell>
          <cell r="AP14">
            <v>1.0096000000000001</v>
          </cell>
          <cell r="AQ14">
            <v>1.0095000000000001</v>
          </cell>
          <cell r="AR14">
            <v>1.0093000000000001</v>
          </cell>
          <cell r="AS14">
            <v>1.0092000000000001</v>
          </cell>
          <cell r="AT14">
            <v>1.0092000000000001</v>
          </cell>
        </row>
        <row r="15">
          <cell r="B15">
            <v>2</v>
          </cell>
          <cell r="C15">
            <v>1.0190999999999999</v>
          </cell>
          <cell r="D15">
            <v>1.0188999999999999</v>
          </cell>
          <cell r="E15">
            <v>1.0184</v>
          </cell>
          <cell r="F15">
            <v>1.018</v>
          </cell>
          <cell r="G15">
            <v>1.0176000000000001</v>
          </cell>
          <cell r="H15">
            <v>1.0172000000000001</v>
          </cell>
          <cell r="I15">
            <v>1.0168999999999999</v>
          </cell>
          <cell r="J15">
            <v>1.0165</v>
          </cell>
          <cell r="K15">
            <v>1.0162</v>
          </cell>
          <cell r="L15">
            <v>1.0159</v>
          </cell>
          <cell r="M15">
            <v>1.0155000000000001</v>
          </cell>
          <cell r="N15">
            <v>1.0152000000000001</v>
          </cell>
          <cell r="O15">
            <v>1.0148999999999999</v>
          </cell>
          <cell r="P15">
            <v>1.0135000000000001</v>
          </cell>
          <cell r="Q15">
            <v>1.0123</v>
          </cell>
          <cell r="R15">
            <v>1.012</v>
          </cell>
          <cell r="S15">
            <v>1.0117</v>
          </cell>
          <cell r="T15">
            <v>1.0115000000000001</v>
          </cell>
          <cell r="U15">
            <v>1.0112000000000001</v>
          </cell>
          <cell r="V15">
            <v>1.0108999999999999</v>
          </cell>
          <cell r="W15">
            <v>1.0107999999999999</v>
          </cell>
          <cell r="X15">
            <v>1.0105999999999999</v>
          </cell>
          <cell r="Y15">
            <v>1.0104</v>
          </cell>
          <cell r="Z15">
            <v>1.0103</v>
          </cell>
          <cell r="AA15">
            <v>1.0101</v>
          </cell>
          <cell r="AB15">
            <v>1.01</v>
          </cell>
          <cell r="AC15">
            <v>1.0099</v>
          </cell>
          <cell r="AD15">
            <v>1.0097</v>
          </cell>
          <cell r="AE15">
            <v>1.0096000000000001</v>
          </cell>
          <cell r="AF15">
            <v>1.0094000000000001</v>
          </cell>
          <cell r="AG15">
            <v>1.0093000000000001</v>
          </cell>
          <cell r="AH15">
            <v>1.0092000000000001</v>
          </cell>
          <cell r="AI15">
            <v>1.0091000000000001</v>
          </cell>
          <cell r="AJ15">
            <v>1.0089999999999999</v>
          </cell>
          <cell r="AK15">
            <v>1.0087999999999999</v>
          </cell>
          <cell r="AL15">
            <v>1.0086999999999999</v>
          </cell>
          <cell r="AM15">
            <v>1.0085999999999999</v>
          </cell>
          <cell r="AN15">
            <v>1.0085</v>
          </cell>
          <cell r="AO15">
            <v>1.0084</v>
          </cell>
          <cell r="AP15">
            <v>1.0083</v>
          </cell>
          <cell r="AQ15">
            <v>1.0082</v>
          </cell>
          <cell r="AR15">
            <v>1.0081</v>
          </cell>
          <cell r="AS15">
            <v>1.008</v>
          </cell>
          <cell r="AT15">
            <v>1.008</v>
          </cell>
        </row>
        <row r="16">
          <cell r="B16">
            <v>4</v>
          </cell>
          <cell r="C16">
            <v>1.0162</v>
          </cell>
          <cell r="D16">
            <v>1.016</v>
          </cell>
          <cell r="E16">
            <v>1.0156000000000001</v>
          </cell>
          <cell r="F16">
            <v>1.0153000000000001</v>
          </cell>
          <cell r="G16">
            <v>1.0148999999999999</v>
          </cell>
          <cell r="H16">
            <v>1.0145999999999999</v>
          </cell>
          <cell r="I16">
            <v>1.0143</v>
          </cell>
          <cell r="J16">
            <v>1.014</v>
          </cell>
          <cell r="K16">
            <v>1.0137</v>
          </cell>
          <cell r="L16">
            <v>1.0134000000000001</v>
          </cell>
          <cell r="M16">
            <v>1.0132000000000001</v>
          </cell>
          <cell r="N16">
            <v>1.0128999999999999</v>
          </cell>
          <cell r="O16">
            <v>1.0125999999999999</v>
          </cell>
          <cell r="P16">
            <v>1.0114000000000001</v>
          </cell>
          <cell r="Q16">
            <v>1.0104</v>
          </cell>
          <cell r="R16">
            <v>1.0102</v>
          </cell>
          <cell r="S16">
            <v>1.0099</v>
          </cell>
          <cell r="T16">
            <v>1.0097</v>
          </cell>
          <cell r="U16">
            <v>1.0095000000000001</v>
          </cell>
          <cell r="V16">
            <v>1.0093000000000001</v>
          </cell>
          <cell r="W16">
            <v>1.0091000000000001</v>
          </cell>
          <cell r="X16">
            <v>1.0089999999999999</v>
          </cell>
          <cell r="Y16">
            <v>1.0087999999999999</v>
          </cell>
          <cell r="Z16">
            <v>1.0086999999999999</v>
          </cell>
          <cell r="AA16">
            <v>1.0085999999999999</v>
          </cell>
          <cell r="AB16">
            <v>1.0085</v>
          </cell>
          <cell r="AC16">
            <v>1.0083</v>
          </cell>
          <cell r="AD16">
            <v>1.0082</v>
          </cell>
          <cell r="AE16">
            <v>1.0081</v>
          </cell>
          <cell r="AF16">
            <v>1.008</v>
          </cell>
          <cell r="AG16">
            <v>1.0079</v>
          </cell>
          <cell r="AH16">
            <v>1.0078</v>
          </cell>
          <cell r="AI16">
            <v>1.0077</v>
          </cell>
          <cell r="AJ16">
            <v>1.0076000000000001</v>
          </cell>
          <cell r="AK16">
            <v>1.0075000000000001</v>
          </cell>
          <cell r="AL16">
            <v>1.0074000000000001</v>
          </cell>
          <cell r="AM16">
            <v>1.0073000000000001</v>
          </cell>
          <cell r="AN16">
            <v>1.0072000000000001</v>
          </cell>
          <cell r="AO16">
            <v>1.0071000000000001</v>
          </cell>
          <cell r="AP16">
            <v>1.0069999999999999</v>
          </cell>
          <cell r="AQ16">
            <v>1.0068999999999999</v>
          </cell>
          <cell r="AR16">
            <v>1.0068999999999999</v>
          </cell>
          <cell r="AS16">
            <v>1.0067999999999999</v>
          </cell>
          <cell r="AT16">
            <v>1.0066999999999999</v>
          </cell>
        </row>
        <row r="17">
          <cell r="B17">
            <v>6</v>
          </cell>
          <cell r="C17">
            <v>1.0133000000000001</v>
          </cell>
          <cell r="D17">
            <v>1.0130999999999999</v>
          </cell>
          <cell r="E17">
            <v>1.0127999999999999</v>
          </cell>
          <cell r="F17">
            <v>1.0125</v>
          </cell>
          <cell r="G17">
            <v>1.0122</v>
          </cell>
          <cell r="H17">
            <v>1.012</v>
          </cell>
          <cell r="I17">
            <v>1.0117</v>
          </cell>
          <cell r="J17">
            <v>1.0115000000000001</v>
          </cell>
          <cell r="K17">
            <v>1.0112000000000001</v>
          </cell>
          <cell r="L17">
            <v>1.0109999999999999</v>
          </cell>
          <cell r="M17">
            <v>1.0107999999999999</v>
          </cell>
          <cell r="N17">
            <v>1.0105999999999999</v>
          </cell>
          <cell r="O17">
            <v>1.0104</v>
          </cell>
          <cell r="P17">
            <v>1.0094000000000001</v>
          </cell>
          <cell r="Q17">
            <v>1.0085999999999999</v>
          </cell>
          <cell r="R17">
            <v>1.0083</v>
          </cell>
          <cell r="S17">
            <v>1.0081</v>
          </cell>
          <cell r="T17">
            <v>1.0079</v>
          </cell>
          <cell r="U17">
            <v>1.0077</v>
          </cell>
          <cell r="V17">
            <v>1.0076000000000001</v>
          </cell>
          <cell r="W17">
            <v>1.0075000000000001</v>
          </cell>
          <cell r="X17">
            <v>1.0073000000000001</v>
          </cell>
          <cell r="Y17">
            <v>1.0072000000000001</v>
          </cell>
          <cell r="Z17">
            <v>1.0071000000000001</v>
          </cell>
          <cell r="AA17">
            <v>1.0069999999999999</v>
          </cell>
          <cell r="AB17">
            <v>1.0068999999999999</v>
          </cell>
          <cell r="AC17">
            <v>1.0067999999999999</v>
          </cell>
          <cell r="AD17">
            <v>1.0066999999999999</v>
          </cell>
          <cell r="AE17">
            <v>1.0065999999999999</v>
          </cell>
          <cell r="AF17">
            <v>1.0065</v>
          </cell>
          <cell r="AG17">
            <v>1.0065</v>
          </cell>
          <cell r="AH17">
            <v>1.0064</v>
          </cell>
          <cell r="AI17">
            <v>1.0063</v>
          </cell>
          <cell r="AJ17">
            <v>1.0062</v>
          </cell>
          <cell r="AK17">
            <v>1.0061</v>
          </cell>
          <cell r="AL17">
            <v>1.006</v>
          </cell>
          <cell r="AM17">
            <v>1.006</v>
          </cell>
          <cell r="AN17">
            <v>1.0059</v>
          </cell>
          <cell r="AO17">
            <v>1.0058</v>
          </cell>
          <cell r="AP17">
            <v>1.0058</v>
          </cell>
          <cell r="AQ17">
            <v>1.0057</v>
          </cell>
          <cell r="AR17">
            <v>1.0056</v>
          </cell>
          <cell r="AS17">
            <v>1.0055000000000001</v>
          </cell>
          <cell r="AT17">
            <v>1.0055000000000001</v>
          </cell>
        </row>
        <row r="18">
          <cell r="B18">
            <v>8</v>
          </cell>
          <cell r="C18">
            <v>1.0103</v>
          </cell>
          <cell r="D18">
            <v>1.0102</v>
          </cell>
          <cell r="E18">
            <v>1.01</v>
          </cell>
          <cell r="F18">
            <v>1.0097</v>
          </cell>
          <cell r="G18">
            <v>1.0095000000000001</v>
          </cell>
          <cell r="H18">
            <v>1.0093000000000001</v>
          </cell>
          <cell r="I18">
            <v>1.0091000000000001</v>
          </cell>
          <cell r="J18">
            <v>1.0088999999999999</v>
          </cell>
          <cell r="K18">
            <v>1.0086999999999999</v>
          </cell>
          <cell r="L18">
            <v>1.0085999999999999</v>
          </cell>
          <cell r="M18">
            <v>1.0084</v>
          </cell>
          <cell r="N18">
            <v>1.0082</v>
          </cell>
          <cell r="O18">
            <v>1.0081</v>
          </cell>
          <cell r="P18">
            <v>1.0073000000000001</v>
          </cell>
          <cell r="Q18">
            <v>1.0066999999999999</v>
          </cell>
          <cell r="R18">
            <v>1.0065</v>
          </cell>
          <cell r="S18">
            <v>1.0063</v>
          </cell>
          <cell r="T18">
            <v>1.0062</v>
          </cell>
          <cell r="U18">
            <v>1.006</v>
          </cell>
          <cell r="V18">
            <v>1.0059</v>
          </cell>
          <cell r="W18">
            <v>1.0058</v>
          </cell>
          <cell r="X18">
            <v>1.0057</v>
          </cell>
          <cell r="Y18">
            <v>1.0056</v>
          </cell>
          <cell r="Z18">
            <v>1.0056</v>
          </cell>
          <cell r="AA18">
            <v>1.0055000000000001</v>
          </cell>
          <cell r="AB18">
            <v>1.0054000000000001</v>
          </cell>
          <cell r="AC18">
            <v>1.0053000000000001</v>
          </cell>
          <cell r="AD18">
            <v>1.0052000000000001</v>
          </cell>
          <cell r="AE18">
            <v>1.0052000000000001</v>
          </cell>
          <cell r="AF18">
            <v>1.0051000000000001</v>
          </cell>
          <cell r="AG18">
            <v>1.0049999999999999</v>
          </cell>
          <cell r="AH18">
            <v>1.0049999999999999</v>
          </cell>
          <cell r="AI18">
            <v>1.0048999999999999</v>
          </cell>
          <cell r="AJ18">
            <v>1.0047999999999999</v>
          </cell>
          <cell r="AK18">
            <v>1.0047999999999999</v>
          </cell>
          <cell r="AL18">
            <v>1.0046999999999999</v>
          </cell>
          <cell r="AM18">
            <v>1.0045999999999999</v>
          </cell>
          <cell r="AN18">
            <v>1.0045999999999999</v>
          </cell>
          <cell r="AO18">
            <v>1.0044999999999999</v>
          </cell>
          <cell r="AP18">
            <v>1.0044999999999999</v>
          </cell>
          <cell r="AQ18">
            <v>1.0044</v>
          </cell>
          <cell r="AR18">
            <v>1.0044</v>
          </cell>
          <cell r="AS18">
            <v>1.0043</v>
          </cell>
          <cell r="AT18">
            <v>1.0043</v>
          </cell>
        </row>
        <row r="19">
          <cell r="B19">
            <v>10</v>
          </cell>
          <cell r="C19">
            <v>1.0074000000000001</v>
          </cell>
          <cell r="D19">
            <v>1.0073000000000001</v>
          </cell>
          <cell r="E19">
            <v>1.0071000000000001</v>
          </cell>
          <cell r="F19">
            <v>1.0069999999999999</v>
          </cell>
          <cell r="G19">
            <v>1.0067999999999999</v>
          </cell>
          <cell r="H19">
            <v>1.0066999999999999</v>
          </cell>
          <cell r="I19">
            <v>1.0065</v>
          </cell>
          <cell r="J19">
            <v>1.0064</v>
          </cell>
          <cell r="K19">
            <v>1.0062</v>
          </cell>
          <cell r="L19">
            <v>1.0061</v>
          </cell>
          <cell r="M19">
            <v>1.006</v>
          </cell>
          <cell r="N19">
            <v>1.0059</v>
          </cell>
          <cell r="O19">
            <v>1.0058</v>
          </cell>
          <cell r="P19">
            <v>1.0052000000000001</v>
          </cell>
          <cell r="Q19">
            <v>1.0047999999999999</v>
          </cell>
          <cell r="R19">
            <v>1.0045999999999999</v>
          </cell>
          <cell r="S19">
            <v>1.0044999999999999</v>
          </cell>
          <cell r="T19">
            <v>1.0044</v>
          </cell>
          <cell r="U19">
            <v>1.0043</v>
          </cell>
          <cell r="V19">
            <v>1.0042</v>
          </cell>
          <cell r="W19">
            <v>1.0041</v>
          </cell>
          <cell r="X19">
            <v>1.0041</v>
          </cell>
          <cell r="Y19">
            <v>1.004</v>
          </cell>
          <cell r="Z19">
            <v>1.004</v>
          </cell>
          <cell r="AA19">
            <v>1.0039</v>
          </cell>
          <cell r="AB19">
            <v>1.0039</v>
          </cell>
          <cell r="AC19">
            <v>1.0038</v>
          </cell>
          <cell r="AD19">
            <v>1.0037</v>
          </cell>
          <cell r="AE19">
            <v>1.0037</v>
          </cell>
          <cell r="AF19">
            <v>1.0036</v>
          </cell>
          <cell r="AG19">
            <v>1.0036</v>
          </cell>
          <cell r="AH19">
            <v>1.0035000000000001</v>
          </cell>
          <cell r="AI19">
            <v>1.0035000000000001</v>
          </cell>
          <cell r="AJ19">
            <v>1.0035000000000001</v>
          </cell>
          <cell r="AK19">
            <v>1.0034000000000001</v>
          </cell>
          <cell r="AL19">
            <v>1.0034000000000001</v>
          </cell>
          <cell r="AM19">
            <v>1.0033000000000001</v>
          </cell>
          <cell r="AN19">
            <v>1.0033000000000001</v>
          </cell>
          <cell r="AO19">
            <v>1.0032000000000001</v>
          </cell>
          <cell r="AP19">
            <v>1.0032000000000001</v>
          </cell>
          <cell r="AQ19">
            <v>1.0032000000000001</v>
          </cell>
          <cell r="AR19">
            <v>1.0031000000000001</v>
          </cell>
          <cell r="AS19">
            <v>1.0031000000000001</v>
          </cell>
          <cell r="AT19">
            <v>1.0031000000000001</v>
          </cell>
        </row>
        <row r="20">
          <cell r="B20">
            <v>12</v>
          </cell>
          <cell r="C20">
            <v>1.044</v>
          </cell>
          <cell r="D20">
            <v>1.044</v>
          </cell>
          <cell r="E20">
            <v>1.0429999999999999</v>
          </cell>
          <cell r="F20">
            <v>1.0042</v>
          </cell>
          <cell r="G20">
            <v>1.0041</v>
          </cell>
          <cell r="H20">
            <v>1.004</v>
          </cell>
          <cell r="I20">
            <v>1.0039</v>
          </cell>
          <cell r="J20">
            <v>1.0038</v>
          </cell>
          <cell r="K20">
            <v>1.0037</v>
          </cell>
          <cell r="L20">
            <v>1.0037</v>
          </cell>
          <cell r="M20">
            <v>1.0036</v>
          </cell>
          <cell r="N20">
            <v>1.0035000000000001</v>
          </cell>
          <cell r="O20">
            <v>1.0035000000000001</v>
          </cell>
          <cell r="P20">
            <v>1.0031000000000001</v>
          </cell>
          <cell r="Q20">
            <v>1.0028999999999999</v>
          </cell>
          <cell r="R20">
            <v>1.0027999999999999</v>
          </cell>
          <cell r="S20">
            <v>1.0026999999999999</v>
          </cell>
          <cell r="T20">
            <v>1.0026999999999999</v>
          </cell>
          <cell r="U20">
            <v>1.0025999999999999</v>
          </cell>
          <cell r="V20">
            <v>1.0024999999999999</v>
          </cell>
          <cell r="W20">
            <v>1.0024999999999999</v>
          </cell>
          <cell r="X20">
            <v>1.0024999999999999</v>
          </cell>
          <cell r="Y20">
            <v>1.0024</v>
          </cell>
          <cell r="Z20">
            <v>1.0024</v>
          </cell>
          <cell r="AA20">
            <v>1.0023</v>
          </cell>
          <cell r="AB20">
            <v>1.0023</v>
          </cell>
          <cell r="AC20">
            <v>1.0023</v>
          </cell>
          <cell r="AD20">
            <v>1.0022</v>
          </cell>
          <cell r="AE20">
            <v>1.0022</v>
          </cell>
          <cell r="AF20">
            <v>1.0022</v>
          </cell>
          <cell r="AG20">
            <v>1.0022</v>
          </cell>
          <cell r="AH20">
            <v>1.0021</v>
          </cell>
          <cell r="AI20">
            <v>1.0021</v>
          </cell>
          <cell r="AJ20">
            <v>1.0021</v>
          </cell>
          <cell r="AK20">
            <v>1.0022</v>
          </cell>
          <cell r="AL20">
            <v>1.002</v>
          </cell>
          <cell r="AM20">
            <v>1.002</v>
          </cell>
          <cell r="AN20">
            <v>1.002</v>
          </cell>
          <cell r="AO20">
            <v>1.0019</v>
          </cell>
          <cell r="AP20">
            <v>1.0019</v>
          </cell>
          <cell r="AQ20">
            <v>1.0019</v>
          </cell>
          <cell r="AR20">
            <v>1.0019</v>
          </cell>
          <cell r="AS20">
            <v>1.0019</v>
          </cell>
          <cell r="AT20">
            <v>1.0018</v>
          </cell>
        </row>
        <row r="21">
          <cell r="B21">
            <v>14</v>
          </cell>
          <cell r="C21">
            <v>1.0015000000000001</v>
          </cell>
          <cell r="D21">
            <v>1.0015000000000001</v>
          </cell>
          <cell r="E21">
            <v>1.0014000000000001</v>
          </cell>
          <cell r="F21">
            <v>1.0014000000000001</v>
          </cell>
          <cell r="G21">
            <v>1.0014000000000001</v>
          </cell>
          <cell r="H21">
            <v>1.0013000000000001</v>
          </cell>
          <cell r="I21">
            <v>1.0013000000000001</v>
          </cell>
          <cell r="J21">
            <v>1.0013000000000001</v>
          </cell>
          <cell r="K21">
            <v>1.0013000000000001</v>
          </cell>
          <cell r="L21">
            <v>1.0012000000000001</v>
          </cell>
          <cell r="M21">
            <v>1.0012000000000001</v>
          </cell>
          <cell r="N21">
            <v>1.0012000000000001</v>
          </cell>
          <cell r="O21">
            <v>1.0012000000000001</v>
          </cell>
          <cell r="P21">
            <v>1.0009999999999999</v>
          </cell>
          <cell r="Q21">
            <v>1.0009999999999999</v>
          </cell>
          <cell r="R21">
            <v>1.0008999999999999</v>
          </cell>
          <cell r="S21">
            <v>1.0008999999999999</v>
          </cell>
          <cell r="T21">
            <v>1.0008999999999999</v>
          </cell>
          <cell r="U21">
            <v>1.0008999999999999</v>
          </cell>
          <cell r="V21">
            <v>1.0007999999999999</v>
          </cell>
          <cell r="W21">
            <v>1.0007999999999999</v>
          </cell>
          <cell r="X21">
            <v>1.0007999999999999</v>
          </cell>
          <cell r="Y21">
            <v>1.0007999999999999</v>
          </cell>
          <cell r="Z21">
            <v>1.0007999999999999</v>
          </cell>
          <cell r="AA21">
            <v>1.0007999999999999</v>
          </cell>
          <cell r="AB21">
            <v>1.0007999999999999</v>
          </cell>
          <cell r="AC21">
            <v>1.0007999999999999</v>
          </cell>
          <cell r="AD21">
            <v>1.0006999999999999</v>
          </cell>
          <cell r="AE21">
            <v>1.0006999999999999</v>
          </cell>
          <cell r="AF21">
            <v>1.0006999999999999</v>
          </cell>
          <cell r="AG21">
            <v>1.0006999999999999</v>
          </cell>
          <cell r="AH21">
            <v>1.0006999999999999</v>
          </cell>
          <cell r="AI21">
            <v>1.0006999999999999</v>
          </cell>
          <cell r="AJ21">
            <v>1.0006999999999999</v>
          </cell>
          <cell r="AK21">
            <v>1.0006999999999999</v>
          </cell>
          <cell r="AL21">
            <v>1.0006999999999999</v>
          </cell>
          <cell r="AM21">
            <v>1.0006999999999999</v>
          </cell>
          <cell r="AN21">
            <v>1.0006999999999999</v>
          </cell>
          <cell r="AO21">
            <v>1.0005999999999999</v>
          </cell>
          <cell r="AP21">
            <v>1.0005999999999999</v>
          </cell>
          <cell r="AQ21">
            <v>1.0005999999999999</v>
          </cell>
          <cell r="AR21">
            <v>1.0005999999999999</v>
          </cell>
          <cell r="AS21">
            <v>1.0005999999999999</v>
          </cell>
          <cell r="AT21">
            <v>1.0005999999999999</v>
          </cell>
        </row>
        <row r="22">
          <cell r="B22">
            <v>16</v>
          </cell>
          <cell r="C22">
            <v>0.99850000000000005</v>
          </cell>
          <cell r="D22">
            <v>0.99850000000000005</v>
          </cell>
          <cell r="E22">
            <v>0.99860000000000004</v>
          </cell>
          <cell r="F22">
            <v>0.99860000000000004</v>
          </cell>
          <cell r="G22">
            <v>0.99860000000000004</v>
          </cell>
          <cell r="H22">
            <v>0.99870000000000003</v>
          </cell>
          <cell r="I22">
            <v>0.99870000000000003</v>
          </cell>
          <cell r="J22">
            <v>0.99870000000000003</v>
          </cell>
          <cell r="K22">
            <v>0.99870000000000003</v>
          </cell>
          <cell r="L22">
            <v>0.98880000000000001</v>
          </cell>
          <cell r="M22">
            <v>0.99880000000000002</v>
          </cell>
          <cell r="N22">
            <v>0.99880000000000002</v>
          </cell>
          <cell r="O22">
            <v>0.99880000000000002</v>
          </cell>
          <cell r="P22">
            <v>0.999</v>
          </cell>
          <cell r="Q22">
            <v>0.999</v>
          </cell>
          <cell r="R22">
            <v>0.99909999999999999</v>
          </cell>
          <cell r="S22">
            <v>0.99909999999999999</v>
          </cell>
          <cell r="T22">
            <v>0.99909999999999999</v>
          </cell>
          <cell r="U22">
            <v>0.99909999999999999</v>
          </cell>
          <cell r="V22">
            <v>0.99919999999999998</v>
          </cell>
          <cell r="W22">
            <v>0.99919999999999998</v>
          </cell>
          <cell r="X22">
            <v>0.99919999999999998</v>
          </cell>
          <cell r="Y22">
            <v>0.99919999999999998</v>
          </cell>
          <cell r="Z22">
            <v>0.99919999999999998</v>
          </cell>
          <cell r="AA22">
            <v>0.99919999999999998</v>
          </cell>
          <cell r="AB22">
            <v>0.99919999999999998</v>
          </cell>
          <cell r="AC22">
            <v>0.99919999999999998</v>
          </cell>
          <cell r="AD22">
            <v>0.99929999999999997</v>
          </cell>
          <cell r="AE22">
            <v>0.99929999999999997</v>
          </cell>
          <cell r="AF22">
            <v>0.99929999999999997</v>
          </cell>
          <cell r="AG22">
            <v>0.99929999999999997</v>
          </cell>
          <cell r="AH22">
            <v>0.99929999999999997</v>
          </cell>
          <cell r="AI22">
            <v>0.99929999999999997</v>
          </cell>
          <cell r="AJ22">
            <v>0.99929999999999997</v>
          </cell>
          <cell r="AK22">
            <v>0.99929999999999997</v>
          </cell>
          <cell r="AL22">
            <v>0.99929999999999997</v>
          </cell>
          <cell r="AM22">
            <v>0.99929999999999997</v>
          </cell>
          <cell r="AN22">
            <v>0.99929999999999997</v>
          </cell>
          <cell r="AO22">
            <v>0.99939999999999996</v>
          </cell>
          <cell r="AP22">
            <v>0.99939999999999996</v>
          </cell>
          <cell r="AQ22">
            <v>0.99939999999999996</v>
          </cell>
          <cell r="AR22">
            <v>0.99939999999999996</v>
          </cell>
          <cell r="AS22">
            <v>0.99939999999999996</v>
          </cell>
          <cell r="AT22">
            <v>0.99939999999999996</v>
          </cell>
        </row>
        <row r="23">
          <cell r="B23">
            <v>18</v>
          </cell>
          <cell r="C23">
            <v>0.99560000000000004</v>
          </cell>
          <cell r="D23">
            <v>0.99560000000000004</v>
          </cell>
          <cell r="E23">
            <v>0.99570000000000003</v>
          </cell>
          <cell r="F23">
            <v>0.99580000000000002</v>
          </cell>
          <cell r="G23">
            <v>0.99590000000000001</v>
          </cell>
          <cell r="H23">
            <v>0.996</v>
          </cell>
          <cell r="I23">
            <v>0.99609999999999999</v>
          </cell>
          <cell r="J23">
            <v>0.99619999999999997</v>
          </cell>
          <cell r="K23">
            <v>0.99619999999999997</v>
          </cell>
          <cell r="L23">
            <v>0.99629999999999996</v>
          </cell>
          <cell r="M23">
            <v>0.99639999999999995</v>
          </cell>
          <cell r="N23">
            <v>0.99650000000000005</v>
          </cell>
          <cell r="O23">
            <v>0.99650000000000005</v>
          </cell>
          <cell r="P23">
            <v>0.99690000000000001</v>
          </cell>
          <cell r="Q23">
            <v>0.99709999999999999</v>
          </cell>
          <cell r="R23">
            <v>0.99719999999999998</v>
          </cell>
          <cell r="S23">
            <v>0.99729999999999996</v>
          </cell>
          <cell r="T23">
            <v>0.99729999999999996</v>
          </cell>
          <cell r="U23">
            <v>0.99739999999999995</v>
          </cell>
          <cell r="V23">
            <v>0.99750000000000005</v>
          </cell>
          <cell r="W23">
            <v>0.99750000000000005</v>
          </cell>
          <cell r="X23">
            <v>0.99750000000000005</v>
          </cell>
          <cell r="Y23">
            <v>0.99760000000000004</v>
          </cell>
          <cell r="Z23">
            <v>0.99760000000000004</v>
          </cell>
          <cell r="AA23">
            <v>0.99770000000000003</v>
          </cell>
          <cell r="AB23">
            <v>0.99770000000000003</v>
          </cell>
          <cell r="AC23">
            <v>0.99770000000000003</v>
          </cell>
          <cell r="AD23">
            <v>0.99780000000000002</v>
          </cell>
          <cell r="AE23">
            <v>0.99780000000000002</v>
          </cell>
          <cell r="AF23">
            <v>0.99780000000000002</v>
          </cell>
          <cell r="AG23">
            <v>0.99780000000000002</v>
          </cell>
          <cell r="AH23">
            <v>0.99780000000000002</v>
          </cell>
          <cell r="AI23">
            <v>0.99790000000000001</v>
          </cell>
          <cell r="AJ23">
            <v>0.99790000000000001</v>
          </cell>
          <cell r="AK23">
            <v>0.998</v>
          </cell>
          <cell r="AL23">
            <v>0.998</v>
          </cell>
          <cell r="AM23">
            <v>0.998</v>
          </cell>
          <cell r="AN23">
            <v>0.998</v>
          </cell>
          <cell r="AO23">
            <v>0.99809999999999999</v>
          </cell>
          <cell r="AP23">
            <v>0.99809999999999999</v>
          </cell>
          <cell r="AQ23">
            <v>0.99809999999999999</v>
          </cell>
          <cell r="AR23">
            <v>0.99809999999999999</v>
          </cell>
          <cell r="AS23">
            <v>0.99809999999999999</v>
          </cell>
          <cell r="AT23">
            <v>0.99819999999999998</v>
          </cell>
        </row>
        <row r="24">
          <cell r="B24">
            <v>20</v>
          </cell>
          <cell r="C24">
            <v>0.99260000000000004</v>
          </cell>
          <cell r="D24">
            <v>0.99270000000000003</v>
          </cell>
          <cell r="E24">
            <v>0.9929</v>
          </cell>
          <cell r="F24">
            <v>0.99299999999999999</v>
          </cell>
          <cell r="G24">
            <v>0.99319999999999997</v>
          </cell>
          <cell r="H24">
            <v>0.99329999999999996</v>
          </cell>
          <cell r="I24">
            <v>0.99350000000000005</v>
          </cell>
          <cell r="J24">
            <v>0.99360000000000004</v>
          </cell>
          <cell r="K24">
            <v>0.99370000000000003</v>
          </cell>
          <cell r="L24">
            <v>0.99390000000000001</v>
          </cell>
          <cell r="M24">
            <v>0.99399999999999999</v>
          </cell>
          <cell r="N24">
            <v>0.99409999999999998</v>
          </cell>
          <cell r="O24">
            <v>0.99419999999999997</v>
          </cell>
          <cell r="P24">
            <v>0.99480000000000002</v>
          </cell>
          <cell r="Q24">
            <v>0.99519999999999997</v>
          </cell>
          <cell r="R24">
            <v>0.99529999999999996</v>
          </cell>
          <cell r="S24">
            <v>0.99550000000000005</v>
          </cell>
          <cell r="T24">
            <v>0.99560000000000004</v>
          </cell>
          <cell r="U24">
            <v>0.99570000000000003</v>
          </cell>
          <cell r="V24">
            <v>0.99580000000000002</v>
          </cell>
          <cell r="W24">
            <v>0.99580000000000002</v>
          </cell>
          <cell r="X24">
            <v>0.99590000000000001</v>
          </cell>
          <cell r="Y24">
            <v>0.996</v>
          </cell>
          <cell r="Z24">
            <v>0.996</v>
          </cell>
          <cell r="AA24">
            <v>0.99609999999999999</v>
          </cell>
          <cell r="AB24">
            <v>0.99609999999999999</v>
          </cell>
          <cell r="AC24">
            <v>0.99619999999999997</v>
          </cell>
          <cell r="AD24">
            <v>0.99619999999999997</v>
          </cell>
          <cell r="AE24">
            <v>0.99629999999999996</v>
          </cell>
          <cell r="AF24">
            <v>0.99639999999999995</v>
          </cell>
          <cell r="AG24">
            <v>0.99639999999999995</v>
          </cell>
          <cell r="AH24">
            <v>0.99639999999999995</v>
          </cell>
          <cell r="AI24">
            <v>0.99650000000000005</v>
          </cell>
          <cell r="AJ24">
            <v>0.99650000000000005</v>
          </cell>
          <cell r="AK24">
            <v>0.99660000000000004</v>
          </cell>
          <cell r="AL24">
            <v>0.99660000000000004</v>
          </cell>
          <cell r="AM24">
            <v>0.99670000000000003</v>
          </cell>
          <cell r="AN24">
            <v>0.99670000000000003</v>
          </cell>
          <cell r="AO24">
            <v>0.99680000000000002</v>
          </cell>
          <cell r="AP24">
            <v>0.99680000000000002</v>
          </cell>
          <cell r="AQ24">
            <v>0.99680000000000002</v>
          </cell>
          <cell r="AR24">
            <v>0.99690000000000001</v>
          </cell>
          <cell r="AS24">
            <v>0.99690000000000001</v>
          </cell>
          <cell r="AT24">
            <v>0.99690000000000001</v>
          </cell>
        </row>
        <row r="25">
          <cell r="B25">
            <v>22</v>
          </cell>
          <cell r="C25">
            <v>0.98960000000000004</v>
          </cell>
          <cell r="D25">
            <v>0.98970000000000002</v>
          </cell>
          <cell r="E25">
            <v>0.99</v>
          </cell>
          <cell r="F25">
            <v>0.99019999999999997</v>
          </cell>
          <cell r="G25">
            <v>0.99039999999999995</v>
          </cell>
          <cell r="H25">
            <v>0.99060000000000004</v>
          </cell>
          <cell r="I25">
            <v>0.99080000000000001</v>
          </cell>
          <cell r="J25">
            <v>0.99099999999999999</v>
          </cell>
          <cell r="K25">
            <v>0.99119999999999997</v>
          </cell>
          <cell r="L25">
            <v>0.99139999999999995</v>
          </cell>
          <cell r="M25">
            <v>0.99160000000000004</v>
          </cell>
          <cell r="N25">
            <v>0.99170000000000003</v>
          </cell>
          <cell r="O25">
            <v>0.9919</v>
          </cell>
          <cell r="P25">
            <v>0.99270000000000003</v>
          </cell>
          <cell r="Q25">
            <v>0.99329999999999996</v>
          </cell>
          <cell r="R25">
            <v>0.99350000000000005</v>
          </cell>
          <cell r="S25">
            <v>0.99360000000000004</v>
          </cell>
          <cell r="T25">
            <v>0.99380000000000002</v>
          </cell>
          <cell r="U25">
            <v>0.99390000000000001</v>
          </cell>
          <cell r="V25">
            <v>0.99409999999999998</v>
          </cell>
          <cell r="W25">
            <v>0.99419999999999997</v>
          </cell>
          <cell r="X25">
            <v>0.99429999999999996</v>
          </cell>
          <cell r="Y25">
            <v>0.99429999999999996</v>
          </cell>
          <cell r="Z25">
            <v>0.99439999999999995</v>
          </cell>
          <cell r="AA25">
            <v>0.99450000000000005</v>
          </cell>
          <cell r="AB25">
            <v>0.99460000000000004</v>
          </cell>
          <cell r="AC25">
            <v>0.99470000000000003</v>
          </cell>
          <cell r="AD25">
            <v>0.99470000000000003</v>
          </cell>
          <cell r="AE25">
            <v>0.99480000000000002</v>
          </cell>
          <cell r="AF25">
            <v>0.99490000000000001</v>
          </cell>
          <cell r="AG25">
            <v>0.995</v>
          </cell>
          <cell r="AH25">
            <v>0.995</v>
          </cell>
          <cell r="AI25">
            <v>0.99509999999999998</v>
          </cell>
          <cell r="AJ25">
            <v>0.99519999999999997</v>
          </cell>
          <cell r="AK25">
            <v>0.99519999999999997</v>
          </cell>
          <cell r="AL25">
            <v>0.99529999999999996</v>
          </cell>
          <cell r="AM25">
            <v>0.99529999999999996</v>
          </cell>
          <cell r="AN25">
            <v>0.99539999999999995</v>
          </cell>
          <cell r="AO25">
            <v>0.99550000000000005</v>
          </cell>
          <cell r="AP25">
            <v>0.99550000000000005</v>
          </cell>
          <cell r="AQ25">
            <v>0.99560000000000004</v>
          </cell>
          <cell r="AR25">
            <v>0.99560000000000004</v>
          </cell>
          <cell r="AS25">
            <v>0.99570000000000003</v>
          </cell>
          <cell r="AT25">
            <v>0.99570000000000003</v>
          </cell>
        </row>
        <row r="26">
          <cell r="B26">
            <v>24</v>
          </cell>
          <cell r="C26">
            <v>0.98660000000000003</v>
          </cell>
          <cell r="D26">
            <v>0.98680000000000001</v>
          </cell>
          <cell r="E26">
            <v>0.98709999999999998</v>
          </cell>
          <cell r="F26">
            <v>0.99839999999999995</v>
          </cell>
          <cell r="G26">
            <v>0.98799999999999999</v>
          </cell>
          <cell r="H26">
            <v>0.98799999999999999</v>
          </cell>
          <cell r="I26">
            <v>0.98819999999999997</v>
          </cell>
          <cell r="J26">
            <v>0.98850000000000005</v>
          </cell>
          <cell r="K26">
            <v>0.98870000000000002</v>
          </cell>
          <cell r="L26">
            <v>0.9889</v>
          </cell>
          <cell r="M26">
            <v>0.98919999999999997</v>
          </cell>
          <cell r="N26">
            <v>0.98939999999999995</v>
          </cell>
          <cell r="O26">
            <v>0.98960000000000004</v>
          </cell>
          <cell r="P26">
            <v>0.99060000000000004</v>
          </cell>
          <cell r="Q26">
            <v>0.99139999999999995</v>
          </cell>
          <cell r="R26">
            <v>0.99160000000000004</v>
          </cell>
          <cell r="S26">
            <v>0.99180000000000001</v>
          </cell>
          <cell r="T26">
            <v>0.99199999999999999</v>
          </cell>
          <cell r="U26">
            <v>0.99219999999999997</v>
          </cell>
          <cell r="V26">
            <v>0.99239999999999995</v>
          </cell>
          <cell r="W26">
            <v>0.99250000000000005</v>
          </cell>
          <cell r="X26">
            <v>0.99260000000000004</v>
          </cell>
          <cell r="Y26">
            <v>0.99270000000000003</v>
          </cell>
          <cell r="Z26">
            <v>0.99280000000000002</v>
          </cell>
          <cell r="AA26">
            <v>0.9929</v>
          </cell>
          <cell r="AB26">
            <v>0.99299999999999999</v>
          </cell>
          <cell r="AC26">
            <v>0.99309999999999998</v>
          </cell>
          <cell r="AD26">
            <v>0.99319999999999997</v>
          </cell>
          <cell r="AE26">
            <v>0.99329999999999996</v>
          </cell>
          <cell r="AF26">
            <v>0.99339999999999995</v>
          </cell>
          <cell r="AG26">
            <v>0.99349999999999994</v>
          </cell>
          <cell r="AH26">
            <v>0.99359999999999993</v>
          </cell>
          <cell r="AI26">
            <v>0.99369999999999992</v>
          </cell>
          <cell r="AJ26">
            <v>0.99379999999999991</v>
          </cell>
          <cell r="AK26">
            <v>0.99389999999999989</v>
          </cell>
          <cell r="AL26">
            <v>0.99390000000000001</v>
          </cell>
          <cell r="AM26">
            <v>0.99399999999999999</v>
          </cell>
          <cell r="AN26">
            <v>0.99409999999999998</v>
          </cell>
          <cell r="AO26">
            <v>0.99419999999999997</v>
          </cell>
          <cell r="AP26">
            <v>0.99419999999999997</v>
          </cell>
          <cell r="AQ26">
            <v>0.99429999999999996</v>
          </cell>
          <cell r="AR26">
            <v>0.99439999999999995</v>
          </cell>
          <cell r="AS26">
            <v>0.99439999999999995</v>
          </cell>
          <cell r="AT26">
            <v>0.99450000000000005</v>
          </cell>
        </row>
        <row r="27">
          <cell r="B27">
            <v>26</v>
          </cell>
          <cell r="C27">
            <v>0.98360000000000003</v>
          </cell>
          <cell r="D27">
            <v>0.9839</v>
          </cell>
          <cell r="E27">
            <v>0.98419999999999996</v>
          </cell>
          <cell r="F27">
            <v>0.98460000000000003</v>
          </cell>
          <cell r="G27">
            <v>0.9849</v>
          </cell>
          <cell r="H27">
            <v>0.98529999999999995</v>
          </cell>
          <cell r="I27">
            <v>0.98560000000000003</v>
          </cell>
          <cell r="J27">
            <v>0.9859</v>
          </cell>
          <cell r="K27">
            <v>0.98619999999999997</v>
          </cell>
          <cell r="L27">
            <v>0.98650000000000004</v>
          </cell>
          <cell r="M27">
            <v>0.98670000000000002</v>
          </cell>
          <cell r="N27">
            <v>0.98699999999999999</v>
          </cell>
          <cell r="O27">
            <v>0.98729999999999996</v>
          </cell>
          <cell r="P27">
            <v>0.98850000000000005</v>
          </cell>
          <cell r="Q27">
            <v>0.98950000000000005</v>
          </cell>
          <cell r="R27">
            <v>0.98980000000000001</v>
          </cell>
          <cell r="S27">
            <v>0.99</v>
          </cell>
          <cell r="T27">
            <v>0.99019999999999997</v>
          </cell>
          <cell r="U27">
            <v>0.99050000000000005</v>
          </cell>
          <cell r="V27">
            <v>0.99070000000000003</v>
          </cell>
          <cell r="W27">
            <v>0.99080000000000001</v>
          </cell>
          <cell r="X27">
            <v>0.99099999999999999</v>
          </cell>
          <cell r="Y27">
            <v>0.99109999999999998</v>
          </cell>
          <cell r="Z27">
            <v>0.99119999999999997</v>
          </cell>
          <cell r="AA27">
            <v>0.99139999999999995</v>
          </cell>
          <cell r="AB27">
            <v>0.99150000000000005</v>
          </cell>
          <cell r="AC27">
            <v>0.99160000000000015</v>
          </cell>
          <cell r="AD27">
            <v>0.99170000000000025</v>
          </cell>
          <cell r="AE27">
            <v>0.9919</v>
          </cell>
          <cell r="AF27">
            <v>0.99199999999999999</v>
          </cell>
          <cell r="AG27">
            <v>0.99209999999999998</v>
          </cell>
          <cell r="AH27">
            <v>0.99219999999999997</v>
          </cell>
          <cell r="AI27">
            <v>0.99229999999999996</v>
          </cell>
          <cell r="AJ27">
            <v>0.99239999999999995</v>
          </cell>
          <cell r="AK27">
            <v>0.99250000000000005</v>
          </cell>
          <cell r="AL27">
            <v>0.99260000000000004</v>
          </cell>
          <cell r="AM27">
            <v>0.99270000000000003</v>
          </cell>
          <cell r="AN27">
            <v>0.99280000000000002</v>
          </cell>
          <cell r="AO27">
            <v>0.9929</v>
          </cell>
          <cell r="AP27">
            <v>0.9929</v>
          </cell>
          <cell r="AQ27">
            <v>0.99299999999999999</v>
          </cell>
          <cell r="AR27">
            <v>0.99309999999999998</v>
          </cell>
          <cell r="AS27">
            <v>0.99319999999999997</v>
          </cell>
          <cell r="AT27">
            <v>0.99319999999999997</v>
          </cell>
        </row>
        <row r="28">
          <cell r="B28">
            <v>28</v>
          </cell>
          <cell r="C28">
            <v>0.98060000000000003</v>
          </cell>
          <cell r="D28">
            <v>0.98089999999999999</v>
          </cell>
          <cell r="E28">
            <v>0.98140000000000005</v>
          </cell>
          <cell r="F28">
            <v>0.98180000000000001</v>
          </cell>
          <cell r="G28">
            <v>0.98219999999999996</v>
          </cell>
          <cell r="H28">
            <v>0.98260000000000003</v>
          </cell>
          <cell r="I28">
            <v>0.9829</v>
          </cell>
          <cell r="J28">
            <v>0.98329999999999995</v>
          </cell>
          <cell r="K28">
            <v>0.98370000000000002</v>
          </cell>
          <cell r="L28">
            <v>0.98399999999999999</v>
          </cell>
          <cell r="M28">
            <v>0.98429999999999995</v>
          </cell>
          <cell r="N28">
            <v>0.98460000000000003</v>
          </cell>
          <cell r="O28">
            <v>0.9849</v>
          </cell>
          <cell r="P28">
            <v>0.98640000000000005</v>
          </cell>
          <cell r="Q28">
            <v>0.98760000000000003</v>
          </cell>
          <cell r="R28">
            <v>0.9879</v>
          </cell>
          <cell r="S28">
            <v>0.98819999999999997</v>
          </cell>
          <cell r="T28">
            <v>0.98850000000000005</v>
          </cell>
          <cell r="U28">
            <v>0.98870000000000002</v>
          </cell>
          <cell r="V28">
            <v>0.98899999999999999</v>
          </cell>
          <cell r="W28">
            <v>0.98919999999999997</v>
          </cell>
          <cell r="X28">
            <v>0.98929999999999996</v>
          </cell>
          <cell r="Y28">
            <v>0.98950000000000005</v>
          </cell>
          <cell r="Z28">
            <v>0.98960000000000004</v>
          </cell>
          <cell r="AA28">
            <v>0.98980000000000001</v>
          </cell>
          <cell r="AB28">
            <v>0.9899</v>
          </cell>
          <cell r="AC28">
            <v>0.99009999999999998</v>
          </cell>
          <cell r="AD28">
            <v>0.99019999999999997</v>
          </cell>
          <cell r="AE28">
            <v>0.99039999999999995</v>
          </cell>
          <cell r="AF28">
            <v>0.99050000000000005</v>
          </cell>
          <cell r="AG28">
            <v>0.99060000000000004</v>
          </cell>
          <cell r="AH28">
            <v>0.99080000000000001</v>
          </cell>
          <cell r="AI28">
            <v>0.9909</v>
          </cell>
          <cell r="AJ28">
            <v>0.99099999999999999</v>
          </cell>
          <cell r="AK28">
            <v>0.99109999999999998</v>
          </cell>
          <cell r="AL28">
            <v>0.99119999999999997</v>
          </cell>
          <cell r="AM28">
            <v>0.99129999999999996</v>
          </cell>
          <cell r="AN28">
            <v>0.99139999999999995</v>
          </cell>
          <cell r="AO28">
            <v>0.99160000000000004</v>
          </cell>
          <cell r="AP28">
            <v>0.99170000000000003</v>
          </cell>
          <cell r="AQ28">
            <v>0.99180000000000001</v>
          </cell>
          <cell r="AR28">
            <v>0.9919</v>
          </cell>
          <cell r="AS28">
            <v>0.99199999999999999</v>
          </cell>
          <cell r="AT28">
            <v>0.99199999999999999</v>
          </cell>
        </row>
        <row r="29">
          <cell r="B29">
            <v>30</v>
          </cell>
          <cell r="C29">
            <v>0.97760000000000002</v>
          </cell>
          <cell r="D29">
            <v>0.97799999999999998</v>
          </cell>
          <cell r="E29">
            <v>0.97850000000000004</v>
          </cell>
          <cell r="F29">
            <v>0.97899999999999998</v>
          </cell>
          <cell r="G29">
            <v>0.97940000000000005</v>
          </cell>
          <cell r="H29">
            <v>0.97989999999999999</v>
          </cell>
          <cell r="I29">
            <v>0.98029999999999995</v>
          </cell>
          <cell r="J29">
            <v>0.98070000000000002</v>
          </cell>
          <cell r="K29">
            <v>0.98109999999999997</v>
          </cell>
          <cell r="L29">
            <v>0.98150000000000004</v>
          </cell>
          <cell r="M29">
            <v>0.9819</v>
          </cell>
          <cell r="N29">
            <v>0.98229999999999995</v>
          </cell>
          <cell r="O29">
            <v>0.98260000000000003</v>
          </cell>
          <cell r="P29">
            <v>0.98429999999999995</v>
          </cell>
          <cell r="Q29">
            <v>0.98570000000000002</v>
          </cell>
          <cell r="R29">
            <v>0.98599999999999999</v>
          </cell>
          <cell r="S29">
            <v>0.98640000000000005</v>
          </cell>
          <cell r="T29">
            <v>0.98670000000000002</v>
          </cell>
          <cell r="U29">
            <v>0.98699999999999999</v>
          </cell>
          <cell r="V29">
            <v>0.98729999999999996</v>
          </cell>
          <cell r="W29">
            <v>0.98750000000000004</v>
          </cell>
          <cell r="X29">
            <v>0.98770000000000002</v>
          </cell>
          <cell r="Y29">
            <v>0.9879</v>
          </cell>
          <cell r="Z29">
            <v>0.98809999999999998</v>
          </cell>
          <cell r="AA29">
            <v>0.98819999999999997</v>
          </cell>
          <cell r="AB29">
            <v>0.98839999999999995</v>
          </cell>
          <cell r="AC29">
            <v>0.98860000000000003</v>
          </cell>
          <cell r="AD29">
            <v>0.98870000000000002</v>
          </cell>
          <cell r="AE29">
            <v>0.9889</v>
          </cell>
          <cell r="AF29">
            <v>0.98899999999999999</v>
          </cell>
          <cell r="AG29">
            <v>0.98919999999999997</v>
          </cell>
          <cell r="AH29">
            <v>0.98929999999999996</v>
          </cell>
          <cell r="AI29">
            <v>0.98950000000000005</v>
          </cell>
          <cell r="AJ29">
            <v>0.98960000000000004</v>
          </cell>
          <cell r="AK29">
            <v>0.98970000000000002</v>
          </cell>
          <cell r="AL29">
            <v>0.9899</v>
          </cell>
          <cell r="AM29">
            <v>0.99</v>
          </cell>
          <cell r="AN29">
            <v>0.99009999999999998</v>
          </cell>
          <cell r="AO29">
            <v>0.99019999999999997</v>
          </cell>
          <cell r="AP29">
            <v>0.99039999999999995</v>
          </cell>
          <cell r="AQ29">
            <v>0.99050000000000005</v>
          </cell>
          <cell r="AR29">
            <v>0.99060000000000004</v>
          </cell>
          <cell r="AS29">
            <v>0.99070000000000003</v>
          </cell>
          <cell r="AT29">
            <v>0.99080000000000001</v>
          </cell>
        </row>
        <row r="30">
          <cell r="B30">
            <v>32</v>
          </cell>
          <cell r="C30">
            <v>0.97460000000000002</v>
          </cell>
          <cell r="D30">
            <v>0.97499999999999998</v>
          </cell>
          <cell r="E30">
            <v>0.97560000000000002</v>
          </cell>
          <cell r="F30">
            <v>0.97609999999999997</v>
          </cell>
          <cell r="G30">
            <v>0.97670000000000001</v>
          </cell>
          <cell r="H30">
            <v>0.97719999999999996</v>
          </cell>
          <cell r="I30">
            <v>0.97770000000000001</v>
          </cell>
          <cell r="J30">
            <v>0.97809999999999997</v>
          </cell>
          <cell r="K30">
            <v>0.97860000000000003</v>
          </cell>
          <cell r="L30">
            <v>0.97899999999999998</v>
          </cell>
          <cell r="M30">
            <v>0.97950000000000004</v>
          </cell>
          <cell r="N30">
            <v>0.97989999999999999</v>
          </cell>
          <cell r="O30">
            <v>0.98029999999999995</v>
          </cell>
          <cell r="P30">
            <v>0.98219999999999996</v>
          </cell>
          <cell r="Q30">
            <v>0.98370000000000002</v>
          </cell>
          <cell r="R30">
            <v>0.98409999999999997</v>
          </cell>
          <cell r="S30">
            <v>0.98450000000000004</v>
          </cell>
          <cell r="T30">
            <v>0.9849</v>
          </cell>
          <cell r="U30">
            <v>0.98529999999999995</v>
          </cell>
          <cell r="V30">
            <v>0.98560000000000003</v>
          </cell>
          <cell r="W30">
            <v>0.98580000000000001</v>
          </cell>
          <cell r="X30">
            <v>0.98599999999999999</v>
          </cell>
          <cell r="Y30">
            <v>0.98619999999999997</v>
          </cell>
          <cell r="Z30">
            <v>0.98650000000000004</v>
          </cell>
          <cell r="AA30">
            <v>0.98660000000000003</v>
          </cell>
          <cell r="AB30">
            <v>0.98680000000000001</v>
          </cell>
          <cell r="AC30">
            <v>0.98699999999999999</v>
          </cell>
          <cell r="AD30">
            <v>0.98719999999999997</v>
          </cell>
          <cell r="AE30">
            <v>0.98740000000000006</v>
          </cell>
          <cell r="AF30">
            <v>0.98760000000000003</v>
          </cell>
          <cell r="AG30">
            <v>0.98770000000000002</v>
          </cell>
          <cell r="AH30">
            <v>0.9879</v>
          </cell>
          <cell r="AI30">
            <v>0.98809999999999998</v>
          </cell>
          <cell r="AJ30">
            <v>0.98819999999999997</v>
          </cell>
          <cell r="AK30">
            <v>0.98839999999999995</v>
          </cell>
          <cell r="AL30">
            <v>0.98850000000000005</v>
          </cell>
          <cell r="AM30">
            <v>0.98870000000000002</v>
          </cell>
          <cell r="AN30">
            <v>0.98880000000000001</v>
          </cell>
          <cell r="AO30">
            <v>0.9889</v>
          </cell>
          <cell r="AP30">
            <v>0.98909999999999998</v>
          </cell>
          <cell r="AQ30">
            <v>0.98919999999999997</v>
          </cell>
          <cell r="AR30">
            <v>0.98929999999999996</v>
          </cell>
          <cell r="AS30">
            <v>0.98950000000000005</v>
          </cell>
          <cell r="AT30">
            <v>0.98950000000000005</v>
          </cell>
        </row>
        <row r="31">
          <cell r="B31">
            <v>34</v>
          </cell>
          <cell r="C31">
            <v>0.97160000000000002</v>
          </cell>
          <cell r="D31">
            <v>0.97199999999999998</v>
          </cell>
          <cell r="E31">
            <v>0.97270000000000001</v>
          </cell>
          <cell r="F31">
            <v>0.97330000000000005</v>
          </cell>
          <cell r="G31">
            <v>0.97389999999999999</v>
          </cell>
          <cell r="H31">
            <v>0.97450000000000003</v>
          </cell>
          <cell r="I31">
            <v>0.97499999999999998</v>
          </cell>
          <cell r="J31">
            <v>0.97560000000000002</v>
          </cell>
          <cell r="K31">
            <v>0.97609999999999997</v>
          </cell>
          <cell r="L31">
            <v>0.97660000000000002</v>
          </cell>
          <cell r="M31">
            <v>0.97699999999999998</v>
          </cell>
          <cell r="N31">
            <v>0.97750000000000004</v>
          </cell>
          <cell r="O31">
            <v>0.97789999999999999</v>
          </cell>
          <cell r="P31">
            <v>0.98009999999999997</v>
          </cell>
          <cell r="Q31">
            <v>0.98180000000000001</v>
          </cell>
          <cell r="R31">
            <v>0.98229999999999995</v>
          </cell>
          <cell r="S31">
            <v>0.98270000000000002</v>
          </cell>
          <cell r="T31">
            <v>0.98309999999999997</v>
          </cell>
          <cell r="U31">
            <v>0.98350000000000004</v>
          </cell>
          <cell r="V31">
            <v>0.9839</v>
          </cell>
          <cell r="W31">
            <v>0.98409999999999997</v>
          </cell>
          <cell r="X31">
            <v>0.98440000000000005</v>
          </cell>
          <cell r="Y31">
            <v>0.98460000000000003</v>
          </cell>
          <cell r="Z31">
            <v>0.98480000000000001</v>
          </cell>
          <cell r="AA31">
            <v>0.98509999999999998</v>
          </cell>
          <cell r="AB31">
            <v>0.98529999999999995</v>
          </cell>
          <cell r="AC31">
            <v>0.98550000000000004</v>
          </cell>
          <cell r="AD31">
            <v>0.98570000000000002</v>
          </cell>
          <cell r="AE31">
            <v>0.9859</v>
          </cell>
          <cell r="AF31">
            <v>0.98609999999999998</v>
          </cell>
          <cell r="AG31">
            <v>0.98629999999999995</v>
          </cell>
          <cell r="AH31">
            <v>0.98650000000000004</v>
          </cell>
          <cell r="AI31">
            <v>0.98660000000000003</v>
          </cell>
          <cell r="AJ31">
            <v>0.98680000000000001</v>
          </cell>
          <cell r="AK31">
            <v>0.98699999999999999</v>
          </cell>
          <cell r="AL31">
            <v>0.98719999999999997</v>
          </cell>
          <cell r="AM31">
            <v>0.98729999999999996</v>
          </cell>
          <cell r="AN31">
            <v>0.98750000000000004</v>
          </cell>
          <cell r="AO31">
            <v>0.98760000000000003</v>
          </cell>
          <cell r="AP31">
            <v>0.98780000000000001</v>
          </cell>
          <cell r="AQ31">
            <v>0.9879</v>
          </cell>
          <cell r="AR31">
            <v>0.98809999999999998</v>
          </cell>
          <cell r="AS31">
            <v>0.98819999999999997</v>
          </cell>
          <cell r="AT31">
            <v>0.98829999999999996</v>
          </cell>
        </row>
        <row r="32">
          <cell r="B32">
            <v>36</v>
          </cell>
          <cell r="C32">
            <v>0.96860000000000002</v>
          </cell>
          <cell r="D32">
            <v>0.96909999999999996</v>
          </cell>
          <cell r="E32">
            <v>0.9698</v>
          </cell>
          <cell r="F32">
            <v>0.97050000000000003</v>
          </cell>
          <cell r="G32">
            <v>0.97109999999999996</v>
          </cell>
          <cell r="H32">
            <v>0.9718</v>
          </cell>
          <cell r="I32">
            <v>0.97240000000000004</v>
          </cell>
          <cell r="J32">
            <v>0.97299999999999998</v>
          </cell>
          <cell r="K32">
            <v>0.97350000000000003</v>
          </cell>
          <cell r="L32">
            <v>0.97409999999999997</v>
          </cell>
          <cell r="M32">
            <v>0.97460000000000002</v>
          </cell>
          <cell r="N32">
            <v>0.97509999999999997</v>
          </cell>
          <cell r="O32">
            <v>0.97560000000000002</v>
          </cell>
          <cell r="P32">
            <v>0.97799999999999998</v>
          </cell>
          <cell r="Q32">
            <v>0.97989999999999999</v>
          </cell>
          <cell r="R32">
            <v>0.98040000000000005</v>
          </cell>
          <cell r="S32">
            <v>0.98089999999999999</v>
          </cell>
          <cell r="T32">
            <v>0.98129999999999995</v>
          </cell>
          <cell r="U32">
            <v>0.98180000000000001</v>
          </cell>
          <cell r="V32">
            <v>0.98219999999999996</v>
          </cell>
          <cell r="W32">
            <v>0.98250000000000004</v>
          </cell>
          <cell r="X32">
            <v>0.98270000000000002</v>
          </cell>
          <cell r="Y32">
            <v>0.98299999999999998</v>
          </cell>
          <cell r="Z32">
            <v>0.98319999999999996</v>
          </cell>
          <cell r="AA32">
            <v>0.98350000000000004</v>
          </cell>
          <cell r="AB32">
            <v>0.98370000000000002</v>
          </cell>
          <cell r="AC32">
            <v>0.98399999999999999</v>
          </cell>
          <cell r="AD32">
            <v>0.98419999999999996</v>
          </cell>
          <cell r="AE32">
            <v>0.98440000000000005</v>
          </cell>
          <cell r="AF32">
            <v>0.98460000000000003</v>
          </cell>
          <cell r="AG32">
            <v>0.98480000000000001</v>
          </cell>
          <cell r="AH32">
            <v>0.98499999999999999</v>
          </cell>
          <cell r="AI32">
            <v>0.98519999999999996</v>
          </cell>
          <cell r="AJ32">
            <v>0.98540000000000005</v>
          </cell>
          <cell r="AK32">
            <v>0.98560000000000003</v>
          </cell>
          <cell r="AL32">
            <v>0.98580000000000001</v>
          </cell>
          <cell r="AM32">
            <v>0.98599999999999999</v>
          </cell>
          <cell r="AN32">
            <v>0.98619999999999997</v>
          </cell>
          <cell r="AO32">
            <v>0.98629999999999995</v>
          </cell>
          <cell r="AP32">
            <v>0.98650000000000004</v>
          </cell>
          <cell r="AQ32">
            <v>0.98670000000000002</v>
          </cell>
          <cell r="AR32">
            <v>0.98680000000000001</v>
          </cell>
          <cell r="AS32">
            <v>0.98699999999999999</v>
          </cell>
          <cell r="AT32">
            <v>0.98699999999999999</v>
          </cell>
        </row>
        <row r="33">
          <cell r="B33">
            <v>38</v>
          </cell>
          <cell r="C33">
            <v>0.96560000000000001</v>
          </cell>
          <cell r="D33">
            <v>0.96609999999999996</v>
          </cell>
          <cell r="E33">
            <v>0.96689999999999998</v>
          </cell>
          <cell r="F33">
            <v>0.96760000000000002</v>
          </cell>
          <cell r="G33">
            <v>0.96840000000000004</v>
          </cell>
          <cell r="H33">
            <v>0.96909999999999996</v>
          </cell>
          <cell r="I33">
            <v>0.96970000000000001</v>
          </cell>
          <cell r="J33">
            <v>0.97040000000000004</v>
          </cell>
          <cell r="K33">
            <v>0.97099999999999997</v>
          </cell>
          <cell r="L33">
            <v>0.97160000000000002</v>
          </cell>
          <cell r="M33">
            <v>0.97219999999999995</v>
          </cell>
          <cell r="N33">
            <v>0.97270000000000001</v>
          </cell>
          <cell r="O33">
            <v>0.97330000000000005</v>
          </cell>
          <cell r="P33">
            <v>0.97589999999999999</v>
          </cell>
          <cell r="Q33">
            <v>0.97799999999999998</v>
          </cell>
          <cell r="R33">
            <v>0.97850000000000004</v>
          </cell>
          <cell r="S33">
            <v>0.97899999999999998</v>
          </cell>
          <cell r="T33">
            <v>0.97950000000000004</v>
          </cell>
          <cell r="U33">
            <v>0.98</v>
          </cell>
          <cell r="V33">
            <v>0.98050000000000004</v>
          </cell>
          <cell r="W33">
            <v>0.98080000000000001</v>
          </cell>
          <cell r="X33">
            <v>0.98109999999999997</v>
          </cell>
          <cell r="Y33">
            <v>0.98140000000000005</v>
          </cell>
          <cell r="Z33">
            <v>0.98160000000000003</v>
          </cell>
          <cell r="AA33">
            <v>0.9819</v>
          </cell>
          <cell r="AB33">
            <v>0.98219999999999996</v>
          </cell>
          <cell r="AC33">
            <v>0.98240000000000005</v>
          </cell>
          <cell r="AD33">
            <v>0.98270000000000002</v>
          </cell>
          <cell r="AE33">
            <v>0.9829</v>
          </cell>
          <cell r="AF33">
            <v>0.98319999999999996</v>
          </cell>
          <cell r="AG33">
            <v>0.98340000000000005</v>
          </cell>
          <cell r="AH33">
            <v>0.98360000000000003</v>
          </cell>
          <cell r="AI33">
            <v>0.98380000000000001</v>
          </cell>
          <cell r="AJ33">
            <v>0.98399999999999999</v>
          </cell>
          <cell r="AK33">
            <v>0.98419999999999996</v>
          </cell>
          <cell r="AL33">
            <v>0.98440000000000005</v>
          </cell>
          <cell r="AM33">
            <v>0.98460000000000003</v>
          </cell>
          <cell r="AN33">
            <v>0.98480000000000001</v>
          </cell>
          <cell r="AO33">
            <v>0.98499999999999999</v>
          </cell>
          <cell r="AP33">
            <v>0.98519999999999996</v>
          </cell>
          <cell r="AQ33">
            <v>0.98540000000000005</v>
          </cell>
          <cell r="AR33">
            <v>0.98560000000000003</v>
          </cell>
          <cell r="AS33">
            <v>0.98570000000000002</v>
          </cell>
          <cell r="AT33">
            <v>0.98580000000000001</v>
          </cell>
        </row>
        <row r="34">
          <cell r="B34">
            <v>40</v>
          </cell>
          <cell r="C34">
            <v>0.96260000000000001</v>
          </cell>
          <cell r="D34">
            <v>0.96309999999999996</v>
          </cell>
          <cell r="E34">
            <v>0.96399999999999997</v>
          </cell>
          <cell r="F34">
            <v>0.96479999999999999</v>
          </cell>
          <cell r="G34">
            <v>0.96560000000000001</v>
          </cell>
          <cell r="H34">
            <v>0.96630000000000005</v>
          </cell>
          <cell r="I34">
            <v>0.96709999999999996</v>
          </cell>
          <cell r="J34">
            <v>0.96779999999999999</v>
          </cell>
          <cell r="K34">
            <v>0.96840000000000004</v>
          </cell>
          <cell r="L34">
            <v>0.96909999999999996</v>
          </cell>
          <cell r="M34">
            <v>0.96970000000000001</v>
          </cell>
          <cell r="N34">
            <v>0.97030000000000005</v>
          </cell>
          <cell r="O34">
            <v>0.97089999999999999</v>
          </cell>
          <cell r="P34">
            <v>0.97370000000000001</v>
          </cell>
          <cell r="Q34">
            <v>0.97599999999999998</v>
          </cell>
          <cell r="R34">
            <v>0.97660000000000002</v>
          </cell>
          <cell r="S34">
            <v>0.97719999999999996</v>
          </cell>
          <cell r="T34">
            <v>0.9778</v>
          </cell>
          <cell r="U34">
            <v>0.97350000000000003</v>
          </cell>
          <cell r="V34">
            <v>0.9788</v>
          </cell>
          <cell r="W34">
            <v>0.97909999999999997</v>
          </cell>
          <cell r="X34">
            <v>0.97940000000000005</v>
          </cell>
          <cell r="Y34">
            <v>0.97970000000000002</v>
          </cell>
          <cell r="Z34">
            <v>0.98</v>
          </cell>
          <cell r="AA34">
            <v>0.98029999999999995</v>
          </cell>
          <cell r="AB34">
            <v>0.98060000000000003</v>
          </cell>
          <cell r="AC34">
            <v>0.98089999999999999</v>
          </cell>
          <cell r="AD34">
            <v>0.98119999999999996</v>
          </cell>
          <cell r="AE34">
            <v>0.98140000000000005</v>
          </cell>
          <cell r="AF34">
            <v>0.98170000000000002</v>
          </cell>
          <cell r="AG34">
            <v>0.9819</v>
          </cell>
          <cell r="AH34">
            <v>0.98219999999999996</v>
          </cell>
          <cell r="AI34">
            <v>0.98240000000000005</v>
          </cell>
          <cell r="AJ34">
            <v>0.98260000000000003</v>
          </cell>
          <cell r="AK34">
            <v>0.9829</v>
          </cell>
          <cell r="AL34">
            <v>0.98309999999999997</v>
          </cell>
          <cell r="AM34">
            <v>0.98329999999999995</v>
          </cell>
          <cell r="AN34">
            <v>0.98350000000000004</v>
          </cell>
          <cell r="AO34">
            <v>0.98370000000000002</v>
          </cell>
          <cell r="AP34">
            <v>0.9839</v>
          </cell>
          <cell r="AQ34">
            <v>0.98409999999999997</v>
          </cell>
          <cell r="AR34">
            <v>0.98429999999999995</v>
          </cell>
          <cell r="AS34">
            <v>0.98450000000000004</v>
          </cell>
          <cell r="AT34">
            <v>0.98460000000000003</v>
          </cell>
        </row>
        <row r="35">
          <cell r="B35">
            <v>42</v>
          </cell>
          <cell r="C35">
            <v>0.96560000000000001</v>
          </cell>
          <cell r="D35">
            <v>0.96009999999999995</v>
          </cell>
          <cell r="E35">
            <v>0.96109999999999995</v>
          </cell>
          <cell r="F35">
            <v>0.96199999999999997</v>
          </cell>
          <cell r="G35">
            <v>0.96279999999999999</v>
          </cell>
          <cell r="H35">
            <v>0.96360000000000001</v>
          </cell>
          <cell r="I35">
            <v>0.96440000000000003</v>
          </cell>
          <cell r="J35">
            <v>0.96519999999999995</v>
          </cell>
          <cell r="K35">
            <v>0.96589999999999998</v>
          </cell>
          <cell r="L35">
            <v>0.96660000000000001</v>
          </cell>
          <cell r="M35">
            <v>0.96730000000000005</v>
          </cell>
          <cell r="N35">
            <v>0.96789999999999998</v>
          </cell>
          <cell r="O35">
            <v>0.96860000000000002</v>
          </cell>
          <cell r="P35">
            <v>0.97160000000000002</v>
          </cell>
          <cell r="Q35">
            <v>0.97409999999999997</v>
          </cell>
          <cell r="R35">
            <v>0.97470000000000001</v>
          </cell>
          <cell r="S35">
            <v>0.97540000000000004</v>
          </cell>
          <cell r="T35">
            <v>0.97599999999999998</v>
          </cell>
          <cell r="U35">
            <v>0.97650000000000003</v>
          </cell>
          <cell r="V35">
            <v>0.97709999999999997</v>
          </cell>
          <cell r="W35">
            <v>0.97740000000000005</v>
          </cell>
          <cell r="X35">
            <v>0.9778</v>
          </cell>
          <cell r="Y35">
            <v>0.97809999999999997</v>
          </cell>
          <cell r="Z35">
            <v>0.97840000000000005</v>
          </cell>
          <cell r="AA35">
            <v>0.9788</v>
          </cell>
          <cell r="AB35">
            <v>0.97909999999999997</v>
          </cell>
          <cell r="AC35">
            <v>0.97940000000000005</v>
          </cell>
          <cell r="AD35">
            <v>0.97960000000000003</v>
          </cell>
          <cell r="AE35">
            <v>0.97989999999999999</v>
          </cell>
          <cell r="AF35">
            <v>0.98019999999999996</v>
          </cell>
          <cell r="AG35">
            <v>0.98050000000000004</v>
          </cell>
          <cell r="AH35">
            <v>0.98070000000000002</v>
          </cell>
          <cell r="AI35">
            <v>0.98099999999999998</v>
          </cell>
          <cell r="AJ35">
            <v>0.98119999999999996</v>
          </cell>
          <cell r="AK35">
            <v>0.98150000000000004</v>
          </cell>
          <cell r="AL35">
            <v>0.98170000000000002</v>
          </cell>
          <cell r="AM35">
            <v>0.98199999999999998</v>
          </cell>
          <cell r="AN35">
            <v>0.98219999999999996</v>
          </cell>
          <cell r="AO35">
            <v>0.98240000000000005</v>
          </cell>
          <cell r="AP35">
            <v>0.98260000000000003</v>
          </cell>
          <cell r="AQ35">
            <v>0.98280000000000001</v>
          </cell>
          <cell r="AR35">
            <v>0.98299999999999998</v>
          </cell>
          <cell r="AS35">
            <v>0.98319999999999996</v>
          </cell>
          <cell r="AT35">
            <v>0.98329999999999995</v>
          </cell>
        </row>
        <row r="36">
          <cell r="B36">
            <v>44</v>
          </cell>
          <cell r="C36">
            <v>0.95660000000000001</v>
          </cell>
          <cell r="D36">
            <v>0.95720000000000005</v>
          </cell>
          <cell r="E36">
            <v>0.95820000000000005</v>
          </cell>
          <cell r="F36">
            <v>0.95909999999999995</v>
          </cell>
          <cell r="G36">
            <v>0.96</v>
          </cell>
          <cell r="H36">
            <v>0.96089999999999998</v>
          </cell>
          <cell r="I36">
            <v>0.96179999999999999</v>
          </cell>
          <cell r="J36">
            <v>0.96260000000000001</v>
          </cell>
          <cell r="K36">
            <v>0.96340000000000003</v>
          </cell>
          <cell r="L36">
            <v>0.96409999999999996</v>
          </cell>
          <cell r="M36">
            <v>0.96479999999999999</v>
          </cell>
          <cell r="N36">
            <v>0.96550000000000002</v>
          </cell>
          <cell r="O36">
            <v>0.96619999999999995</v>
          </cell>
          <cell r="P36">
            <v>0.96950000000000003</v>
          </cell>
          <cell r="Q36">
            <v>0.97219999999999995</v>
          </cell>
          <cell r="R36">
            <v>0.97289999999999999</v>
          </cell>
          <cell r="S36">
            <v>0.97350000000000003</v>
          </cell>
          <cell r="T36">
            <v>0.97419999999999995</v>
          </cell>
          <cell r="U36">
            <v>0.9748</v>
          </cell>
          <cell r="V36">
            <v>0.97540000000000004</v>
          </cell>
          <cell r="W36">
            <v>0.97570000000000001</v>
          </cell>
          <cell r="X36">
            <v>0.97609999999999997</v>
          </cell>
          <cell r="Y36">
            <v>0.97650000000000003</v>
          </cell>
          <cell r="Z36">
            <v>0.9768</v>
          </cell>
          <cell r="AA36">
            <v>0.97719999999999996</v>
          </cell>
          <cell r="AB36">
            <v>0.97750000000000004</v>
          </cell>
          <cell r="AC36">
            <v>0.9778</v>
          </cell>
          <cell r="AD36">
            <v>0.97809999999999997</v>
          </cell>
          <cell r="AE36">
            <v>0.97840000000000005</v>
          </cell>
          <cell r="AF36">
            <v>0.9788</v>
          </cell>
          <cell r="AG36">
            <v>0.97899999999999998</v>
          </cell>
          <cell r="AH36">
            <v>0.97929999999999995</v>
          </cell>
          <cell r="AI36">
            <v>0.97960000000000003</v>
          </cell>
          <cell r="AJ36">
            <v>0.97989999999999999</v>
          </cell>
          <cell r="AK36">
            <v>0.98009999999999997</v>
          </cell>
          <cell r="AL36">
            <v>0.98040000000000005</v>
          </cell>
          <cell r="AM36">
            <v>0.98060000000000003</v>
          </cell>
          <cell r="AN36">
            <v>0.98089999999999999</v>
          </cell>
          <cell r="AO36">
            <v>0.98109999999999997</v>
          </cell>
          <cell r="AP36">
            <v>0.98129999999999995</v>
          </cell>
          <cell r="AQ36">
            <v>0.98160000000000003</v>
          </cell>
          <cell r="AR36">
            <v>0.98180000000000001</v>
          </cell>
          <cell r="AS36">
            <v>0.98199999999999998</v>
          </cell>
          <cell r="AT36">
            <v>0.98209999999999997</v>
          </cell>
        </row>
        <row r="37">
          <cell r="B37">
            <v>46</v>
          </cell>
          <cell r="C37">
            <v>0.95350000000000001</v>
          </cell>
          <cell r="D37">
            <v>0.95420000000000005</v>
          </cell>
          <cell r="E37">
            <v>0.95520000000000005</v>
          </cell>
          <cell r="F37">
            <v>0.95630000000000004</v>
          </cell>
          <cell r="G37">
            <v>0.95720000000000005</v>
          </cell>
          <cell r="H37">
            <v>0.95820000000000005</v>
          </cell>
          <cell r="I37">
            <v>0.95909999999999995</v>
          </cell>
          <cell r="J37">
            <v>0.96</v>
          </cell>
          <cell r="K37">
            <v>0.96079999999999999</v>
          </cell>
          <cell r="L37">
            <v>0.96160000000000001</v>
          </cell>
          <cell r="M37">
            <v>0.96240000000000003</v>
          </cell>
          <cell r="N37">
            <v>0.96309999999999996</v>
          </cell>
          <cell r="O37">
            <v>0.96389999999999998</v>
          </cell>
          <cell r="P37">
            <v>0.96740000000000004</v>
          </cell>
          <cell r="Q37">
            <v>0.97019999999999995</v>
          </cell>
          <cell r="R37">
            <v>0.97099999999999997</v>
          </cell>
          <cell r="S37">
            <v>0.97170000000000001</v>
          </cell>
          <cell r="T37">
            <v>0.97240000000000004</v>
          </cell>
          <cell r="U37">
            <v>0.97299999999999998</v>
          </cell>
          <cell r="V37">
            <v>0.97360000000000002</v>
          </cell>
          <cell r="W37">
            <v>0.97409999999999997</v>
          </cell>
          <cell r="X37">
            <v>0.97450000000000003</v>
          </cell>
          <cell r="Y37">
            <v>0.9748</v>
          </cell>
          <cell r="Z37">
            <v>0.97519999999999996</v>
          </cell>
          <cell r="AA37">
            <v>0.97560000000000002</v>
          </cell>
          <cell r="AB37">
            <v>0.97589999999999999</v>
          </cell>
          <cell r="AC37">
            <v>0.97629999999999995</v>
          </cell>
          <cell r="AD37">
            <v>0.97660000000000002</v>
          </cell>
          <cell r="AE37">
            <v>0.97689999999999999</v>
          </cell>
          <cell r="AF37">
            <v>0.97729999999999995</v>
          </cell>
          <cell r="AG37">
            <v>0.97760000000000002</v>
          </cell>
          <cell r="AH37">
            <v>0.97789999999999999</v>
          </cell>
          <cell r="AI37">
            <v>0.97819999999999996</v>
          </cell>
          <cell r="AJ37">
            <v>0.97850000000000004</v>
          </cell>
          <cell r="AK37">
            <v>0.97870000000000001</v>
          </cell>
          <cell r="AL37">
            <v>0.97899999999999998</v>
          </cell>
          <cell r="AM37">
            <v>0.97929999999999995</v>
          </cell>
          <cell r="AN37">
            <v>0.97950000000000004</v>
          </cell>
          <cell r="AO37">
            <v>0.9798</v>
          </cell>
          <cell r="AP37">
            <v>0.98</v>
          </cell>
          <cell r="AQ37">
            <v>0.98029999999999995</v>
          </cell>
          <cell r="AR37">
            <v>0.98050000000000004</v>
          </cell>
          <cell r="AS37">
            <v>0.98070000000000002</v>
          </cell>
          <cell r="AT37">
            <v>0.98080000000000001</v>
          </cell>
        </row>
        <row r="38">
          <cell r="B38">
            <v>48</v>
          </cell>
          <cell r="C38">
            <v>0.95050000000000001</v>
          </cell>
          <cell r="D38">
            <v>0.95120000000000005</v>
          </cell>
          <cell r="E38">
            <v>0.95230000000000004</v>
          </cell>
          <cell r="F38">
            <v>0.95340000000000003</v>
          </cell>
          <cell r="G38">
            <v>0.95450000000000002</v>
          </cell>
          <cell r="H38">
            <v>0.95550000000000002</v>
          </cell>
          <cell r="I38">
            <v>0.95640000000000003</v>
          </cell>
          <cell r="J38">
            <v>0.95730000000000004</v>
          </cell>
          <cell r="K38">
            <v>0.95799999999999996</v>
          </cell>
          <cell r="L38">
            <v>0.95909999999999995</v>
          </cell>
          <cell r="M38">
            <v>0.95989999999999998</v>
          </cell>
          <cell r="N38">
            <v>0.9607</v>
          </cell>
          <cell r="O38">
            <v>0.96150000000000002</v>
          </cell>
          <cell r="P38">
            <v>0.96530000000000005</v>
          </cell>
          <cell r="Q38">
            <v>0.96830000000000005</v>
          </cell>
          <cell r="R38">
            <v>0.96909999999999996</v>
          </cell>
          <cell r="S38">
            <v>0.9698</v>
          </cell>
          <cell r="T38">
            <v>0.97060000000000002</v>
          </cell>
          <cell r="U38">
            <v>0.97130000000000005</v>
          </cell>
          <cell r="V38">
            <v>0.97189999999999999</v>
          </cell>
          <cell r="W38">
            <v>0.97240000000000004</v>
          </cell>
          <cell r="X38">
            <v>0.9728</v>
          </cell>
          <cell r="Y38">
            <v>0.97319999999999995</v>
          </cell>
          <cell r="Z38">
            <v>0.97360000000000002</v>
          </cell>
          <cell r="AA38">
            <v>0.97399999999999998</v>
          </cell>
          <cell r="AB38">
            <v>0.97440000000000004</v>
          </cell>
          <cell r="AC38">
            <v>0.97470000000000001</v>
          </cell>
          <cell r="AD38">
            <v>0.97509999999999997</v>
          </cell>
          <cell r="AE38">
            <v>0.97540000000000004</v>
          </cell>
          <cell r="AF38">
            <v>0.9758</v>
          </cell>
          <cell r="AG38">
            <v>0.97609999999999997</v>
          </cell>
          <cell r="AH38">
            <v>0.97640000000000005</v>
          </cell>
          <cell r="AI38">
            <v>0.97670000000000001</v>
          </cell>
          <cell r="AJ38">
            <v>0.97709999999999997</v>
          </cell>
          <cell r="AK38">
            <v>0.97740000000000005</v>
          </cell>
          <cell r="AL38">
            <v>0.97760000000000002</v>
          </cell>
          <cell r="AM38">
            <v>0.97789999999999999</v>
          </cell>
          <cell r="AN38">
            <v>0.97819999999999996</v>
          </cell>
          <cell r="AO38">
            <v>0.97850000000000004</v>
          </cell>
          <cell r="AP38">
            <v>0.97870000000000001</v>
          </cell>
          <cell r="AQ38">
            <v>0.97899999999999998</v>
          </cell>
          <cell r="AR38">
            <v>0.97919999999999996</v>
          </cell>
          <cell r="AS38">
            <v>0.97950000000000004</v>
          </cell>
          <cell r="AT38">
            <v>0.97960000000000003</v>
          </cell>
        </row>
        <row r="39">
          <cell r="B39">
            <v>50</v>
          </cell>
          <cell r="C39">
            <v>0.94750000000000001</v>
          </cell>
          <cell r="D39">
            <v>0.94820000000000004</v>
          </cell>
          <cell r="E39">
            <v>0.94940000000000002</v>
          </cell>
          <cell r="F39">
            <v>0.9506</v>
          </cell>
          <cell r="G39">
            <v>0.95169999999999999</v>
          </cell>
          <cell r="H39">
            <v>0.95269999999999999</v>
          </cell>
          <cell r="I39">
            <v>0.95379999999999998</v>
          </cell>
          <cell r="J39">
            <v>0.95469999999999999</v>
          </cell>
          <cell r="K39">
            <v>0.95569999999999999</v>
          </cell>
          <cell r="L39">
            <v>0.95660000000000001</v>
          </cell>
          <cell r="M39">
            <v>0.95750000000000002</v>
          </cell>
          <cell r="N39">
            <v>0.95830000000000004</v>
          </cell>
          <cell r="O39">
            <v>0.95920000000000005</v>
          </cell>
          <cell r="P39">
            <v>0.96309999999999996</v>
          </cell>
          <cell r="Q39">
            <v>0.96630000000000005</v>
          </cell>
          <cell r="R39">
            <v>0.96719999999999995</v>
          </cell>
          <cell r="S39">
            <v>0.96799999999999997</v>
          </cell>
          <cell r="T39">
            <v>0.96879999999999999</v>
          </cell>
          <cell r="U39">
            <v>0.96950000000000003</v>
          </cell>
          <cell r="V39">
            <v>0.97019999999999995</v>
          </cell>
          <cell r="W39">
            <v>0.97070000000000001</v>
          </cell>
          <cell r="X39">
            <v>0.97109999999999996</v>
          </cell>
          <cell r="Y39">
            <v>0.97160000000000002</v>
          </cell>
          <cell r="Z39">
            <v>0.97199999999999998</v>
          </cell>
          <cell r="AA39">
            <v>0.97240000000000004</v>
          </cell>
          <cell r="AB39">
            <v>0.9728</v>
          </cell>
          <cell r="AC39">
            <v>0.97319999999999995</v>
          </cell>
          <cell r="AD39">
            <v>0.97360000000000002</v>
          </cell>
          <cell r="AE39">
            <v>0.97389999999999999</v>
          </cell>
          <cell r="AF39">
            <v>0.97430000000000005</v>
          </cell>
          <cell r="AG39">
            <v>0.97470000000000001</v>
          </cell>
          <cell r="AH39">
            <v>0.97499999999999998</v>
          </cell>
          <cell r="AI39">
            <v>0.97529999999999994</v>
          </cell>
          <cell r="AJ39">
            <v>0.97570000000000001</v>
          </cell>
          <cell r="AK39">
            <v>0.97599999999999998</v>
          </cell>
          <cell r="AL39">
            <v>0.97629999999999995</v>
          </cell>
          <cell r="AM39">
            <v>0.97660000000000002</v>
          </cell>
          <cell r="AN39">
            <v>0.97689999999999999</v>
          </cell>
          <cell r="AO39">
            <v>0.97719999999999996</v>
          </cell>
          <cell r="AP39">
            <v>0.97740000000000005</v>
          </cell>
          <cell r="AQ39">
            <v>0.97770000000000001</v>
          </cell>
          <cell r="AR39">
            <v>0.97799999999999998</v>
          </cell>
          <cell r="AS39">
            <v>0.97819999999999996</v>
          </cell>
          <cell r="AT39">
            <v>0.97829999999999995</v>
          </cell>
        </row>
        <row r="40">
          <cell r="B40">
            <v>52</v>
          </cell>
          <cell r="C40">
            <v>0.94399999999999995</v>
          </cell>
          <cell r="D40">
            <v>0.94520000000000004</v>
          </cell>
          <cell r="E40">
            <v>0.94650000000000001</v>
          </cell>
          <cell r="F40">
            <v>0.94769999999999999</v>
          </cell>
          <cell r="G40">
            <v>0.94889999999999997</v>
          </cell>
          <cell r="H40">
            <v>0.95</v>
          </cell>
          <cell r="I40">
            <v>0.95109999999999995</v>
          </cell>
          <cell r="J40">
            <v>0.95209999999999995</v>
          </cell>
          <cell r="K40">
            <v>0.95309999999999995</v>
          </cell>
          <cell r="L40">
            <v>0.95409999999999995</v>
          </cell>
          <cell r="M40">
            <v>0.95499999999999996</v>
          </cell>
          <cell r="N40">
            <v>0.95589999999999997</v>
          </cell>
          <cell r="O40">
            <v>0.95679999999999998</v>
          </cell>
          <cell r="P40">
            <v>0.96099999999999997</v>
          </cell>
          <cell r="Q40">
            <v>0.96440000000000003</v>
          </cell>
          <cell r="R40">
            <v>0.96530000000000005</v>
          </cell>
          <cell r="S40">
            <v>0.96619999999999995</v>
          </cell>
          <cell r="T40">
            <v>0.96699999999999997</v>
          </cell>
          <cell r="U40">
            <v>0.96779999999999999</v>
          </cell>
          <cell r="V40">
            <v>0.96850000000000003</v>
          </cell>
          <cell r="W40">
            <v>0.96899999999999997</v>
          </cell>
          <cell r="X40">
            <v>0.96950000000000003</v>
          </cell>
          <cell r="Y40">
            <v>0.96989999999999998</v>
          </cell>
          <cell r="Z40">
            <v>0.97040000000000004</v>
          </cell>
          <cell r="AA40">
            <v>0.9708</v>
          </cell>
          <cell r="AB40">
            <v>0.97119999999999995</v>
          </cell>
          <cell r="AC40">
            <v>0.97170000000000001</v>
          </cell>
          <cell r="AD40">
            <v>0.97209999999999996</v>
          </cell>
          <cell r="AE40">
            <v>0.97240000000000004</v>
          </cell>
          <cell r="AF40">
            <v>0.9728</v>
          </cell>
          <cell r="AG40">
            <v>0.97319999999999995</v>
          </cell>
          <cell r="AH40">
            <v>0.97360000000000002</v>
          </cell>
          <cell r="AI40">
            <v>0.97389999999999999</v>
          </cell>
          <cell r="AJ40">
            <v>0.97430000000000005</v>
          </cell>
          <cell r="AK40">
            <v>0.97460000000000002</v>
          </cell>
          <cell r="AL40">
            <v>0.97489999999999999</v>
          </cell>
          <cell r="AM40">
            <v>0.97519999999999996</v>
          </cell>
          <cell r="AN40">
            <v>0.97550000000000003</v>
          </cell>
          <cell r="AO40">
            <v>0.9758</v>
          </cell>
          <cell r="AP40">
            <v>0.97609999999999997</v>
          </cell>
          <cell r="AQ40">
            <v>0.97640000000000005</v>
          </cell>
          <cell r="AR40">
            <v>0.97670000000000001</v>
          </cell>
          <cell r="AS40">
            <v>0.97699999999999998</v>
          </cell>
          <cell r="AT40">
            <v>0.97709999999999997</v>
          </cell>
        </row>
        <row r="41">
          <cell r="B41">
            <v>54</v>
          </cell>
          <cell r="C41">
            <v>0.94140000000000001</v>
          </cell>
          <cell r="D41">
            <v>0.94220000000000004</v>
          </cell>
          <cell r="E41">
            <v>0.94350000000000001</v>
          </cell>
          <cell r="F41">
            <v>0.94479999999999997</v>
          </cell>
          <cell r="G41">
            <v>0.94610000000000005</v>
          </cell>
          <cell r="H41">
            <v>0.94730000000000003</v>
          </cell>
          <cell r="I41">
            <v>0.94840000000000002</v>
          </cell>
          <cell r="J41">
            <v>0.94950000000000001</v>
          </cell>
          <cell r="K41">
            <v>0.9506</v>
          </cell>
          <cell r="L41">
            <v>0.9516</v>
          </cell>
          <cell r="M41">
            <v>0.9526</v>
          </cell>
          <cell r="N41">
            <v>0.95350000000000001</v>
          </cell>
          <cell r="O41">
            <v>0.95440000000000003</v>
          </cell>
          <cell r="P41">
            <v>0.95889999999999997</v>
          </cell>
          <cell r="Q41">
            <v>0.96250000000000002</v>
          </cell>
          <cell r="R41">
            <v>0.96340000000000003</v>
          </cell>
          <cell r="S41">
            <v>0.96430000000000005</v>
          </cell>
          <cell r="T41">
            <v>0.96519999999999995</v>
          </cell>
          <cell r="U41">
            <v>0.96599999999999997</v>
          </cell>
          <cell r="V41">
            <v>0.96679999999999999</v>
          </cell>
          <cell r="W41">
            <v>0.96730000000000005</v>
          </cell>
          <cell r="X41">
            <v>0.96779999999999999</v>
          </cell>
          <cell r="Y41">
            <v>0.96830000000000005</v>
          </cell>
          <cell r="Z41">
            <v>0.96879999999999999</v>
          </cell>
          <cell r="AA41">
            <v>0.96919999999999995</v>
          </cell>
          <cell r="AB41">
            <v>0.96970000000000001</v>
          </cell>
          <cell r="AC41">
            <v>0.97009999999999996</v>
          </cell>
          <cell r="AD41">
            <v>0.97050000000000003</v>
          </cell>
          <cell r="AE41">
            <v>0.97089999999999999</v>
          </cell>
          <cell r="AF41">
            <v>0.97130000000000005</v>
          </cell>
          <cell r="AG41">
            <v>0.97170000000000001</v>
          </cell>
          <cell r="AH41">
            <v>0.97209999999999996</v>
          </cell>
          <cell r="AI41">
            <v>0.97250000000000003</v>
          </cell>
          <cell r="AJ41">
            <v>0.97289999999999999</v>
          </cell>
          <cell r="AK41">
            <v>0.97319999999999995</v>
          </cell>
          <cell r="AL41">
            <v>0.97350000000000003</v>
          </cell>
          <cell r="AM41">
            <v>0.97389999999999999</v>
          </cell>
          <cell r="AN41">
            <v>0.97419999999999995</v>
          </cell>
          <cell r="AO41">
            <v>0.97450000000000003</v>
          </cell>
          <cell r="AP41">
            <v>0.9748</v>
          </cell>
          <cell r="AQ41">
            <v>0.97519999999999996</v>
          </cell>
          <cell r="AR41">
            <v>0.97550000000000003</v>
          </cell>
          <cell r="AS41">
            <v>0.97570000000000001</v>
          </cell>
          <cell r="AT41">
            <v>0.97589999999999999</v>
          </cell>
        </row>
        <row r="42">
          <cell r="B42">
            <v>56</v>
          </cell>
          <cell r="C42">
            <v>0.93830000000000002</v>
          </cell>
          <cell r="D42">
            <v>0.93920000000000003</v>
          </cell>
          <cell r="E42">
            <v>0.94059999999999999</v>
          </cell>
          <cell r="F42">
            <v>0.94199999999999995</v>
          </cell>
          <cell r="G42">
            <v>0.94330000000000003</v>
          </cell>
          <cell r="H42">
            <v>0.94450000000000001</v>
          </cell>
          <cell r="I42">
            <v>0.94569999999999999</v>
          </cell>
          <cell r="J42">
            <v>0.94689999999999996</v>
          </cell>
          <cell r="K42">
            <v>0.94799999999999995</v>
          </cell>
          <cell r="L42">
            <v>0.94910000000000005</v>
          </cell>
          <cell r="M42">
            <v>0.95009999999999994</v>
          </cell>
          <cell r="N42">
            <v>0.95109999999999995</v>
          </cell>
          <cell r="O42">
            <v>0.95209999999999995</v>
          </cell>
          <cell r="P42">
            <v>0.95679999999999998</v>
          </cell>
          <cell r="Q42">
            <v>0.96050000000000002</v>
          </cell>
          <cell r="R42">
            <v>0.96150000000000002</v>
          </cell>
          <cell r="S42">
            <v>0.96250000000000002</v>
          </cell>
          <cell r="T42">
            <v>0.96340000000000003</v>
          </cell>
          <cell r="U42">
            <v>0.96430000000000005</v>
          </cell>
          <cell r="V42">
            <v>0.96509999999999996</v>
          </cell>
          <cell r="W42">
            <v>0.96560000000000001</v>
          </cell>
          <cell r="X42">
            <v>0.96609999999999996</v>
          </cell>
          <cell r="Y42">
            <v>0.9667</v>
          </cell>
          <cell r="Z42">
            <v>0.96719999999999995</v>
          </cell>
          <cell r="AA42">
            <v>0.96760000000000002</v>
          </cell>
          <cell r="AB42">
            <v>0.96809999999999996</v>
          </cell>
          <cell r="AC42">
            <v>0.96860000000000002</v>
          </cell>
          <cell r="AD42">
            <v>0.96899999999999997</v>
          </cell>
          <cell r="AE42">
            <v>0.96940000000000004</v>
          </cell>
          <cell r="AF42">
            <v>0.96989999999999998</v>
          </cell>
          <cell r="AG42">
            <v>0.97030000000000005</v>
          </cell>
          <cell r="AH42">
            <v>0.97070000000000001</v>
          </cell>
          <cell r="AI42">
            <v>0.97109999999999996</v>
          </cell>
          <cell r="AJ42">
            <v>0.97150000000000003</v>
          </cell>
          <cell r="AK42">
            <v>0.9718</v>
          </cell>
          <cell r="AL42">
            <v>0.97219999999999995</v>
          </cell>
          <cell r="AM42">
            <v>0.97250000000000003</v>
          </cell>
          <cell r="AN42">
            <v>0.97289999999999999</v>
          </cell>
          <cell r="AO42">
            <v>0.97319999999999995</v>
          </cell>
          <cell r="AP42">
            <v>0.97350000000000003</v>
          </cell>
          <cell r="AQ42">
            <v>0.97389999999999999</v>
          </cell>
          <cell r="AR42">
            <v>0.97419999999999995</v>
          </cell>
          <cell r="AS42">
            <v>0.97450000000000003</v>
          </cell>
          <cell r="AT42">
            <v>0.97460000000000002</v>
          </cell>
        </row>
        <row r="43">
          <cell r="B43">
            <v>58</v>
          </cell>
          <cell r="C43">
            <v>0.93530000000000002</v>
          </cell>
          <cell r="D43">
            <v>0.93630000000000002</v>
          </cell>
          <cell r="E43">
            <v>0.93769999999999998</v>
          </cell>
          <cell r="F43">
            <v>0.93910000000000005</v>
          </cell>
          <cell r="G43">
            <v>0.9405</v>
          </cell>
          <cell r="H43">
            <v>0.94179999999999997</v>
          </cell>
          <cell r="I43">
            <v>0.94299999999999995</v>
          </cell>
          <cell r="J43">
            <v>0.94430000000000003</v>
          </cell>
          <cell r="K43">
            <v>0.94540000000000002</v>
          </cell>
          <cell r="L43">
            <v>0.9466</v>
          </cell>
          <cell r="M43">
            <v>0.9476</v>
          </cell>
          <cell r="N43">
            <v>0.94869999999999999</v>
          </cell>
          <cell r="O43">
            <v>0.94969999999999999</v>
          </cell>
          <cell r="P43">
            <v>0.9546</v>
          </cell>
          <cell r="Q43">
            <v>0.95860000000000001</v>
          </cell>
          <cell r="R43">
            <v>0.95960000000000001</v>
          </cell>
          <cell r="S43">
            <v>0.96060000000000001</v>
          </cell>
          <cell r="T43">
            <v>0.96160000000000001</v>
          </cell>
          <cell r="U43">
            <v>0.96250000000000002</v>
          </cell>
          <cell r="V43">
            <v>0.96340000000000003</v>
          </cell>
          <cell r="W43">
            <v>0.96389999999999998</v>
          </cell>
          <cell r="X43">
            <v>0.96450000000000002</v>
          </cell>
          <cell r="Y43">
            <v>0.96499999999999997</v>
          </cell>
          <cell r="Z43">
            <v>0.96550000000000002</v>
          </cell>
          <cell r="AA43">
            <v>0.96599999999999997</v>
          </cell>
          <cell r="AB43">
            <v>0.96650000000000003</v>
          </cell>
          <cell r="AC43">
            <v>0.96699999999999997</v>
          </cell>
          <cell r="AD43">
            <v>0.96750000000000003</v>
          </cell>
          <cell r="AE43">
            <v>0.96789999999999998</v>
          </cell>
          <cell r="AF43">
            <v>0.96840000000000004</v>
          </cell>
          <cell r="AG43">
            <v>0.96879999999999999</v>
          </cell>
          <cell r="AH43">
            <v>0.96919999999999995</v>
          </cell>
          <cell r="AI43">
            <v>0.96960000000000002</v>
          </cell>
          <cell r="AJ43">
            <v>0.97</v>
          </cell>
          <cell r="AK43">
            <v>0.97040000000000004</v>
          </cell>
          <cell r="AL43">
            <v>0.9708</v>
          </cell>
          <cell r="AM43">
            <v>0.97119999999999995</v>
          </cell>
          <cell r="AN43">
            <v>0.97160000000000002</v>
          </cell>
          <cell r="AO43">
            <v>0.97189999999999999</v>
          </cell>
          <cell r="AP43">
            <v>0.97219999999999995</v>
          </cell>
          <cell r="AQ43">
            <v>0.97260000000000002</v>
          </cell>
          <cell r="AR43">
            <v>0.97289999999999999</v>
          </cell>
          <cell r="AS43">
            <v>0.97319999999999995</v>
          </cell>
          <cell r="AT43">
            <v>0.97340000000000004</v>
          </cell>
        </row>
        <row r="44">
          <cell r="B44">
            <v>60</v>
          </cell>
          <cell r="C44">
            <v>0.93220000000000003</v>
          </cell>
          <cell r="D44">
            <v>0.93320000000000003</v>
          </cell>
          <cell r="E44">
            <v>0.93469999999999998</v>
          </cell>
          <cell r="F44">
            <v>0.93620000000000003</v>
          </cell>
          <cell r="G44">
            <v>0.93769999999999998</v>
          </cell>
          <cell r="H44">
            <v>0.93899999999999995</v>
          </cell>
          <cell r="I44">
            <v>0.94040000000000001</v>
          </cell>
          <cell r="J44">
            <v>0.94159999999999999</v>
          </cell>
          <cell r="K44">
            <v>0.94289999999999996</v>
          </cell>
          <cell r="L44">
            <v>0.94399999999999995</v>
          </cell>
          <cell r="M44">
            <v>0.94520000000000004</v>
          </cell>
          <cell r="N44">
            <v>0.94630000000000003</v>
          </cell>
          <cell r="O44">
            <v>0.94730000000000003</v>
          </cell>
          <cell r="P44">
            <v>0.95250000000000001</v>
          </cell>
          <cell r="Q44">
            <v>0.95660000000000001</v>
          </cell>
          <cell r="R44">
            <v>0.9577</v>
          </cell>
          <cell r="S44">
            <v>0.95879999999999999</v>
          </cell>
          <cell r="T44">
            <v>0.95979999999999999</v>
          </cell>
          <cell r="U44">
            <v>0.9607</v>
          </cell>
          <cell r="V44">
            <v>0.96160000000000001</v>
          </cell>
          <cell r="W44">
            <v>0.96220000000000006</v>
          </cell>
          <cell r="X44">
            <v>0.96279999999999999</v>
          </cell>
          <cell r="Y44">
            <v>0.96340000000000003</v>
          </cell>
          <cell r="Z44">
            <v>0.96389999999999998</v>
          </cell>
          <cell r="AA44">
            <v>0.96450000000000002</v>
          </cell>
          <cell r="AB44">
            <v>0.96499999999999997</v>
          </cell>
          <cell r="AC44">
            <v>0.96550000000000002</v>
          </cell>
          <cell r="AD44">
            <v>0.96599999999999997</v>
          </cell>
          <cell r="AE44">
            <v>0.96640000000000004</v>
          </cell>
          <cell r="AF44">
            <v>0.96689999999999998</v>
          </cell>
          <cell r="AG44">
            <v>0.96740000000000004</v>
          </cell>
          <cell r="AH44">
            <v>0.96779999999999999</v>
          </cell>
          <cell r="AI44">
            <v>0.96819999999999995</v>
          </cell>
          <cell r="AJ44">
            <v>0.96860000000000002</v>
          </cell>
          <cell r="AK44">
            <v>0.96909999999999996</v>
          </cell>
          <cell r="AL44">
            <v>0.96940000000000004</v>
          </cell>
          <cell r="AM44">
            <v>0.9698</v>
          </cell>
          <cell r="AN44">
            <v>0.97019999999999995</v>
          </cell>
          <cell r="AO44">
            <v>0.97060000000000002</v>
          </cell>
          <cell r="AP44">
            <v>0.97089999999999999</v>
          </cell>
          <cell r="AQ44">
            <v>0.97130000000000005</v>
          </cell>
          <cell r="AR44">
            <v>0.97160000000000002</v>
          </cell>
          <cell r="AS44">
            <v>0.97199999999999998</v>
          </cell>
          <cell r="AT44">
            <v>0.97209999999999996</v>
          </cell>
        </row>
        <row r="45">
          <cell r="B45">
            <v>62</v>
          </cell>
          <cell r="C45">
            <v>0.92920000000000003</v>
          </cell>
          <cell r="D45">
            <v>0.93020000000000003</v>
          </cell>
          <cell r="E45">
            <v>0.93179999999999996</v>
          </cell>
          <cell r="F45">
            <v>0.93330000000000002</v>
          </cell>
          <cell r="G45">
            <v>0.93479999999999996</v>
          </cell>
          <cell r="H45">
            <v>0.93630000000000002</v>
          </cell>
          <cell r="I45">
            <v>0.93769999999999998</v>
          </cell>
          <cell r="J45">
            <v>0.93899999999999995</v>
          </cell>
          <cell r="K45">
            <v>0.94030000000000002</v>
          </cell>
          <cell r="L45">
            <v>0.9415</v>
          </cell>
          <cell r="M45">
            <v>0.94269999999999998</v>
          </cell>
          <cell r="N45">
            <v>0.94389999999999996</v>
          </cell>
          <cell r="O45">
            <v>0.94499999999999995</v>
          </cell>
          <cell r="P45">
            <v>0.95040000000000002</v>
          </cell>
          <cell r="Q45">
            <v>0.95469999999999999</v>
          </cell>
          <cell r="R45">
            <v>0.95579999999999998</v>
          </cell>
          <cell r="S45">
            <v>0.95689999999999997</v>
          </cell>
          <cell r="T45">
            <v>0.95799999999999996</v>
          </cell>
          <cell r="U45">
            <v>0.95899999999999996</v>
          </cell>
          <cell r="V45">
            <v>0.95989999999999998</v>
          </cell>
          <cell r="W45">
            <v>0.96050000000000002</v>
          </cell>
          <cell r="X45">
            <v>0.96109999999999995</v>
          </cell>
          <cell r="Y45">
            <v>0.9617</v>
          </cell>
          <cell r="Z45">
            <v>0.96230000000000004</v>
          </cell>
          <cell r="AA45">
            <v>0.96289999999999998</v>
          </cell>
          <cell r="AB45">
            <v>0.96340000000000003</v>
          </cell>
          <cell r="AC45">
            <v>0.96389999999999998</v>
          </cell>
          <cell r="AD45">
            <v>0.96440000000000003</v>
          </cell>
          <cell r="AE45">
            <v>0.96489999999999998</v>
          </cell>
          <cell r="AF45">
            <v>0.96540000000000004</v>
          </cell>
          <cell r="AG45">
            <v>0.96589999999999998</v>
          </cell>
          <cell r="AH45">
            <v>0.96640000000000004</v>
          </cell>
          <cell r="AI45">
            <v>0.96679999999999999</v>
          </cell>
          <cell r="AJ45">
            <v>0.96719999999999995</v>
          </cell>
          <cell r="AK45">
            <v>0.9677</v>
          </cell>
          <cell r="AL45">
            <v>0.96809999999999996</v>
          </cell>
          <cell r="AM45">
            <v>0.96850000000000003</v>
          </cell>
          <cell r="AN45">
            <v>0.96889999999999998</v>
          </cell>
          <cell r="AO45">
            <v>0.96930000000000005</v>
          </cell>
          <cell r="AP45">
            <v>0.96960000000000002</v>
          </cell>
          <cell r="AQ45">
            <v>0.97</v>
          </cell>
          <cell r="AR45">
            <v>0.97040000000000004</v>
          </cell>
          <cell r="AS45">
            <v>0.97070000000000001</v>
          </cell>
          <cell r="AT45">
            <v>0.97089999999999999</v>
          </cell>
        </row>
        <row r="46">
          <cell r="B46">
            <v>64</v>
          </cell>
          <cell r="C46">
            <v>0.92610000000000003</v>
          </cell>
          <cell r="D46">
            <v>0.92720000000000002</v>
          </cell>
          <cell r="E46">
            <v>0.92879999999999996</v>
          </cell>
          <cell r="F46">
            <v>0.93049999999999999</v>
          </cell>
          <cell r="G46">
            <v>0.93200000000000005</v>
          </cell>
          <cell r="H46">
            <v>0.9335</v>
          </cell>
          <cell r="I46">
            <v>0.93500000000000005</v>
          </cell>
          <cell r="J46">
            <v>0.93640000000000001</v>
          </cell>
          <cell r="K46">
            <v>0.93769999999999998</v>
          </cell>
          <cell r="L46">
            <v>0.93899999999999995</v>
          </cell>
          <cell r="M46">
            <v>0.94020000000000004</v>
          </cell>
          <cell r="N46">
            <v>0.94140000000000001</v>
          </cell>
          <cell r="O46">
            <v>0.94259999999999999</v>
          </cell>
          <cell r="P46">
            <v>0.94820000000000004</v>
          </cell>
          <cell r="Q46">
            <v>0.95269999999999999</v>
          </cell>
          <cell r="R46">
            <v>0.95389999999999997</v>
          </cell>
          <cell r="S46">
            <v>0.95509999999999995</v>
          </cell>
          <cell r="T46">
            <v>0.95620000000000005</v>
          </cell>
          <cell r="U46">
            <v>0.95720000000000005</v>
          </cell>
          <cell r="V46">
            <v>0.95820000000000005</v>
          </cell>
          <cell r="W46">
            <v>0.95879999999999999</v>
          </cell>
          <cell r="X46">
            <v>0.95950000000000002</v>
          </cell>
          <cell r="Y46">
            <v>0.96009999999999995</v>
          </cell>
          <cell r="Z46">
            <v>0.9607</v>
          </cell>
          <cell r="AA46">
            <v>0.96130000000000004</v>
          </cell>
          <cell r="AB46">
            <v>0.96179999999999999</v>
          </cell>
          <cell r="AC46">
            <v>0.96240000000000003</v>
          </cell>
          <cell r="AD46">
            <v>0.96289999999999998</v>
          </cell>
          <cell r="AE46">
            <v>0.96340000000000003</v>
          </cell>
          <cell r="AF46">
            <v>0.96389999999999998</v>
          </cell>
          <cell r="AG46">
            <v>0.96440000000000003</v>
          </cell>
          <cell r="AH46">
            <v>0.96489999999999998</v>
          </cell>
          <cell r="AI46">
            <v>0.96540000000000004</v>
          </cell>
          <cell r="AJ46">
            <v>0.96579999999999999</v>
          </cell>
          <cell r="AK46">
            <v>0.96630000000000005</v>
          </cell>
          <cell r="AL46">
            <v>0.9667</v>
          </cell>
          <cell r="AM46">
            <v>0.96709999999999996</v>
          </cell>
          <cell r="AN46">
            <v>0.97650000000000003</v>
          </cell>
          <cell r="AO46">
            <v>0.96799999999999997</v>
          </cell>
          <cell r="AP46">
            <v>0.96830000000000005</v>
          </cell>
          <cell r="AQ46">
            <v>0.96870000000000001</v>
          </cell>
          <cell r="AR46">
            <v>0.96909999999999996</v>
          </cell>
          <cell r="AS46">
            <v>0.96950000000000003</v>
          </cell>
          <cell r="AT46">
            <v>0.96960000000000002</v>
          </cell>
        </row>
        <row r="47">
          <cell r="B47">
            <v>66</v>
          </cell>
          <cell r="C47">
            <v>0.92300000000000004</v>
          </cell>
          <cell r="D47">
            <v>0.92410000000000003</v>
          </cell>
          <cell r="E47">
            <v>0.92589999999999995</v>
          </cell>
          <cell r="F47">
            <v>0.92759999999999998</v>
          </cell>
          <cell r="G47">
            <v>0.92920000000000003</v>
          </cell>
          <cell r="H47">
            <v>0.93079999999999996</v>
          </cell>
          <cell r="I47">
            <v>0.93230000000000002</v>
          </cell>
          <cell r="J47">
            <v>0.93369999999999997</v>
          </cell>
          <cell r="K47">
            <v>0.93510000000000004</v>
          </cell>
          <cell r="L47">
            <v>0.9365</v>
          </cell>
          <cell r="M47">
            <v>0.93779999999999997</v>
          </cell>
          <cell r="N47">
            <v>0.93899999999999995</v>
          </cell>
          <cell r="O47">
            <v>0.94020000000000004</v>
          </cell>
          <cell r="P47">
            <v>0.94610000000000005</v>
          </cell>
          <cell r="Q47">
            <v>0.95079999999999998</v>
          </cell>
          <cell r="R47">
            <v>0.95199999999999996</v>
          </cell>
          <cell r="S47">
            <v>0.95320000000000005</v>
          </cell>
          <cell r="T47">
            <v>0.95440000000000003</v>
          </cell>
          <cell r="U47">
            <v>0.95550000000000002</v>
          </cell>
          <cell r="V47">
            <v>0.95650000000000002</v>
          </cell>
          <cell r="W47">
            <v>0.95709999999999995</v>
          </cell>
          <cell r="X47">
            <v>0.96779999999999999</v>
          </cell>
          <cell r="Y47">
            <v>0.95840000000000003</v>
          </cell>
          <cell r="Z47">
            <v>0.95909999999999995</v>
          </cell>
          <cell r="AA47">
            <v>0.9597</v>
          </cell>
          <cell r="AB47">
            <v>0.96030000000000004</v>
          </cell>
          <cell r="AC47">
            <v>0.96079999999999999</v>
          </cell>
          <cell r="AD47">
            <v>0.96140000000000003</v>
          </cell>
          <cell r="AE47">
            <v>0.96189999999999998</v>
          </cell>
          <cell r="AF47">
            <v>0.96240000000000003</v>
          </cell>
          <cell r="AG47">
            <v>0.96299999999999997</v>
          </cell>
          <cell r="AH47">
            <v>0.96350000000000002</v>
          </cell>
          <cell r="AI47">
            <v>0.96389999999999998</v>
          </cell>
          <cell r="AJ47">
            <v>0.96440000000000003</v>
          </cell>
          <cell r="AK47">
            <v>0.96489999999999998</v>
          </cell>
          <cell r="AL47">
            <v>0.96530000000000005</v>
          </cell>
          <cell r="AM47">
            <v>0.96579999999999999</v>
          </cell>
          <cell r="AN47">
            <v>0.96619999999999995</v>
          </cell>
          <cell r="AO47">
            <v>0.96660000000000001</v>
          </cell>
          <cell r="AP47">
            <v>0.96699999999999997</v>
          </cell>
          <cell r="AQ47">
            <v>0.96740000000000004</v>
          </cell>
          <cell r="AR47">
            <v>0.96779999999999999</v>
          </cell>
          <cell r="AS47">
            <v>0.96819999999999995</v>
          </cell>
          <cell r="AT47">
            <v>0.96840000000000004</v>
          </cell>
        </row>
        <row r="48">
          <cell r="B48">
            <v>68</v>
          </cell>
          <cell r="C48">
            <v>0.92</v>
          </cell>
          <cell r="D48">
            <v>0.92110000000000003</v>
          </cell>
          <cell r="E48">
            <v>0.92290000000000005</v>
          </cell>
          <cell r="F48">
            <v>0.92469999999999997</v>
          </cell>
          <cell r="G48">
            <v>0.9264</v>
          </cell>
          <cell r="H48">
            <v>0.92800000000000005</v>
          </cell>
          <cell r="I48">
            <v>0.92296</v>
          </cell>
          <cell r="J48">
            <v>0.93110000000000004</v>
          </cell>
          <cell r="K48">
            <v>0.93259999999999998</v>
          </cell>
          <cell r="L48">
            <v>0.93400000000000005</v>
          </cell>
          <cell r="M48">
            <v>0.93530000000000002</v>
          </cell>
          <cell r="N48">
            <v>0.93659999999999999</v>
          </cell>
          <cell r="O48">
            <v>0.93779999999999997</v>
          </cell>
          <cell r="P48">
            <v>0.94389999999999996</v>
          </cell>
          <cell r="Q48">
            <v>0.94879999999999998</v>
          </cell>
          <cell r="R48">
            <v>0.95009999999999994</v>
          </cell>
          <cell r="S48">
            <v>0.95130000000000003</v>
          </cell>
          <cell r="T48">
            <v>0.95250000000000001</v>
          </cell>
          <cell r="U48">
            <v>0.95369999999999999</v>
          </cell>
          <cell r="V48">
            <v>0.95469999999999999</v>
          </cell>
          <cell r="W48">
            <v>0.95540000000000003</v>
          </cell>
          <cell r="X48">
            <v>0.95609999999999995</v>
          </cell>
          <cell r="Y48">
            <v>0.95679999999999998</v>
          </cell>
          <cell r="Z48">
            <v>0.95740000000000003</v>
          </cell>
          <cell r="AA48">
            <v>0.95809999999999995</v>
          </cell>
          <cell r="AB48">
            <v>0.9587</v>
          </cell>
          <cell r="AC48">
            <v>0.95930000000000004</v>
          </cell>
          <cell r="AD48">
            <v>0.96</v>
          </cell>
          <cell r="AE48">
            <v>0.96040000000000003</v>
          </cell>
          <cell r="AF48">
            <v>0.96099999999999997</v>
          </cell>
          <cell r="AG48">
            <v>0.96150000000000002</v>
          </cell>
          <cell r="AH48">
            <v>0.96199999999999997</v>
          </cell>
          <cell r="AI48">
            <v>0.96250000000000002</v>
          </cell>
          <cell r="AJ48">
            <v>0.96299999999999997</v>
          </cell>
          <cell r="AK48">
            <v>0.96350000000000002</v>
          </cell>
          <cell r="AL48">
            <v>0.96399999999999997</v>
          </cell>
          <cell r="AM48">
            <v>0.96440000000000003</v>
          </cell>
          <cell r="AN48">
            <v>0.96489999999999998</v>
          </cell>
          <cell r="AO48">
            <v>0.96530000000000005</v>
          </cell>
          <cell r="AP48">
            <v>0.9657</v>
          </cell>
          <cell r="AQ48">
            <v>0.96619999999999995</v>
          </cell>
          <cell r="AR48">
            <v>0.96660000000000001</v>
          </cell>
          <cell r="AS48">
            <v>0.96699999999999997</v>
          </cell>
          <cell r="AT48">
            <v>0.96709999999999996</v>
          </cell>
        </row>
        <row r="49">
          <cell r="B49">
            <v>70</v>
          </cell>
          <cell r="C49">
            <v>0.91690000000000005</v>
          </cell>
          <cell r="D49">
            <v>0.91810000000000003</v>
          </cell>
          <cell r="E49">
            <v>0.92</v>
          </cell>
          <cell r="F49">
            <v>0.92179999999999995</v>
          </cell>
          <cell r="G49">
            <v>0.92359999999999998</v>
          </cell>
          <cell r="H49">
            <v>0.92530000000000001</v>
          </cell>
          <cell r="I49">
            <v>0.92689999999999995</v>
          </cell>
          <cell r="J49">
            <v>0.92849999999999999</v>
          </cell>
          <cell r="K49">
            <v>0.93</v>
          </cell>
          <cell r="L49">
            <v>0.93140000000000001</v>
          </cell>
          <cell r="M49">
            <v>0.93279999999999996</v>
          </cell>
          <cell r="N49">
            <v>0.93420000000000003</v>
          </cell>
          <cell r="O49">
            <v>0.9355</v>
          </cell>
          <cell r="P49">
            <v>0.94179999999999997</v>
          </cell>
          <cell r="Q49">
            <v>0.94689999999999996</v>
          </cell>
          <cell r="R49">
            <v>0.94820000000000004</v>
          </cell>
          <cell r="S49">
            <v>0.94950000000000001</v>
          </cell>
          <cell r="T49">
            <v>0.95069999999999999</v>
          </cell>
          <cell r="U49">
            <v>0.95189999999999997</v>
          </cell>
          <cell r="V49">
            <v>0.95299999999999996</v>
          </cell>
          <cell r="W49">
            <v>0.95369999999999999</v>
          </cell>
          <cell r="X49">
            <v>0.95450000000000002</v>
          </cell>
          <cell r="Y49">
            <v>0.95509999999999995</v>
          </cell>
          <cell r="Z49">
            <v>0.95579999999999998</v>
          </cell>
          <cell r="AA49">
            <v>0.95650000000000002</v>
          </cell>
          <cell r="AB49">
            <v>0.95709999999999995</v>
          </cell>
          <cell r="AC49">
            <v>0.9577</v>
          </cell>
          <cell r="AD49">
            <v>0.95840000000000003</v>
          </cell>
          <cell r="AE49">
            <v>0.95889999999999997</v>
          </cell>
          <cell r="AF49">
            <v>0.95950000000000002</v>
          </cell>
          <cell r="AG49">
            <v>0.96</v>
          </cell>
          <cell r="AH49">
            <v>0.96050000000000002</v>
          </cell>
          <cell r="AI49">
            <v>0.96109999999999995</v>
          </cell>
          <cell r="AJ49">
            <v>0.96160000000000001</v>
          </cell>
          <cell r="AK49">
            <v>0.96209999999999996</v>
          </cell>
          <cell r="AL49">
            <v>0.96260000000000001</v>
          </cell>
          <cell r="AM49">
            <v>0.96309999999999996</v>
          </cell>
          <cell r="AN49">
            <v>0.96350000000000002</v>
          </cell>
          <cell r="AO49">
            <v>0.96399999999999997</v>
          </cell>
          <cell r="AP49">
            <v>0.96440000000000003</v>
          </cell>
          <cell r="AQ49">
            <v>0.96489999999999998</v>
          </cell>
          <cell r="AR49">
            <v>0.96530000000000005</v>
          </cell>
          <cell r="AS49">
            <v>0.9657</v>
          </cell>
          <cell r="AT49">
            <v>0.96589999999999998</v>
          </cell>
        </row>
        <row r="50">
          <cell r="B50">
            <v>72</v>
          </cell>
          <cell r="C50">
            <v>0.91379999999999995</v>
          </cell>
          <cell r="D50">
            <v>0.91510000000000002</v>
          </cell>
          <cell r="E50">
            <v>0.91700000000000004</v>
          </cell>
          <cell r="F50">
            <v>0.91890000000000005</v>
          </cell>
          <cell r="G50">
            <v>0.92079999999999995</v>
          </cell>
          <cell r="H50">
            <v>0.92249999999999999</v>
          </cell>
          <cell r="I50">
            <v>0.92420000000000002</v>
          </cell>
          <cell r="J50">
            <v>0.92579999999999996</v>
          </cell>
          <cell r="K50">
            <v>0.9274</v>
          </cell>
          <cell r="L50">
            <v>0.92889999999999995</v>
          </cell>
          <cell r="M50">
            <v>0.93030000000000002</v>
          </cell>
          <cell r="N50">
            <v>0.93200000000000005</v>
          </cell>
          <cell r="O50">
            <v>0.93310000000000004</v>
          </cell>
          <cell r="P50">
            <v>0.93969999999999998</v>
          </cell>
          <cell r="Q50">
            <v>0.94489999999999996</v>
          </cell>
          <cell r="R50">
            <v>0.94630000000000003</v>
          </cell>
          <cell r="S50">
            <v>0.9476</v>
          </cell>
          <cell r="T50">
            <v>0.94889999999999997</v>
          </cell>
          <cell r="U50">
            <v>0.95020000000000004</v>
          </cell>
          <cell r="V50">
            <v>0.95130000000000003</v>
          </cell>
          <cell r="W50">
            <v>0.95199999999999996</v>
          </cell>
          <cell r="X50">
            <v>0.95279999999999998</v>
          </cell>
          <cell r="Y50">
            <v>0.95350000000000001</v>
          </cell>
          <cell r="Z50">
            <v>0.95420000000000005</v>
          </cell>
          <cell r="AA50">
            <v>0.95489999999999997</v>
          </cell>
          <cell r="AB50">
            <v>0.95550000000000002</v>
          </cell>
          <cell r="AC50">
            <v>0.95620000000000005</v>
          </cell>
          <cell r="AD50">
            <v>0.95679999999999998</v>
          </cell>
          <cell r="AE50">
            <v>0.95740000000000003</v>
          </cell>
          <cell r="AF50">
            <v>0.95799999999999996</v>
          </cell>
          <cell r="AG50">
            <v>0.95860000000000001</v>
          </cell>
          <cell r="AH50">
            <v>0.95909999999999995</v>
          </cell>
          <cell r="AI50">
            <v>0.9597</v>
          </cell>
          <cell r="AJ50">
            <v>0.96020000000000005</v>
          </cell>
          <cell r="AK50">
            <v>0.9607</v>
          </cell>
          <cell r="AL50">
            <v>0.96120000000000005</v>
          </cell>
          <cell r="AM50">
            <v>0.9617</v>
          </cell>
          <cell r="AN50">
            <v>0.96220000000000006</v>
          </cell>
          <cell r="AO50">
            <v>0.9627</v>
          </cell>
          <cell r="AP50">
            <v>0.96309999999999996</v>
          </cell>
          <cell r="AQ50">
            <v>0.96360000000000001</v>
          </cell>
          <cell r="AR50">
            <v>0.96399999999999997</v>
          </cell>
          <cell r="AS50">
            <v>0.96440000000000003</v>
          </cell>
          <cell r="AT50">
            <v>0.96460000000000001</v>
          </cell>
        </row>
        <row r="51">
          <cell r="B51">
            <v>74</v>
          </cell>
          <cell r="C51">
            <v>0.91080000000000005</v>
          </cell>
          <cell r="D51">
            <v>0.91200000000000003</v>
          </cell>
          <cell r="E51">
            <v>0.91410000000000002</v>
          </cell>
          <cell r="F51">
            <v>0.91600000000000004</v>
          </cell>
          <cell r="G51">
            <v>0.91790000000000005</v>
          </cell>
          <cell r="H51">
            <v>0.91979999999999995</v>
          </cell>
          <cell r="I51">
            <v>0.92149999999999999</v>
          </cell>
          <cell r="J51">
            <v>0.92320000000000002</v>
          </cell>
          <cell r="K51">
            <v>0.92479999999999996</v>
          </cell>
          <cell r="L51">
            <v>0.9264</v>
          </cell>
          <cell r="M51">
            <v>0.92789999999999995</v>
          </cell>
          <cell r="N51">
            <v>0.92930000000000001</v>
          </cell>
          <cell r="O51">
            <v>0.93069999999999997</v>
          </cell>
          <cell r="P51">
            <v>0.9375</v>
          </cell>
          <cell r="Q51">
            <v>0.94299999999999995</v>
          </cell>
          <cell r="R51">
            <v>0.94440000000000002</v>
          </cell>
          <cell r="S51">
            <v>0.94579999999999997</v>
          </cell>
          <cell r="T51">
            <v>0.94710000000000005</v>
          </cell>
          <cell r="U51">
            <v>0.94840000000000002</v>
          </cell>
          <cell r="V51">
            <v>0.9496</v>
          </cell>
          <cell r="W51">
            <v>0.95030000000000003</v>
          </cell>
          <cell r="X51">
            <v>0.95109999999999995</v>
          </cell>
          <cell r="Y51">
            <v>0.95179999999999998</v>
          </cell>
          <cell r="Z51">
            <v>0.9526</v>
          </cell>
          <cell r="AA51">
            <v>0.95330000000000004</v>
          </cell>
          <cell r="AB51">
            <v>0.95389999999999997</v>
          </cell>
          <cell r="AC51">
            <v>0.9546</v>
          </cell>
          <cell r="AD51">
            <v>0.95530000000000004</v>
          </cell>
          <cell r="AE51">
            <v>0.95589999999999997</v>
          </cell>
          <cell r="AF51">
            <v>0.95650000000000002</v>
          </cell>
          <cell r="AG51">
            <v>0.95709999999999995</v>
          </cell>
          <cell r="AH51">
            <v>0.9577</v>
          </cell>
          <cell r="AI51">
            <v>0.95820000000000005</v>
          </cell>
          <cell r="AJ51">
            <v>0.95879999999999999</v>
          </cell>
          <cell r="AK51">
            <v>0.95930000000000004</v>
          </cell>
          <cell r="AL51">
            <v>0.95979999999999999</v>
          </cell>
          <cell r="AM51">
            <v>0.96040000000000003</v>
          </cell>
          <cell r="AN51">
            <v>0.96089999999999998</v>
          </cell>
          <cell r="AO51">
            <v>0.96130000000000004</v>
          </cell>
          <cell r="AP51">
            <v>0.96179999999999999</v>
          </cell>
          <cell r="AQ51">
            <v>0.96230000000000004</v>
          </cell>
          <cell r="AR51">
            <v>0.9627</v>
          </cell>
          <cell r="AS51">
            <v>0.96319999999999995</v>
          </cell>
          <cell r="AT51">
            <v>0.96340000000000003</v>
          </cell>
        </row>
        <row r="52">
          <cell r="B52">
            <v>76</v>
          </cell>
          <cell r="C52">
            <v>0.90769999999999995</v>
          </cell>
          <cell r="D52">
            <v>0.90900000000000003</v>
          </cell>
          <cell r="E52">
            <v>0.91110000000000002</v>
          </cell>
          <cell r="F52">
            <v>0.91320000000000001</v>
          </cell>
          <cell r="G52">
            <v>0.91510000000000002</v>
          </cell>
          <cell r="H52">
            <v>0.91700000000000004</v>
          </cell>
          <cell r="I52">
            <v>0.91879999999999995</v>
          </cell>
          <cell r="J52">
            <v>0.92049999999999998</v>
          </cell>
          <cell r="K52">
            <v>0.92220000000000002</v>
          </cell>
          <cell r="L52">
            <v>0.92379999999999995</v>
          </cell>
          <cell r="M52">
            <v>0.9254</v>
          </cell>
          <cell r="N52">
            <v>0.92689999999999995</v>
          </cell>
          <cell r="O52">
            <v>0.92830000000000001</v>
          </cell>
          <cell r="P52">
            <v>0.93540000000000001</v>
          </cell>
          <cell r="Q52">
            <v>0.94099999999999995</v>
          </cell>
          <cell r="R52">
            <v>0.9425</v>
          </cell>
          <cell r="S52">
            <v>0.94389999999999996</v>
          </cell>
          <cell r="T52">
            <v>0.94530000000000003</v>
          </cell>
          <cell r="U52">
            <v>0.9466</v>
          </cell>
          <cell r="V52">
            <v>0.94779999999999998</v>
          </cell>
          <cell r="W52">
            <v>0.9486</v>
          </cell>
          <cell r="X52">
            <v>0.94940000000000002</v>
          </cell>
          <cell r="Y52">
            <v>0.95020000000000004</v>
          </cell>
          <cell r="Z52">
            <v>0.95089999999999997</v>
          </cell>
          <cell r="AA52">
            <v>0.95169999999999999</v>
          </cell>
          <cell r="AB52">
            <v>0.95240000000000002</v>
          </cell>
          <cell r="AC52">
            <v>0.95309999999999995</v>
          </cell>
          <cell r="AD52">
            <v>0.95369999999999999</v>
          </cell>
          <cell r="AE52">
            <v>0.95440000000000003</v>
          </cell>
          <cell r="AF52">
            <v>0.95499999999999996</v>
          </cell>
          <cell r="AG52">
            <v>0.9556</v>
          </cell>
          <cell r="AH52">
            <v>0.95620000000000005</v>
          </cell>
          <cell r="AI52">
            <v>0.95679999999999998</v>
          </cell>
          <cell r="AJ52">
            <v>0.95740000000000003</v>
          </cell>
          <cell r="AK52">
            <v>0.95789999999999997</v>
          </cell>
          <cell r="AL52">
            <v>0.95850000000000002</v>
          </cell>
          <cell r="AM52">
            <v>0.95899999999999996</v>
          </cell>
          <cell r="AN52">
            <v>0.95950000000000002</v>
          </cell>
          <cell r="AO52">
            <v>0.96</v>
          </cell>
          <cell r="AP52">
            <v>0.96050000000000002</v>
          </cell>
          <cell r="AQ52">
            <v>0.96099999999999997</v>
          </cell>
          <cell r="AR52">
            <v>0.96150000000000002</v>
          </cell>
          <cell r="AS52">
            <v>0.96189999999999998</v>
          </cell>
          <cell r="AT52">
            <v>0.96209999999999996</v>
          </cell>
        </row>
        <row r="53">
          <cell r="B53">
            <v>78</v>
          </cell>
          <cell r="C53">
            <v>0.90459999999999996</v>
          </cell>
          <cell r="D53">
            <v>0.90600000000000003</v>
          </cell>
          <cell r="E53">
            <v>0.90820000000000001</v>
          </cell>
          <cell r="F53">
            <v>0.9103</v>
          </cell>
          <cell r="G53">
            <v>0.9123</v>
          </cell>
          <cell r="H53">
            <v>0.91420000000000001</v>
          </cell>
          <cell r="I53">
            <v>0.91610000000000003</v>
          </cell>
          <cell r="J53">
            <v>0.91790000000000005</v>
          </cell>
          <cell r="K53">
            <v>0.91959999999999997</v>
          </cell>
          <cell r="L53">
            <v>0.92130000000000001</v>
          </cell>
          <cell r="M53">
            <v>0.92290000000000005</v>
          </cell>
          <cell r="N53">
            <v>0.9244</v>
          </cell>
          <cell r="O53">
            <v>0.92589999999999995</v>
          </cell>
          <cell r="P53">
            <v>0.93320000000000003</v>
          </cell>
          <cell r="Q53">
            <v>0.93899999999999995</v>
          </cell>
          <cell r="R53">
            <v>0.94059999999999999</v>
          </cell>
          <cell r="S53">
            <v>0.94199999999999995</v>
          </cell>
          <cell r="T53">
            <v>0.94350000000000001</v>
          </cell>
          <cell r="U53">
            <v>0.94479999999999997</v>
          </cell>
          <cell r="V53">
            <v>0.94610000000000005</v>
          </cell>
          <cell r="W53">
            <v>0.94689999999999996</v>
          </cell>
          <cell r="X53">
            <v>0.94769999999999999</v>
          </cell>
          <cell r="Y53">
            <v>0.94850000000000001</v>
          </cell>
          <cell r="Z53">
            <v>0.94930000000000003</v>
          </cell>
          <cell r="AA53">
            <v>0.95009999999999994</v>
          </cell>
          <cell r="AB53">
            <v>0.95079999999999998</v>
          </cell>
          <cell r="AC53">
            <v>0.95150000000000001</v>
          </cell>
          <cell r="AD53">
            <v>0.95220000000000005</v>
          </cell>
          <cell r="AE53">
            <v>0.95289999999999997</v>
          </cell>
          <cell r="AF53">
            <v>0.95350000000000001</v>
          </cell>
          <cell r="AG53">
            <v>0.95409999999999995</v>
          </cell>
          <cell r="AH53">
            <v>0.95479999999999998</v>
          </cell>
          <cell r="AI53">
            <v>0.95540000000000003</v>
          </cell>
          <cell r="AJ53">
            <v>0.95599999999999996</v>
          </cell>
          <cell r="AK53">
            <v>0.95650000000000002</v>
          </cell>
          <cell r="AL53">
            <v>0.95709999999999995</v>
          </cell>
          <cell r="AM53">
            <v>0.95760000000000001</v>
          </cell>
          <cell r="AN53">
            <v>0.95820000000000005</v>
          </cell>
          <cell r="AO53">
            <v>0.9587</v>
          </cell>
          <cell r="AP53">
            <v>0.95920000000000005</v>
          </cell>
          <cell r="AQ53">
            <v>0.9597</v>
          </cell>
          <cell r="AR53">
            <v>0.96020000000000005</v>
          </cell>
          <cell r="AS53">
            <v>0.9607</v>
          </cell>
          <cell r="AT53">
            <v>0.96089999999999998</v>
          </cell>
        </row>
        <row r="54">
          <cell r="B54">
            <v>80</v>
          </cell>
          <cell r="C54">
            <v>0.89839999999999998</v>
          </cell>
          <cell r="D54">
            <v>0.89990000000000003</v>
          </cell>
          <cell r="E54">
            <v>0.9022</v>
          </cell>
          <cell r="F54">
            <v>0.90739999999999998</v>
          </cell>
          <cell r="G54">
            <v>0.90939999999999999</v>
          </cell>
          <cell r="H54">
            <v>0.91149999999999998</v>
          </cell>
          <cell r="I54">
            <v>0.91339999999999999</v>
          </cell>
          <cell r="J54">
            <v>0.91520000000000001</v>
          </cell>
          <cell r="K54">
            <v>0.91700000000000004</v>
          </cell>
          <cell r="L54">
            <v>0.91879999999999995</v>
          </cell>
          <cell r="M54">
            <v>0.9204</v>
          </cell>
          <cell r="N54">
            <v>0.92200000000000004</v>
          </cell>
          <cell r="O54">
            <v>0.92359999999999998</v>
          </cell>
          <cell r="P54">
            <v>0.93110000000000004</v>
          </cell>
          <cell r="Q54">
            <v>0.93710000000000004</v>
          </cell>
          <cell r="R54">
            <v>0.93869999999999998</v>
          </cell>
          <cell r="S54">
            <v>0.94020000000000004</v>
          </cell>
          <cell r="T54">
            <v>0.94169999999999998</v>
          </cell>
          <cell r="U54">
            <v>0.94310000000000005</v>
          </cell>
          <cell r="V54">
            <v>0.94440000000000002</v>
          </cell>
          <cell r="W54">
            <v>0.94520000000000004</v>
          </cell>
          <cell r="X54">
            <v>0.94610000000000005</v>
          </cell>
          <cell r="Y54">
            <v>0.94689999999999996</v>
          </cell>
          <cell r="Z54">
            <v>0.94769999999999999</v>
          </cell>
          <cell r="AA54">
            <v>0.94850000000000001</v>
          </cell>
          <cell r="AB54">
            <v>0.94920000000000004</v>
          </cell>
          <cell r="AC54">
            <v>0.94989999999999997</v>
          </cell>
          <cell r="AD54">
            <v>0.95069999999999999</v>
          </cell>
          <cell r="AE54">
            <v>0.95130000000000003</v>
          </cell>
          <cell r="AF54">
            <v>0.95199999999999996</v>
          </cell>
          <cell r="AG54">
            <v>0.95269999999999999</v>
          </cell>
          <cell r="AH54">
            <v>0.95330000000000004</v>
          </cell>
          <cell r="AI54">
            <v>0.95389999999999997</v>
          </cell>
          <cell r="AJ54">
            <v>0.9546</v>
          </cell>
          <cell r="AK54">
            <v>0.95509999999999995</v>
          </cell>
          <cell r="AL54">
            <v>0.95569999999999999</v>
          </cell>
          <cell r="AM54">
            <v>0.95630000000000004</v>
          </cell>
          <cell r="AN54">
            <v>0.95679999999999998</v>
          </cell>
          <cell r="AO54">
            <v>0.95740000000000003</v>
          </cell>
          <cell r="AP54">
            <v>0.95789999999999997</v>
          </cell>
          <cell r="AQ54">
            <v>0.95840000000000003</v>
          </cell>
          <cell r="AR54">
            <v>0.95889999999999997</v>
          </cell>
          <cell r="AS54">
            <v>0.95840000000000003</v>
          </cell>
          <cell r="AT54">
            <v>0.95960000000000001</v>
          </cell>
        </row>
        <row r="55">
          <cell r="B55">
            <v>82</v>
          </cell>
          <cell r="C55">
            <v>0.89839999999999998</v>
          </cell>
          <cell r="D55">
            <v>0.89990000000000003</v>
          </cell>
          <cell r="E55">
            <v>0.9022</v>
          </cell>
          <cell r="F55">
            <v>0.90449999999999997</v>
          </cell>
          <cell r="G55">
            <v>0.90659999999999996</v>
          </cell>
          <cell r="H55">
            <v>0.90869999999999995</v>
          </cell>
          <cell r="I55">
            <v>0.91069999999999995</v>
          </cell>
          <cell r="J55">
            <v>0.91259999999999997</v>
          </cell>
          <cell r="K55">
            <v>0.91439999999999999</v>
          </cell>
          <cell r="L55">
            <v>0.91620000000000001</v>
          </cell>
          <cell r="M55">
            <v>0.91790000000000005</v>
          </cell>
          <cell r="N55">
            <v>0.91959999999999997</v>
          </cell>
          <cell r="O55">
            <v>0.92120000000000002</v>
          </cell>
          <cell r="P55">
            <v>0.92889999999999995</v>
          </cell>
          <cell r="Q55">
            <v>0.93510000000000004</v>
          </cell>
          <cell r="R55">
            <v>0.93669999999999998</v>
          </cell>
          <cell r="S55">
            <v>0.93830000000000002</v>
          </cell>
          <cell r="T55">
            <v>0.93979999999999997</v>
          </cell>
          <cell r="U55">
            <v>0.94130000000000003</v>
          </cell>
          <cell r="V55">
            <v>0.94259999999999999</v>
          </cell>
          <cell r="W55">
            <v>0.94350000000000001</v>
          </cell>
          <cell r="X55">
            <v>0.94440000000000002</v>
          </cell>
          <cell r="Y55">
            <v>0.94520000000000004</v>
          </cell>
          <cell r="Z55">
            <v>0.94610000000000005</v>
          </cell>
          <cell r="AA55">
            <v>0.94689999999999996</v>
          </cell>
          <cell r="AB55">
            <v>0.9476</v>
          </cell>
          <cell r="AC55">
            <v>0.94840000000000002</v>
          </cell>
          <cell r="AD55">
            <v>0.94910000000000005</v>
          </cell>
          <cell r="AE55">
            <v>0.94979999999999998</v>
          </cell>
          <cell r="AF55">
            <v>0.95050000000000001</v>
          </cell>
          <cell r="AG55">
            <v>0.95120000000000005</v>
          </cell>
          <cell r="AH55">
            <v>0.95189999999999997</v>
          </cell>
          <cell r="AI55">
            <v>0.95250000000000001</v>
          </cell>
          <cell r="AJ55">
            <v>0.95309999999999995</v>
          </cell>
          <cell r="AK55">
            <v>0.95369999999999999</v>
          </cell>
          <cell r="AL55">
            <v>0.95430000000000004</v>
          </cell>
          <cell r="AM55">
            <v>0.95489999999999997</v>
          </cell>
          <cell r="AN55">
            <v>0.95550000000000002</v>
          </cell>
          <cell r="AO55">
            <v>0.95599999999999996</v>
          </cell>
          <cell r="AP55">
            <v>0.95660000000000001</v>
          </cell>
          <cell r="AQ55">
            <v>0.95709999999999995</v>
          </cell>
          <cell r="AR55">
            <v>0.95760000000000001</v>
          </cell>
          <cell r="AS55">
            <v>0.95809999999999995</v>
          </cell>
          <cell r="AT55">
            <v>0.95830000000000004</v>
          </cell>
        </row>
        <row r="56">
          <cell r="B56">
            <v>84</v>
          </cell>
          <cell r="C56">
            <v>0.89539999999999997</v>
          </cell>
          <cell r="D56">
            <v>0.89680000000000004</v>
          </cell>
          <cell r="E56">
            <v>0.89929999999999999</v>
          </cell>
          <cell r="F56">
            <v>0.90159999999999996</v>
          </cell>
          <cell r="G56">
            <v>0.90380000000000005</v>
          </cell>
          <cell r="H56">
            <v>0.90590000000000004</v>
          </cell>
          <cell r="I56">
            <v>0.90800000000000003</v>
          </cell>
          <cell r="J56">
            <v>0.90990000000000004</v>
          </cell>
          <cell r="K56">
            <v>0.91180000000000005</v>
          </cell>
          <cell r="L56">
            <v>0.91369999999999996</v>
          </cell>
          <cell r="M56">
            <v>0.91539999999999999</v>
          </cell>
          <cell r="N56">
            <v>0.91710000000000003</v>
          </cell>
          <cell r="O56">
            <v>0.91879999999999995</v>
          </cell>
          <cell r="P56">
            <v>0.92679999999999996</v>
          </cell>
          <cell r="Q56">
            <v>0.93320000000000003</v>
          </cell>
          <cell r="R56">
            <v>0.93479999999999996</v>
          </cell>
          <cell r="S56">
            <v>0.9365</v>
          </cell>
          <cell r="T56">
            <v>0.93799999999999994</v>
          </cell>
          <cell r="U56">
            <v>0.9395</v>
          </cell>
          <cell r="V56">
            <v>0.94089999999999996</v>
          </cell>
          <cell r="W56">
            <v>0.94179999999999997</v>
          </cell>
          <cell r="X56">
            <v>0.94269999999999998</v>
          </cell>
          <cell r="Y56">
            <v>0.94359999999999999</v>
          </cell>
          <cell r="Z56">
            <v>0.94440000000000002</v>
          </cell>
          <cell r="AA56">
            <v>0.94520000000000004</v>
          </cell>
          <cell r="AB56">
            <v>0.94599999999999995</v>
          </cell>
          <cell r="AC56">
            <v>0.94679999999999997</v>
          </cell>
          <cell r="AD56">
            <v>0.9476</v>
          </cell>
          <cell r="AE56">
            <v>0.94830000000000003</v>
          </cell>
          <cell r="AF56">
            <v>0.94899999999999995</v>
          </cell>
          <cell r="AG56">
            <v>0.94969999999999999</v>
          </cell>
          <cell r="AH56">
            <v>0.95040000000000002</v>
          </cell>
          <cell r="AI56">
            <v>0.95109999999999995</v>
          </cell>
          <cell r="AJ56">
            <v>0.95169999999999999</v>
          </cell>
          <cell r="AK56">
            <v>0.95240000000000002</v>
          </cell>
          <cell r="AL56">
            <v>0.95299999999999996</v>
          </cell>
          <cell r="AM56">
            <v>0.9536</v>
          </cell>
          <cell r="AN56">
            <v>0.95420000000000005</v>
          </cell>
          <cell r="AO56">
            <v>0.95469999999999999</v>
          </cell>
          <cell r="AP56">
            <v>0.95530000000000004</v>
          </cell>
          <cell r="AQ56">
            <v>0.95579999999999998</v>
          </cell>
          <cell r="AR56">
            <v>0.95640000000000003</v>
          </cell>
          <cell r="AS56">
            <v>0.95689999999999997</v>
          </cell>
          <cell r="AT56">
            <v>0.95709999999999995</v>
          </cell>
        </row>
        <row r="57">
          <cell r="B57">
            <v>86</v>
          </cell>
          <cell r="C57">
            <v>0.89232999999999996</v>
          </cell>
          <cell r="D57">
            <v>0.89380000000000004</v>
          </cell>
          <cell r="E57">
            <v>0.89629999999999999</v>
          </cell>
          <cell r="F57">
            <v>0.89870000000000005</v>
          </cell>
          <cell r="G57">
            <v>0.90090000000000003</v>
          </cell>
          <cell r="H57">
            <v>0.90310000000000001</v>
          </cell>
          <cell r="I57">
            <v>0.90529999999999999</v>
          </cell>
          <cell r="J57">
            <v>0.9073</v>
          </cell>
          <cell r="K57">
            <v>0.90920000000000001</v>
          </cell>
          <cell r="L57">
            <v>0.91110000000000002</v>
          </cell>
          <cell r="M57">
            <v>0.91290000000000004</v>
          </cell>
          <cell r="N57">
            <v>0.91469999999999996</v>
          </cell>
          <cell r="O57">
            <v>0.91639999999999999</v>
          </cell>
          <cell r="P57">
            <v>0.92459999999999998</v>
          </cell>
          <cell r="Q57">
            <v>0.93120000000000003</v>
          </cell>
          <cell r="R57">
            <v>0.93289999999999995</v>
          </cell>
          <cell r="S57">
            <v>0.93459999999999999</v>
          </cell>
          <cell r="T57">
            <v>0.93620000000000003</v>
          </cell>
          <cell r="U57">
            <v>0.93769999999999998</v>
          </cell>
          <cell r="V57">
            <v>0.93910000000000005</v>
          </cell>
          <cell r="W57">
            <v>0.94010000000000005</v>
          </cell>
          <cell r="X57">
            <v>0.94099999999999995</v>
          </cell>
          <cell r="Y57">
            <v>0.94189999999999996</v>
          </cell>
          <cell r="Z57">
            <v>0.94279999999999997</v>
          </cell>
          <cell r="AA57">
            <v>0.94359999999999999</v>
          </cell>
          <cell r="AB57">
            <v>0.94450000000000001</v>
          </cell>
          <cell r="AC57">
            <v>0.94530000000000003</v>
          </cell>
          <cell r="AD57">
            <v>0.94599999999999995</v>
          </cell>
          <cell r="AE57">
            <v>0.94679999999999997</v>
          </cell>
          <cell r="AF57">
            <v>0.94750000000000001</v>
          </cell>
          <cell r="AG57">
            <v>0.94830000000000003</v>
          </cell>
          <cell r="AH57">
            <v>0.94899999999999995</v>
          </cell>
          <cell r="AI57">
            <v>0.9496</v>
          </cell>
          <cell r="AJ57">
            <v>0.95030000000000003</v>
          </cell>
          <cell r="AK57">
            <v>0.95099999999999996</v>
          </cell>
          <cell r="AL57">
            <v>0.9516</v>
          </cell>
          <cell r="AM57">
            <v>0.95220000000000005</v>
          </cell>
          <cell r="AN57">
            <v>0.95279999999999998</v>
          </cell>
          <cell r="AO57">
            <v>0.95340000000000003</v>
          </cell>
          <cell r="AP57">
            <v>0.95399999999999996</v>
          </cell>
          <cell r="AQ57">
            <v>0.95450000000000002</v>
          </cell>
          <cell r="AR57">
            <v>0.95509999999999995</v>
          </cell>
          <cell r="AS57">
            <v>0.9556</v>
          </cell>
          <cell r="AT57">
            <v>0.95579999999999998</v>
          </cell>
        </row>
        <row r="58">
          <cell r="B58">
            <v>88</v>
          </cell>
          <cell r="C58">
            <v>0.88919999999999999</v>
          </cell>
          <cell r="D58">
            <v>0.89080000000000004</v>
          </cell>
          <cell r="E58">
            <v>0.89329999999999998</v>
          </cell>
          <cell r="F58">
            <v>0.89580000000000004</v>
          </cell>
          <cell r="G58">
            <v>0.89810000000000001</v>
          </cell>
          <cell r="H58">
            <v>0.90039999999999998</v>
          </cell>
          <cell r="I58">
            <v>0.90249999999999997</v>
          </cell>
          <cell r="J58">
            <v>0.90459999999999996</v>
          </cell>
          <cell r="K58">
            <v>0.90659999999999996</v>
          </cell>
          <cell r="L58">
            <v>0.90859999999999996</v>
          </cell>
          <cell r="M58">
            <v>0.91049999999999998</v>
          </cell>
          <cell r="N58">
            <v>0.9123</v>
          </cell>
          <cell r="O58">
            <v>0.91400000000000003</v>
          </cell>
          <cell r="P58">
            <v>0.9224</v>
          </cell>
          <cell r="Q58">
            <v>0.92920000000000003</v>
          </cell>
          <cell r="R58">
            <v>0.93100000000000005</v>
          </cell>
          <cell r="S58">
            <v>0.93269999999999997</v>
          </cell>
          <cell r="T58">
            <v>0.93440000000000001</v>
          </cell>
          <cell r="U58">
            <v>0.93600000000000005</v>
          </cell>
          <cell r="V58">
            <v>0.93740000000000001</v>
          </cell>
          <cell r="W58">
            <v>0.93840000000000001</v>
          </cell>
          <cell r="X58">
            <v>0.93930000000000002</v>
          </cell>
          <cell r="Y58">
            <v>0.94030000000000002</v>
          </cell>
          <cell r="Z58">
            <v>0.94120000000000004</v>
          </cell>
          <cell r="AA58">
            <v>0.94199999999999995</v>
          </cell>
          <cell r="AB58">
            <v>0.94289999999999996</v>
          </cell>
          <cell r="AC58">
            <v>0.94369999999999998</v>
          </cell>
          <cell r="AD58">
            <v>0.94450000000000001</v>
          </cell>
          <cell r="AE58">
            <v>0.94530000000000003</v>
          </cell>
          <cell r="AF58">
            <v>0.94599999999999995</v>
          </cell>
          <cell r="AG58">
            <v>0.94679999999999997</v>
          </cell>
          <cell r="AH58">
            <v>0.94750000000000001</v>
          </cell>
          <cell r="AI58">
            <v>0.94820000000000004</v>
          </cell>
          <cell r="AJ58">
            <v>0.94889999999999997</v>
          </cell>
          <cell r="AK58">
            <v>0.9496</v>
          </cell>
          <cell r="AL58">
            <v>0.95020000000000004</v>
          </cell>
          <cell r="AM58">
            <v>0.95079999999999998</v>
          </cell>
          <cell r="AN58">
            <v>0.95150000000000001</v>
          </cell>
          <cell r="AO58">
            <v>0.95209999999999995</v>
          </cell>
          <cell r="AP58">
            <v>0.95269999999999999</v>
          </cell>
          <cell r="AQ58">
            <v>0.95320000000000005</v>
          </cell>
          <cell r="AR58">
            <v>0.95379999999999998</v>
          </cell>
          <cell r="AS58">
            <v>0.95440000000000003</v>
          </cell>
          <cell r="AT58">
            <v>0.9546</v>
          </cell>
        </row>
        <row r="59">
          <cell r="B59">
            <v>90</v>
          </cell>
          <cell r="C59">
            <v>0.8861</v>
          </cell>
          <cell r="D59">
            <v>0.88770000000000004</v>
          </cell>
          <cell r="E59">
            <v>0.89029999999999998</v>
          </cell>
          <cell r="F59">
            <v>0.89280000000000004</v>
          </cell>
          <cell r="G59">
            <v>0.89529999999999998</v>
          </cell>
          <cell r="H59">
            <v>0.89759999999999995</v>
          </cell>
          <cell r="I59">
            <v>0.89980000000000004</v>
          </cell>
          <cell r="J59">
            <v>0.90200000000000002</v>
          </cell>
          <cell r="K59">
            <v>0.90400000000000003</v>
          </cell>
          <cell r="L59">
            <v>0.90600000000000003</v>
          </cell>
          <cell r="M59">
            <v>0.90800000000000003</v>
          </cell>
          <cell r="N59">
            <v>0.90980000000000005</v>
          </cell>
          <cell r="O59">
            <v>0.91159999999999997</v>
          </cell>
          <cell r="P59">
            <v>0.92030000000000001</v>
          </cell>
          <cell r="Q59">
            <v>0.92730000000000001</v>
          </cell>
          <cell r="R59">
            <v>0.92910000000000004</v>
          </cell>
          <cell r="S59">
            <v>0.93079999999999996</v>
          </cell>
          <cell r="T59">
            <v>0.9325</v>
          </cell>
          <cell r="U59">
            <v>0.93420000000000003</v>
          </cell>
          <cell r="V59">
            <v>0.93569999999999998</v>
          </cell>
          <cell r="W59">
            <v>0.93669999999999998</v>
          </cell>
          <cell r="X59">
            <v>0.93769999999999998</v>
          </cell>
          <cell r="Y59">
            <v>0.93859999999999999</v>
          </cell>
          <cell r="Z59">
            <v>0.9395</v>
          </cell>
          <cell r="AA59">
            <v>0.94040000000000001</v>
          </cell>
          <cell r="AB59">
            <v>0.94130000000000003</v>
          </cell>
          <cell r="AC59">
            <v>0.94240000000000002</v>
          </cell>
          <cell r="AD59">
            <v>0.94299999999999995</v>
          </cell>
          <cell r="AE59">
            <v>0.94379999999999997</v>
          </cell>
          <cell r="AF59">
            <v>0.94450000000000001</v>
          </cell>
          <cell r="AG59">
            <v>0.94530000000000003</v>
          </cell>
          <cell r="AH59">
            <v>0.94599999999999995</v>
          </cell>
          <cell r="AI59">
            <v>0.94679999999999997</v>
          </cell>
          <cell r="AJ59">
            <v>0.94750000000000001</v>
          </cell>
          <cell r="AK59">
            <v>0.94820000000000004</v>
          </cell>
          <cell r="AL59">
            <v>0.94879999999999998</v>
          </cell>
          <cell r="AM59">
            <v>0.94950000000000001</v>
          </cell>
          <cell r="AN59">
            <v>0.95009999999999994</v>
          </cell>
          <cell r="AO59">
            <v>0.95069999999999999</v>
          </cell>
          <cell r="AP59">
            <v>0.95130000000000003</v>
          </cell>
          <cell r="AQ59">
            <v>0.95189999999999997</v>
          </cell>
          <cell r="AR59">
            <v>0.95250000000000001</v>
          </cell>
          <cell r="AS59">
            <v>0.95309999999999995</v>
          </cell>
          <cell r="AT59">
            <v>0.95330000000000004</v>
          </cell>
        </row>
        <row r="60">
          <cell r="B60">
            <v>92</v>
          </cell>
          <cell r="C60">
            <v>0.88300000000000001</v>
          </cell>
          <cell r="D60">
            <v>0.88470000000000004</v>
          </cell>
          <cell r="E60">
            <v>0.88739999999999997</v>
          </cell>
          <cell r="F60">
            <v>0.88990000000000002</v>
          </cell>
          <cell r="G60">
            <v>0.89239999999999997</v>
          </cell>
          <cell r="H60">
            <v>0.89480000000000004</v>
          </cell>
          <cell r="I60">
            <v>0.89710000000000001</v>
          </cell>
          <cell r="J60">
            <v>0.89929999999999999</v>
          </cell>
          <cell r="K60">
            <v>0.90139999999999998</v>
          </cell>
          <cell r="L60">
            <v>0.90349999999999997</v>
          </cell>
          <cell r="M60">
            <v>0.90549999999999997</v>
          </cell>
          <cell r="N60">
            <v>0.90739999999999998</v>
          </cell>
          <cell r="O60">
            <v>0.90920000000000001</v>
          </cell>
          <cell r="P60">
            <v>0.91810000000000003</v>
          </cell>
          <cell r="Q60">
            <v>0.92530000000000001</v>
          </cell>
          <cell r="R60">
            <v>0.92720000000000002</v>
          </cell>
          <cell r="S60">
            <v>0.92900000000000005</v>
          </cell>
          <cell r="T60">
            <v>0.93069999999999997</v>
          </cell>
          <cell r="U60">
            <v>0.93240000000000001</v>
          </cell>
          <cell r="V60">
            <v>0.93389999999999995</v>
          </cell>
          <cell r="W60">
            <v>0.93500000000000005</v>
          </cell>
          <cell r="X60">
            <v>0.93600000000000005</v>
          </cell>
          <cell r="Y60">
            <v>0.93689999999999996</v>
          </cell>
          <cell r="Z60">
            <v>0.93789999999999996</v>
          </cell>
          <cell r="AA60">
            <v>0.93879999999999997</v>
          </cell>
          <cell r="AB60">
            <v>0.93969999999999998</v>
          </cell>
          <cell r="AC60">
            <v>0.94059999999999999</v>
          </cell>
          <cell r="AD60">
            <v>0.94140000000000001</v>
          </cell>
          <cell r="AE60">
            <v>0.94220000000000004</v>
          </cell>
          <cell r="AF60">
            <v>0.94299999999999995</v>
          </cell>
          <cell r="AG60">
            <v>0.94379999999999997</v>
          </cell>
          <cell r="AH60">
            <v>0.9446</v>
          </cell>
          <cell r="AI60">
            <v>0.94530000000000003</v>
          </cell>
          <cell r="AJ60">
            <v>0.94610000000000005</v>
          </cell>
          <cell r="AK60">
            <v>0.94679999999999997</v>
          </cell>
          <cell r="AL60">
            <v>0.94740000000000002</v>
          </cell>
          <cell r="AM60">
            <v>0.94810000000000005</v>
          </cell>
          <cell r="AN60">
            <v>0.94879999999999998</v>
          </cell>
          <cell r="AO60">
            <v>0.94940000000000002</v>
          </cell>
          <cell r="AP60">
            <v>0.95</v>
          </cell>
          <cell r="AQ60">
            <v>0.95069999999999999</v>
          </cell>
          <cell r="AR60">
            <v>0.95120000000000005</v>
          </cell>
          <cell r="AS60">
            <v>0.95179999999999998</v>
          </cell>
          <cell r="AT60">
            <v>0.95209999999999995</v>
          </cell>
        </row>
        <row r="61">
          <cell r="B61">
            <v>94</v>
          </cell>
          <cell r="C61">
            <v>0.87990000000000002</v>
          </cell>
          <cell r="D61">
            <v>0.88160000000000005</v>
          </cell>
          <cell r="E61">
            <v>0.88439999999999996</v>
          </cell>
          <cell r="F61">
            <v>0.88700000000000001</v>
          </cell>
          <cell r="G61">
            <v>0.88959999999999995</v>
          </cell>
          <cell r="H61">
            <v>0.89200000000000002</v>
          </cell>
          <cell r="I61">
            <v>0.89439999999999997</v>
          </cell>
          <cell r="J61">
            <v>0.89670000000000005</v>
          </cell>
          <cell r="K61">
            <v>0.89880000000000004</v>
          </cell>
          <cell r="L61">
            <v>0.90090000000000003</v>
          </cell>
          <cell r="M61">
            <v>0.90300000000000002</v>
          </cell>
          <cell r="N61">
            <v>0.90490000000000004</v>
          </cell>
          <cell r="O61">
            <v>0.90680000000000005</v>
          </cell>
          <cell r="P61">
            <v>0.91600000000000004</v>
          </cell>
          <cell r="Q61">
            <v>0.92330000000000001</v>
          </cell>
          <cell r="R61">
            <v>0.92520000000000002</v>
          </cell>
          <cell r="S61">
            <v>0.92710000000000004</v>
          </cell>
          <cell r="T61">
            <v>0.92889999999999995</v>
          </cell>
          <cell r="U61">
            <v>0.93059999999999998</v>
          </cell>
          <cell r="V61">
            <v>0.93220000000000003</v>
          </cell>
          <cell r="W61">
            <v>0.93330000000000002</v>
          </cell>
          <cell r="X61">
            <v>0.93430000000000002</v>
          </cell>
          <cell r="Y61">
            <v>0.93530000000000002</v>
          </cell>
          <cell r="Z61">
            <v>0.93630000000000002</v>
          </cell>
          <cell r="AA61">
            <v>0.93720000000000003</v>
          </cell>
          <cell r="AB61">
            <v>0.93810000000000004</v>
          </cell>
          <cell r="AC61">
            <v>0.93899999999999995</v>
          </cell>
          <cell r="AD61">
            <v>0.93989999999999996</v>
          </cell>
          <cell r="AE61">
            <v>0.94069999999999998</v>
          </cell>
          <cell r="AF61">
            <v>0.94099999999999995</v>
          </cell>
          <cell r="AG61">
            <v>0.94230000000000003</v>
          </cell>
          <cell r="AH61">
            <v>0.94310000000000005</v>
          </cell>
          <cell r="AI61">
            <v>0.94389999999999996</v>
          </cell>
          <cell r="AJ61">
            <v>0.9446</v>
          </cell>
          <cell r="AK61">
            <v>0.94540000000000002</v>
          </cell>
          <cell r="AL61">
            <v>0.94610000000000005</v>
          </cell>
          <cell r="AM61">
            <v>0.94679999999999997</v>
          </cell>
          <cell r="AN61">
            <v>0.94740000000000002</v>
          </cell>
          <cell r="AO61">
            <v>0.94810000000000005</v>
          </cell>
          <cell r="AP61">
            <v>0.94869999999999999</v>
          </cell>
          <cell r="AQ61">
            <v>0.94940000000000002</v>
          </cell>
          <cell r="AR61">
            <v>0.95</v>
          </cell>
          <cell r="AS61">
            <v>0.9506</v>
          </cell>
          <cell r="AT61">
            <v>0.95079999999999998</v>
          </cell>
        </row>
        <row r="62">
          <cell r="B62">
            <v>96</v>
          </cell>
          <cell r="P62">
            <v>0.91379999999999995</v>
          </cell>
          <cell r="Q62">
            <v>0.92132999999999998</v>
          </cell>
          <cell r="R62">
            <v>0.92330000000000001</v>
          </cell>
          <cell r="S62">
            <v>0.92520000000000002</v>
          </cell>
          <cell r="T62">
            <v>0.92710000000000004</v>
          </cell>
          <cell r="U62">
            <v>0.92879999999999996</v>
          </cell>
          <cell r="V62">
            <v>0.93049999999999999</v>
          </cell>
          <cell r="W62">
            <v>0.93149999999999999</v>
          </cell>
          <cell r="X62">
            <v>0.93259999999999998</v>
          </cell>
          <cell r="Y62">
            <v>0.93359999999999999</v>
          </cell>
          <cell r="Z62">
            <v>0.93459999999999999</v>
          </cell>
          <cell r="AA62">
            <v>0.93559999999999999</v>
          </cell>
          <cell r="AB62">
            <v>0.9365</v>
          </cell>
          <cell r="AC62">
            <v>0.93740000000000001</v>
          </cell>
          <cell r="AD62">
            <v>0.93830000000000002</v>
          </cell>
          <cell r="AE62">
            <v>0.93920000000000003</v>
          </cell>
          <cell r="AF62">
            <v>0.94010000000000005</v>
          </cell>
          <cell r="AG62">
            <v>0.94089999999999996</v>
          </cell>
          <cell r="AH62">
            <v>0.94169999999999998</v>
          </cell>
          <cell r="AI62">
            <v>0.9425</v>
          </cell>
          <cell r="AJ62">
            <v>0.94320000000000004</v>
          </cell>
          <cell r="AK62">
            <v>0.94399999999999995</v>
          </cell>
          <cell r="AL62">
            <v>0.94469999999999998</v>
          </cell>
          <cell r="AM62">
            <v>0.94540000000000002</v>
          </cell>
          <cell r="AN62">
            <v>0.94610000000000005</v>
          </cell>
          <cell r="AO62">
            <v>0.94679999999999997</v>
          </cell>
          <cell r="AP62">
            <v>0.94740000000000002</v>
          </cell>
          <cell r="AQ62">
            <v>0.94810000000000005</v>
          </cell>
          <cell r="AR62">
            <v>0.94869999999999999</v>
          </cell>
          <cell r="AS62">
            <v>0.94930000000000003</v>
          </cell>
          <cell r="AT62">
            <v>0.94950000000000001</v>
          </cell>
        </row>
        <row r="63">
          <cell r="B63">
            <v>98</v>
          </cell>
          <cell r="P63">
            <v>0.91159999999999997</v>
          </cell>
          <cell r="Q63">
            <v>0.9194</v>
          </cell>
          <cell r="R63">
            <v>0.9214</v>
          </cell>
          <cell r="S63">
            <v>0.9234</v>
          </cell>
          <cell r="T63">
            <v>0.92520000000000002</v>
          </cell>
          <cell r="U63">
            <v>0.92710000000000004</v>
          </cell>
          <cell r="V63">
            <v>0.92869999999999997</v>
          </cell>
          <cell r="W63">
            <v>0.92979999999999996</v>
          </cell>
          <cell r="X63">
            <v>0.93089999999999995</v>
          </cell>
          <cell r="Y63">
            <v>0.93200000000000005</v>
          </cell>
          <cell r="Z63">
            <v>0.93300000000000005</v>
          </cell>
          <cell r="AA63">
            <v>0.93400000000000005</v>
          </cell>
          <cell r="AB63">
            <v>0.93489999999999995</v>
          </cell>
          <cell r="AC63">
            <v>0.93589999999999995</v>
          </cell>
          <cell r="AD63">
            <v>0.93679999999999997</v>
          </cell>
          <cell r="AE63">
            <v>0.93769999999999998</v>
          </cell>
          <cell r="AF63">
            <v>0.93859999999999999</v>
          </cell>
          <cell r="AG63">
            <v>0.93940000000000001</v>
          </cell>
          <cell r="AH63">
            <v>0.94020000000000004</v>
          </cell>
          <cell r="AI63">
            <v>0.94099999999999995</v>
          </cell>
          <cell r="AJ63">
            <v>0.94179999999999997</v>
          </cell>
          <cell r="AK63">
            <v>0.94259999999999999</v>
          </cell>
          <cell r="AL63">
            <v>0.94330000000000003</v>
          </cell>
          <cell r="AM63">
            <v>0.94399999999999995</v>
          </cell>
          <cell r="AN63">
            <v>0.94469999999999998</v>
          </cell>
          <cell r="AO63">
            <v>0.94540000000000002</v>
          </cell>
          <cell r="AP63">
            <v>0.94610000000000005</v>
          </cell>
          <cell r="AQ63">
            <v>0.94679999999999997</v>
          </cell>
          <cell r="AR63">
            <v>0.94740000000000002</v>
          </cell>
          <cell r="AS63">
            <v>0.94799999999999995</v>
          </cell>
          <cell r="AT63">
            <v>0.94830000000000003</v>
          </cell>
        </row>
        <row r="64">
          <cell r="B64">
            <v>100</v>
          </cell>
          <cell r="P64">
            <v>0.90949999999999998</v>
          </cell>
          <cell r="Q64">
            <v>0.91739999999999999</v>
          </cell>
          <cell r="R64">
            <v>0.91949999999999998</v>
          </cell>
          <cell r="S64">
            <v>0.92149999999999999</v>
          </cell>
          <cell r="T64">
            <v>0.9234</v>
          </cell>
          <cell r="U64">
            <v>0.92530000000000001</v>
          </cell>
          <cell r="V64">
            <v>0.92700000000000005</v>
          </cell>
          <cell r="W64">
            <v>0.92810000000000004</v>
          </cell>
          <cell r="X64">
            <v>0.92920000000000003</v>
          </cell>
          <cell r="Y64">
            <v>0.93030000000000002</v>
          </cell>
          <cell r="Z64">
            <v>0.93130000000000002</v>
          </cell>
          <cell r="AA64">
            <v>0.93240000000000001</v>
          </cell>
          <cell r="AB64">
            <v>0.93340000000000001</v>
          </cell>
          <cell r="AC64">
            <v>0.93430000000000002</v>
          </cell>
          <cell r="AD64">
            <v>0.93520000000000003</v>
          </cell>
          <cell r="AE64">
            <v>0.93620000000000003</v>
          </cell>
          <cell r="AF64">
            <v>0.93710000000000004</v>
          </cell>
          <cell r="AG64">
            <v>0.93789999999999996</v>
          </cell>
          <cell r="AH64">
            <v>0.93879999999999997</v>
          </cell>
          <cell r="AI64">
            <v>0.93959999999999999</v>
          </cell>
          <cell r="AJ64">
            <v>0.94040000000000001</v>
          </cell>
          <cell r="AK64">
            <v>0.94120000000000004</v>
          </cell>
          <cell r="AL64">
            <v>0.94189999999999996</v>
          </cell>
          <cell r="AM64">
            <v>0.94269999999999998</v>
          </cell>
          <cell r="AN64">
            <v>0.94340000000000002</v>
          </cell>
          <cell r="AO64">
            <v>0.94410000000000005</v>
          </cell>
          <cell r="AP64">
            <v>0.94479999999999997</v>
          </cell>
          <cell r="AQ64">
            <v>0.94550000000000001</v>
          </cell>
          <cell r="AR64">
            <v>0.94610000000000005</v>
          </cell>
          <cell r="AS64">
            <v>0.94679999999999997</v>
          </cell>
          <cell r="AT64">
            <v>0.94699999999999995</v>
          </cell>
        </row>
        <row r="65">
          <cell r="B65">
            <v>102</v>
          </cell>
          <cell r="P65">
            <v>0.9073</v>
          </cell>
          <cell r="Q65">
            <v>0.91539999999999999</v>
          </cell>
          <cell r="R65">
            <v>0.91749999999999998</v>
          </cell>
          <cell r="S65">
            <v>0.91959999999999997</v>
          </cell>
          <cell r="T65">
            <v>0.92159999999999997</v>
          </cell>
          <cell r="U65">
            <v>0.92349999999999999</v>
          </cell>
          <cell r="V65">
            <v>0.92520000000000002</v>
          </cell>
          <cell r="W65">
            <v>0.9264</v>
          </cell>
          <cell r="X65">
            <v>0.92749999999999999</v>
          </cell>
          <cell r="Y65">
            <v>0.92859999999999998</v>
          </cell>
          <cell r="Z65">
            <v>0.92969999999999997</v>
          </cell>
          <cell r="AA65">
            <v>0.93069999999999997</v>
          </cell>
          <cell r="AB65">
            <v>0.93179999999999996</v>
          </cell>
          <cell r="AC65">
            <v>0.93269999999999997</v>
          </cell>
          <cell r="AD65">
            <v>0.93369999999999997</v>
          </cell>
          <cell r="AE65">
            <v>0.93459999999999999</v>
          </cell>
          <cell r="AF65">
            <v>0.9355</v>
          </cell>
          <cell r="AG65">
            <v>0.93640000000000001</v>
          </cell>
          <cell r="AH65">
            <v>0.93730000000000002</v>
          </cell>
          <cell r="AI65">
            <v>0.93810000000000004</v>
          </cell>
          <cell r="AJ65">
            <v>0.93899999999999995</v>
          </cell>
          <cell r="AK65">
            <v>0.93979999999999997</v>
          </cell>
          <cell r="AL65">
            <v>0.9405</v>
          </cell>
          <cell r="AM65">
            <v>0.94130000000000003</v>
          </cell>
          <cell r="AN65">
            <v>0.94199999999999995</v>
          </cell>
          <cell r="AO65">
            <v>0.94279999999999997</v>
          </cell>
          <cell r="AP65">
            <v>0.94350000000000001</v>
          </cell>
          <cell r="AQ65">
            <v>0.94420000000000004</v>
          </cell>
          <cell r="AR65">
            <v>0.94479999999999997</v>
          </cell>
          <cell r="AS65">
            <v>0.94550000000000001</v>
          </cell>
          <cell r="AT65">
            <v>0.94579999999999997</v>
          </cell>
        </row>
        <row r="66">
          <cell r="B66">
            <v>104</v>
          </cell>
          <cell r="P66">
            <v>0.90510000000000002</v>
          </cell>
          <cell r="Q66">
            <v>0.91339999999999999</v>
          </cell>
          <cell r="R66">
            <v>0.91559999999999997</v>
          </cell>
          <cell r="S66">
            <v>0.91769999999999996</v>
          </cell>
          <cell r="T66">
            <v>0.91979999999999995</v>
          </cell>
          <cell r="U66">
            <v>0.92169999999999996</v>
          </cell>
          <cell r="V66">
            <v>0.92349999999999999</v>
          </cell>
          <cell r="W66">
            <v>0.92469999999999997</v>
          </cell>
          <cell r="X66">
            <v>0.92579999999999996</v>
          </cell>
          <cell r="Y66">
            <v>0.92700000000000005</v>
          </cell>
          <cell r="Z66">
            <v>0.92810000000000004</v>
          </cell>
          <cell r="AA66">
            <v>0.92910000000000004</v>
          </cell>
          <cell r="AB66">
            <v>0.93020000000000003</v>
          </cell>
          <cell r="AC66">
            <v>0.93120000000000003</v>
          </cell>
          <cell r="AD66">
            <v>0.93220000000000003</v>
          </cell>
          <cell r="AE66">
            <v>0.93310000000000004</v>
          </cell>
          <cell r="AF66">
            <v>0.93400000000000005</v>
          </cell>
          <cell r="AG66">
            <v>0.93489999999999995</v>
          </cell>
          <cell r="AH66">
            <v>0.93579999999999997</v>
          </cell>
          <cell r="AI66">
            <v>0.93669999999999998</v>
          </cell>
          <cell r="AJ66">
            <v>0.9375</v>
          </cell>
          <cell r="AK66">
            <v>0.93830000000000002</v>
          </cell>
          <cell r="AL66">
            <v>0.93910000000000005</v>
          </cell>
          <cell r="AM66">
            <v>0.93989999999999996</v>
          </cell>
          <cell r="AN66">
            <v>0.94069999999999998</v>
          </cell>
          <cell r="AO66">
            <v>0.94140000000000001</v>
          </cell>
          <cell r="AP66">
            <v>0.94210000000000005</v>
          </cell>
          <cell r="AQ66">
            <v>0.94289999999999996</v>
          </cell>
          <cell r="AR66">
            <v>0.94350000000000001</v>
          </cell>
          <cell r="AS66">
            <v>0.94420000000000004</v>
          </cell>
          <cell r="AT66">
            <v>0.94450000000000001</v>
          </cell>
        </row>
        <row r="67">
          <cell r="B67">
            <v>106</v>
          </cell>
          <cell r="P67">
            <v>0.90300000000000002</v>
          </cell>
          <cell r="Q67">
            <v>0.91149999999999998</v>
          </cell>
          <cell r="R67">
            <v>0.91369999999999996</v>
          </cell>
          <cell r="S67">
            <v>0.91579999999999995</v>
          </cell>
          <cell r="T67">
            <v>0.91790000000000005</v>
          </cell>
          <cell r="U67">
            <v>0.91990000000000005</v>
          </cell>
          <cell r="V67">
            <v>0.92169999999999996</v>
          </cell>
          <cell r="W67">
            <v>0.92300000000000004</v>
          </cell>
          <cell r="X67">
            <v>0.92410000000000003</v>
          </cell>
          <cell r="Y67">
            <v>0.92530000000000001</v>
          </cell>
          <cell r="Z67">
            <v>0.9264</v>
          </cell>
          <cell r="AA67">
            <v>0.92749999999999999</v>
          </cell>
          <cell r="AB67">
            <v>0.92859999999999998</v>
          </cell>
          <cell r="AC67">
            <v>0.92959999999999998</v>
          </cell>
          <cell r="AD67">
            <v>0.93059999999999998</v>
          </cell>
          <cell r="AE67">
            <v>0.93159999999999998</v>
          </cell>
          <cell r="AF67">
            <v>0.9325</v>
          </cell>
          <cell r="AG67">
            <v>0.9335</v>
          </cell>
          <cell r="AH67">
            <v>0.93440000000000001</v>
          </cell>
          <cell r="AI67">
            <v>0.93520000000000003</v>
          </cell>
          <cell r="AJ67">
            <v>0.93610000000000004</v>
          </cell>
          <cell r="AK67">
            <v>0.93689999999999996</v>
          </cell>
          <cell r="AL67">
            <v>0.93779999999999997</v>
          </cell>
          <cell r="AM67">
            <v>0.93859999999999999</v>
          </cell>
          <cell r="AN67">
            <v>0.93930000000000002</v>
          </cell>
          <cell r="AO67">
            <v>0.94010000000000005</v>
          </cell>
          <cell r="AP67">
            <v>0.94079999999999997</v>
          </cell>
          <cell r="AQ67">
            <v>0.94159999999999999</v>
          </cell>
          <cell r="AR67">
            <v>0.94230000000000003</v>
          </cell>
          <cell r="AS67">
            <v>0.94299999999999995</v>
          </cell>
          <cell r="AT67">
            <v>0.94320000000000004</v>
          </cell>
        </row>
        <row r="68">
          <cell r="B68">
            <v>108</v>
          </cell>
          <cell r="P68">
            <v>0.90080000000000005</v>
          </cell>
          <cell r="Q68">
            <v>0.90949999999999998</v>
          </cell>
          <cell r="R68">
            <v>0.91180000000000005</v>
          </cell>
          <cell r="S68">
            <v>0.91400000000000003</v>
          </cell>
          <cell r="T68">
            <v>0.91610000000000003</v>
          </cell>
          <cell r="U68">
            <v>0.91810000000000003</v>
          </cell>
          <cell r="V68">
            <v>0.92</v>
          </cell>
          <cell r="W68">
            <v>0.92120000000000002</v>
          </cell>
          <cell r="X68">
            <v>0.92249999999999999</v>
          </cell>
          <cell r="Y68">
            <v>0.92359999999999998</v>
          </cell>
          <cell r="Z68">
            <v>0.92479999999999996</v>
          </cell>
          <cell r="AA68">
            <v>0.92589999999999995</v>
          </cell>
          <cell r="AB68">
            <v>0.92700000000000005</v>
          </cell>
          <cell r="AC68">
            <v>0.92800000000000005</v>
          </cell>
          <cell r="AD68">
            <v>0.92910000000000004</v>
          </cell>
          <cell r="AE68">
            <v>0.93010000000000004</v>
          </cell>
          <cell r="AF68">
            <v>0.93100000000000005</v>
          </cell>
          <cell r="AG68">
            <v>0.93200000000000005</v>
          </cell>
          <cell r="AH68">
            <v>0.93289999999999995</v>
          </cell>
          <cell r="AI68">
            <v>0.93379999999999996</v>
          </cell>
          <cell r="AJ68">
            <v>0.93469999999999998</v>
          </cell>
          <cell r="AK68">
            <v>0.9355</v>
          </cell>
          <cell r="AL68">
            <v>0.93640000000000001</v>
          </cell>
          <cell r="AM68">
            <v>0.93720000000000003</v>
          </cell>
          <cell r="AN68">
            <v>0.93799999999999994</v>
          </cell>
          <cell r="AO68">
            <v>0.93879999999999997</v>
          </cell>
          <cell r="AP68">
            <v>0.9395</v>
          </cell>
          <cell r="AQ68">
            <v>0.94030000000000002</v>
          </cell>
          <cell r="AR68">
            <v>0.94099999999999995</v>
          </cell>
          <cell r="AS68">
            <v>0.94169999999999998</v>
          </cell>
          <cell r="AT68">
            <v>0.94199999999999995</v>
          </cell>
        </row>
        <row r="69">
          <cell r="B69">
            <v>110</v>
          </cell>
          <cell r="P69">
            <v>0.89859999999999995</v>
          </cell>
          <cell r="Q69">
            <v>0.90749999999999997</v>
          </cell>
          <cell r="R69">
            <v>0.90980000000000005</v>
          </cell>
          <cell r="S69">
            <v>0.91210000000000002</v>
          </cell>
          <cell r="T69">
            <v>0.9143</v>
          </cell>
          <cell r="U69">
            <v>0.9163</v>
          </cell>
          <cell r="V69">
            <v>0.91820000000000002</v>
          </cell>
          <cell r="W69">
            <v>0.91949999999999998</v>
          </cell>
          <cell r="X69">
            <v>0.92079999999999995</v>
          </cell>
          <cell r="Y69">
            <v>0.92200000000000004</v>
          </cell>
          <cell r="Z69">
            <v>0.92310000000000003</v>
          </cell>
          <cell r="AA69">
            <v>0.92430000000000001</v>
          </cell>
          <cell r="AB69">
            <v>0.9254</v>
          </cell>
          <cell r="AC69">
            <v>0.92649999999999999</v>
          </cell>
          <cell r="AD69">
            <v>0.92749999999999999</v>
          </cell>
          <cell r="AE69">
            <v>0.92849999999999999</v>
          </cell>
          <cell r="AF69">
            <v>0.92949999999999999</v>
          </cell>
          <cell r="AG69">
            <v>0.93049999999999999</v>
          </cell>
          <cell r="AH69">
            <v>0.93140000000000001</v>
          </cell>
          <cell r="AI69">
            <v>0.93240000000000001</v>
          </cell>
          <cell r="AJ69">
            <v>0.93330000000000002</v>
          </cell>
          <cell r="AK69">
            <v>0.93410000000000004</v>
          </cell>
          <cell r="AL69">
            <v>0.93500000000000005</v>
          </cell>
          <cell r="AM69">
            <v>0.93579999999999997</v>
          </cell>
          <cell r="AN69">
            <v>0.93659999999999999</v>
          </cell>
          <cell r="AO69">
            <v>0.93740000000000001</v>
          </cell>
          <cell r="AP69">
            <v>0.93820000000000003</v>
          </cell>
          <cell r="AQ69">
            <v>0.93899999999999995</v>
          </cell>
          <cell r="AR69">
            <v>0.93969999999999998</v>
          </cell>
          <cell r="AS69">
            <v>0.94040000000000001</v>
          </cell>
          <cell r="AT69">
            <v>0.94069999999999998</v>
          </cell>
        </row>
        <row r="70">
          <cell r="B70">
            <v>112</v>
          </cell>
          <cell r="P70">
            <v>0.89649999999999996</v>
          </cell>
          <cell r="Q70">
            <v>0.90549999999999997</v>
          </cell>
          <cell r="R70">
            <v>0.90790000000000004</v>
          </cell>
          <cell r="S70">
            <v>0.91020000000000001</v>
          </cell>
          <cell r="T70">
            <v>0.91239999999999999</v>
          </cell>
          <cell r="U70">
            <v>0.91459999999999997</v>
          </cell>
          <cell r="V70">
            <v>0.91649999999999998</v>
          </cell>
          <cell r="W70">
            <v>0.91779999999999995</v>
          </cell>
          <cell r="X70">
            <v>0.91910000000000003</v>
          </cell>
          <cell r="Y70">
            <v>0.92030000000000001</v>
          </cell>
          <cell r="Z70">
            <v>0.92149999999999999</v>
          </cell>
          <cell r="AA70">
            <v>0.92269999999999996</v>
          </cell>
          <cell r="AB70">
            <v>0.92379999999999995</v>
          </cell>
          <cell r="AC70">
            <v>0.92490000000000006</v>
          </cell>
          <cell r="AD70">
            <v>0.92600000000000005</v>
          </cell>
          <cell r="AE70">
            <v>0.92700000000000005</v>
          </cell>
          <cell r="AF70">
            <v>0.92800000000000005</v>
          </cell>
          <cell r="AG70">
            <v>0.92900000000000005</v>
          </cell>
          <cell r="AH70">
            <v>0.93</v>
          </cell>
          <cell r="AI70">
            <v>0.93089999999999995</v>
          </cell>
          <cell r="AJ70">
            <v>0.93179999999999996</v>
          </cell>
          <cell r="AK70">
            <v>0.93269999999999997</v>
          </cell>
          <cell r="AL70">
            <v>0.93359999999999999</v>
          </cell>
          <cell r="AM70">
            <v>0.93440000000000001</v>
          </cell>
          <cell r="AN70">
            <v>0.93530000000000002</v>
          </cell>
          <cell r="AO70">
            <v>0.93610000000000004</v>
          </cell>
          <cell r="AP70">
            <v>0.93689999999999996</v>
          </cell>
          <cell r="AQ70">
            <v>0.93769999999999998</v>
          </cell>
          <cell r="AR70">
            <v>0.93840000000000001</v>
          </cell>
          <cell r="AS70">
            <v>0.93910000000000005</v>
          </cell>
          <cell r="AT70">
            <v>0.93940000000000001</v>
          </cell>
        </row>
        <row r="71">
          <cell r="B71">
            <v>114</v>
          </cell>
          <cell r="P71">
            <v>0.89429999999999998</v>
          </cell>
          <cell r="Q71">
            <v>0.90359999999999996</v>
          </cell>
          <cell r="R71">
            <v>0.90600000000000003</v>
          </cell>
          <cell r="S71">
            <v>0.9083</v>
          </cell>
          <cell r="T71">
            <v>0.91059999999999997</v>
          </cell>
          <cell r="U71">
            <v>0.91279999999999994</v>
          </cell>
          <cell r="V71">
            <v>0.91469999999999996</v>
          </cell>
          <cell r="W71">
            <v>0.91610000000000003</v>
          </cell>
          <cell r="X71">
            <v>0.91739999999999999</v>
          </cell>
          <cell r="Y71">
            <v>0.91859999999999997</v>
          </cell>
          <cell r="Z71">
            <v>0.91990000000000005</v>
          </cell>
          <cell r="AA71">
            <v>0.92100000000000004</v>
          </cell>
          <cell r="AB71">
            <v>0.92220000000000002</v>
          </cell>
          <cell r="AC71">
            <v>0.92330000000000001</v>
          </cell>
          <cell r="AD71">
            <v>0.9244</v>
          </cell>
          <cell r="AE71">
            <v>0.92549999999999999</v>
          </cell>
          <cell r="AF71">
            <v>0.92649999999999999</v>
          </cell>
          <cell r="AG71">
            <v>0.92749999999999999</v>
          </cell>
          <cell r="AH71">
            <v>0.92849999999999999</v>
          </cell>
          <cell r="AI71">
            <v>0.92949999999999999</v>
          </cell>
          <cell r="AJ71">
            <v>0.9304</v>
          </cell>
          <cell r="AK71">
            <v>0.93130000000000002</v>
          </cell>
          <cell r="AL71">
            <v>0.93220000000000003</v>
          </cell>
          <cell r="AM71">
            <v>0.93310000000000004</v>
          </cell>
          <cell r="AN71">
            <v>0.93389999999999995</v>
          </cell>
          <cell r="AO71">
            <v>0.93469999999999998</v>
          </cell>
          <cell r="AP71">
            <v>0.93559999999999999</v>
          </cell>
          <cell r="AQ71">
            <v>0.93640000000000001</v>
          </cell>
          <cell r="AR71">
            <v>0.93710000000000004</v>
          </cell>
          <cell r="AS71">
            <v>0.93789999999999996</v>
          </cell>
          <cell r="AT71">
            <v>0.93820000000000003</v>
          </cell>
        </row>
        <row r="72">
          <cell r="B72">
            <v>116</v>
          </cell>
          <cell r="P72">
            <v>0.8921</v>
          </cell>
          <cell r="Q72">
            <v>0.90159999999999996</v>
          </cell>
          <cell r="R72">
            <v>0.90400000000000003</v>
          </cell>
          <cell r="S72">
            <v>0.90639999999999998</v>
          </cell>
          <cell r="T72">
            <v>0.90880000000000005</v>
          </cell>
          <cell r="U72">
            <v>0.91100000000000003</v>
          </cell>
          <cell r="V72">
            <v>0.91300000000000003</v>
          </cell>
          <cell r="W72">
            <v>0.9143</v>
          </cell>
          <cell r="X72">
            <v>0.91569999999999996</v>
          </cell>
          <cell r="Y72">
            <v>0.91700000000000004</v>
          </cell>
          <cell r="Z72">
            <v>0.91820000000000002</v>
          </cell>
          <cell r="AA72">
            <v>0.9194</v>
          </cell>
          <cell r="AB72">
            <v>0.92059999999999997</v>
          </cell>
          <cell r="AC72">
            <v>0.92169999999999996</v>
          </cell>
          <cell r="AD72">
            <v>0.92290000000000005</v>
          </cell>
          <cell r="AE72">
            <v>0.92400000000000004</v>
          </cell>
          <cell r="AF72">
            <v>0.92500000000000004</v>
          </cell>
          <cell r="AG72">
            <v>0.92600000000000005</v>
          </cell>
          <cell r="AH72">
            <v>0.92710000000000004</v>
          </cell>
          <cell r="AI72">
            <v>0.92800000000000005</v>
          </cell>
          <cell r="AJ72">
            <v>0.92900000000000005</v>
          </cell>
          <cell r="AK72">
            <v>0.92989999999999995</v>
          </cell>
          <cell r="AL72">
            <v>0.93079999999999996</v>
          </cell>
          <cell r="AM72">
            <v>0.93169999999999997</v>
          </cell>
          <cell r="AN72">
            <v>0.93259999999999998</v>
          </cell>
          <cell r="AO72">
            <v>0.93340000000000001</v>
          </cell>
          <cell r="AP72">
            <v>0.93420000000000003</v>
          </cell>
          <cell r="AQ72">
            <v>0.93500000000000005</v>
          </cell>
          <cell r="AR72">
            <v>0.93579999999999997</v>
          </cell>
          <cell r="AS72">
            <v>0.93659999999999999</v>
          </cell>
          <cell r="AT72">
            <v>0.93689999999999996</v>
          </cell>
        </row>
        <row r="73">
          <cell r="B73">
            <v>118</v>
          </cell>
          <cell r="P73">
            <v>0.89</v>
          </cell>
          <cell r="Q73">
            <v>0.89959999999999996</v>
          </cell>
          <cell r="R73">
            <v>0.90210000000000001</v>
          </cell>
          <cell r="S73">
            <v>0.90459999999999996</v>
          </cell>
          <cell r="T73">
            <v>0.90690000000000004</v>
          </cell>
          <cell r="U73">
            <v>0.90920000000000001</v>
          </cell>
          <cell r="V73">
            <v>0.91120000000000001</v>
          </cell>
          <cell r="W73">
            <v>0.91259999999999997</v>
          </cell>
          <cell r="X73">
            <v>0.91400000000000003</v>
          </cell>
          <cell r="Y73">
            <v>0.9153</v>
          </cell>
          <cell r="Z73">
            <v>0.91659999999999997</v>
          </cell>
          <cell r="AA73">
            <v>0.91779999999999995</v>
          </cell>
          <cell r="AB73">
            <v>0.91900000000000004</v>
          </cell>
          <cell r="AC73">
            <v>0.92020000000000002</v>
          </cell>
          <cell r="AD73">
            <v>0.92130000000000001</v>
          </cell>
          <cell r="AE73">
            <v>0.9224</v>
          </cell>
          <cell r="AF73">
            <v>0.92349999999999999</v>
          </cell>
          <cell r="AG73">
            <v>0.92459999999999998</v>
          </cell>
          <cell r="AH73">
            <v>0.92559999999999998</v>
          </cell>
          <cell r="AI73">
            <v>0.92659999999999998</v>
          </cell>
          <cell r="AJ73">
            <v>0.92759999999999998</v>
          </cell>
          <cell r="AK73">
            <v>0.92849999999999999</v>
          </cell>
          <cell r="AL73">
            <v>0.9294</v>
          </cell>
          <cell r="AM73">
            <v>0.93030000000000002</v>
          </cell>
          <cell r="AN73">
            <v>0.93120000000000003</v>
          </cell>
          <cell r="AO73">
            <v>0.93210000000000004</v>
          </cell>
          <cell r="AP73">
            <v>0.93289999999999995</v>
          </cell>
          <cell r="AQ73">
            <v>0.93369999999999997</v>
          </cell>
          <cell r="AR73">
            <v>0.9345</v>
          </cell>
          <cell r="AS73">
            <v>0.93530000000000002</v>
          </cell>
          <cell r="AT73">
            <v>0.93559999999999999</v>
          </cell>
        </row>
        <row r="74">
          <cell r="B74">
            <v>120</v>
          </cell>
          <cell r="P74">
            <v>0.88780000000000003</v>
          </cell>
          <cell r="Q74">
            <v>0.89759999999999995</v>
          </cell>
          <cell r="R74">
            <v>0.9002</v>
          </cell>
          <cell r="S74">
            <v>0.90269999999999995</v>
          </cell>
          <cell r="T74">
            <v>0.90510000000000002</v>
          </cell>
          <cell r="U74">
            <v>0.90739999999999998</v>
          </cell>
          <cell r="V74">
            <v>0.90949999999999998</v>
          </cell>
          <cell r="W74">
            <v>0.91090000000000004</v>
          </cell>
          <cell r="X74">
            <v>0.9123</v>
          </cell>
          <cell r="Y74">
            <v>0.91359999999999997</v>
          </cell>
          <cell r="Z74">
            <v>0.91490000000000005</v>
          </cell>
          <cell r="AA74">
            <v>0.91620000000000001</v>
          </cell>
          <cell r="AB74">
            <v>0.91739999999999999</v>
          </cell>
          <cell r="AC74">
            <v>0.91859999999999997</v>
          </cell>
          <cell r="AD74">
            <v>0.91979999999999995</v>
          </cell>
          <cell r="AE74">
            <v>0.92090000000000005</v>
          </cell>
          <cell r="AF74">
            <v>0.92200000000000004</v>
          </cell>
          <cell r="AG74">
            <v>0.92310000000000003</v>
          </cell>
          <cell r="AH74">
            <v>0.92410000000000003</v>
          </cell>
          <cell r="AI74">
            <v>0.92510000000000003</v>
          </cell>
          <cell r="AJ74">
            <v>0.92610000000000003</v>
          </cell>
          <cell r="AK74">
            <v>0.92710000000000004</v>
          </cell>
          <cell r="AL74">
            <v>0.92800000000000005</v>
          </cell>
          <cell r="AM74">
            <v>0.92900000000000005</v>
          </cell>
          <cell r="AN74">
            <v>0.92989999999999995</v>
          </cell>
          <cell r="AO74">
            <v>0.93069999999999997</v>
          </cell>
          <cell r="AP74">
            <v>0.93159999999999998</v>
          </cell>
          <cell r="AQ74">
            <v>0.93240000000000001</v>
          </cell>
          <cell r="AR74">
            <v>0.93330000000000002</v>
          </cell>
          <cell r="AS74">
            <v>0.93410000000000004</v>
          </cell>
          <cell r="AT74">
            <v>0.93440000000000001</v>
          </cell>
        </row>
        <row r="75">
          <cell r="B75">
            <v>122</v>
          </cell>
          <cell r="P75">
            <v>0.88560000000000005</v>
          </cell>
          <cell r="Q75">
            <v>0.89559999999999995</v>
          </cell>
          <cell r="R75">
            <v>0.8982</v>
          </cell>
          <cell r="S75">
            <v>0.90080000000000005</v>
          </cell>
          <cell r="T75">
            <v>0.9032</v>
          </cell>
          <cell r="U75">
            <v>0.90559999999999996</v>
          </cell>
          <cell r="V75">
            <v>0.90769999999999995</v>
          </cell>
          <cell r="W75">
            <v>0.90920000000000001</v>
          </cell>
          <cell r="X75">
            <v>0.91059999999999997</v>
          </cell>
          <cell r="Y75">
            <v>0.91190000000000004</v>
          </cell>
          <cell r="Z75">
            <v>0.9133</v>
          </cell>
          <cell r="AA75">
            <v>0.91459999999999997</v>
          </cell>
          <cell r="AB75">
            <v>0.91579999999999995</v>
          </cell>
          <cell r="AC75">
            <v>0.91700000000000004</v>
          </cell>
          <cell r="AD75">
            <v>0.91820000000000002</v>
          </cell>
          <cell r="AE75">
            <v>0.9194</v>
          </cell>
          <cell r="AF75">
            <v>0.92049999999999998</v>
          </cell>
          <cell r="AG75">
            <v>0.92159999999999997</v>
          </cell>
          <cell r="AH75">
            <v>0.92269999999999996</v>
          </cell>
          <cell r="AI75">
            <v>0.92369999999999997</v>
          </cell>
          <cell r="AJ75">
            <v>0.92469999999999997</v>
          </cell>
          <cell r="AK75">
            <v>0.92569999999999997</v>
          </cell>
          <cell r="AL75">
            <v>0.92659999999999998</v>
          </cell>
          <cell r="AM75">
            <v>0.92759999999999998</v>
          </cell>
          <cell r="AN75">
            <v>0.92849999999999999</v>
          </cell>
          <cell r="AO75">
            <v>0.9294</v>
          </cell>
          <cell r="AP75">
            <v>0.93030000000000002</v>
          </cell>
          <cell r="AQ75">
            <v>0.93110000000000004</v>
          </cell>
          <cell r="AR75">
            <v>0.93200000000000005</v>
          </cell>
          <cell r="AS75">
            <v>0.93279999999999996</v>
          </cell>
          <cell r="AT75">
            <v>0.93310000000000004</v>
          </cell>
        </row>
        <row r="76">
          <cell r="B76">
            <v>124</v>
          </cell>
          <cell r="P76">
            <v>0.88339999999999996</v>
          </cell>
          <cell r="Q76">
            <v>0.89359999999999995</v>
          </cell>
          <cell r="R76">
            <v>0.89629999999999999</v>
          </cell>
          <cell r="S76">
            <v>0.89890000000000003</v>
          </cell>
          <cell r="T76">
            <v>0.90139999999999998</v>
          </cell>
          <cell r="U76">
            <v>0.90380000000000005</v>
          </cell>
          <cell r="V76">
            <v>0.90600000000000003</v>
          </cell>
          <cell r="W76">
            <v>0.90739999999999998</v>
          </cell>
          <cell r="X76">
            <v>0.90890000000000004</v>
          </cell>
          <cell r="Y76">
            <v>0.9103</v>
          </cell>
          <cell r="Z76">
            <v>0.91159999999999997</v>
          </cell>
          <cell r="AA76">
            <v>0.91290000000000004</v>
          </cell>
          <cell r="AB76">
            <v>0.91420000000000001</v>
          </cell>
          <cell r="AC76">
            <v>0.91539999999999999</v>
          </cell>
          <cell r="AD76">
            <v>0.91669999999999996</v>
          </cell>
          <cell r="AE76">
            <v>0.91779999999999995</v>
          </cell>
          <cell r="AF76">
            <v>0.91900000000000004</v>
          </cell>
          <cell r="AG76">
            <v>0.92010000000000003</v>
          </cell>
          <cell r="AH76">
            <v>0.92120000000000002</v>
          </cell>
          <cell r="AI76">
            <v>0.92220000000000002</v>
          </cell>
          <cell r="AJ76">
            <v>0.92330000000000001</v>
          </cell>
          <cell r="AK76">
            <v>0.92430000000000001</v>
          </cell>
          <cell r="AL76">
            <v>0.92530000000000001</v>
          </cell>
          <cell r="AM76">
            <v>0.92620000000000002</v>
          </cell>
          <cell r="AN76">
            <v>0.92710000000000004</v>
          </cell>
          <cell r="AO76">
            <v>0.92810000000000004</v>
          </cell>
          <cell r="AP76">
            <v>0.92889999999999995</v>
          </cell>
          <cell r="AQ76">
            <v>0.92979999999999996</v>
          </cell>
          <cell r="AR76">
            <v>0.93069999999999997</v>
          </cell>
          <cell r="AS76">
            <v>0.93149999999999999</v>
          </cell>
          <cell r="AT76">
            <v>0.93179999999999996</v>
          </cell>
        </row>
        <row r="77">
          <cell r="B77">
            <v>126</v>
          </cell>
          <cell r="U77">
            <v>0.90200000000000002</v>
          </cell>
          <cell r="V77">
            <v>0.9042</v>
          </cell>
          <cell r="W77">
            <v>0.90569999999999995</v>
          </cell>
          <cell r="X77">
            <v>0.90720000000000001</v>
          </cell>
          <cell r="Y77">
            <v>0.90859999999999996</v>
          </cell>
          <cell r="Z77">
            <v>0.91</v>
          </cell>
          <cell r="AA77">
            <v>0.9113</v>
          </cell>
          <cell r="AB77">
            <v>0.91259999999999997</v>
          </cell>
          <cell r="AC77">
            <v>0.91390000000000005</v>
          </cell>
          <cell r="AD77">
            <v>0.91510000000000002</v>
          </cell>
          <cell r="AE77">
            <v>0.9163</v>
          </cell>
          <cell r="AF77">
            <v>0.91749999999999998</v>
          </cell>
          <cell r="AG77">
            <v>0.91859999999999997</v>
          </cell>
          <cell r="AH77">
            <v>0.91969999999999996</v>
          </cell>
          <cell r="AI77">
            <v>0.92079999999999995</v>
          </cell>
          <cell r="AJ77">
            <v>0.92179999999999995</v>
          </cell>
          <cell r="AK77">
            <v>0.92290000000000005</v>
          </cell>
          <cell r="AL77">
            <v>0.92390000000000005</v>
          </cell>
          <cell r="AM77">
            <v>0.92479999999999996</v>
          </cell>
          <cell r="AN77">
            <v>0.92579999999999996</v>
          </cell>
          <cell r="AO77">
            <v>0.92669999999999997</v>
          </cell>
          <cell r="AP77">
            <v>0.92759999999999998</v>
          </cell>
          <cell r="AQ77">
            <v>0.92849999999999999</v>
          </cell>
          <cell r="AR77">
            <v>0.9294</v>
          </cell>
          <cell r="AS77">
            <v>0.93020000000000003</v>
          </cell>
          <cell r="AT77">
            <v>0.93059999999999998</v>
          </cell>
        </row>
        <row r="78">
          <cell r="B78">
            <v>128</v>
          </cell>
          <cell r="U78">
            <v>0.9002</v>
          </cell>
          <cell r="V78">
            <v>0.90249999999999997</v>
          </cell>
          <cell r="W78">
            <v>0.90400000000000003</v>
          </cell>
          <cell r="X78">
            <v>0.90549999999999997</v>
          </cell>
          <cell r="Y78">
            <v>0.90690000000000004</v>
          </cell>
          <cell r="Z78">
            <v>0.9083</v>
          </cell>
          <cell r="AA78">
            <v>0.90969999999999995</v>
          </cell>
          <cell r="AB78">
            <v>0.91100000000000003</v>
          </cell>
          <cell r="AC78">
            <v>0.9123</v>
          </cell>
          <cell r="AD78">
            <v>0.91349999999999998</v>
          </cell>
          <cell r="AE78">
            <v>0.91479999999999995</v>
          </cell>
          <cell r="AF78">
            <v>0.91600000000000004</v>
          </cell>
          <cell r="AG78">
            <v>0.91710000000000003</v>
          </cell>
          <cell r="AH78">
            <v>0.91820000000000002</v>
          </cell>
          <cell r="AI78">
            <v>0.91930000000000001</v>
          </cell>
          <cell r="AJ78">
            <v>0.9204</v>
          </cell>
          <cell r="AK78">
            <v>0.92149999999999999</v>
          </cell>
          <cell r="AL78">
            <v>0.92249999999999999</v>
          </cell>
          <cell r="AM78">
            <v>0.92349999999999999</v>
          </cell>
          <cell r="AN78">
            <v>0.9244</v>
          </cell>
          <cell r="AO78">
            <v>0.9254</v>
          </cell>
          <cell r="AP78">
            <v>0.92630000000000001</v>
          </cell>
          <cell r="AQ78">
            <v>0.92720000000000002</v>
          </cell>
          <cell r="AR78">
            <v>0.92810000000000004</v>
          </cell>
          <cell r="AS78">
            <v>0.92900000000000005</v>
          </cell>
          <cell r="AT78">
            <v>0.92930000000000001</v>
          </cell>
        </row>
        <row r="79">
          <cell r="B79">
            <v>130</v>
          </cell>
          <cell r="U79">
            <v>0.89839999999999998</v>
          </cell>
          <cell r="V79">
            <v>0.90069999999999995</v>
          </cell>
          <cell r="W79">
            <v>0.90229999999999999</v>
          </cell>
          <cell r="X79">
            <v>0.90380000000000005</v>
          </cell>
          <cell r="Y79">
            <v>0.9052</v>
          </cell>
          <cell r="Z79">
            <v>0.90669999999999995</v>
          </cell>
          <cell r="AA79">
            <v>0.90810000000000002</v>
          </cell>
          <cell r="AB79">
            <v>0.90939999999999999</v>
          </cell>
          <cell r="AC79">
            <v>0.91069999999999995</v>
          </cell>
          <cell r="AD79">
            <v>0.91200000000000003</v>
          </cell>
          <cell r="AE79">
            <v>0.91320000000000001</v>
          </cell>
          <cell r="AF79">
            <v>0.91449999999999998</v>
          </cell>
          <cell r="AG79">
            <v>0.91559999999999997</v>
          </cell>
          <cell r="AH79">
            <v>0.91679999999999995</v>
          </cell>
          <cell r="AI79">
            <v>0.91790000000000005</v>
          </cell>
          <cell r="AJ79">
            <v>0.91900000000000004</v>
          </cell>
          <cell r="AK79">
            <v>0.92</v>
          </cell>
          <cell r="AL79">
            <v>0.92110000000000003</v>
          </cell>
          <cell r="AM79">
            <v>0.92210000000000003</v>
          </cell>
          <cell r="AN79">
            <v>0.92310000000000003</v>
          </cell>
          <cell r="AO79">
            <v>0.92400000000000004</v>
          </cell>
          <cell r="AP79">
            <v>0.92500000000000004</v>
          </cell>
          <cell r="AQ79">
            <v>0.92589999999999995</v>
          </cell>
          <cell r="AR79">
            <v>0.92679999999999996</v>
          </cell>
          <cell r="AS79">
            <v>0.92769999999999997</v>
          </cell>
          <cell r="AT79">
            <v>0.92800000000000005</v>
          </cell>
        </row>
        <row r="80">
          <cell r="B80">
            <v>132</v>
          </cell>
          <cell r="U80">
            <v>0.89659999999999995</v>
          </cell>
          <cell r="V80">
            <v>0.89900000000000002</v>
          </cell>
          <cell r="W80">
            <v>0.90049999999999997</v>
          </cell>
          <cell r="X80">
            <v>0.90210000000000001</v>
          </cell>
          <cell r="Y80">
            <v>0.90359999999999996</v>
          </cell>
          <cell r="Z80">
            <v>0.90500000000000003</v>
          </cell>
          <cell r="AA80">
            <v>0.90639999999999998</v>
          </cell>
          <cell r="AB80">
            <v>0.90780000000000005</v>
          </cell>
          <cell r="AC80">
            <v>0.90910000000000002</v>
          </cell>
          <cell r="AD80">
            <v>0.91039999999999999</v>
          </cell>
          <cell r="AE80">
            <v>0.91169999999999995</v>
          </cell>
          <cell r="AF80">
            <v>0.91290000000000004</v>
          </cell>
          <cell r="AG80">
            <v>0.91410000000000002</v>
          </cell>
          <cell r="AH80">
            <v>0.9153</v>
          </cell>
          <cell r="AI80">
            <v>0.91639999999999999</v>
          </cell>
          <cell r="AJ80">
            <v>0.91749999999999998</v>
          </cell>
          <cell r="AK80">
            <v>0.91859999999999997</v>
          </cell>
          <cell r="AL80">
            <v>0.91969999999999996</v>
          </cell>
          <cell r="AM80">
            <v>0.92069999999999996</v>
          </cell>
          <cell r="AN80">
            <v>0.92169999999999996</v>
          </cell>
          <cell r="AO80">
            <v>0.92269999999999996</v>
          </cell>
          <cell r="AP80">
            <v>0.92369999999999997</v>
          </cell>
          <cell r="AQ80">
            <v>0.92459999999999998</v>
          </cell>
          <cell r="AR80">
            <v>0.92549999999999999</v>
          </cell>
          <cell r="AS80">
            <v>0.9264</v>
          </cell>
          <cell r="AT80">
            <v>0.92679999999999996</v>
          </cell>
        </row>
        <row r="81">
          <cell r="B81">
            <v>134</v>
          </cell>
          <cell r="U81">
            <v>0.89480000000000004</v>
          </cell>
          <cell r="V81">
            <v>0.8972</v>
          </cell>
          <cell r="W81">
            <v>0.89880000000000004</v>
          </cell>
          <cell r="X81">
            <v>0.90039999999999998</v>
          </cell>
          <cell r="Y81">
            <v>0.90190000000000003</v>
          </cell>
          <cell r="Z81">
            <v>0.90339999999999998</v>
          </cell>
          <cell r="AA81">
            <v>0.90480000000000005</v>
          </cell>
          <cell r="AB81">
            <v>0.90620000000000001</v>
          </cell>
          <cell r="AC81">
            <v>0.90759999999999996</v>
          </cell>
          <cell r="AD81">
            <v>0.90890000000000004</v>
          </cell>
          <cell r="AE81">
            <v>0.91020000000000001</v>
          </cell>
          <cell r="AF81">
            <v>0.91139999999999999</v>
          </cell>
          <cell r="AG81">
            <v>0.91259999999999997</v>
          </cell>
          <cell r="AH81">
            <v>0.91379999999999995</v>
          </cell>
          <cell r="AI81">
            <v>0.91500000000000004</v>
          </cell>
          <cell r="AJ81">
            <v>0.91610000000000003</v>
          </cell>
          <cell r="AK81">
            <v>0.91720000000000002</v>
          </cell>
          <cell r="AL81">
            <v>0.91830000000000001</v>
          </cell>
          <cell r="AM81">
            <v>0.91930000000000001</v>
          </cell>
          <cell r="AN81">
            <v>0.9204</v>
          </cell>
          <cell r="AO81">
            <v>0.9214</v>
          </cell>
          <cell r="AP81">
            <v>0.92230000000000001</v>
          </cell>
          <cell r="AQ81">
            <v>0.92330000000000001</v>
          </cell>
          <cell r="AR81">
            <v>0.92420000000000002</v>
          </cell>
          <cell r="AS81">
            <v>0.92510000000000003</v>
          </cell>
          <cell r="AT81">
            <v>0.92549999999999999</v>
          </cell>
        </row>
        <row r="82">
          <cell r="B82">
            <v>136</v>
          </cell>
          <cell r="U82">
            <v>0.89300000000000002</v>
          </cell>
          <cell r="V82">
            <v>0.89539999999999997</v>
          </cell>
          <cell r="W82">
            <v>0.89710000000000001</v>
          </cell>
          <cell r="X82">
            <v>0.89970000000000006</v>
          </cell>
          <cell r="Y82">
            <v>0.9002</v>
          </cell>
          <cell r="Z82">
            <v>0.90169999999999995</v>
          </cell>
          <cell r="AA82">
            <v>0.9032</v>
          </cell>
          <cell r="AB82">
            <v>0.90459999999999996</v>
          </cell>
          <cell r="AC82">
            <v>0.90600000000000003</v>
          </cell>
          <cell r="AD82">
            <v>0.9073</v>
          </cell>
          <cell r="AE82">
            <v>0.90859999999999996</v>
          </cell>
          <cell r="AF82">
            <v>0.90990000000000004</v>
          </cell>
          <cell r="AG82">
            <v>0.91110000000000002</v>
          </cell>
          <cell r="AH82">
            <v>0.91239999999999999</v>
          </cell>
          <cell r="AI82">
            <v>0.91349999999999998</v>
          </cell>
          <cell r="AJ82">
            <v>0.91469999999999996</v>
          </cell>
          <cell r="AK82">
            <v>0.91579999999999995</v>
          </cell>
          <cell r="AL82">
            <v>0.91690000000000005</v>
          </cell>
          <cell r="AM82">
            <v>0.91800000000000004</v>
          </cell>
          <cell r="AN82">
            <v>0.91900000000000004</v>
          </cell>
          <cell r="AO82">
            <v>0.92</v>
          </cell>
          <cell r="AP82">
            <v>0.92100000000000004</v>
          </cell>
          <cell r="AQ82">
            <v>0.92200000000000004</v>
          </cell>
          <cell r="AR82">
            <v>0.92290000000000005</v>
          </cell>
          <cell r="AS82">
            <v>0.92337999999999998</v>
          </cell>
          <cell r="AT82">
            <v>0.92420000000000002</v>
          </cell>
        </row>
        <row r="83">
          <cell r="B83">
            <v>138</v>
          </cell>
          <cell r="U83">
            <v>0.89119999999999999</v>
          </cell>
          <cell r="V83">
            <v>0.89370000000000005</v>
          </cell>
          <cell r="W83">
            <v>0.89529999999999998</v>
          </cell>
          <cell r="X83">
            <v>0.89700000000000002</v>
          </cell>
          <cell r="Y83">
            <v>0.89849999999999997</v>
          </cell>
          <cell r="Z83">
            <v>0.90010000000000001</v>
          </cell>
          <cell r="AA83">
            <v>0.90159999999999996</v>
          </cell>
          <cell r="AB83">
            <v>0.90300000000000002</v>
          </cell>
          <cell r="AC83">
            <v>0.90439999999999998</v>
          </cell>
          <cell r="AD83">
            <v>0.90580000000000005</v>
          </cell>
          <cell r="AE83">
            <v>0.90710000000000002</v>
          </cell>
          <cell r="AF83">
            <v>0.90839999999999999</v>
          </cell>
          <cell r="AG83">
            <v>0.90969999999999995</v>
          </cell>
          <cell r="AH83">
            <v>0.91090000000000004</v>
          </cell>
          <cell r="AI83">
            <v>0.91210000000000002</v>
          </cell>
          <cell r="AJ83">
            <v>0.9133</v>
          </cell>
          <cell r="AK83">
            <v>0.91439999999999999</v>
          </cell>
          <cell r="AL83">
            <v>0.91549999999999998</v>
          </cell>
          <cell r="AM83">
            <v>0.91659999999999997</v>
          </cell>
          <cell r="AN83">
            <v>0.91759999999999997</v>
          </cell>
          <cell r="AO83">
            <v>0.91869999999999996</v>
          </cell>
          <cell r="AP83">
            <v>0.91969999999999996</v>
          </cell>
          <cell r="AQ83">
            <v>0.92069999999999996</v>
          </cell>
          <cell r="AR83">
            <v>0.92159999999999997</v>
          </cell>
          <cell r="AS83">
            <v>0.92259999999999998</v>
          </cell>
          <cell r="AT83">
            <v>0.92290000000000005</v>
          </cell>
        </row>
        <row r="84">
          <cell r="B84">
            <v>140</v>
          </cell>
          <cell r="U84">
            <v>0.88939999999999997</v>
          </cell>
          <cell r="V84">
            <v>0.89190000000000003</v>
          </cell>
          <cell r="W84">
            <v>0.89359999999999995</v>
          </cell>
          <cell r="X84">
            <v>0.89529999999999998</v>
          </cell>
          <cell r="Y84">
            <v>0.89690000000000003</v>
          </cell>
          <cell r="Z84">
            <v>0.89839999999999998</v>
          </cell>
          <cell r="AA84">
            <v>0.89990000000000003</v>
          </cell>
          <cell r="AB84">
            <v>0.90139999999999998</v>
          </cell>
          <cell r="AC84">
            <v>0.90280000000000005</v>
          </cell>
          <cell r="AD84">
            <v>0.9042</v>
          </cell>
          <cell r="AE84">
            <v>0.90559999999999996</v>
          </cell>
          <cell r="AF84">
            <v>0.90959999999999996</v>
          </cell>
          <cell r="AG84">
            <v>0.90820000000000001</v>
          </cell>
          <cell r="AH84">
            <v>0.90939999999999999</v>
          </cell>
          <cell r="AI84">
            <v>0.91059999999999997</v>
          </cell>
          <cell r="AJ84">
            <v>0.91180000000000005</v>
          </cell>
          <cell r="AK84">
            <v>0.91300000000000003</v>
          </cell>
          <cell r="AL84">
            <v>0.91410000000000002</v>
          </cell>
          <cell r="AM84">
            <v>0.91520000000000001</v>
          </cell>
          <cell r="AN84">
            <v>0.9163</v>
          </cell>
          <cell r="AO84">
            <v>0.9173</v>
          </cell>
          <cell r="AP84">
            <v>0.91839999999999999</v>
          </cell>
          <cell r="AQ84">
            <v>0.9194</v>
          </cell>
          <cell r="AR84">
            <v>0.92030000000000001</v>
          </cell>
          <cell r="AS84">
            <v>0.92130000000000001</v>
          </cell>
          <cell r="AT84">
            <v>0.92169999999999996</v>
          </cell>
        </row>
        <row r="85">
          <cell r="B85">
            <v>142</v>
          </cell>
          <cell r="U85">
            <v>0.88759999999999994</v>
          </cell>
          <cell r="V85">
            <v>0.89019999999999999</v>
          </cell>
          <cell r="W85">
            <v>0.89190000000000003</v>
          </cell>
          <cell r="X85">
            <v>0.89359999999999995</v>
          </cell>
          <cell r="Y85">
            <v>0.8952</v>
          </cell>
          <cell r="Z85">
            <v>0.89680000000000004</v>
          </cell>
          <cell r="AA85">
            <v>0.89829999999999999</v>
          </cell>
          <cell r="AB85">
            <v>0.89980000000000004</v>
          </cell>
          <cell r="AC85">
            <v>0.9012</v>
          </cell>
          <cell r="AD85">
            <v>0.90269999999999995</v>
          </cell>
          <cell r="AE85">
            <v>0.90400000000000003</v>
          </cell>
          <cell r="AF85">
            <v>0.90539999999999998</v>
          </cell>
          <cell r="AG85">
            <v>0.90669999999999995</v>
          </cell>
          <cell r="AH85">
            <v>0.90790000000000004</v>
          </cell>
          <cell r="AI85">
            <v>0.90920000000000001</v>
          </cell>
          <cell r="AJ85">
            <v>0.91039999999999999</v>
          </cell>
          <cell r="AK85">
            <v>0.91159999999999997</v>
          </cell>
          <cell r="AL85">
            <v>0.91269999999999996</v>
          </cell>
          <cell r="AM85">
            <v>0.91379999999999995</v>
          </cell>
          <cell r="AN85">
            <v>0.91149000000000002</v>
          </cell>
          <cell r="AO85">
            <v>0.91600000000000004</v>
          </cell>
          <cell r="AP85">
            <v>0.91700000000000004</v>
          </cell>
          <cell r="AQ85">
            <v>0.91800000000000004</v>
          </cell>
          <cell r="AR85">
            <v>0.91900000000000004</v>
          </cell>
          <cell r="AS85">
            <v>0.92</v>
          </cell>
          <cell r="AT85">
            <v>0.9204</v>
          </cell>
        </row>
        <row r="86">
          <cell r="B86">
            <v>144</v>
          </cell>
          <cell r="U86">
            <v>0.88580000000000003</v>
          </cell>
          <cell r="V86">
            <v>0.88839999999999997</v>
          </cell>
          <cell r="W86">
            <v>0.89019999999999999</v>
          </cell>
          <cell r="X86">
            <v>0.89190000000000003</v>
          </cell>
          <cell r="Y86">
            <v>0.89349999999999996</v>
          </cell>
          <cell r="Z86">
            <v>0.89510000000000001</v>
          </cell>
          <cell r="AA86">
            <v>0.89670000000000005</v>
          </cell>
          <cell r="AB86">
            <v>0.8982</v>
          </cell>
          <cell r="AC86">
            <v>0.89970000000000006</v>
          </cell>
          <cell r="AD86">
            <v>0.90110000000000001</v>
          </cell>
          <cell r="AE86">
            <v>0.90249999999999997</v>
          </cell>
          <cell r="AF86">
            <v>0.90390000000000004</v>
          </cell>
          <cell r="AG86">
            <v>0.9052</v>
          </cell>
          <cell r="AH86">
            <v>0.90649999999999997</v>
          </cell>
          <cell r="AI86">
            <v>0.90769999999999995</v>
          </cell>
          <cell r="AJ86">
            <v>0.90890000000000004</v>
          </cell>
          <cell r="AK86">
            <v>0.91010000000000002</v>
          </cell>
          <cell r="AL86">
            <v>0.9113</v>
          </cell>
          <cell r="AM86">
            <v>0.91239999999999999</v>
          </cell>
          <cell r="AN86">
            <v>0.91359999999999997</v>
          </cell>
          <cell r="AO86">
            <v>0.91459999999999997</v>
          </cell>
          <cell r="AP86">
            <v>0.91569999999999996</v>
          </cell>
          <cell r="AQ86">
            <v>0.91669999999999996</v>
          </cell>
          <cell r="AR86">
            <v>0.91769999999999996</v>
          </cell>
          <cell r="AS86">
            <v>0.91869999999999996</v>
          </cell>
          <cell r="AT86">
            <v>0.91910000000000003</v>
          </cell>
        </row>
        <row r="87">
          <cell r="B87">
            <v>146</v>
          </cell>
          <cell r="U87">
            <v>0.88400000000000001</v>
          </cell>
          <cell r="V87">
            <v>0.88660000000000005</v>
          </cell>
          <cell r="W87">
            <v>0.88839999999999997</v>
          </cell>
          <cell r="X87">
            <v>0.89019999999999999</v>
          </cell>
          <cell r="Y87">
            <v>0.89180000000000004</v>
          </cell>
          <cell r="Z87">
            <v>0.89349999999999996</v>
          </cell>
          <cell r="AA87">
            <v>0.89500000000000002</v>
          </cell>
          <cell r="AB87">
            <v>0.89659999999999995</v>
          </cell>
          <cell r="AC87">
            <v>0.89810000000000001</v>
          </cell>
          <cell r="AD87">
            <v>0.89949999999999997</v>
          </cell>
          <cell r="AE87">
            <v>0.90090000000000003</v>
          </cell>
          <cell r="AF87">
            <v>0.90229999999999999</v>
          </cell>
          <cell r="AG87">
            <v>0.90369999999999995</v>
          </cell>
          <cell r="AH87">
            <v>0.90500000000000003</v>
          </cell>
          <cell r="AI87">
            <v>0.90629999999999999</v>
          </cell>
          <cell r="AJ87">
            <v>0.90749999999999997</v>
          </cell>
          <cell r="AK87">
            <v>0.90869999999999995</v>
          </cell>
          <cell r="AL87">
            <v>0.90990000000000004</v>
          </cell>
          <cell r="AM87">
            <v>0.91110000000000002</v>
          </cell>
          <cell r="AN87">
            <v>0.91220000000000001</v>
          </cell>
          <cell r="AO87">
            <v>0.9133</v>
          </cell>
          <cell r="AP87">
            <v>0.91439999999999999</v>
          </cell>
          <cell r="AQ87">
            <v>0.91539999999999999</v>
          </cell>
          <cell r="AR87">
            <v>0.91639999999999999</v>
          </cell>
          <cell r="AS87">
            <v>0.91749999999999998</v>
          </cell>
          <cell r="AT87">
            <v>0.91779999999999995</v>
          </cell>
        </row>
        <row r="88">
          <cell r="B88">
            <v>148</v>
          </cell>
          <cell r="U88">
            <v>0.88219999999999998</v>
          </cell>
          <cell r="V88">
            <v>0.88490000000000002</v>
          </cell>
          <cell r="W88">
            <v>0.88670000000000004</v>
          </cell>
          <cell r="X88">
            <v>0.88839999999999997</v>
          </cell>
          <cell r="Y88">
            <v>0.8901</v>
          </cell>
          <cell r="Z88">
            <v>0.89180000000000004</v>
          </cell>
          <cell r="AA88">
            <v>0.89339999999999997</v>
          </cell>
          <cell r="AB88">
            <v>0.89500000000000002</v>
          </cell>
          <cell r="AC88">
            <v>0.89649999999999996</v>
          </cell>
          <cell r="AD88">
            <v>0.89800000000000002</v>
          </cell>
          <cell r="AE88">
            <v>0.89939999999999998</v>
          </cell>
          <cell r="AF88">
            <v>0.90080000000000005</v>
          </cell>
          <cell r="AG88">
            <v>0.9022</v>
          </cell>
          <cell r="AH88">
            <v>0.90349999999999997</v>
          </cell>
          <cell r="AI88">
            <v>0.90480000000000005</v>
          </cell>
          <cell r="AJ88">
            <v>0.90610000000000002</v>
          </cell>
          <cell r="AK88">
            <v>0.9073</v>
          </cell>
          <cell r="AL88">
            <v>0.90849999999999997</v>
          </cell>
          <cell r="AM88">
            <v>0.90969999999999995</v>
          </cell>
          <cell r="AN88">
            <v>0.91080000000000005</v>
          </cell>
          <cell r="AO88">
            <v>0.91190000000000004</v>
          </cell>
          <cell r="AP88">
            <v>0.91300000000000003</v>
          </cell>
          <cell r="AQ88">
            <v>0.91410000000000002</v>
          </cell>
          <cell r="AR88">
            <v>0.91510000000000002</v>
          </cell>
          <cell r="AS88">
            <v>0.91620000000000001</v>
          </cell>
          <cell r="AT88">
            <v>0.91659999999999997</v>
          </cell>
        </row>
        <row r="89">
          <cell r="B89">
            <v>150</v>
          </cell>
          <cell r="U89">
            <v>0.88039999999999996</v>
          </cell>
          <cell r="V89">
            <v>0.8831</v>
          </cell>
          <cell r="W89">
            <v>0.88500000000000001</v>
          </cell>
          <cell r="X89">
            <v>0.88670000000000004</v>
          </cell>
          <cell r="Y89">
            <v>0.88849999999999996</v>
          </cell>
          <cell r="Z89">
            <v>0.8901</v>
          </cell>
          <cell r="AA89">
            <v>0.89180000000000004</v>
          </cell>
          <cell r="AB89">
            <v>0.89339999999999997</v>
          </cell>
          <cell r="AC89">
            <v>0.89490000000000003</v>
          </cell>
          <cell r="AD89">
            <v>0.89639999999999997</v>
          </cell>
          <cell r="AE89">
            <v>0.89790000000000003</v>
          </cell>
          <cell r="AF89">
            <v>0.89929999999999999</v>
          </cell>
          <cell r="AG89">
            <v>0.90069999999999995</v>
          </cell>
          <cell r="AH89">
            <v>0.90200000000000002</v>
          </cell>
          <cell r="AI89">
            <v>0.90339999999999998</v>
          </cell>
          <cell r="AJ89">
            <v>0.90459999999999996</v>
          </cell>
          <cell r="AK89">
            <v>0.90590000000000004</v>
          </cell>
          <cell r="AL89">
            <v>0.90710000000000002</v>
          </cell>
          <cell r="AM89">
            <v>0.9083</v>
          </cell>
          <cell r="AN89">
            <v>0.90949999999999998</v>
          </cell>
          <cell r="AO89">
            <v>0.91059999999999997</v>
          </cell>
          <cell r="AP89">
            <v>0.91169999999999995</v>
          </cell>
          <cell r="AQ89">
            <v>0.91279999999999994</v>
          </cell>
          <cell r="AR89">
            <v>0.91390000000000005</v>
          </cell>
          <cell r="AS89">
            <v>0.91490000000000005</v>
          </cell>
          <cell r="AT89">
            <v>0.9153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GO"/>
      <sheetName val="RATE"/>
      <sheetName val="RATE REPORT"/>
      <sheetName val="CARGO REPORT"/>
      <sheetName val="TRIM CORR."/>
      <sheetName val="HEEL CORR."/>
      <sheetName val="VOLUME CORR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4" t="str">
            <v>TEMP.</v>
          </cell>
        </row>
        <row r="5">
          <cell r="B5">
            <v>-18</v>
          </cell>
        </row>
        <row r="6">
          <cell r="B6">
            <v>-16</v>
          </cell>
        </row>
        <row r="7">
          <cell r="B7">
            <v>-14</v>
          </cell>
        </row>
        <row r="8">
          <cell r="B8">
            <v>-12</v>
          </cell>
        </row>
        <row r="9">
          <cell r="B9">
            <v>-10</v>
          </cell>
        </row>
        <row r="10">
          <cell r="B10">
            <v>-8</v>
          </cell>
        </row>
        <row r="11">
          <cell r="B11">
            <v>-6</v>
          </cell>
        </row>
        <row r="12">
          <cell r="B12">
            <v>-4</v>
          </cell>
        </row>
        <row r="13">
          <cell r="B13">
            <v>-2</v>
          </cell>
        </row>
        <row r="14">
          <cell r="B14">
            <v>0</v>
          </cell>
        </row>
        <row r="15">
          <cell r="B15">
            <v>2</v>
          </cell>
        </row>
        <row r="16">
          <cell r="B16">
            <v>4</v>
          </cell>
        </row>
        <row r="17">
          <cell r="B17">
            <v>6</v>
          </cell>
        </row>
        <row r="18">
          <cell r="B18">
            <v>8</v>
          </cell>
        </row>
        <row r="19">
          <cell r="B19">
            <v>10</v>
          </cell>
        </row>
        <row r="20">
          <cell r="B20">
            <v>12</v>
          </cell>
        </row>
        <row r="21">
          <cell r="B21">
            <v>14</v>
          </cell>
        </row>
        <row r="22">
          <cell r="B22">
            <v>16</v>
          </cell>
        </row>
        <row r="23">
          <cell r="B23">
            <v>18</v>
          </cell>
        </row>
        <row r="24">
          <cell r="B24">
            <v>20</v>
          </cell>
        </row>
        <row r="25">
          <cell r="B25">
            <v>22</v>
          </cell>
        </row>
        <row r="26">
          <cell r="B26">
            <v>24</v>
          </cell>
        </row>
        <row r="27">
          <cell r="B27">
            <v>26</v>
          </cell>
        </row>
        <row r="28">
          <cell r="B28">
            <v>28</v>
          </cell>
        </row>
        <row r="29">
          <cell r="B29">
            <v>30</v>
          </cell>
        </row>
        <row r="30">
          <cell r="B30">
            <v>32</v>
          </cell>
        </row>
        <row r="31">
          <cell r="B31">
            <v>34</v>
          </cell>
        </row>
        <row r="32">
          <cell r="B32">
            <v>36</v>
          </cell>
        </row>
        <row r="33">
          <cell r="B33">
            <v>38</v>
          </cell>
        </row>
        <row r="34">
          <cell r="B34">
            <v>40</v>
          </cell>
        </row>
        <row r="35">
          <cell r="B35">
            <v>42</v>
          </cell>
        </row>
        <row r="36">
          <cell r="B36">
            <v>44</v>
          </cell>
        </row>
        <row r="37">
          <cell r="B37">
            <v>46</v>
          </cell>
        </row>
        <row r="38">
          <cell r="B38">
            <v>48</v>
          </cell>
        </row>
        <row r="39">
          <cell r="B39">
            <v>50</v>
          </cell>
        </row>
        <row r="40">
          <cell r="B40">
            <v>52</v>
          </cell>
        </row>
        <row r="41">
          <cell r="B41">
            <v>54</v>
          </cell>
        </row>
        <row r="42">
          <cell r="B42">
            <v>56</v>
          </cell>
        </row>
        <row r="43">
          <cell r="B43">
            <v>58</v>
          </cell>
        </row>
        <row r="44">
          <cell r="B44">
            <v>60</v>
          </cell>
        </row>
        <row r="45">
          <cell r="B45">
            <v>62</v>
          </cell>
        </row>
        <row r="46">
          <cell r="B46">
            <v>64</v>
          </cell>
        </row>
        <row r="47">
          <cell r="B47">
            <v>66</v>
          </cell>
        </row>
        <row r="48">
          <cell r="B48">
            <v>68</v>
          </cell>
        </row>
        <row r="49">
          <cell r="B49">
            <v>70</v>
          </cell>
        </row>
        <row r="50">
          <cell r="B50">
            <v>72</v>
          </cell>
        </row>
        <row r="51">
          <cell r="B51">
            <v>74</v>
          </cell>
        </row>
        <row r="52">
          <cell r="B52">
            <v>76</v>
          </cell>
        </row>
        <row r="53">
          <cell r="B53">
            <v>78</v>
          </cell>
        </row>
        <row r="54">
          <cell r="B54">
            <v>80</v>
          </cell>
        </row>
        <row r="55">
          <cell r="B55">
            <v>82</v>
          </cell>
        </row>
        <row r="56">
          <cell r="B56">
            <v>84</v>
          </cell>
        </row>
        <row r="57">
          <cell r="B57">
            <v>86</v>
          </cell>
        </row>
        <row r="58">
          <cell r="B58">
            <v>88</v>
          </cell>
        </row>
        <row r="59">
          <cell r="B59">
            <v>90</v>
          </cell>
        </row>
        <row r="60">
          <cell r="B60">
            <v>92</v>
          </cell>
        </row>
        <row r="61">
          <cell r="B61">
            <v>94</v>
          </cell>
        </row>
        <row r="62">
          <cell r="B62">
            <v>96</v>
          </cell>
        </row>
        <row r="63">
          <cell r="B63">
            <v>98</v>
          </cell>
        </row>
        <row r="64">
          <cell r="B64">
            <v>100</v>
          </cell>
        </row>
        <row r="65">
          <cell r="B65">
            <v>102</v>
          </cell>
        </row>
        <row r="66">
          <cell r="B66">
            <v>104</v>
          </cell>
        </row>
        <row r="67">
          <cell r="B67">
            <v>106</v>
          </cell>
        </row>
        <row r="68">
          <cell r="B68">
            <v>108</v>
          </cell>
        </row>
        <row r="69">
          <cell r="B69">
            <v>110</v>
          </cell>
        </row>
        <row r="70">
          <cell r="B70">
            <v>112</v>
          </cell>
        </row>
        <row r="71">
          <cell r="B71">
            <v>114</v>
          </cell>
        </row>
        <row r="72">
          <cell r="B72">
            <v>116</v>
          </cell>
        </row>
        <row r="73">
          <cell r="B73">
            <v>118</v>
          </cell>
        </row>
        <row r="74">
          <cell r="B74">
            <v>120</v>
          </cell>
        </row>
        <row r="75">
          <cell r="B75">
            <v>122</v>
          </cell>
        </row>
        <row r="76">
          <cell r="B76">
            <v>124</v>
          </cell>
        </row>
        <row r="77">
          <cell r="B77">
            <v>126</v>
          </cell>
        </row>
        <row r="78">
          <cell r="B78">
            <v>128</v>
          </cell>
        </row>
        <row r="79">
          <cell r="B79">
            <v>130</v>
          </cell>
        </row>
        <row r="80">
          <cell r="B80">
            <v>132</v>
          </cell>
        </row>
        <row r="81">
          <cell r="B81">
            <v>134</v>
          </cell>
        </row>
        <row r="82">
          <cell r="B82">
            <v>136</v>
          </cell>
        </row>
        <row r="83">
          <cell r="B83">
            <v>138</v>
          </cell>
        </row>
        <row r="84">
          <cell r="B84">
            <v>140</v>
          </cell>
        </row>
        <row r="85">
          <cell r="B85">
            <v>142</v>
          </cell>
        </row>
        <row r="86">
          <cell r="B86">
            <v>144</v>
          </cell>
        </row>
        <row r="87">
          <cell r="B87">
            <v>146</v>
          </cell>
        </row>
        <row r="88">
          <cell r="B88">
            <v>148</v>
          </cell>
        </row>
        <row r="89">
          <cell r="B89">
            <v>150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GO"/>
      <sheetName val="RATE"/>
      <sheetName val="RATE REPORT"/>
      <sheetName val="CARGO REPORT"/>
      <sheetName val="TRIM CORR."/>
      <sheetName val="HEEL CORR."/>
      <sheetName val="VOLUME CORR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4" t="str">
            <v>TEMP.</v>
          </cell>
        </row>
        <row r="5">
          <cell r="B5">
            <v>-18</v>
          </cell>
        </row>
        <row r="6">
          <cell r="B6">
            <v>-16</v>
          </cell>
        </row>
        <row r="7">
          <cell r="B7">
            <v>-14</v>
          </cell>
        </row>
        <row r="8">
          <cell r="B8">
            <v>-12</v>
          </cell>
        </row>
        <row r="9">
          <cell r="B9">
            <v>-10</v>
          </cell>
        </row>
        <row r="10">
          <cell r="B10">
            <v>-8</v>
          </cell>
        </row>
        <row r="11">
          <cell r="B11">
            <v>-6</v>
          </cell>
        </row>
        <row r="12">
          <cell r="B12">
            <v>-4</v>
          </cell>
        </row>
        <row r="13">
          <cell r="B13">
            <v>-2</v>
          </cell>
        </row>
        <row r="14">
          <cell r="B14">
            <v>0</v>
          </cell>
        </row>
        <row r="15">
          <cell r="B15">
            <v>2</v>
          </cell>
        </row>
        <row r="16">
          <cell r="B16">
            <v>4</v>
          </cell>
        </row>
        <row r="17">
          <cell r="B17">
            <v>6</v>
          </cell>
        </row>
        <row r="18">
          <cell r="B18">
            <v>8</v>
          </cell>
        </row>
        <row r="19">
          <cell r="B19">
            <v>10</v>
          </cell>
        </row>
        <row r="20">
          <cell r="B20">
            <v>12</v>
          </cell>
        </row>
        <row r="21">
          <cell r="B21">
            <v>14</v>
          </cell>
        </row>
        <row r="22">
          <cell r="B22">
            <v>16</v>
          </cell>
        </row>
        <row r="23">
          <cell r="B23">
            <v>18</v>
          </cell>
        </row>
        <row r="24">
          <cell r="B24">
            <v>20</v>
          </cell>
        </row>
        <row r="25">
          <cell r="B25">
            <v>22</v>
          </cell>
        </row>
        <row r="26">
          <cell r="B26">
            <v>24</v>
          </cell>
        </row>
        <row r="27">
          <cell r="B27">
            <v>26</v>
          </cell>
        </row>
        <row r="28">
          <cell r="B28">
            <v>28</v>
          </cell>
        </row>
        <row r="29">
          <cell r="B29">
            <v>30</v>
          </cell>
        </row>
        <row r="30">
          <cell r="B30">
            <v>32</v>
          </cell>
        </row>
        <row r="31">
          <cell r="B31">
            <v>34</v>
          </cell>
        </row>
        <row r="32">
          <cell r="B32">
            <v>36</v>
          </cell>
        </row>
        <row r="33">
          <cell r="B33">
            <v>38</v>
          </cell>
        </row>
        <row r="34">
          <cell r="B34">
            <v>40</v>
          </cell>
        </row>
        <row r="35">
          <cell r="B35">
            <v>42</v>
          </cell>
        </row>
        <row r="36">
          <cell r="B36">
            <v>44</v>
          </cell>
        </row>
        <row r="37">
          <cell r="B37">
            <v>46</v>
          </cell>
        </row>
        <row r="38">
          <cell r="B38">
            <v>48</v>
          </cell>
        </row>
        <row r="39">
          <cell r="B39">
            <v>50</v>
          </cell>
        </row>
        <row r="40">
          <cell r="B40">
            <v>52</v>
          </cell>
        </row>
        <row r="41">
          <cell r="B41">
            <v>54</v>
          </cell>
        </row>
        <row r="42">
          <cell r="B42">
            <v>56</v>
          </cell>
        </row>
        <row r="43">
          <cell r="B43">
            <v>58</v>
          </cell>
        </row>
        <row r="44">
          <cell r="B44">
            <v>60</v>
          </cell>
        </row>
        <row r="45">
          <cell r="B45">
            <v>62</v>
          </cell>
        </row>
        <row r="46">
          <cell r="B46">
            <v>64</v>
          </cell>
        </row>
        <row r="47">
          <cell r="B47">
            <v>66</v>
          </cell>
        </row>
        <row r="48">
          <cell r="B48">
            <v>68</v>
          </cell>
        </row>
        <row r="49">
          <cell r="B49">
            <v>70</v>
          </cell>
        </row>
        <row r="50">
          <cell r="B50">
            <v>72</v>
          </cell>
        </row>
        <row r="51">
          <cell r="B51">
            <v>74</v>
          </cell>
        </row>
        <row r="52">
          <cell r="B52">
            <v>76</v>
          </cell>
        </row>
        <row r="53">
          <cell r="B53">
            <v>78</v>
          </cell>
        </row>
        <row r="54">
          <cell r="B54">
            <v>80</v>
          </cell>
        </row>
        <row r="55">
          <cell r="B55">
            <v>82</v>
          </cell>
        </row>
        <row r="56">
          <cell r="B56">
            <v>84</v>
          </cell>
        </row>
        <row r="57">
          <cell r="B57">
            <v>86</v>
          </cell>
        </row>
        <row r="58">
          <cell r="B58">
            <v>88</v>
          </cell>
        </row>
        <row r="59">
          <cell r="B59">
            <v>90</v>
          </cell>
        </row>
        <row r="60">
          <cell r="B60">
            <v>92</v>
          </cell>
        </row>
        <row r="61">
          <cell r="B61">
            <v>94</v>
          </cell>
        </row>
        <row r="62">
          <cell r="B62">
            <v>96</v>
          </cell>
        </row>
        <row r="63">
          <cell r="B63">
            <v>98</v>
          </cell>
        </row>
        <row r="64">
          <cell r="B64">
            <v>100</v>
          </cell>
        </row>
        <row r="65">
          <cell r="B65">
            <v>102</v>
          </cell>
        </row>
        <row r="66">
          <cell r="B66">
            <v>104</v>
          </cell>
        </row>
        <row r="67">
          <cell r="B67">
            <v>106</v>
          </cell>
        </row>
        <row r="68">
          <cell r="B68">
            <v>108</v>
          </cell>
        </row>
        <row r="69">
          <cell r="B69">
            <v>110</v>
          </cell>
        </row>
        <row r="70">
          <cell r="B70">
            <v>112</v>
          </cell>
        </row>
        <row r="71">
          <cell r="B71">
            <v>114</v>
          </cell>
        </row>
        <row r="72">
          <cell r="B72">
            <v>116</v>
          </cell>
        </row>
        <row r="73">
          <cell r="B73">
            <v>118</v>
          </cell>
        </row>
        <row r="74">
          <cell r="B74">
            <v>120</v>
          </cell>
        </row>
        <row r="75">
          <cell r="B75">
            <v>122</v>
          </cell>
        </row>
        <row r="76">
          <cell r="B76">
            <v>124</v>
          </cell>
        </row>
        <row r="77">
          <cell r="B77">
            <v>126</v>
          </cell>
        </row>
        <row r="78">
          <cell r="B78">
            <v>128</v>
          </cell>
        </row>
        <row r="79">
          <cell r="B79">
            <v>130</v>
          </cell>
        </row>
        <row r="80">
          <cell r="B80">
            <v>132</v>
          </cell>
        </row>
        <row r="81">
          <cell r="B81">
            <v>134</v>
          </cell>
        </row>
        <row r="82">
          <cell r="B82">
            <v>136</v>
          </cell>
        </row>
        <row r="83">
          <cell r="B83">
            <v>138</v>
          </cell>
        </row>
        <row r="84">
          <cell r="B84">
            <v>140</v>
          </cell>
        </row>
        <row r="85">
          <cell r="B85">
            <v>142</v>
          </cell>
        </row>
        <row r="86">
          <cell r="B86">
            <v>144</v>
          </cell>
        </row>
        <row r="87">
          <cell r="B87">
            <v>146</v>
          </cell>
        </row>
        <row r="88">
          <cell r="B88">
            <v>148</v>
          </cell>
        </row>
        <row r="89">
          <cell r="B89">
            <v>150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İMAN BİLGİLERİ"/>
      <sheetName val="ULLAGE TRIM CORR"/>
      <sheetName val="ULLAGE REP"/>
      <sheetName val="ULL.REP. 1"/>
      <sheetName val="POGUM"/>
      <sheetName val="YÜK. HAZ."/>
      <sheetName val="MANIFOLD"/>
      <sheetName val="stowage"/>
      <sheetName val="L.ST.OR."/>
      <sheetName val="L. 3 CRG"/>
      <sheetName val="NOR-Y."/>
      <sheetName val="PROTOCOL-Y."/>
      <sheetName val="SOF-Y."/>
      <sheetName val="RCV. LG MOTORİN STAR"/>
      <sheetName val="B.L. TANK INS. REP. OPET"/>
      <sheetName val="B.L. TANK INS. REP."/>
      <sheetName val="NOR-YÜKLEME (2)"/>
      <sheetName val="RECEIVING F34"/>
      <sheetName val="RECEIVING LOG THY-OPET"/>
      <sheetName val="RCV. LG JET A-1 STAR"/>
      <sheetName val="RECEIVING LOG BENZİN"/>
      <sheetName val="RCV. LG JET A-1 AKPET ANT"/>
      <sheetName val="RCV. LG JET A-1 THYOPET"/>
      <sheetName val="RCV. LG JET A-1 MERSİN"/>
      <sheetName val="RECEIVING LOG-URUN JET"/>
      <sheetName val="RECEIVING LOG 2"/>
      <sheetName val="PUMPING LOG 1"/>
      <sheetName val="BACK PRESS 1"/>
      <sheetName val="Grafik1"/>
      <sheetName val="ULL.REP. 2"/>
      <sheetName val="ULL.REP. 3"/>
      <sheetName val="ULL.REP. 4"/>
      <sheetName val="ULL.REP. 5"/>
      <sheetName val="2S-4P"/>
      <sheetName val="ULLAGE REP 2 "/>
      <sheetName val="ULLAGE REP 3"/>
      <sheetName val="ULLAGE REPORT 4"/>
      <sheetName val="ULL.REP. 6"/>
      <sheetName val="ULL.REP. 7"/>
      <sheetName val="MASTER"/>
      <sheetName val="DISCH.STANDINGS ORDERS (2)"/>
      <sheetName val="YÜKLEME RATE HESABI-ÜRÜN "/>
      <sheetName val="SOF-TAHLİYE (2)"/>
      <sheetName val="TAHLİYE RATE HESABI"/>
      <sheetName val="LOP-RESTRICTION"/>
      <sheetName val="LOP-DICREPANCY 1"/>
      <sheetName val="LOP-DICREPANCY 2"/>
      <sheetName val="LOP-WAITING CARGO DOC."/>
      <sheetName val="LOP-DEADFREIGHT"/>
      <sheetName val="LOP-WAITING MANİFOLD UYGUNSUZLU"/>
      <sheetName val="LOP-DICREPANCY İHRAKİYE"/>
      <sheetName val="CUSTOMER SATISFACTION"/>
      <sheetName val="SAAB CHECK "/>
      <sheetName val="LOP-MARKER"/>
      <sheetName val="LOP-WATER IN TANKS"/>
      <sheetName val="LOP-NON DELIVERY SAMPLES"/>
      <sheetName val="LOP-NON DELIVERY MSDS"/>
      <sheetName val="LOP-HOSE CONNECTION"/>
      <sheetName val="LOP-SHORE FACILITIES"/>
      <sheetName val="LOP-API"/>
      <sheetName val="LOP-BACK PRESSURE"/>
      <sheetName val="Sheet1"/>
      <sheetName val="WBT PUMP PERFORM."/>
      <sheetName val="Sheet2"/>
      <sheetName val="Sheet4"/>
      <sheetName val="Sheet5"/>
    </sheetNames>
    <sheetDataSet>
      <sheetData sheetId="0">
        <row r="37">
          <cell r="C37">
            <v>0.82509999999999994</v>
          </cell>
        </row>
        <row r="46">
          <cell r="C46" t="str">
            <v>54B</v>
          </cell>
        </row>
        <row r="50">
          <cell r="C50" t="str">
            <v>AKIN ARIDICI</v>
          </cell>
        </row>
      </sheetData>
      <sheetData sheetId="1"/>
      <sheetData sheetId="2">
        <row r="12">
          <cell r="D12" t="str">
            <v>MOTORIN</v>
          </cell>
        </row>
        <row r="19">
          <cell r="D19">
            <v>705.77420000000006</v>
          </cell>
          <cell r="O19">
            <v>578.55293112454387</v>
          </cell>
          <cell r="P19">
            <v>0.88415183213279058</v>
          </cell>
        </row>
        <row r="20">
          <cell r="D20">
            <v>701.87279999999998</v>
          </cell>
          <cell r="O20">
            <v>575.35478870804661</v>
          </cell>
          <cell r="P20">
            <v>0.88573779428986787</v>
          </cell>
        </row>
        <row r="21">
          <cell r="D21">
            <v>1470.998</v>
          </cell>
          <cell r="O21">
            <v>1205.8392111504522</v>
          </cell>
          <cell r="P21">
            <v>0.89929419676290334</v>
          </cell>
        </row>
        <row r="22">
          <cell r="D22">
            <v>1470.431</v>
          </cell>
          <cell r="O22">
            <v>1205.3744172943611</v>
          </cell>
          <cell r="P22">
            <v>0.89928127511286648</v>
          </cell>
        </row>
        <row r="23">
          <cell r="D23">
            <v>1246.6097000000002</v>
          </cell>
          <cell r="O23">
            <v>1021.8986410997854</v>
          </cell>
          <cell r="P23">
            <v>0.90235235188138219</v>
          </cell>
        </row>
        <row r="24">
          <cell r="D24">
            <v>1247.6569999999999</v>
          </cell>
          <cell r="O24">
            <v>1022.7571571588403</v>
          </cell>
          <cell r="P24">
            <v>0.90253553444720047</v>
          </cell>
        </row>
        <row r="25">
          <cell r="D25">
            <v>1246.4839999999999</v>
          </cell>
          <cell r="O25">
            <v>1021.7955994988845</v>
          </cell>
          <cell r="P25">
            <v>0.90193689182696479</v>
          </cell>
        </row>
        <row r="26">
          <cell r="D26">
            <v>1246.1625999999999</v>
          </cell>
          <cell r="O26">
            <v>1021.5321343395411</v>
          </cell>
          <cell r="P26">
            <v>0.90150667975585808</v>
          </cell>
        </row>
        <row r="27">
          <cell r="D27">
            <v>1247.1489999999999</v>
          </cell>
          <cell r="O27">
            <v>1022.3407280955346</v>
          </cell>
          <cell r="P27">
            <v>0.90234298973390925</v>
          </cell>
        </row>
        <row r="28">
          <cell r="D28">
            <v>1248.3334</v>
          </cell>
          <cell r="O28">
            <v>1023.3116308171473</v>
          </cell>
          <cell r="P28">
            <v>0.9032620178462375</v>
          </cell>
        </row>
        <row r="29">
          <cell r="D29">
            <v>1244.6079999999999</v>
          </cell>
          <cell r="O29">
            <v>1020.2577630367562</v>
          </cell>
          <cell r="P29">
            <v>0.90200685451228824</v>
          </cell>
        </row>
        <row r="30">
          <cell r="D30">
            <v>1246.6061999999999</v>
          </cell>
          <cell r="O30">
            <v>1021.8957720019082</v>
          </cell>
          <cell r="P30">
            <v>0.90301457304414223</v>
          </cell>
        </row>
        <row r="31">
          <cell r="D31">
            <v>1244.2538999999999</v>
          </cell>
          <cell r="O31">
            <v>1019.9674923058179</v>
          </cell>
          <cell r="P31">
            <v>0.90255019955055782</v>
          </cell>
        </row>
        <row r="32">
          <cell r="D32">
            <v>1244.6114</v>
          </cell>
          <cell r="O32">
            <v>1020.2605501604081</v>
          </cell>
          <cell r="P32">
            <v>0.90355604050646876</v>
          </cell>
        </row>
        <row r="33">
          <cell r="D33">
            <v>1166.924</v>
          </cell>
          <cell r="O33">
            <v>956.5769060410214</v>
          </cell>
          <cell r="P33">
            <v>0.89586554539270946</v>
          </cell>
        </row>
        <row r="34">
          <cell r="D34">
            <v>1169.9921999999999</v>
          </cell>
          <cell r="O34">
            <v>786.82921331598072</v>
          </cell>
          <cell r="P34">
            <v>0.89825553006642511</v>
          </cell>
        </row>
        <row r="35">
          <cell r="D35">
            <v>338.18939999999998</v>
          </cell>
          <cell r="O35">
            <v>277.22813988560466</v>
          </cell>
          <cell r="P35">
            <v>0.88498127664251336</v>
          </cell>
        </row>
        <row r="36">
          <cell r="D36">
            <v>352.81020000000001</v>
          </cell>
          <cell r="O36">
            <v>289.21342738320061</v>
          </cell>
          <cell r="P36">
            <v>0.88514119701348748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theme="9"/>
  </sheetPr>
  <dimension ref="A1:CJ1172"/>
  <sheetViews>
    <sheetView showGridLines="0" zoomScale="115" zoomScaleNormal="115" zoomScaleSheetLayoutView="100" workbookViewId="0">
      <selection activeCell="C47" sqref="C47:E97"/>
    </sheetView>
  </sheetViews>
  <sheetFormatPr defaultRowHeight="14.25"/>
  <cols>
    <col min="1" max="1" width="5.875" style="376" customWidth="1"/>
    <col min="2" max="2" width="6.25" style="376" customWidth="1"/>
    <col min="3" max="3" width="6.625" style="376" customWidth="1"/>
    <col min="4" max="4" width="5.5" style="376" customWidth="1"/>
    <col min="5" max="5" width="3.25" style="376" customWidth="1"/>
    <col min="6" max="6" width="8.25" style="376" customWidth="1"/>
    <col min="7" max="7" width="8.75" style="376" customWidth="1"/>
    <col min="8" max="8" width="5.75" style="376" customWidth="1"/>
    <col min="9" max="9" width="4.5" style="376" customWidth="1"/>
    <col min="10" max="10" width="8.125" style="376" customWidth="1"/>
    <col min="11" max="11" width="3.875" style="376" customWidth="1"/>
    <col min="12" max="12" width="6.375" style="376" customWidth="1"/>
    <col min="13" max="13" width="6.875" style="376" customWidth="1"/>
    <col min="14" max="14" width="8.5" style="376" customWidth="1"/>
    <col min="15" max="15" width="8.75" style="376" hidden="1" customWidth="1"/>
    <col min="16" max="16" width="9.125" style="376" customWidth="1"/>
    <col min="17" max="17" width="10" style="376" customWidth="1"/>
    <col min="18" max="18" width="7.25" style="135" customWidth="1"/>
    <col min="19" max="19" width="14.625" style="135" customWidth="1"/>
    <col min="20" max="20" width="11.75" style="135" customWidth="1"/>
    <col min="21" max="21" width="14.75" style="135" customWidth="1"/>
    <col min="22" max="22" width="9.75" style="135" customWidth="1"/>
    <col min="23" max="23" width="9.75" style="136" customWidth="1"/>
    <col min="24" max="24" width="9.75" style="135" customWidth="1"/>
    <col min="25" max="25" width="9.75" style="141" customWidth="1"/>
    <col min="26" max="26" width="9.75" style="277" customWidth="1"/>
    <col min="27" max="27" width="11.25" style="139" customWidth="1"/>
    <col min="28" max="28" width="9.75" style="135" customWidth="1"/>
    <col min="29" max="29" width="10.375" style="139" customWidth="1"/>
    <col min="30" max="30" width="9.75" style="135" customWidth="1"/>
    <col min="31" max="31" width="10.5" style="139" customWidth="1"/>
    <col min="32" max="32" width="9.75" style="135" customWidth="1"/>
    <col min="33" max="33" width="10.75" style="139" customWidth="1"/>
    <col min="34" max="34" width="9.75" style="140" customWidth="1"/>
    <col min="35" max="35" width="11.25" style="141" customWidth="1"/>
    <col min="36" max="36" width="9.75" style="135" customWidth="1"/>
    <col min="37" max="37" width="10.75" style="135" customWidth="1"/>
    <col min="38" max="38" width="9.75" style="135" customWidth="1"/>
    <col min="39" max="39" width="11.25" style="135" customWidth="1"/>
    <col min="40" max="40" width="9.75" style="135" customWidth="1"/>
    <col min="41" max="41" width="10.875" style="135" customWidth="1"/>
    <col min="42" max="42" width="9.75" style="135" customWidth="1"/>
    <col min="43" max="43" width="10.75" style="135" customWidth="1"/>
    <col min="44" max="44" width="9.75" style="135" customWidth="1"/>
    <col min="45" max="45" width="10.75" style="135" customWidth="1"/>
    <col min="46" max="46" width="9.75" style="135" customWidth="1"/>
    <col min="47" max="47" width="10.5" style="135" customWidth="1"/>
    <col min="48" max="48" width="9.75" style="135" customWidth="1"/>
    <col min="49" max="49" width="10.75" style="135" customWidth="1"/>
    <col min="50" max="50" width="9.75" style="135" customWidth="1"/>
    <col min="51" max="51" width="10.75" style="135" customWidth="1"/>
    <col min="52" max="57" width="9.75" style="135" customWidth="1"/>
    <col min="58" max="60" width="8.25" style="376" customWidth="1"/>
    <col min="61" max="61" width="7.75" style="376" customWidth="1"/>
    <col min="62" max="62" width="7.25" style="376" customWidth="1"/>
    <col min="63" max="65" width="8.25" style="376" customWidth="1"/>
    <col min="66" max="69" width="8.25" style="135" customWidth="1"/>
    <col min="70" max="70" width="8.25" style="376" customWidth="1"/>
    <col min="71" max="77" width="13.25" style="135" customWidth="1"/>
    <col min="78" max="78" width="14" style="135" customWidth="1"/>
    <col min="79" max="88" width="13.25" style="135" customWidth="1"/>
    <col min="89" max="90" width="13.25" style="376" customWidth="1"/>
    <col min="91" max="252" width="8.75" style="376"/>
    <col min="253" max="253" width="5.25" style="376" customWidth="1"/>
    <col min="254" max="254" width="6.375" style="376" customWidth="1"/>
    <col min="255" max="255" width="6.625" style="376" customWidth="1"/>
    <col min="256" max="256" width="5.5" style="376" customWidth="1"/>
    <col min="257" max="257" width="4.25" style="376" customWidth="1"/>
    <col min="258" max="258" width="6.25" style="376" customWidth="1"/>
    <col min="259" max="259" width="7.25" style="376" customWidth="1"/>
    <col min="260" max="260" width="5.75" style="376" customWidth="1"/>
    <col min="261" max="261" width="5.375" style="376" customWidth="1"/>
    <col min="262" max="262" width="6.75" style="376" customWidth="1"/>
    <col min="263" max="263" width="3.125" style="376" customWidth="1"/>
    <col min="264" max="264" width="7.625" style="376" customWidth="1"/>
    <col min="265" max="265" width="7.75" style="376" customWidth="1"/>
    <col min="266" max="266" width="5.75" style="376" customWidth="1"/>
    <col min="267" max="286" width="5.125" style="376" customWidth="1"/>
    <col min="287" max="508" width="8.75" style="376"/>
    <col min="509" max="509" width="5.25" style="376" customWidth="1"/>
    <col min="510" max="510" width="6.375" style="376" customWidth="1"/>
    <col min="511" max="511" width="6.625" style="376" customWidth="1"/>
    <col min="512" max="512" width="5.5" style="376" customWidth="1"/>
    <col min="513" max="513" width="4.25" style="376" customWidth="1"/>
    <col min="514" max="514" width="6.25" style="376" customWidth="1"/>
    <col min="515" max="515" width="7.25" style="376" customWidth="1"/>
    <col min="516" max="516" width="5.75" style="376" customWidth="1"/>
    <col min="517" max="517" width="5.375" style="376" customWidth="1"/>
    <col min="518" max="518" width="6.75" style="376" customWidth="1"/>
    <col min="519" max="519" width="3.125" style="376" customWidth="1"/>
    <col min="520" max="520" width="7.625" style="376" customWidth="1"/>
    <col min="521" max="521" width="7.75" style="376" customWidth="1"/>
    <col min="522" max="522" width="5.75" style="376" customWidth="1"/>
    <col min="523" max="542" width="5.125" style="376" customWidth="1"/>
    <col min="543" max="764" width="8.75" style="376"/>
    <col min="765" max="765" width="5.25" style="376" customWidth="1"/>
    <col min="766" max="766" width="6.375" style="376" customWidth="1"/>
    <col min="767" max="767" width="6.625" style="376" customWidth="1"/>
    <col min="768" max="768" width="5.5" style="376" customWidth="1"/>
    <col min="769" max="769" width="4.25" style="376" customWidth="1"/>
    <col min="770" max="770" width="6.25" style="376" customWidth="1"/>
    <col min="771" max="771" width="7.25" style="376" customWidth="1"/>
    <col min="772" max="772" width="5.75" style="376" customWidth="1"/>
    <col min="773" max="773" width="5.375" style="376" customWidth="1"/>
    <col min="774" max="774" width="6.75" style="376" customWidth="1"/>
    <col min="775" max="775" width="3.125" style="376" customWidth="1"/>
    <col min="776" max="776" width="7.625" style="376" customWidth="1"/>
    <col min="777" max="777" width="7.75" style="376" customWidth="1"/>
    <col min="778" max="778" width="5.75" style="376" customWidth="1"/>
    <col min="779" max="798" width="5.125" style="376" customWidth="1"/>
    <col min="799" max="1020" width="8.75" style="376"/>
    <col min="1021" max="1021" width="5.25" style="376" customWidth="1"/>
    <col min="1022" max="1022" width="6.375" style="376" customWidth="1"/>
    <col min="1023" max="1023" width="6.625" style="376" customWidth="1"/>
    <col min="1024" max="1024" width="5.5" style="376" customWidth="1"/>
    <col min="1025" max="1025" width="4.25" style="376" customWidth="1"/>
    <col min="1026" max="1026" width="6.25" style="376" customWidth="1"/>
    <col min="1027" max="1027" width="7.25" style="376" customWidth="1"/>
    <col min="1028" max="1028" width="5.75" style="376" customWidth="1"/>
    <col min="1029" max="1029" width="5.375" style="376" customWidth="1"/>
    <col min="1030" max="1030" width="6.75" style="376" customWidth="1"/>
    <col min="1031" max="1031" width="3.125" style="376" customWidth="1"/>
    <col min="1032" max="1032" width="7.625" style="376" customWidth="1"/>
    <col min="1033" max="1033" width="7.75" style="376" customWidth="1"/>
    <col min="1034" max="1034" width="5.75" style="376" customWidth="1"/>
    <col min="1035" max="1054" width="5.125" style="376" customWidth="1"/>
    <col min="1055" max="1276" width="8.75" style="376"/>
    <col min="1277" max="1277" width="5.25" style="376" customWidth="1"/>
    <col min="1278" max="1278" width="6.375" style="376" customWidth="1"/>
    <col min="1279" max="1279" width="6.625" style="376" customWidth="1"/>
    <col min="1280" max="1280" width="5.5" style="376" customWidth="1"/>
    <col min="1281" max="1281" width="4.25" style="376" customWidth="1"/>
    <col min="1282" max="1282" width="6.25" style="376" customWidth="1"/>
    <col min="1283" max="1283" width="7.25" style="376" customWidth="1"/>
    <col min="1284" max="1284" width="5.75" style="376" customWidth="1"/>
    <col min="1285" max="1285" width="5.375" style="376" customWidth="1"/>
    <col min="1286" max="1286" width="6.75" style="376" customWidth="1"/>
    <col min="1287" max="1287" width="3.125" style="376" customWidth="1"/>
    <col min="1288" max="1288" width="7.625" style="376" customWidth="1"/>
    <col min="1289" max="1289" width="7.75" style="376" customWidth="1"/>
    <col min="1290" max="1290" width="5.75" style="376" customWidth="1"/>
    <col min="1291" max="1310" width="5.125" style="376" customWidth="1"/>
    <col min="1311" max="1532" width="8.75" style="376"/>
    <col min="1533" max="1533" width="5.25" style="376" customWidth="1"/>
    <col min="1534" max="1534" width="6.375" style="376" customWidth="1"/>
    <col min="1535" max="1535" width="6.625" style="376" customWidth="1"/>
    <col min="1536" max="1536" width="5.5" style="376" customWidth="1"/>
    <col min="1537" max="1537" width="4.25" style="376" customWidth="1"/>
    <col min="1538" max="1538" width="6.25" style="376" customWidth="1"/>
    <col min="1539" max="1539" width="7.25" style="376" customWidth="1"/>
    <col min="1540" max="1540" width="5.75" style="376" customWidth="1"/>
    <col min="1541" max="1541" width="5.375" style="376" customWidth="1"/>
    <col min="1542" max="1542" width="6.75" style="376" customWidth="1"/>
    <col min="1543" max="1543" width="3.125" style="376" customWidth="1"/>
    <col min="1544" max="1544" width="7.625" style="376" customWidth="1"/>
    <col min="1545" max="1545" width="7.75" style="376" customWidth="1"/>
    <col min="1546" max="1546" width="5.75" style="376" customWidth="1"/>
    <col min="1547" max="1566" width="5.125" style="376" customWidth="1"/>
    <col min="1567" max="1788" width="8.75" style="376"/>
    <col min="1789" max="1789" width="5.25" style="376" customWidth="1"/>
    <col min="1790" max="1790" width="6.375" style="376" customWidth="1"/>
    <col min="1791" max="1791" width="6.625" style="376" customWidth="1"/>
    <col min="1792" max="1792" width="5.5" style="376" customWidth="1"/>
    <col min="1793" max="1793" width="4.25" style="376" customWidth="1"/>
    <col min="1794" max="1794" width="6.25" style="376" customWidth="1"/>
    <col min="1795" max="1795" width="7.25" style="376" customWidth="1"/>
    <col min="1796" max="1796" width="5.75" style="376" customWidth="1"/>
    <col min="1797" max="1797" width="5.375" style="376" customWidth="1"/>
    <col min="1798" max="1798" width="6.75" style="376" customWidth="1"/>
    <col min="1799" max="1799" width="3.125" style="376" customWidth="1"/>
    <col min="1800" max="1800" width="7.625" style="376" customWidth="1"/>
    <col min="1801" max="1801" width="7.75" style="376" customWidth="1"/>
    <col min="1802" max="1802" width="5.75" style="376" customWidth="1"/>
    <col min="1803" max="1822" width="5.125" style="376" customWidth="1"/>
    <col min="1823" max="2044" width="8.75" style="376"/>
    <col min="2045" max="2045" width="5.25" style="376" customWidth="1"/>
    <col min="2046" max="2046" width="6.375" style="376" customWidth="1"/>
    <col min="2047" max="2047" width="6.625" style="376" customWidth="1"/>
    <col min="2048" max="2048" width="5.5" style="376" customWidth="1"/>
    <col min="2049" max="2049" width="4.25" style="376" customWidth="1"/>
    <col min="2050" max="2050" width="6.25" style="376" customWidth="1"/>
    <col min="2051" max="2051" width="7.25" style="376" customWidth="1"/>
    <col min="2052" max="2052" width="5.75" style="376" customWidth="1"/>
    <col min="2053" max="2053" width="5.375" style="376" customWidth="1"/>
    <col min="2054" max="2054" width="6.75" style="376" customWidth="1"/>
    <col min="2055" max="2055" width="3.125" style="376" customWidth="1"/>
    <col min="2056" max="2056" width="7.625" style="376" customWidth="1"/>
    <col min="2057" max="2057" width="7.75" style="376" customWidth="1"/>
    <col min="2058" max="2058" width="5.75" style="376" customWidth="1"/>
    <col min="2059" max="2078" width="5.125" style="376" customWidth="1"/>
    <col min="2079" max="2300" width="8.75" style="376"/>
    <col min="2301" max="2301" width="5.25" style="376" customWidth="1"/>
    <col min="2302" max="2302" width="6.375" style="376" customWidth="1"/>
    <col min="2303" max="2303" width="6.625" style="376" customWidth="1"/>
    <col min="2304" max="2304" width="5.5" style="376" customWidth="1"/>
    <col min="2305" max="2305" width="4.25" style="376" customWidth="1"/>
    <col min="2306" max="2306" width="6.25" style="376" customWidth="1"/>
    <col min="2307" max="2307" width="7.25" style="376" customWidth="1"/>
    <col min="2308" max="2308" width="5.75" style="376" customWidth="1"/>
    <col min="2309" max="2309" width="5.375" style="376" customWidth="1"/>
    <col min="2310" max="2310" width="6.75" style="376" customWidth="1"/>
    <col min="2311" max="2311" width="3.125" style="376" customWidth="1"/>
    <col min="2312" max="2312" width="7.625" style="376" customWidth="1"/>
    <col min="2313" max="2313" width="7.75" style="376" customWidth="1"/>
    <col min="2314" max="2314" width="5.75" style="376" customWidth="1"/>
    <col min="2315" max="2334" width="5.125" style="376" customWidth="1"/>
    <col min="2335" max="2556" width="8.75" style="376"/>
    <col min="2557" max="2557" width="5.25" style="376" customWidth="1"/>
    <col min="2558" max="2558" width="6.375" style="376" customWidth="1"/>
    <col min="2559" max="2559" width="6.625" style="376" customWidth="1"/>
    <col min="2560" max="2560" width="5.5" style="376" customWidth="1"/>
    <col min="2561" max="2561" width="4.25" style="376" customWidth="1"/>
    <col min="2562" max="2562" width="6.25" style="376" customWidth="1"/>
    <col min="2563" max="2563" width="7.25" style="376" customWidth="1"/>
    <col min="2564" max="2564" width="5.75" style="376" customWidth="1"/>
    <col min="2565" max="2565" width="5.375" style="376" customWidth="1"/>
    <col min="2566" max="2566" width="6.75" style="376" customWidth="1"/>
    <col min="2567" max="2567" width="3.125" style="376" customWidth="1"/>
    <col min="2568" max="2568" width="7.625" style="376" customWidth="1"/>
    <col min="2569" max="2569" width="7.75" style="376" customWidth="1"/>
    <col min="2570" max="2570" width="5.75" style="376" customWidth="1"/>
    <col min="2571" max="2590" width="5.125" style="376" customWidth="1"/>
    <col min="2591" max="2812" width="8.75" style="376"/>
    <col min="2813" max="2813" width="5.25" style="376" customWidth="1"/>
    <col min="2814" max="2814" width="6.375" style="376" customWidth="1"/>
    <col min="2815" max="2815" width="6.625" style="376" customWidth="1"/>
    <col min="2816" max="2816" width="5.5" style="376" customWidth="1"/>
    <col min="2817" max="2817" width="4.25" style="376" customWidth="1"/>
    <col min="2818" max="2818" width="6.25" style="376" customWidth="1"/>
    <col min="2819" max="2819" width="7.25" style="376" customWidth="1"/>
    <col min="2820" max="2820" width="5.75" style="376" customWidth="1"/>
    <col min="2821" max="2821" width="5.375" style="376" customWidth="1"/>
    <col min="2822" max="2822" width="6.75" style="376" customWidth="1"/>
    <col min="2823" max="2823" width="3.125" style="376" customWidth="1"/>
    <col min="2824" max="2824" width="7.625" style="376" customWidth="1"/>
    <col min="2825" max="2825" width="7.75" style="376" customWidth="1"/>
    <col min="2826" max="2826" width="5.75" style="376" customWidth="1"/>
    <col min="2827" max="2846" width="5.125" style="376" customWidth="1"/>
    <col min="2847" max="3068" width="8.75" style="376"/>
    <col min="3069" max="3069" width="5.25" style="376" customWidth="1"/>
    <col min="3070" max="3070" width="6.375" style="376" customWidth="1"/>
    <col min="3071" max="3071" width="6.625" style="376" customWidth="1"/>
    <col min="3072" max="3072" width="5.5" style="376" customWidth="1"/>
    <col min="3073" max="3073" width="4.25" style="376" customWidth="1"/>
    <col min="3074" max="3074" width="6.25" style="376" customWidth="1"/>
    <col min="3075" max="3075" width="7.25" style="376" customWidth="1"/>
    <col min="3076" max="3076" width="5.75" style="376" customWidth="1"/>
    <col min="3077" max="3077" width="5.375" style="376" customWidth="1"/>
    <col min="3078" max="3078" width="6.75" style="376" customWidth="1"/>
    <col min="3079" max="3079" width="3.125" style="376" customWidth="1"/>
    <col min="3080" max="3080" width="7.625" style="376" customWidth="1"/>
    <col min="3081" max="3081" width="7.75" style="376" customWidth="1"/>
    <col min="3082" max="3082" width="5.75" style="376" customWidth="1"/>
    <col min="3083" max="3102" width="5.125" style="376" customWidth="1"/>
    <col min="3103" max="3324" width="8.75" style="376"/>
    <col min="3325" max="3325" width="5.25" style="376" customWidth="1"/>
    <col min="3326" max="3326" width="6.375" style="376" customWidth="1"/>
    <col min="3327" max="3327" width="6.625" style="376" customWidth="1"/>
    <col min="3328" max="3328" width="5.5" style="376" customWidth="1"/>
    <col min="3329" max="3329" width="4.25" style="376" customWidth="1"/>
    <col min="3330" max="3330" width="6.25" style="376" customWidth="1"/>
    <col min="3331" max="3331" width="7.25" style="376" customWidth="1"/>
    <col min="3332" max="3332" width="5.75" style="376" customWidth="1"/>
    <col min="3333" max="3333" width="5.375" style="376" customWidth="1"/>
    <col min="3334" max="3334" width="6.75" style="376" customWidth="1"/>
    <col min="3335" max="3335" width="3.125" style="376" customWidth="1"/>
    <col min="3336" max="3336" width="7.625" style="376" customWidth="1"/>
    <col min="3337" max="3337" width="7.75" style="376" customWidth="1"/>
    <col min="3338" max="3338" width="5.75" style="376" customWidth="1"/>
    <col min="3339" max="3358" width="5.125" style="376" customWidth="1"/>
    <col min="3359" max="3580" width="8.75" style="376"/>
    <col min="3581" max="3581" width="5.25" style="376" customWidth="1"/>
    <col min="3582" max="3582" width="6.375" style="376" customWidth="1"/>
    <col min="3583" max="3583" width="6.625" style="376" customWidth="1"/>
    <col min="3584" max="3584" width="5.5" style="376" customWidth="1"/>
    <col min="3585" max="3585" width="4.25" style="376" customWidth="1"/>
    <col min="3586" max="3586" width="6.25" style="376" customWidth="1"/>
    <col min="3587" max="3587" width="7.25" style="376" customWidth="1"/>
    <col min="3588" max="3588" width="5.75" style="376" customWidth="1"/>
    <col min="3589" max="3589" width="5.375" style="376" customWidth="1"/>
    <col min="3590" max="3590" width="6.75" style="376" customWidth="1"/>
    <col min="3591" max="3591" width="3.125" style="376" customWidth="1"/>
    <col min="3592" max="3592" width="7.625" style="376" customWidth="1"/>
    <col min="3593" max="3593" width="7.75" style="376" customWidth="1"/>
    <col min="3594" max="3594" width="5.75" style="376" customWidth="1"/>
    <col min="3595" max="3614" width="5.125" style="376" customWidth="1"/>
    <col min="3615" max="3836" width="8.75" style="376"/>
    <col min="3837" max="3837" width="5.25" style="376" customWidth="1"/>
    <col min="3838" max="3838" width="6.375" style="376" customWidth="1"/>
    <col min="3839" max="3839" width="6.625" style="376" customWidth="1"/>
    <col min="3840" max="3840" width="5.5" style="376" customWidth="1"/>
    <col min="3841" max="3841" width="4.25" style="376" customWidth="1"/>
    <col min="3842" max="3842" width="6.25" style="376" customWidth="1"/>
    <col min="3843" max="3843" width="7.25" style="376" customWidth="1"/>
    <col min="3844" max="3844" width="5.75" style="376" customWidth="1"/>
    <col min="3845" max="3845" width="5.375" style="376" customWidth="1"/>
    <col min="3846" max="3846" width="6.75" style="376" customWidth="1"/>
    <col min="3847" max="3847" width="3.125" style="376" customWidth="1"/>
    <col min="3848" max="3848" width="7.625" style="376" customWidth="1"/>
    <col min="3849" max="3849" width="7.75" style="376" customWidth="1"/>
    <col min="3850" max="3850" width="5.75" style="376" customWidth="1"/>
    <col min="3851" max="3870" width="5.125" style="376" customWidth="1"/>
    <col min="3871" max="4092" width="8.75" style="376"/>
    <col min="4093" max="4093" width="5.25" style="376" customWidth="1"/>
    <col min="4094" max="4094" width="6.375" style="376" customWidth="1"/>
    <col min="4095" max="4095" width="6.625" style="376" customWidth="1"/>
    <col min="4096" max="4096" width="5.5" style="376" customWidth="1"/>
    <col min="4097" max="4097" width="4.25" style="376" customWidth="1"/>
    <col min="4098" max="4098" width="6.25" style="376" customWidth="1"/>
    <col min="4099" max="4099" width="7.25" style="376" customWidth="1"/>
    <col min="4100" max="4100" width="5.75" style="376" customWidth="1"/>
    <col min="4101" max="4101" width="5.375" style="376" customWidth="1"/>
    <col min="4102" max="4102" width="6.75" style="376" customWidth="1"/>
    <col min="4103" max="4103" width="3.125" style="376" customWidth="1"/>
    <col min="4104" max="4104" width="7.625" style="376" customWidth="1"/>
    <col min="4105" max="4105" width="7.75" style="376" customWidth="1"/>
    <col min="4106" max="4106" width="5.75" style="376" customWidth="1"/>
    <col min="4107" max="4126" width="5.125" style="376" customWidth="1"/>
    <col min="4127" max="4348" width="8.75" style="376"/>
    <col min="4349" max="4349" width="5.25" style="376" customWidth="1"/>
    <col min="4350" max="4350" width="6.375" style="376" customWidth="1"/>
    <col min="4351" max="4351" width="6.625" style="376" customWidth="1"/>
    <col min="4352" max="4352" width="5.5" style="376" customWidth="1"/>
    <col min="4353" max="4353" width="4.25" style="376" customWidth="1"/>
    <col min="4354" max="4354" width="6.25" style="376" customWidth="1"/>
    <col min="4355" max="4355" width="7.25" style="376" customWidth="1"/>
    <col min="4356" max="4356" width="5.75" style="376" customWidth="1"/>
    <col min="4357" max="4357" width="5.375" style="376" customWidth="1"/>
    <col min="4358" max="4358" width="6.75" style="376" customWidth="1"/>
    <col min="4359" max="4359" width="3.125" style="376" customWidth="1"/>
    <col min="4360" max="4360" width="7.625" style="376" customWidth="1"/>
    <col min="4361" max="4361" width="7.75" style="376" customWidth="1"/>
    <col min="4362" max="4362" width="5.75" style="376" customWidth="1"/>
    <col min="4363" max="4382" width="5.125" style="376" customWidth="1"/>
    <col min="4383" max="4604" width="8.75" style="376"/>
    <col min="4605" max="4605" width="5.25" style="376" customWidth="1"/>
    <col min="4606" max="4606" width="6.375" style="376" customWidth="1"/>
    <col min="4607" max="4607" width="6.625" style="376" customWidth="1"/>
    <col min="4608" max="4608" width="5.5" style="376" customWidth="1"/>
    <col min="4609" max="4609" width="4.25" style="376" customWidth="1"/>
    <col min="4610" max="4610" width="6.25" style="376" customWidth="1"/>
    <col min="4611" max="4611" width="7.25" style="376" customWidth="1"/>
    <col min="4612" max="4612" width="5.75" style="376" customWidth="1"/>
    <col min="4613" max="4613" width="5.375" style="376" customWidth="1"/>
    <col min="4614" max="4614" width="6.75" style="376" customWidth="1"/>
    <col min="4615" max="4615" width="3.125" style="376" customWidth="1"/>
    <col min="4616" max="4616" width="7.625" style="376" customWidth="1"/>
    <col min="4617" max="4617" width="7.75" style="376" customWidth="1"/>
    <col min="4618" max="4618" width="5.75" style="376" customWidth="1"/>
    <col min="4619" max="4638" width="5.125" style="376" customWidth="1"/>
    <col min="4639" max="4860" width="8.75" style="376"/>
    <col min="4861" max="4861" width="5.25" style="376" customWidth="1"/>
    <col min="4862" max="4862" width="6.375" style="376" customWidth="1"/>
    <col min="4863" max="4863" width="6.625" style="376" customWidth="1"/>
    <col min="4864" max="4864" width="5.5" style="376" customWidth="1"/>
    <col min="4865" max="4865" width="4.25" style="376" customWidth="1"/>
    <col min="4866" max="4866" width="6.25" style="376" customWidth="1"/>
    <col min="4867" max="4867" width="7.25" style="376" customWidth="1"/>
    <col min="4868" max="4868" width="5.75" style="376" customWidth="1"/>
    <col min="4869" max="4869" width="5.375" style="376" customWidth="1"/>
    <col min="4870" max="4870" width="6.75" style="376" customWidth="1"/>
    <col min="4871" max="4871" width="3.125" style="376" customWidth="1"/>
    <col min="4872" max="4872" width="7.625" style="376" customWidth="1"/>
    <col min="4873" max="4873" width="7.75" style="376" customWidth="1"/>
    <col min="4874" max="4874" width="5.75" style="376" customWidth="1"/>
    <col min="4875" max="4894" width="5.125" style="376" customWidth="1"/>
    <col min="4895" max="5116" width="8.75" style="376"/>
    <col min="5117" max="5117" width="5.25" style="376" customWidth="1"/>
    <col min="5118" max="5118" width="6.375" style="376" customWidth="1"/>
    <col min="5119" max="5119" width="6.625" style="376" customWidth="1"/>
    <col min="5120" max="5120" width="5.5" style="376" customWidth="1"/>
    <col min="5121" max="5121" width="4.25" style="376" customWidth="1"/>
    <col min="5122" max="5122" width="6.25" style="376" customWidth="1"/>
    <col min="5123" max="5123" width="7.25" style="376" customWidth="1"/>
    <col min="5124" max="5124" width="5.75" style="376" customWidth="1"/>
    <col min="5125" max="5125" width="5.375" style="376" customWidth="1"/>
    <col min="5126" max="5126" width="6.75" style="376" customWidth="1"/>
    <col min="5127" max="5127" width="3.125" style="376" customWidth="1"/>
    <col min="5128" max="5128" width="7.625" style="376" customWidth="1"/>
    <col min="5129" max="5129" width="7.75" style="376" customWidth="1"/>
    <col min="5130" max="5130" width="5.75" style="376" customWidth="1"/>
    <col min="5131" max="5150" width="5.125" style="376" customWidth="1"/>
    <col min="5151" max="5372" width="8.75" style="376"/>
    <col min="5373" max="5373" width="5.25" style="376" customWidth="1"/>
    <col min="5374" max="5374" width="6.375" style="376" customWidth="1"/>
    <col min="5375" max="5375" width="6.625" style="376" customWidth="1"/>
    <col min="5376" max="5376" width="5.5" style="376" customWidth="1"/>
    <col min="5377" max="5377" width="4.25" style="376" customWidth="1"/>
    <col min="5378" max="5378" width="6.25" style="376" customWidth="1"/>
    <col min="5379" max="5379" width="7.25" style="376" customWidth="1"/>
    <col min="5380" max="5380" width="5.75" style="376" customWidth="1"/>
    <col min="5381" max="5381" width="5.375" style="376" customWidth="1"/>
    <col min="5382" max="5382" width="6.75" style="376" customWidth="1"/>
    <col min="5383" max="5383" width="3.125" style="376" customWidth="1"/>
    <col min="5384" max="5384" width="7.625" style="376" customWidth="1"/>
    <col min="5385" max="5385" width="7.75" style="376" customWidth="1"/>
    <col min="5386" max="5386" width="5.75" style="376" customWidth="1"/>
    <col min="5387" max="5406" width="5.125" style="376" customWidth="1"/>
    <col min="5407" max="5628" width="8.75" style="376"/>
    <col min="5629" max="5629" width="5.25" style="376" customWidth="1"/>
    <col min="5630" max="5630" width="6.375" style="376" customWidth="1"/>
    <col min="5631" max="5631" width="6.625" style="376" customWidth="1"/>
    <col min="5632" max="5632" width="5.5" style="376" customWidth="1"/>
    <col min="5633" max="5633" width="4.25" style="376" customWidth="1"/>
    <col min="5634" max="5634" width="6.25" style="376" customWidth="1"/>
    <col min="5635" max="5635" width="7.25" style="376" customWidth="1"/>
    <col min="5636" max="5636" width="5.75" style="376" customWidth="1"/>
    <col min="5637" max="5637" width="5.375" style="376" customWidth="1"/>
    <col min="5638" max="5638" width="6.75" style="376" customWidth="1"/>
    <col min="5639" max="5639" width="3.125" style="376" customWidth="1"/>
    <col min="5640" max="5640" width="7.625" style="376" customWidth="1"/>
    <col min="5641" max="5641" width="7.75" style="376" customWidth="1"/>
    <col min="5642" max="5642" width="5.75" style="376" customWidth="1"/>
    <col min="5643" max="5662" width="5.125" style="376" customWidth="1"/>
    <col min="5663" max="5884" width="8.75" style="376"/>
    <col min="5885" max="5885" width="5.25" style="376" customWidth="1"/>
    <col min="5886" max="5886" width="6.375" style="376" customWidth="1"/>
    <col min="5887" max="5887" width="6.625" style="376" customWidth="1"/>
    <col min="5888" max="5888" width="5.5" style="376" customWidth="1"/>
    <col min="5889" max="5889" width="4.25" style="376" customWidth="1"/>
    <col min="5890" max="5890" width="6.25" style="376" customWidth="1"/>
    <col min="5891" max="5891" width="7.25" style="376" customWidth="1"/>
    <col min="5892" max="5892" width="5.75" style="376" customWidth="1"/>
    <col min="5893" max="5893" width="5.375" style="376" customWidth="1"/>
    <col min="5894" max="5894" width="6.75" style="376" customWidth="1"/>
    <col min="5895" max="5895" width="3.125" style="376" customWidth="1"/>
    <col min="5896" max="5896" width="7.625" style="376" customWidth="1"/>
    <col min="5897" max="5897" width="7.75" style="376" customWidth="1"/>
    <col min="5898" max="5898" width="5.75" style="376" customWidth="1"/>
    <col min="5899" max="5918" width="5.125" style="376" customWidth="1"/>
    <col min="5919" max="6140" width="8.75" style="376"/>
    <col min="6141" max="6141" width="5.25" style="376" customWidth="1"/>
    <col min="6142" max="6142" width="6.375" style="376" customWidth="1"/>
    <col min="6143" max="6143" width="6.625" style="376" customWidth="1"/>
    <col min="6144" max="6144" width="5.5" style="376" customWidth="1"/>
    <col min="6145" max="6145" width="4.25" style="376" customWidth="1"/>
    <col min="6146" max="6146" width="6.25" style="376" customWidth="1"/>
    <col min="6147" max="6147" width="7.25" style="376" customWidth="1"/>
    <col min="6148" max="6148" width="5.75" style="376" customWidth="1"/>
    <col min="6149" max="6149" width="5.375" style="376" customWidth="1"/>
    <col min="6150" max="6150" width="6.75" style="376" customWidth="1"/>
    <col min="6151" max="6151" width="3.125" style="376" customWidth="1"/>
    <col min="6152" max="6152" width="7.625" style="376" customWidth="1"/>
    <col min="6153" max="6153" width="7.75" style="376" customWidth="1"/>
    <col min="6154" max="6154" width="5.75" style="376" customWidth="1"/>
    <col min="6155" max="6174" width="5.125" style="376" customWidth="1"/>
    <col min="6175" max="6396" width="8.75" style="376"/>
    <col min="6397" max="6397" width="5.25" style="376" customWidth="1"/>
    <col min="6398" max="6398" width="6.375" style="376" customWidth="1"/>
    <col min="6399" max="6399" width="6.625" style="376" customWidth="1"/>
    <col min="6400" max="6400" width="5.5" style="376" customWidth="1"/>
    <col min="6401" max="6401" width="4.25" style="376" customWidth="1"/>
    <col min="6402" max="6402" width="6.25" style="376" customWidth="1"/>
    <col min="6403" max="6403" width="7.25" style="376" customWidth="1"/>
    <col min="6404" max="6404" width="5.75" style="376" customWidth="1"/>
    <col min="6405" max="6405" width="5.375" style="376" customWidth="1"/>
    <col min="6406" max="6406" width="6.75" style="376" customWidth="1"/>
    <col min="6407" max="6407" width="3.125" style="376" customWidth="1"/>
    <col min="6408" max="6408" width="7.625" style="376" customWidth="1"/>
    <col min="6409" max="6409" width="7.75" style="376" customWidth="1"/>
    <col min="6410" max="6410" width="5.75" style="376" customWidth="1"/>
    <col min="6411" max="6430" width="5.125" style="376" customWidth="1"/>
    <col min="6431" max="6652" width="8.75" style="376"/>
    <col min="6653" max="6653" width="5.25" style="376" customWidth="1"/>
    <col min="6654" max="6654" width="6.375" style="376" customWidth="1"/>
    <col min="6655" max="6655" width="6.625" style="376" customWidth="1"/>
    <col min="6656" max="6656" width="5.5" style="376" customWidth="1"/>
    <col min="6657" max="6657" width="4.25" style="376" customWidth="1"/>
    <col min="6658" max="6658" width="6.25" style="376" customWidth="1"/>
    <col min="6659" max="6659" width="7.25" style="376" customWidth="1"/>
    <col min="6660" max="6660" width="5.75" style="376" customWidth="1"/>
    <col min="6661" max="6661" width="5.375" style="376" customWidth="1"/>
    <col min="6662" max="6662" width="6.75" style="376" customWidth="1"/>
    <col min="6663" max="6663" width="3.125" style="376" customWidth="1"/>
    <col min="6664" max="6664" width="7.625" style="376" customWidth="1"/>
    <col min="6665" max="6665" width="7.75" style="376" customWidth="1"/>
    <col min="6666" max="6666" width="5.75" style="376" customWidth="1"/>
    <col min="6667" max="6686" width="5.125" style="376" customWidth="1"/>
    <col min="6687" max="6908" width="8.75" style="376"/>
    <col min="6909" max="6909" width="5.25" style="376" customWidth="1"/>
    <col min="6910" max="6910" width="6.375" style="376" customWidth="1"/>
    <col min="6911" max="6911" width="6.625" style="376" customWidth="1"/>
    <col min="6912" max="6912" width="5.5" style="376" customWidth="1"/>
    <col min="6913" max="6913" width="4.25" style="376" customWidth="1"/>
    <col min="6914" max="6914" width="6.25" style="376" customWidth="1"/>
    <col min="6915" max="6915" width="7.25" style="376" customWidth="1"/>
    <col min="6916" max="6916" width="5.75" style="376" customWidth="1"/>
    <col min="6917" max="6917" width="5.375" style="376" customWidth="1"/>
    <col min="6918" max="6918" width="6.75" style="376" customWidth="1"/>
    <col min="6919" max="6919" width="3.125" style="376" customWidth="1"/>
    <col min="6920" max="6920" width="7.625" style="376" customWidth="1"/>
    <col min="6921" max="6921" width="7.75" style="376" customWidth="1"/>
    <col min="6922" max="6922" width="5.75" style="376" customWidth="1"/>
    <col min="6923" max="6942" width="5.125" style="376" customWidth="1"/>
    <col min="6943" max="7164" width="8.75" style="376"/>
    <col min="7165" max="7165" width="5.25" style="376" customWidth="1"/>
    <col min="7166" max="7166" width="6.375" style="376" customWidth="1"/>
    <col min="7167" max="7167" width="6.625" style="376" customWidth="1"/>
    <col min="7168" max="7168" width="5.5" style="376" customWidth="1"/>
    <col min="7169" max="7169" width="4.25" style="376" customWidth="1"/>
    <col min="7170" max="7170" width="6.25" style="376" customWidth="1"/>
    <col min="7171" max="7171" width="7.25" style="376" customWidth="1"/>
    <col min="7172" max="7172" width="5.75" style="376" customWidth="1"/>
    <col min="7173" max="7173" width="5.375" style="376" customWidth="1"/>
    <col min="7174" max="7174" width="6.75" style="376" customWidth="1"/>
    <col min="7175" max="7175" width="3.125" style="376" customWidth="1"/>
    <col min="7176" max="7176" width="7.625" style="376" customWidth="1"/>
    <col min="7177" max="7177" width="7.75" style="376" customWidth="1"/>
    <col min="7178" max="7178" width="5.75" style="376" customWidth="1"/>
    <col min="7179" max="7198" width="5.125" style="376" customWidth="1"/>
    <col min="7199" max="7420" width="8.75" style="376"/>
    <col min="7421" max="7421" width="5.25" style="376" customWidth="1"/>
    <col min="7422" max="7422" width="6.375" style="376" customWidth="1"/>
    <col min="7423" max="7423" width="6.625" style="376" customWidth="1"/>
    <col min="7424" max="7424" width="5.5" style="376" customWidth="1"/>
    <col min="7425" max="7425" width="4.25" style="376" customWidth="1"/>
    <col min="7426" max="7426" width="6.25" style="376" customWidth="1"/>
    <col min="7427" max="7427" width="7.25" style="376" customWidth="1"/>
    <col min="7428" max="7428" width="5.75" style="376" customWidth="1"/>
    <col min="7429" max="7429" width="5.375" style="376" customWidth="1"/>
    <col min="7430" max="7430" width="6.75" style="376" customWidth="1"/>
    <col min="7431" max="7431" width="3.125" style="376" customWidth="1"/>
    <col min="7432" max="7432" width="7.625" style="376" customWidth="1"/>
    <col min="7433" max="7433" width="7.75" style="376" customWidth="1"/>
    <col min="7434" max="7434" width="5.75" style="376" customWidth="1"/>
    <col min="7435" max="7454" width="5.125" style="376" customWidth="1"/>
    <col min="7455" max="7676" width="8.75" style="376"/>
    <col min="7677" max="7677" width="5.25" style="376" customWidth="1"/>
    <col min="7678" max="7678" width="6.375" style="376" customWidth="1"/>
    <col min="7679" max="7679" width="6.625" style="376" customWidth="1"/>
    <col min="7680" max="7680" width="5.5" style="376" customWidth="1"/>
    <col min="7681" max="7681" width="4.25" style="376" customWidth="1"/>
    <col min="7682" max="7682" width="6.25" style="376" customWidth="1"/>
    <col min="7683" max="7683" width="7.25" style="376" customWidth="1"/>
    <col min="7684" max="7684" width="5.75" style="376" customWidth="1"/>
    <col min="7685" max="7685" width="5.375" style="376" customWidth="1"/>
    <col min="7686" max="7686" width="6.75" style="376" customWidth="1"/>
    <col min="7687" max="7687" width="3.125" style="376" customWidth="1"/>
    <col min="7688" max="7688" width="7.625" style="376" customWidth="1"/>
    <col min="7689" max="7689" width="7.75" style="376" customWidth="1"/>
    <col min="7690" max="7690" width="5.75" style="376" customWidth="1"/>
    <col min="7691" max="7710" width="5.125" style="376" customWidth="1"/>
    <col min="7711" max="7932" width="8.75" style="376"/>
    <col min="7933" max="7933" width="5.25" style="376" customWidth="1"/>
    <col min="7934" max="7934" width="6.375" style="376" customWidth="1"/>
    <col min="7935" max="7935" width="6.625" style="376" customWidth="1"/>
    <col min="7936" max="7936" width="5.5" style="376" customWidth="1"/>
    <col min="7937" max="7937" width="4.25" style="376" customWidth="1"/>
    <col min="7938" max="7938" width="6.25" style="376" customWidth="1"/>
    <col min="7939" max="7939" width="7.25" style="376" customWidth="1"/>
    <col min="7940" max="7940" width="5.75" style="376" customWidth="1"/>
    <col min="7941" max="7941" width="5.375" style="376" customWidth="1"/>
    <col min="7942" max="7942" width="6.75" style="376" customWidth="1"/>
    <col min="7943" max="7943" width="3.125" style="376" customWidth="1"/>
    <col min="7944" max="7944" width="7.625" style="376" customWidth="1"/>
    <col min="7945" max="7945" width="7.75" style="376" customWidth="1"/>
    <col min="7946" max="7946" width="5.75" style="376" customWidth="1"/>
    <col min="7947" max="7966" width="5.125" style="376" customWidth="1"/>
    <col min="7967" max="8188" width="8.75" style="376"/>
    <col min="8189" max="8189" width="5.25" style="376" customWidth="1"/>
    <col min="8190" max="8190" width="6.375" style="376" customWidth="1"/>
    <col min="8191" max="8191" width="6.625" style="376" customWidth="1"/>
    <col min="8192" max="8192" width="5.5" style="376" customWidth="1"/>
    <col min="8193" max="8193" width="4.25" style="376" customWidth="1"/>
    <col min="8194" max="8194" width="6.25" style="376" customWidth="1"/>
    <col min="8195" max="8195" width="7.25" style="376" customWidth="1"/>
    <col min="8196" max="8196" width="5.75" style="376" customWidth="1"/>
    <col min="8197" max="8197" width="5.375" style="376" customWidth="1"/>
    <col min="8198" max="8198" width="6.75" style="376" customWidth="1"/>
    <col min="8199" max="8199" width="3.125" style="376" customWidth="1"/>
    <col min="8200" max="8200" width="7.625" style="376" customWidth="1"/>
    <col min="8201" max="8201" width="7.75" style="376" customWidth="1"/>
    <col min="8202" max="8202" width="5.75" style="376" customWidth="1"/>
    <col min="8203" max="8222" width="5.125" style="376" customWidth="1"/>
    <col min="8223" max="8444" width="8.75" style="376"/>
    <col min="8445" max="8445" width="5.25" style="376" customWidth="1"/>
    <col min="8446" max="8446" width="6.375" style="376" customWidth="1"/>
    <col min="8447" max="8447" width="6.625" style="376" customWidth="1"/>
    <col min="8448" max="8448" width="5.5" style="376" customWidth="1"/>
    <col min="8449" max="8449" width="4.25" style="376" customWidth="1"/>
    <col min="8450" max="8450" width="6.25" style="376" customWidth="1"/>
    <col min="8451" max="8451" width="7.25" style="376" customWidth="1"/>
    <col min="8452" max="8452" width="5.75" style="376" customWidth="1"/>
    <col min="8453" max="8453" width="5.375" style="376" customWidth="1"/>
    <col min="8454" max="8454" width="6.75" style="376" customWidth="1"/>
    <col min="8455" max="8455" width="3.125" style="376" customWidth="1"/>
    <col min="8456" max="8456" width="7.625" style="376" customWidth="1"/>
    <col min="8457" max="8457" width="7.75" style="376" customWidth="1"/>
    <col min="8458" max="8458" width="5.75" style="376" customWidth="1"/>
    <col min="8459" max="8478" width="5.125" style="376" customWidth="1"/>
    <col min="8479" max="8700" width="8.75" style="376"/>
    <col min="8701" max="8701" width="5.25" style="376" customWidth="1"/>
    <col min="8702" max="8702" width="6.375" style="376" customWidth="1"/>
    <col min="8703" max="8703" width="6.625" style="376" customWidth="1"/>
    <col min="8704" max="8704" width="5.5" style="376" customWidth="1"/>
    <col min="8705" max="8705" width="4.25" style="376" customWidth="1"/>
    <col min="8706" max="8706" width="6.25" style="376" customWidth="1"/>
    <col min="8707" max="8707" width="7.25" style="376" customWidth="1"/>
    <col min="8708" max="8708" width="5.75" style="376" customWidth="1"/>
    <col min="8709" max="8709" width="5.375" style="376" customWidth="1"/>
    <col min="8710" max="8710" width="6.75" style="376" customWidth="1"/>
    <col min="8711" max="8711" width="3.125" style="376" customWidth="1"/>
    <col min="8712" max="8712" width="7.625" style="376" customWidth="1"/>
    <col min="8713" max="8713" width="7.75" style="376" customWidth="1"/>
    <col min="8714" max="8714" width="5.75" style="376" customWidth="1"/>
    <col min="8715" max="8734" width="5.125" style="376" customWidth="1"/>
    <col min="8735" max="8956" width="8.75" style="376"/>
    <col min="8957" max="8957" width="5.25" style="376" customWidth="1"/>
    <col min="8958" max="8958" width="6.375" style="376" customWidth="1"/>
    <col min="8959" max="8959" width="6.625" style="376" customWidth="1"/>
    <col min="8960" max="8960" width="5.5" style="376" customWidth="1"/>
    <col min="8961" max="8961" width="4.25" style="376" customWidth="1"/>
    <col min="8962" max="8962" width="6.25" style="376" customWidth="1"/>
    <col min="8963" max="8963" width="7.25" style="376" customWidth="1"/>
    <col min="8964" max="8964" width="5.75" style="376" customWidth="1"/>
    <col min="8965" max="8965" width="5.375" style="376" customWidth="1"/>
    <col min="8966" max="8966" width="6.75" style="376" customWidth="1"/>
    <col min="8967" max="8967" width="3.125" style="376" customWidth="1"/>
    <col min="8968" max="8968" width="7.625" style="376" customWidth="1"/>
    <col min="8969" max="8969" width="7.75" style="376" customWidth="1"/>
    <col min="8970" max="8970" width="5.75" style="376" customWidth="1"/>
    <col min="8971" max="8990" width="5.125" style="376" customWidth="1"/>
    <col min="8991" max="9212" width="8.75" style="376"/>
    <col min="9213" max="9213" width="5.25" style="376" customWidth="1"/>
    <col min="9214" max="9214" width="6.375" style="376" customWidth="1"/>
    <col min="9215" max="9215" width="6.625" style="376" customWidth="1"/>
    <col min="9216" max="9216" width="5.5" style="376" customWidth="1"/>
    <col min="9217" max="9217" width="4.25" style="376" customWidth="1"/>
    <col min="9218" max="9218" width="6.25" style="376" customWidth="1"/>
    <col min="9219" max="9219" width="7.25" style="376" customWidth="1"/>
    <col min="9220" max="9220" width="5.75" style="376" customWidth="1"/>
    <col min="9221" max="9221" width="5.375" style="376" customWidth="1"/>
    <col min="9222" max="9222" width="6.75" style="376" customWidth="1"/>
    <col min="9223" max="9223" width="3.125" style="376" customWidth="1"/>
    <col min="9224" max="9224" width="7.625" style="376" customWidth="1"/>
    <col min="9225" max="9225" width="7.75" style="376" customWidth="1"/>
    <col min="9226" max="9226" width="5.75" style="376" customWidth="1"/>
    <col min="9227" max="9246" width="5.125" style="376" customWidth="1"/>
    <col min="9247" max="9468" width="8.75" style="376"/>
    <col min="9469" max="9469" width="5.25" style="376" customWidth="1"/>
    <col min="9470" max="9470" width="6.375" style="376" customWidth="1"/>
    <col min="9471" max="9471" width="6.625" style="376" customWidth="1"/>
    <col min="9472" max="9472" width="5.5" style="376" customWidth="1"/>
    <col min="9473" max="9473" width="4.25" style="376" customWidth="1"/>
    <col min="9474" max="9474" width="6.25" style="376" customWidth="1"/>
    <col min="9475" max="9475" width="7.25" style="376" customWidth="1"/>
    <col min="9476" max="9476" width="5.75" style="376" customWidth="1"/>
    <col min="9477" max="9477" width="5.375" style="376" customWidth="1"/>
    <col min="9478" max="9478" width="6.75" style="376" customWidth="1"/>
    <col min="9479" max="9479" width="3.125" style="376" customWidth="1"/>
    <col min="9480" max="9480" width="7.625" style="376" customWidth="1"/>
    <col min="9481" max="9481" width="7.75" style="376" customWidth="1"/>
    <col min="9482" max="9482" width="5.75" style="376" customWidth="1"/>
    <col min="9483" max="9502" width="5.125" style="376" customWidth="1"/>
    <col min="9503" max="9724" width="8.75" style="376"/>
    <col min="9725" max="9725" width="5.25" style="376" customWidth="1"/>
    <col min="9726" max="9726" width="6.375" style="376" customWidth="1"/>
    <col min="9727" max="9727" width="6.625" style="376" customWidth="1"/>
    <col min="9728" max="9728" width="5.5" style="376" customWidth="1"/>
    <col min="9729" max="9729" width="4.25" style="376" customWidth="1"/>
    <col min="9730" max="9730" width="6.25" style="376" customWidth="1"/>
    <col min="9731" max="9731" width="7.25" style="376" customWidth="1"/>
    <col min="9732" max="9732" width="5.75" style="376" customWidth="1"/>
    <col min="9733" max="9733" width="5.375" style="376" customWidth="1"/>
    <col min="9734" max="9734" width="6.75" style="376" customWidth="1"/>
    <col min="9735" max="9735" width="3.125" style="376" customWidth="1"/>
    <col min="9736" max="9736" width="7.625" style="376" customWidth="1"/>
    <col min="9737" max="9737" width="7.75" style="376" customWidth="1"/>
    <col min="9738" max="9738" width="5.75" style="376" customWidth="1"/>
    <col min="9739" max="9758" width="5.125" style="376" customWidth="1"/>
    <col min="9759" max="9980" width="8.75" style="376"/>
    <col min="9981" max="9981" width="5.25" style="376" customWidth="1"/>
    <col min="9982" max="9982" width="6.375" style="376" customWidth="1"/>
    <col min="9983" max="9983" width="6.625" style="376" customWidth="1"/>
    <col min="9984" max="9984" width="5.5" style="376" customWidth="1"/>
    <col min="9985" max="9985" width="4.25" style="376" customWidth="1"/>
    <col min="9986" max="9986" width="6.25" style="376" customWidth="1"/>
    <col min="9987" max="9987" width="7.25" style="376" customWidth="1"/>
    <col min="9988" max="9988" width="5.75" style="376" customWidth="1"/>
    <col min="9989" max="9989" width="5.375" style="376" customWidth="1"/>
    <col min="9990" max="9990" width="6.75" style="376" customWidth="1"/>
    <col min="9991" max="9991" width="3.125" style="376" customWidth="1"/>
    <col min="9992" max="9992" width="7.625" style="376" customWidth="1"/>
    <col min="9993" max="9993" width="7.75" style="376" customWidth="1"/>
    <col min="9994" max="9994" width="5.75" style="376" customWidth="1"/>
    <col min="9995" max="10014" width="5.125" style="376" customWidth="1"/>
    <col min="10015" max="10236" width="8.75" style="376"/>
    <col min="10237" max="10237" width="5.25" style="376" customWidth="1"/>
    <col min="10238" max="10238" width="6.375" style="376" customWidth="1"/>
    <col min="10239" max="10239" width="6.625" style="376" customWidth="1"/>
    <col min="10240" max="10240" width="5.5" style="376" customWidth="1"/>
    <col min="10241" max="10241" width="4.25" style="376" customWidth="1"/>
    <col min="10242" max="10242" width="6.25" style="376" customWidth="1"/>
    <col min="10243" max="10243" width="7.25" style="376" customWidth="1"/>
    <col min="10244" max="10244" width="5.75" style="376" customWidth="1"/>
    <col min="10245" max="10245" width="5.375" style="376" customWidth="1"/>
    <col min="10246" max="10246" width="6.75" style="376" customWidth="1"/>
    <col min="10247" max="10247" width="3.125" style="376" customWidth="1"/>
    <col min="10248" max="10248" width="7.625" style="376" customWidth="1"/>
    <col min="10249" max="10249" width="7.75" style="376" customWidth="1"/>
    <col min="10250" max="10250" width="5.75" style="376" customWidth="1"/>
    <col min="10251" max="10270" width="5.125" style="376" customWidth="1"/>
    <col min="10271" max="10492" width="8.75" style="376"/>
    <col min="10493" max="10493" width="5.25" style="376" customWidth="1"/>
    <col min="10494" max="10494" width="6.375" style="376" customWidth="1"/>
    <col min="10495" max="10495" width="6.625" style="376" customWidth="1"/>
    <col min="10496" max="10496" width="5.5" style="376" customWidth="1"/>
    <col min="10497" max="10497" width="4.25" style="376" customWidth="1"/>
    <col min="10498" max="10498" width="6.25" style="376" customWidth="1"/>
    <col min="10499" max="10499" width="7.25" style="376" customWidth="1"/>
    <col min="10500" max="10500" width="5.75" style="376" customWidth="1"/>
    <col min="10501" max="10501" width="5.375" style="376" customWidth="1"/>
    <col min="10502" max="10502" width="6.75" style="376" customWidth="1"/>
    <col min="10503" max="10503" width="3.125" style="376" customWidth="1"/>
    <col min="10504" max="10504" width="7.625" style="376" customWidth="1"/>
    <col min="10505" max="10505" width="7.75" style="376" customWidth="1"/>
    <col min="10506" max="10506" width="5.75" style="376" customWidth="1"/>
    <col min="10507" max="10526" width="5.125" style="376" customWidth="1"/>
    <col min="10527" max="10748" width="8.75" style="376"/>
    <col min="10749" max="10749" width="5.25" style="376" customWidth="1"/>
    <col min="10750" max="10750" width="6.375" style="376" customWidth="1"/>
    <col min="10751" max="10751" width="6.625" style="376" customWidth="1"/>
    <col min="10752" max="10752" width="5.5" style="376" customWidth="1"/>
    <col min="10753" max="10753" width="4.25" style="376" customWidth="1"/>
    <col min="10754" max="10754" width="6.25" style="376" customWidth="1"/>
    <col min="10755" max="10755" width="7.25" style="376" customWidth="1"/>
    <col min="10756" max="10756" width="5.75" style="376" customWidth="1"/>
    <col min="10757" max="10757" width="5.375" style="376" customWidth="1"/>
    <col min="10758" max="10758" width="6.75" style="376" customWidth="1"/>
    <col min="10759" max="10759" width="3.125" style="376" customWidth="1"/>
    <col min="10760" max="10760" width="7.625" style="376" customWidth="1"/>
    <col min="10761" max="10761" width="7.75" style="376" customWidth="1"/>
    <col min="10762" max="10762" width="5.75" style="376" customWidth="1"/>
    <col min="10763" max="10782" width="5.125" style="376" customWidth="1"/>
    <col min="10783" max="11004" width="8.75" style="376"/>
    <col min="11005" max="11005" width="5.25" style="376" customWidth="1"/>
    <col min="11006" max="11006" width="6.375" style="376" customWidth="1"/>
    <col min="11007" max="11007" width="6.625" style="376" customWidth="1"/>
    <col min="11008" max="11008" width="5.5" style="376" customWidth="1"/>
    <col min="11009" max="11009" width="4.25" style="376" customWidth="1"/>
    <col min="11010" max="11010" width="6.25" style="376" customWidth="1"/>
    <col min="11011" max="11011" width="7.25" style="376" customWidth="1"/>
    <col min="11012" max="11012" width="5.75" style="376" customWidth="1"/>
    <col min="11013" max="11013" width="5.375" style="376" customWidth="1"/>
    <col min="11014" max="11014" width="6.75" style="376" customWidth="1"/>
    <col min="11015" max="11015" width="3.125" style="376" customWidth="1"/>
    <col min="11016" max="11016" width="7.625" style="376" customWidth="1"/>
    <col min="11017" max="11017" width="7.75" style="376" customWidth="1"/>
    <col min="11018" max="11018" width="5.75" style="376" customWidth="1"/>
    <col min="11019" max="11038" width="5.125" style="376" customWidth="1"/>
    <col min="11039" max="11260" width="8.75" style="376"/>
    <col min="11261" max="11261" width="5.25" style="376" customWidth="1"/>
    <col min="11262" max="11262" width="6.375" style="376" customWidth="1"/>
    <col min="11263" max="11263" width="6.625" style="376" customWidth="1"/>
    <col min="11264" max="11264" width="5.5" style="376" customWidth="1"/>
    <col min="11265" max="11265" width="4.25" style="376" customWidth="1"/>
    <col min="11266" max="11266" width="6.25" style="376" customWidth="1"/>
    <col min="11267" max="11267" width="7.25" style="376" customWidth="1"/>
    <col min="11268" max="11268" width="5.75" style="376" customWidth="1"/>
    <col min="11269" max="11269" width="5.375" style="376" customWidth="1"/>
    <col min="11270" max="11270" width="6.75" style="376" customWidth="1"/>
    <col min="11271" max="11271" width="3.125" style="376" customWidth="1"/>
    <col min="11272" max="11272" width="7.625" style="376" customWidth="1"/>
    <col min="11273" max="11273" width="7.75" style="376" customWidth="1"/>
    <col min="11274" max="11274" width="5.75" style="376" customWidth="1"/>
    <col min="11275" max="11294" width="5.125" style="376" customWidth="1"/>
    <col min="11295" max="11516" width="8.75" style="376"/>
    <col min="11517" max="11517" width="5.25" style="376" customWidth="1"/>
    <col min="11518" max="11518" width="6.375" style="376" customWidth="1"/>
    <col min="11519" max="11519" width="6.625" style="376" customWidth="1"/>
    <col min="11520" max="11520" width="5.5" style="376" customWidth="1"/>
    <col min="11521" max="11521" width="4.25" style="376" customWidth="1"/>
    <col min="11522" max="11522" width="6.25" style="376" customWidth="1"/>
    <col min="11523" max="11523" width="7.25" style="376" customWidth="1"/>
    <col min="11524" max="11524" width="5.75" style="376" customWidth="1"/>
    <col min="11525" max="11525" width="5.375" style="376" customWidth="1"/>
    <col min="11526" max="11526" width="6.75" style="376" customWidth="1"/>
    <col min="11527" max="11527" width="3.125" style="376" customWidth="1"/>
    <col min="11528" max="11528" width="7.625" style="376" customWidth="1"/>
    <col min="11529" max="11529" width="7.75" style="376" customWidth="1"/>
    <col min="11530" max="11530" width="5.75" style="376" customWidth="1"/>
    <col min="11531" max="11550" width="5.125" style="376" customWidth="1"/>
    <col min="11551" max="11772" width="8.75" style="376"/>
    <col min="11773" max="11773" width="5.25" style="376" customWidth="1"/>
    <col min="11774" max="11774" width="6.375" style="376" customWidth="1"/>
    <col min="11775" max="11775" width="6.625" style="376" customWidth="1"/>
    <col min="11776" max="11776" width="5.5" style="376" customWidth="1"/>
    <col min="11777" max="11777" width="4.25" style="376" customWidth="1"/>
    <col min="11778" max="11778" width="6.25" style="376" customWidth="1"/>
    <col min="11779" max="11779" width="7.25" style="376" customWidth="1"/>
    <col min="11780" max="11780" width="5.75" style="376" customWidth="1"/>
    <col min="11781" max="11781" width="5.375" style="376" customWidth="1"/>
    <col min="11782" max="11782" width="6.75" style="376" customWidth="1"/>
    <col min="11783" max="11783" width="3.125" style="376" customWidth="1"/>
    <col min="11784" max="11784" width="7.625" style="376" customWidth="1"/>
    <col min="11785" max="11785" width="7.75" style="376" customWidth="1"/>
    <col min="11786" max="11786" width="5.75" style="376" customWidth="1"/>
    <col min="11787" max="11806" width="5.125" style="376" customWidth="1"/>
    <col min="11807" max="12028" width="8.75" style="376"/>
    <col min="12029" max="12029" width="5.25" style="376" customWidth="1"/>
    <col min="12030" max="12030" width="6.375" style="376" customWidth="1"/>
    <col min="12031" max="12031" width="6.625" style="376" customWidth="1"/>
    <col min="12032" max="12032" width="5.5" style="376" customWidth="1"/>
    <col min="12033" max="12033" width="4.25" style="376" customWidth="1"/>
    <col min="12034" max="12034" width="6.25" style="376" customWidth="1"/>
    <col min="12035" max="12035" width="7.25" style="376" customWidth="1"/>
    <col min="12036" max="12036" width="5.75" style="376" customWidth="1"/>
    <col min="12037" max="12037" width="5.375" style="376" customWidth="1"/>
    <col min="12038" max="12038" width="6.75" style="376" customWidth="1"/>
    <col min="12039" max="12039" width="3.125" style="376" customWidth="1"/>
    <col min="12040" max="12040" width="7.625" style="376" customWidth="1"/>
    <col min="12041" max="12041" width="7.75" style="376" customWidth="1"/>
    <col min="12042" max="12042" width="5.75" style="376" customWidth="1"/>
    <col min="12043" max="12062" width="5.125" style="376" customWidth="1"/>
    <col min="12063" max="12284" width="8.75" style="376"/>
    <col min="12285" max="12285" width="5.25" style="376" customWidth="1"/>
    <col min="12286" max="12286" width="6.375" style="376" customWidth="1"/>
    <col min="12287" max="12287" width="6.625" style="376" customWidth="1"/>
    <col min="12288" max="12288" width="5.5" style="376" customWidth="1"/>
    <col min="12289" max="12289" width="4.25" style="376" customWidth="1"/>
    <col min="12290" max="12290" width="6.25" style="376" customWidth="1"/>
    <col min="12291" max="12291" width="7.25" style="376" customWidth="1"/>
    <col min="12292" max="12292" width="5.75" style="376" customWidth="1"/>
    <col min="12293" max="12293" width="5.375" style="376" customWidth="1"/>
    <col min="12294" max="12294" width="6.75" style="376" customWidth="1"/>
    <col min="12295" max="12295" width="3.125" style="376" customWidth="1"/>
    <col min="12296" max="12296" width="7.625" style="376" customWidth="1"/>
    <col min="12297" max="12297" width="7.75" style="376" customWidth="1"/>
    <col min="12298" max="12298" width="5.75" style="376" customWidth="1"/>
    <col min="12299" max="12318" width="5.125" style="376" customWidth="1"/>
    <col min="12319" max="12540" width="8.75" style="376"/>
    <col min="12541" max="12541" width="5.25" style="376" customWidth="1"/>
    <col min="12542" max="12542" width="6.375" style="376" customWidth="1"/>
    <col min="12543" max="12543" width="6.625" style="376" customWidth="1"/>
    <col min="12544" max="12544" width="5.5" style="376" customWidth="1"/>
    <col min="12545" max="12545" width="4.25" style="376" customWidth="1"/>
    <col min="12546" max="12546" width="6.25" style="376" customWidth="1"/>
    <col min="12547" max="12547" width="7.25" style="376" customWidth="1"/>
    <col min="12548" max="12548" width="5.75" style="376" customWidth="1"/>
    <col min="12549" max="12549" width="5.375" style="376" customWidth="1"/>
    <col min="12550" max="12550" width="6.75" style="376" customWidth="1"/>
    <col min="12551" max="12551" width="3.125" style="376" customWidth="1"/>
    <col min="12552" max="12552" width="7.625" style="376" customWidth="1"/>
    <col min="12553" max="12553" width="7.75" style="376" customWidth="1"/>
    <col min="12554" max="12554" width="5.75" style="376" customWidth="1"/>
    <col min="12555" max="12574" width="5.125" style="376" customWidth="1"/>
    <col min="12575" max="12796" width="8.75" style="376"/>
    <col min="12797" max="12797" width="5.25" style="376" customWidth="1"/>
    <col min="12798" max="12798" width="6.375" style="376" customWidth="1"/>
    <col min="12799" max="12799" width="6.625" style="376" customWidth="1"/>
    <col min="12800" max="12800" width="5.5" style="376" customWidth="1"/>
    <col min="12801" max="12801" width="4.25" style="376" customWidth="1"/>
    <col min="12802" max="12802" width="6.25" style="376" customWidth="1"/>
    <col min="12803" max="12803" width="7.25" style="376" customWidth="1"/>
    <col min="12804" max="12804" width="5.75" style="376" customWidth="1"/>
    <col min="12805" max="12805" width="5.375" style="376" customWidth="1"/>
    <col min="12806" max="12806" width="6.75" style="376" customWidth="1"/>
    <col min="12807" max="12807" width="3.125" style="376" customWidth="1"/>
    <col min="12808" max="12808" width="7.625" style="376" customWidth="1"/>
    <col min="12809" max="12809" width="7.75" style="376" customWidth="1"/>
    <col min="12810" max="12810" width="5.75" style="376" customWidth="1"/>
    <col min="12811" max="12830" width="5.125" style="376" customWidth="1"/>
    <col min="12831" max="13052" width="8.75" style="376"/>
    <col min="13053" max="13053" width="5.25" style="376" customWidth="1"/>
    <col min="13054" max="13054" width="6.375" style="376" customWidth="1"/>
    <col min="13055" max="13055" width="6.625" style="376" customWidth="1"/>
    <col min="13056" max="13056" width="5.5" style="376" customWidth="1"/>
    <col min="13057" max="13057" width="4.25" style="376" customWidth="1"/>
    <col min="13058" max="13058" width="6.25" style="376" customWidth="1"/>
    <col min="13059" max="13059" width="7.25" style="376" customWidth="1"/>
    <col min="13060" max="13060" width="5.75" style="376" customWidth="1"/>
    <col min="13061" max="13061" width="5.375" style="376" customWidth="1"/>
    <col min="13062" max="13062" width="6.75" style="376" customWidth="1"/>
    <col min="13063" max="13063" width="3.125" style="376" customWidth="1"/>
    <col min="13064" max="13064" width="7.625" style="376" customWidth="1"/>
    <col min="13065" max="13065" width="7.75" style="376" customWidth="1"/>
    <col min="13066" max="13066" width="5.75" style="376" customWidth="1"/>
    <col min="13067" max="13086" width="5.125" style="376" customWidth="1"/>
    <col min="13087" max="13308" width="8.75" style="376"/>
    <col min="13309" max="13309" width="5.25" style="376" customWidth="1"/>
    <col min="13310" max="13310" width="6.375" style="376" customWidth="1"/>
    <col min="13311" max="13311" width="6.625" style="376" customWidth="1"/>
    <col min="13312" max="13312" width="5.5" style="376" customWidth="1"/>
    <col min="13313" max="13313" width="4.25" style="376" customWidth="1"/>
    <col min="13314" max="13314" width="6.25" style="376" customWidth="1"/>
    <col min="13315" max="13315" width="7.25" style="376" customWidth="1"/>
    <col min="13316" max="13316" width="5.75" style="376" customWidth="1"/>
    <col min="13317" max="13317" width="5.375" style="376" customWidth="1"/>
    <col min="13318" max="13318" width="6.75" style="376" customWidth="1"/>
    <col min="13319" max="13319" width="3.125" style="376" customWidth="1"/>
    <col min="13320" max="13320" width="7.625" style="376" customWidth="1"/>
    <col min="13321" max="13321" width="7.75" style="376" customWidth="1"/>
    <col min="13322" max="13322" width="5.75" style="376" customWidth="1"/>
    <col min="13323" max="13342" width="5.125" style="376" customWidth="1"/>
    <col min="13343" max="13564" width="8.75" style="376"/>
    <col min="13565" max="13565" width="5.25" style="376" customWidth="1"/>
    <col min="13566" max="13566" width="6.375" style="376" customWidth="1"/>
    <col min="13567" max="13567" width="6.625" style="376" customWidth="1"/>
    <col min="13568" max="13568" width="5.5" style="376" customWidth="1"/>
    <col min="13569" max="13569" width="4.25" style="376" customWidth="1"/>
    <col min="13570" max="13570" width="6.25" style="376" customWidth="1"/>
    <col min="13571" max="13571" width="7.25" style="376" customWidth="1"/>
    <col min="13572" max="13572" width="5.75" style="376" customWidth="1"/>
    <col min="13573" max="13573" width="5.375" style="376" customWidth="1"/>
    <col min="13574" max="13574" width="6.75" style="376" customWidth="1"/>
    <col min="13575" max="13575" width="3.125" style="376" customWidth="1"/>
    <col min="13576" max="13576" width="7.625" style="376" customWidth="1"/>
    <col min="13577" max="13577" width="7.75" style="376" customWidth="1"/>
    <col min="13578" max="13578" width="5.75" style="376" customWidth="1"/>
    <col min="13579" max="13598" width="5.125" style="376" customWidth="1"/>
    <col min="13599" max="13820" width="8.75" style="376"/>
    <col min="13821" max="13821" width="5.25" style="376" customWidth="1"/>
    <col min="13822" max="13822" width="6.375" style="376" customWidth="1"/>
    <col min="13823" max="13823" width="6.625" style="376" customWidth="1"/>
    <col min="13824" max="13824" width="5.5" style="376" customWidth="1"/>
    <col min="13825" max="13825" width="4.25" style="376" customWidth="1"/>
    <col min="13826" max="13826" width="6.25" style="376" customWidth="1"/>
    <col min="13827" max="13827" width="7.25" style="376" customWidth="1"/>
    <col min="13828" max="13828" width="5.75" style="376" customWidth="1"/>
    <col min="13829" max="13829" width="5.375" style="376" customWidth="1"/>
    <col min="13830" max="13830" width="6.75" style="376" customWidth="1"/>
    <col min="13831" max="13831" width="3.125" style="376" customWidth="1"/>
    <col min="13832" max="13832" width="7.625" style="376" customWidth="1"/>
    <col min="13833" max="13833" width="7.75" style="376" customWidth="1"/>
    <col min="13834" max="13834" width="5.75" style="376" customWidth="1"/>
    <col min="13835" max="13854" width="5.125" style="376" customWidth="1"/>
    <col min="13855" max="14076" width="8.75" style="376"/>
    <col min="14077" max="14077" width="5.25" style="376" customWidth="1"/>
    <col min="14078" max="14078" width="6.375" style="376" customWidth="1"/>
    <col min="14079" max="14079" width="6.625" style="376" customWidth="1"/>
    <col min="14080" max="14080" width="5.5" style="376" customWidth="1"/>
    <col min="14081" max="14081" width="4.25" style="376" customWidth="1"/>
    <col min="14082" max="14082" width="6.25" style="376" customWidth="1"/>
    <col min="14083" max="14083" width="7.25" style="376" customWidth="1"/>
    <col min="14084" max="14084" width="5.75" style="376" customWidth="1"/>
    <col min="14085" max="14085" width="5.375" style="376" customWidth="1"/>
    <col min="14086" max="14086" width="6.75" style="376" customWidth="1"/>
    <col min="14087" max="14087" width="3.125" style="376" customWidth="1"/>
    <col min="14088" max="14088" width="7.625" style="376" customWidth="1"/>
    <col min="14089" max="14089" width="7.75" style="376" customWidth="1"/>
    <col min="14090" max="14090" width="5.75" style="376" customWidth="1"/>
    <col min="14091" max="14110" width="5.125" style="376" customWidth="1"/>
    <col min="14111" max="14332" width="8.75" style="376"/>
    <col min="14333" max="14333" width="5.25" style="376" customWidth="1"/>
    <col min="14334" max="14334" width="6.375" style="376" customWidth="1"/>
    <col min="14335" max="14335" width="6.625" style="376" customWidth="1"/>
    <col min="14336" max="14336" width="5.5" style="376" customWidth="1"/>
    <col min="14337" max="14337" width="4.25" style="376" customWidth="1"/>
    <col min="14338" max="14338" width="6.25" style="376" customWidth="1"/>
    <col min="14339" max="14339" width="7.25" style="376" customWidth="1"/>
    <col min="14340" max="14340" width="5.75" style="376" customWidth="1"/>
    <col min="14341" max="14341" width="5.375" style="376" customWidth="1"/>
    <col min="14342" max="14342" width="6.75" style="376" customWidth="1"/>
    <col min="14343" max="14343" width="3.125" style="376" customWidth="1"/>
    <col min="14344" max="14344" width="7.625" style="376" customWidth="1"/>
    <col min="14345" max="14345" width="7.75" style="376" customWidth="1"/>
    <col min="14346" max="14346" width="5.75" style="376" customWidth="1"/>
    <col min="14347" max="14366" width="5.125" style="376" customWidth="1"/>
    <col min="14367" max="14588" width="8.75" style="376"/>
    <col min="14589" max="14589" width="5.25" style="376" customWidth="1"/>
    <col min="14590" max="14590" width="6.375" style="376" customWidth="1"/>
    <col min="14591" max="14591" width="6.625" style="376" customWidth="1"/>
    <col min="14592" max="14592" width="5.5" style="376" customWidth="1"/>
    <col min="14593" max="14593" width="4.25" style="376" customWidth="1"/>
    <col min="14594" max="14594" width="6.25" style="376" customWidth="1"/>
    <col min="14595" max="14595" width="7.25" style="376" customWidth="1"/>
    <col min="14596" max="14596" width="5.75" style="376" customWidth="1"/>
    <col min="14597" max="14597" width="5.375" style="376" customWidth="1"/>
    <col min="14598" max="14598" width="6.75" style="376" customWidth="1"/>
    <col min="14599" max="14599" width="3.125" style="376" customWidth="1"/>
    <col min="14600" max="14600" width="7.625" style="376" customWidth="1"/>
    <col min="14601" max="14601" width="7.75" style="376" customWidth="1"/>
    <col min="14602" max="14602" width="5.75" style="376" customWidth="1"/>
    <col min="14603" max="14622" width="5.125" style="376" customWidth="1"/>
    <col min="14623" max="14844" width="8.75" style="376"/>
    <col min="14845" max="14845" width="5.25" style="376" customWidth="1"/>
    <col min="14846" max="14846" width="6.375" style="376" customWidth="1"/>
    <col min="14847" max="14847" width="6.625" style="376" customWidth="1"/>
    <col min="14848" max="14848" width="5.5" style="376" customWidth="1"/>
    <col min="14849" max="14849" width="4.25" style="376" customWidth="1"/>
    <col min="14850" max="14850" width="6.25" style="376" customWidth="1"/>
    <col min="14851" max="14851" width="7.25" style="376" customWidth="1"/>
    <col min="14852" max="14852" width="5.75" style="376" customWidth="1"/>
    <col min="14853" max="14853" width="5.375" style="376" customWidth="1"/>
    <col min="14854" max="14854" width="6.75" style="376" customWidth="1"/>
    <col min="14855" max="14855" width="3.125" style="376" customWidth="1"/>
    <col min="14856" max="14856" width="7.625" style="376" customWidth="1"/>
    <col min="14857" max="14857" width="7.75" style="376" customWidth="1"/>
    <col min="14858" max="14858" width="5.75" style="376" customWidth="1"/>
    <col min="14859" max="14878" width="5.125" style="376" customWidth="1"/>
    <col min="14879" max="15100" width="8.75" style="376"/>
    <col min="15101" max="15101" width="5.25" style="376" customWidth="1"/>
    <col min="15102" max="15102" width="6.375" style="376" customWidth="1"/>
    <col min="15103" max="15103" width="6.625" style="376" customWidth="1"/>
    <col min="15104" max="15104" width="5.5" style="376" customWidth="1"/>
    <col min="15105" max="15105" width="4.25" style="376" customWidth="1"/>
    <col min="15106" max="15106" width="6.25" style="376" customWidth="1"/>
    <col min="15107" max="15107" width="7.25" style="376" customWidth="1"/>
    <col min="15108" max="15108" width="5.75" style="376" customWidth="1"/>
    <col min="15109" max="15109" width="5.375" style="376" customWidth="1"/>
    <col min="15110" max="15110" width="6.75" style="376" customWidth="1"/>
    <col min="15111" max="15111" width="3.125" style="376" customWidth="1"/>
    <col min="15112" max="15112" width="7.625" style="376" customWidth="1"/>
    <col min="15113" max="15113" width="7.75" style="376" customWidth="1"/>
    <col min="15114" max="15114" width="5.75" style="376" customWidth="1"/>
    <col min="15115" max="15134" width="5.125" style="376" customWidth="1"/>
    <col min="15135" max="15356" width="8.75" style="376"/>
    <col min="15357" max="15357" width="5.25" style="376" customWidth="1"/>
    <col min="15358" max="15358" width="6.375" style="376" customWidth="1"/>
    <col min="15359" max="15359" width="6.625" style="376" customWidth="1"/>
    <col min="15360" max="15360" width="5.5" style="376" customWidth="1"/>
    <col min="15361" max="15361" width="4.25" style="376" customWidth="1"/>
    <col min="15362" max="15362" width="6.25" style="376" customWidth="1"/>
    <col min="15363" max="15363" width="7.25" style="376" customWidth="1"/>
    <col min="15364" max="15364" width="5.75" style="376" customWidth="1"/>
    <col min="15365" max="15365" width="5.375" style="376" customWidth="1"/>
    <col min="15366" max="15366" width="6.75" style="376" customWidth="1"/>
    <col min="15367" max="15367" width="3.125" style="376" customWidth="1"/>
    <col min="15368" max="15368" width="7.625" style="376" customWidth="1"/>
    <col min="15369" max="15369" width="7.75" style="376" customWidth="1"/>
    <col min="15370" max="15370" width="5.75" style="376" customWidth="1"/>
    <col min="15371" max="15390" width="5.125" style="376" customWidth="1"/>
    <col min="15391" max="15612" width="8.75" style="376"/>
    <col min="15613" max="15613" width="5.25" style="376" customWidth="1"/>
    <col min="15614" max="15614" width="6.375" style="376" customWidth="1"/>
    <col min="15615" max="15615" width="6.625" style="376" customWidth="1"/>
    <col min="15616" max="15616" width="5.5" style="376" customWidth="1"/>
    <col min="15617" max="15617" width="4.25" style="376" customWidth="1"/>
    <col min="15618" max="15618" width="6.25" style="376" customWidth="1"/>
    <col min="15619" max="15619" width="7.25" style="376" customWidth="1"/>
    <col min="15620" max="15620" width="5.75" style="376" customWidth="1"/>
    <col min="15621" max="15621" width="5.375" style="376" customWidth="1"/>
    <col min="15622" max="15622" width="6.75" style="376" customWidth="1"/>
    <col min="15623" max="15623" width="3.125" style="376" customWidth="1"/>
    <col min="15624" max="15624" width="7.625" style="376" customWidth="1"/>
    <col min="15625" max="15625" width="7.75" style="376" customWidth="1"/>
    <col min="15626" max="15626" width="5.75" style="376" customWidth="1"/>
    <col min="15627" max="15646" width="5.125" style="376" customWidth="1"/>
    <col min="15647" max="15868" width="8.75" style="376"/>
    <col min="15869" max="15869" width="5.25" style="376" customWidth="1"/>
    <col min="15870" max="15870" width="6.375" style="376" customWidth="1"/>
    <col min="15871" max="15871" width="6.625" style="376" customWidth="1"/>
    <col min="15872" max="15872" width="5.5" style="376" customWidth="1"/>
    <col min="15873" max="15873" width="4.25" style="376" customWidth="1"/>
    <col min="15874" max="15874" width="6.25" style="376" customWidth="1"/>
    <col min="15875" max="15875" width="7.25" style="376" customWidth="1"/>
    <col min="15876" max="15876" width="5.75" style="376" customWidth="1"/>
    <col min="15877" max="15877" width="5.375" style="376" customWidth="1"/>
    <col min="15878" max="15878" width="6.75" style="376" customWidth="1"/>
    <col min="15879" max="15879" width="3.125" style="376" customWidth="1"/>
    <col min="15880" max="15880" width="7.625" style="376" customWidth="1"/>
    <col min="15881" max="15881" width="7.75" style="376" customWidth="1"/>
    <col min="15882" max="15882" width="5.75" style="376" customWidth="1"/>
    <col min="15883" max="15902" width="5.125" style="376" customWidth="1"/>
    <col min="15903" max="16124" width="8.75" style="376"/>
    <col min="16125" max="16125" width="5.25" style="376" customWidth="1"/>
    <col min="16126" max="16126" width="6.375" style="376" customWidth="1"/>
    <col min="16127" max="16127" width="6.625" style="376" customWidth="1"/>
    <col min="16128" max="16128" width="5.5" style="376" customWidth="1"/>
    <col min="16129" max="16129" width="4.25" style="376" customWidth="1"/>
    <col min="16130" max="16130" width="6.25" style="376" customWidth="1"/>
    <col min="16131" max="16131" width="7.25" style="376" customWidth="1"/>
    <col min="16132" max="16132" width="5.75" style="376" customWidth="1"/>
    <col min="16133" max="16133" width="5.375" style="376" customWidth="1"/>
    <col min="16134" max="16134" width="6.75" style="376" customWidth="1"/>
    <col min="16135" max="16135" width="3.125" style="376" customWidth="1"/>
    <col min="16136" max="16136" width="7.625" style="376" customWidth="1"/>
    <col min="16137" max="16137" width="7.75" style="376" customWidth="1"/>
    <col min="16138" max="16138" width="5.75" style="376" customWidth="1"/>
    <col min="16139" max="16158" width="5.125" style="376" customWidth="1"/>
    <col min="16159" max="16384" width="8.75" style="376"/>
  </cols>
  <sheetData>
    <row r="1" spans="1:88">
      <c r="A1" s="281"/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2"/>
      <c r="O1" s="283"/>
      <c r="P1" s="135"/>
      <c r="Q1" s="135"/>
      <c r="BF1" s="135"/>
      <c r="BG1" s="135"/>
      <c r="BH1" s="135"/>
      <c r="BI1" s="135"/>
      <c r="BJ1" s="135"/>
      <c r="BK1" s="135"/>
      <c r="BL1" s="135"/>
    </row>
    <row r="2" spans="1:88" s="377" customFormat="1" ht="14.25" customHeight="1">
      <c r="A2" s="284" t="s">
        <v>199</v>
      </c>
      <c r="B2" s="635" t="s">
        <v>200</v>
      </c>
      <c r="C2" s="636"/>
      <c r="D2" s="637" t="s">
        <v>201</v>
      </c>
      <c r="E2" s="638"/>
      <c r="F2" s="285" t="s">
        <v>202</v>
      </c>
      <c r="G2" s="286" t="s">
        <v>203</v>
      </c>
      <c r="H2" s="635" t="s">
        <v>1</v>
      </c>
      <c r="I2" s="636"/>
      <c r="J2" s="637" t="s">
        <v>204</v>
      </c>
      <c r="K2" s="638"/>
      <c r="L2" s="287" t="s">
        <v>205</v>
      </c>
      <c r="M2" s="288" t="s">
        <v>206</v>
      </c>
      <c r="N2" s="288" t="s">
        <v>207</v>
      </c>
      <c r="O2" s="289" t="s">
        <v>208</v>
      </c>
      <c r="P2" s="290"/>
      <c r="Q2" s="279"/>
      <c r="R2" s="279"/>
      <c r="S2" s="279"/>
      <c r="T2" s="279"/>
      <c r="U2" s="279"/>
      <c r="V2" s="291" t="s">
        <v>30</v>
      </c>
      <c r="W2" s="292" t="s">
        <v>140</v>
      </c>
      <c r="X2" s="291" t="s">
        <v>30</v>
      </c>
      <c r="Y2" s="293" t="s">
        <v>140</v>
      </c>
      <c r="Z2" s="294" t="s">
        <v>30</v>
      </c>
      <c r="AA2" s="291" t="s">
        <v>140</v>
      </c>
      <c r="AB2" s="291" t="s">
        <v>30</v>
      </c>
      <c r="AC2" s="291" t="s">
        <v>140</v>
      </c>
      <c r="AD2" s="291" t="s">
        <v>30</v>
      </c>
      <c r="AE2" s="291" t="s">
        <v>140</v>
      </c>
      <c r="AF2" s="291" t="s">
        <v>30</v>
      </c>
      <c r="AG2" s="291" t="s">
        <v>140</v>
      </c>
      <c r="AH2" s="293" t="s">
        <v>30</v>
      </c>
      <c r="AI2" s="293" t="s">
        <v>140</v>
      </c>
      <c r="AJ2" s="291" t="s">
        <v>30</v>
      </c>
      <c r="AK2" s="291" t="s">
        <v>140</v>
      </c>
      <c r="AL2" s="291" t="s">
        <v>30</v>
      </c>
      <c r="AM2" s="291" t="s">
        <v>140</v>
      </c>
      <c r="AN2" s="291" t="s">
        <v>30</v>
      </c>
      <c r="AO2" s="292" t="s">
        <v>140</v>
      </c>
      <c r="AP2" s="291" t="s">
        <v>30</v>
      </c>
      <c r="AQ2" s="291" t="s">
        <v>140</v>
      </c>
      <c r="AR2" s="291" t="s">
        <v>30</v>
      </c>
      <c r="AS2" s="291" t="s">
        <v>140</v>
      </c>
      <c r="AT2" s="291" t="s">
        <v>30</v>
      </c>
      <c r="AU2" s="291" t="s">
        <v>140</v>
      </c>
      <c r="AV2" s="291" t="s">
        <v>30</v>
      </c>
      <c r="AW2" s="291" t="s">
        <v>140</v>
      </c>
      <c r="AX2" s="291" t="s">
        <v>30</v>
      </c>
      <c r="AY2" s="291" t="s">
        <v>140</v>
      </c>
      <c r="AZ2" s="291" t="s">
        <v>30</v>
      </c>
      <c r="BA2" s="291" t="s">
        <v>140</v>
      </c>
      <c r="BB2" s="291" t="s">
        <v>30</v>
      </c>
      <c r="BC2" s="291" t="s">
        <v>140</v>
      </c>
      <c r="BD2" s="291" t="s">
        <v>30</v>
      </c>
      <c r="BE2" s="291" t="s">
        <v>140</v>
      </c>
      <c r="BF2" s="279"/>
      <c r="BG2" s="279"/>
      <c r="BH2" s="279"/>
      <c r="BI2" s="279"/>
      <c r="BJ2" s="279"/>
      <c r="BK2" s="279"/>
      <c r="BL2" s="279"/>
      <c r="BN2" s="639" t="s">
        <v>209</v>
      </c>
      <c r="BO2" s="639"/>
      <c r="BP2" s="639"/>
      <c r="BQ2" s="639"/>
      <c r="BS2" s="650" t="s">
        <v>4</v>
      </c>
      <c r="BT2" s="650"/>
      <c r="BU2" s="650" t="s">
        <v>6</v>
      </c>
      <c r="BV2" s="650"/>
      <c r="BW2" s="650" t="s">
        <v>8</v>
      </c>
      <c r="BX2" s="650"/>
      <c r="BY2" s="650" t="s">
        <v>10</v>
      </c>
      <c r="BZ2" s="650"/>
      <c r="CA2" s="650" t="s">
        <v>12</v>
      </c>
      <c r="CB2" s="650"/>
      <c r="CC2" s="650" t="s">
        <v>14</v>
      </c>
      <c r="CD2" s="650"/>
      <c r="CE2" s="650" t="s">
        <v>16</v>
      </c>
      <c r="CF2" s="650"/>
      <c r="CG2" s="650" t="s">
        <v>18</v>
      </c>
      <c r="CH2" s="650"/>
      <c r="CI2" s="650" t="s">
        <v>210</v>
      </c>
      <c r="CJ2" s="650"/>
    </row>
    <row r="3" spans="1:88" s="377" customFormat="1" ht="15" customHeight="1">
      <c r="A3" s="284" t="s">
        <v>211</v>
      </c>
      <c r="B3" s="288" t="s">
        <v>212</v>
      </c>
      <c r="C3" s="288" t="s">
        <v>213</v>
      </c>
      <c r="D3" s="640" t="s">
        <v>214</v>
      </c>
      <c r="E3" s="641"/>
      <c r="F3" s="295" t="s">
        <v>215</v>
      </c>
      <c r="G3" s="296" t="s">
        <v>216</v>
      </c>
      <c r="H3" s="287" t="s">
        <v>217</v>
      </c>
      <c r="I3" s="287" t="s">
        <v>218</v>
      </c>
      <c r="J3" s="640" t="s">
        <v>214</v>
      </c>
      <c r="K3" s="641"/>
      <c r="L3" s="297" t="s">
        <v>219</v>
      </c>
      <c r="M3" s="298" t="str">
        <f>IF(ISBLANK('[6]LİMAN BİLGİLERİ'!C46),"",('[6]LİMAN BİLGİLERİ'!C46))</f>
        <v>54B</v>
      </c>
      <c r="N3" s="298" t="s">
        <v>214</v>
      </c>
      <c r="O3" s="299" t="s">
        <v>220</v>
      </c>
      <c r="P3" s="642" t="s">
        <v>221</v>
      </c>
      <c r="Q3" s="644" t="s">
        <v>222</v>
      </c>
      <c r="R3" s="279"/>
      <c r="S3" s="279"/>
      <c r="T3" s="279"/>
      <c r="U3" s="279"/>
      <c r="V3" s="300" t="s">
        <v>141</v>
      </c>
      <c r="W3" s="301" t="s">
        <v>142</v>
      </c>
      <c r="X3" s="300" t="s">
        <v>141</v>
      </c>
      <c r="Y3" s="302" t="s">
        <v>142</v>
      </c>
      <c r="Z3" s="303" t="s">
        <v>141</v>
      </c>
      <c r="AA3" s="300" t="s">
        <v>142</v>
      </c>
      <c r="AB3" s="300" t="s">
        <v>141</v>
      </c>
      <c r="AC3" s="300" t="s">
        <v>142</v>
      </c>
      <c r="AD3" s="300" t="s">
        <v>141</v>
      </c>
      <c r="AE3" s="300" t="s">
        <v>142</v>
      </c>
      <c r="AF3" s="300" t="s">
        <v>141</v>
      </c>
      <c r="AG3" s="300" t="s">
        <v>142</v>
      </c>
      <c r="AH3" s="302" t="s">
        <v>141</v>
      </c>
      <c r="AI3" s="302" t="s">
        <v>142</v>
      </c>
      <c r="AJ3" s="300" t="s">
        <v>141</v>
      </c>
      <c r="AK3" s="300" t="s">
        <v>142</v>
      </c>
      <c r="AL3" s="300" t="s">
        <v>141</v>
      </c>
      <c r="AM3" s="300" t="s">
        <v>142</v>
      </c>
      <c r="AN3" s="300" t="s">
        <v>141</v>
      </c>
      <c r="AO3" s="301" t="s">
        <v>142</v>
      </c>
      <c r="AP3" s="300" t="s">
        <v>141</v>
      </c>
      <c r="AQ3" s="300" t="s">
        <v>142</v>
      </c>
      <c r="AR3" s="300" t="s">
        <v>141</v>
      </c>
      <c r="AS3" s="300" t="s">
        <v>142</v>
      </c>
      <c r="AT3" s="300" t="s">
        <v>141</v>
      </c>
      <c r="AU3" s="300" t="s">
        <v>142</v>
      </c>
      <c r="AV3" s="300" t="s">
        <v>141</v>
      </c>
      <c r="AW3" s="300" t="s">
        <v>142</v>
      </c>
      <c r="AX3" s="300" t="s">
        <v>141</v>
      </c>
      <c r="AY3" s="300" t="s">
        <v>142</v>
      </c>
      <c r="AZ3" s="300" t="s">
        <v>141</v>
      </c>
      <c r="BA3" s="300" t="s">
        <v>142</v>
      </c>
      <c r="BB3" s="300" t="s">
        <v>141</v>
      </c>
      <c r="BC3" s="300" t="s">
        <v>142</v>
      </c>
      <c r="BD3" s="300" t="s">
        <v>141</v>
      </c>
      <c r="BE3" s="300" t="s">
        <v>142</v>
      </c>
      <c r="BF3" s="646" t="s">
        <v>179</v>
      </c>
      <c r="BG3" s="648" t="s">
        <v>180</v>
      </c>
      <c r="BH3" s="648" t="s">
        <v>181</v>
      </c>
      <c r="BI3" s="648" t="s">
        <v>223</v>
      </c>
      <c r="BJ3" s="648" t="s">
        <v>224</v>
      </c>
      <c r="BK3" s="648" t="s">
        <v>183</v>
      </c>
      <c r="BL3" s="659" t="s">
        <v>161</v>
      </c>
      <c r="BN3" s="639"/>
      <c r="BO3" s="639"/>
      <c r="BP3" s="639"/>
      <c r="BQ3" s="639"/>
      <c r="BS3" s="135"/>
      <c r="BT3" s="135"/>
      <c r="BU3" s="135"/>
      <c r="BV3" s="135"/>
      <c r="BW3" s="135"/>
      <c r="BX3" s="135"/>
      <c r="BY3" s="135"/>
      <c r="BZ3" s="135"/>
      <c r="CA3" s="135"/>
      <c r="CB3" s="135"/>
      <c r="CC3" s="135"/>
      <c r="CD3" s="135"/>
      <c r="CE3" s="135"/>
      <c r="CF3" s="135"/>
      <c r="CG3" s="135"/>
      <c r="CH3" s="135"/>
      <c r="CI3" s="135"/>
      <c r="CJ3" s="135"/>
    </row>
    <row r="4" spans="1:88" s="377" customFormat="1" ht="16.5" customHeight="1">
      <c r="A4" s="304"/>
      <c r="B4" s="305"/>
      <c r="C4" s="305"/>
      <c r="D4" s="306"/>
      <c r="E4" s="307"/>
      <c r="F4" s="308"/>
      <c r="G4" s="309"/>
      <c r="H4" s="310" t="s">
        <v>225</v>
      </c>
      <c r="I4" s="310" t="s">
        <v>214</v>
      </c>
      <c r="J4" s="306"/>
      <c r="K4" s="307"/>
      <c r="L4" s="311" t="s">
        <v>195</v>
      </c>
      <c r="M4" s="305"/>
      <c r="N4" s="312"/>
      <c r="O4" s="313" t="s">
        <v>226</v>
      </c>
      <c r="P4" s="643"/>
      <c r="Q4" s="645"/>
      <c r="R4" s="314" t="s">
        <v>227</v>
      </c>
      <c r="S4" s="315" t="s">
        <v>228</v>
      </c>
      <c r="T4" s="315" t="s">
        <v>229</v>
      </c>
      <c r="U4" s="316" t="s">
        <v>34</v>
      </c>
      <c r="V4" s="655" t="s">
        <v>68</v>
      </c>
      <c r="W4" s="656"/>
      <c r="X4" s="655" t="s">
        <v>143</v>
      </c>
      <c r="Y4" s="656"/>
      <c r="Z4" s="655" t="s">
        <v>69</v>
      </c>
      <c r="AA4" s="656"/>
      <c r="AB4" s="655" t="s">
        <v>144</v>
      </c>
      <c r="AC4" s="656"/>
      <c r="AD4" s="655" t="s">
        <v>230</v>
      </c>
      <c r="AE4" s="656"/>
      <c r="AF4" s="655" t="s">
        <v>145</v>
      </c>
      <c r="AG4" s="656"/>
      <c r="AH4" s="657" t="s">
        <v>70</v>
      </c>
      <c r="AI4" s="658"/>
      <c r="AJ4" s="655" t="s">
        <v>146</v>
      </c>
      <c r="AK4" s="656"/>
      <c r="AL4" s="655" t="s">
        <v>71</v>
      </c>
      <c r="AM4" s="656"/>
      <c r="AN4" s="655" t="s">
        <v>147</v>
      </c>
      <c r="AO4" s="656"/>
      <c r="AP4" s="655" t="s">
        <v>72</v>
      </c>
      <c r="AQ4" s="656"/>
      <c r="AR4" s="655" t="s">
        <v>148</v>
      </c>
      <c r="AS4" s="656"/>
      <c r="AT4" s="655" t="s">
        <v>73</v>
      </c>
      <c r="AU4" s="656"/>
      <c r="AV4" s="655" t="s">
        <v>149</v>
      </c>
      <c r="AW4" s="656"/>
      <c r="AX4" s="655" t="s">
        <v>74</v>
      </c>
      <c r="AY4" s="656"/>
      <c r="AZ4" s="655" t="s">
        <v>150</v>
      </c>
      <c r="BA4" s="656"/>
      <c r="BB4" s="651" t="s">
        <v>151</v>
      </c>
      <c r="BC4" s="652"/>
      <c r="BD4" s="651" t="s">
        <v>152</v>
      </c>
      <c r="BE4" s="652"/>
      <c r="BF4" s="647"/>
      <c r="BG4" s="649"/>
      <c r="BH4" s="649"/>
      <c r="BI4" s="649"/>
      <c r="BJ4" s="649"/>
      <c r="BK4" s="649"/>
      <c r="BL4" s="660"/>
      <c r="BN4" s="639"/>
      <c r="BO4" s="639"/>
      <c r="BP4" s="639"/>
      <c r="BQ4" s="639"/>
      <c r="BS4" s="317" t="s">
        <v>231</v>
      </c>
      <c r="BT4" s="318"/>
      <c r="BU4" s="317" t="s">
        <v>231</v>
      </c>
      <c r="BV4" s="318"/>
      <c r="BW4" s="317" t="s">
        <v>231</v>
      </c>
      <c r="BX4" s="318"/>
      <c r="BY4" s="317" t="s">
        <v>231</v>
      </c>
      <c r="BZ4" s="318"/>
      <c r="CA4" s="317" t="s">
        <v>231</v>
      </c>
      <c r="CB4" s="318"/>
      <c r="CC4" s="317" t="s">
        <v>231</v>
      </c>
      <c r="CD4" s="318"/>
      <c r="CE4" s="317" t="s">
        <v>231</v>
      </c>
      <c r="CF4" s="318"/>
      <c r="CG4" s="317" t="s">
        <v>231</v>
      </c>
      <c r="CH4" s="318"/>
      <c r="CI4" s="317" t="s">
        <v>231</v>
      </c>
      <c r="CJ4" s="318"/>
    </row>
    <row r="5" spans="1:88" ht="15" customHeight="1">
      <c r="A5" s="319" t="s">
        <v>4</v>
      </c>
      <c r="B5" s="320">
        <f>BG5</f>
        <v>1050</v>
      </c>
      <c r="C5" s="320">
        <f>BK5</f>
        <v>1050</v>
      </c>
      <c r="D5" s="653">
        <f>IF(C5=0,0,LOOKUP(C5-MOD(C5,10),V4:V1171,W4:W1171)-(LOOKUP(C5-MOD(C5,10),V4:V1171,W4:W1171)-LOOKUP(C5+10-MOD(C5,10),V4:V1171,W4:W1171))/10*MOD(C5,10))</f>
        <v>778.41399999999999</v>
      </c>
      <c r="E5" s="654"/>
      <c r="F5" s="321">
        <f>IF(BL5=0,0,LOOKUP(BL5-MOD(BL5,10),C46:C148,D46:D148)-(LOOKUP(BL5-MOD(BL5,10),C46:C148,D46:D148)-LOOKUP(BL5+10-MOD(BL5,10),C46:C148,D46:D148))/10*MOD(BL5,10))</f>
        <v>0.99993399999999999</v>
      </c>
      <c r="G5" s="322">
        <f>D5*F5</f>
        <v>778.362624676</v>
      </c>
      <c r="H5" s="323">
        <v>0</v>
      </c>
      <c r="I5" s="323">
        <v>0</v>
      </c>
      <c r="J5" s="653">
        <f>+G5-I5</f>
        <v>778.362624676</v>
      </c>
      <c r="K5" s="654"/>
      <c r="L5" s="324">
        <f>BL5</f>
        <v>18</v>
      </c>
      <c r="M5" s="325">
        <f>BT9</f>
        <v>0.99629999999999996</v>
      </c>
      <c r="N5" s="326">
        <f>J5*M5</f>
        <v>775.48268296469871</v>
      </c>
      <c r="O5" s="326" t="e">
        <f>#REF!*N5</f>
        <v>#REF!</v>
      </c>
      <c r="P5" s="327">
        <f>(D5/Q5)</f>
        <v>0.97515064202943935</v>
      </c>
      <c r="Q5" s="328">
        <v>798.25</v>
      </c>
      <c r="R5" s="329">
        <f>(INT((L5*4)+0.5)/4)-15</f>
        <v>3</v>
      </c>
      <c r="S5" s="330"/>
      <c r="T5" s="331"/>
      <c r="U5" s="331"/>
      <c r="V5" s="332">
        <v>669</v>
      </c>
      <c r="W5" s="333">
        <v>798.25</v>
      </c>
      <c r="X5" s="332">
        <v>674</v>
      </c>
      <c r="Y5" s="334">
        <v>792.41600000000005</v>
      </c>
      <c r="Z5" s="335">
        <v>663</v>
      </c>
      <c r="AA5" s="334">
        <v>1635.7249999999999</v>
      </c>
      <c r="AB5" s="336">
        <v>665</v>
      </c>
      <c r="AC5" s="334">
        <v>1635.1179999999999</v>
      </c>
      <c r="AD5" s="336">
        <v>667</v>
      </c>
      <c r="AE5" s="334">
        <v>1381.511</v>
      </c>
      <c r="AF5" s="336">
        <v>665</v>
      </c>
      <c r="AG5" s="334">
        <v>1382.3910000000001</v>
      </c>
      <c r="AH5" s="336">
        <v>664</v>
      </c>
      <c r="AI5" s="334">
        <v>1382.008</v>
      </c>
      <c r="AJ5" s="336">
        <v>643</v>
      </c>
      <c r="AK5" s="334">
        <v>1382.3109999999999</v>
      </c>
      <c r="AL5" s="336">
        <v>661</v>
      </c>
      <c r="AM5" s="334">
        <v>1382.123</v>
      </c>
      <c r="AN5" s="336">
        <v>665</v>
      </c>
      <c r="AO5" s="334">
        <v>1382.028</v>
      </c>
      <c r="AP5" s="336">
        <v>657</v>
      </c>
      <c r="AQ5" s="334">
        <v>1379.8209999999999</v>
      </c>
      <c r="AR5" s="336">
        <v>660</v>
      </c>
      <c r="AS5" s="334">
        <v>1380.4939999999999</v>
      </c>
      <c r="AT5" s="336">
        <v>660</v>
      </c>
      <c r="AU5" s="334">
        <v>1378.598</v>
      </c>
      <c r="AV5" s="336">
        <v>667</v>
      </c>
      <c r="AW5" s="334">
        <v>1377.4590000000001</v>
      </c>
      <c r="AX5" s="336">
        <v>653</v>
      </c>
      <c r="AY5" s="334">
        <v>1302.566</v>
      </c>
      <c r="AZ5" s="336">
        <v>668</v>
      </c>
      <c r="BA5" s="337">
        <v>1302.5160000000001</v>
      </c>
      <c r="BB5" s="336">
        <v>641</v>
      </c>
      <c r="BC5" s="334">
        <v>382.14299999999997</v>
      </c>
      <c r="BD5" s="336">
        <v>641</v>
      </c>
      <c r="BE5" s="334">
        <v>398.59199999999998</v>
      </c>
      <c r="BF5" s="338" t="s">
        <v>4</v>
      </c>
      <c r="BG5" s="339">
        <f>MASTER!F3</f>
        <v>1050</v>
      </c>
      <c r="BH5" s="340">
        <f>BG5</f>
        <v>1050</v>
      </c>
      <c r="BI5" s="341"/>
      <c r="BJ5" s="341"/>
      <c r="BK5" s="342">
        <f>MASTER!H3</f>
        <v>1050</v>
      </c>
      <c r="BL5" s="343">
        <f>MASTER!M3</f>
        <v>18</v>
      </c>
      <c r="BN5" s="639">
        <f t="shared" ref="BN5:BN22" si="0">N5*L5</f>
        <v>13958.688293364577</v>
      </c>
      <c r="BO5" s="639"/>
      <c r="BP5" s="639"/>
      <c r="BQ5" s="639"/>
      <c r="BS5" s="344" t="s">
        <v>232</v>
      </c>
      <c r="BT5" s="345" t="s">
        <v>233</v>
      </c>
      <c r="BU5" s="344" t="s">
        <v>232</v>
      </c>
      <c r="BV5" s="345" t="s">
        <v>233</v>
      </c>
      <c r="BW5" s="344" t="s">
        <v>232</v>
      </c>
      <c r="BX5" s="345" t="s">
        <v>233</v>
      </c>
      <c r="BY5" s="344" t="s">
        <v>232</v>
      </c>
      <c r="BZ5" s="345" t="s">
        <v>233</v>
      </c>
      <c r="CA5" s="344" t="s">
        <v>232</v>
      </c>
      <c r="CB5" s="345" t="s">
        <v>233</v>
      </c>
      <c r="CC5" s="344" t="s">
        <v>232</v>
      </c>
      <c r="CD5" s="345" t="s">
        <v>233</v>
      </c>
      <c r="CE5" s="344" t="s">
        <v>232</v>
      </c>
      <c r="CF5" s="345" t="s">
        <v>233</v>
      </c>
      <c r="CG5" s="344" t="s">
        <v>232</v>
      </c>
      <c r="CH5" s="345" t="s">
        <v>233</v>
      </c>
      <c r="CI5" s="344" t="s">
        <v>232</v>
      </c>
      <c r="CJ5" s="345" t="s">
        <v>233</v>
      </c>
    </row>
    <row r="6" spans="1:88" ht="15" customHeight="1">
      <c r="A6" s="319" t="s">
        <v>5</v>
      </c>
      <c r="B6" s="320">
        <f t="shared" ref="B6:B22" si="1">BG6</f>
        <v>1050</v>
      </c>
      <c r="C6" s="320">
        <f t="shared" ref="C6:C22" si="2">BK6</f>
        <v>1050</v>
      </c>
      <c r="D6" s="653">
        <f>IF(C6=0,0,LOOKUP(C6-MOD(C6,10),X4:X1171,Y4:Y1171)-(LOOKUP(C6-MOD(C6,10),X4:X1171,Y4:Y1171)-LOOKUP(C6+10-MOD(C6,10),X4:X1171,Y4:Y1171))/10*MOD(C6,10))</f>
        <v>773.16200000000003</v>
      </c>
      <c r="E6" s="654"/>
      <c r="F6" s="321">
        <f>IF(BL6=0,0,LOOKUP(BL6-MOD(BL6,10),C46:C148,D46:D148)-(LOOKUP(BL6-MOD(BL6,10),C46:C148,D46:D148)-LOOKUP(BL6+10-MOD(BL6,10),C46:C148,D46:D148))/10*MOD(BL6,10))</f>
        <v>0.99993399999999999</v>
      </c>
      <c r="G6" s="322">
        <f>D6*F6</f>
        <v>773.11097130799999</v>
      </c>
      <c r="H6" s="323">
        <v>0</v>
      </c>
      <c r="I6" s="323">
        <v>0</v>
      </c>
      <c r="J6" s="653">
        <f>+G6-I6</f>
        <v>773.11097130799999</v>
      </c>
      <c r="K6" s="654"/>
      <c r="L6" s="324">
        <f>BL6</f>
        <v>18</v>
      </c>
      <c r="M6" s="325">
        <f>BT30</f>
        <v>0.99629999999999996</v>
      </c>
      <c r="N6" s="326">
        <f>J6*M6</f>
        <v>770.25046071416034</v>
      </c>
      <c r="O6" s="326" t="e">
        <f>#REF!*N6</f>
        <v>#REF!</v>
      </c>
      <c r="P6" s="327">
        <f>(D6/Q6)</f>
        <v>0.97570215644308034</v>
      </c>
      <c r="Q6" s="328">
        <v>792.41600000000005</v>
      </c>
      <c r="R6" s="329">
        <f>(INT((L6*4)+0.5)/4)-15</f>
        <v>3</v>
      </c>
      <c r="S6" s="330"/>
      <c r="T6" s="331"/>
      <c r="U6" s="331"/>
      <c r="V6" s="346">
        <v>670</v>
      </c>
      <c r="W6" s="333">
        <v>798.23500000000001</v>
      </c>
      <c r="X6" s="346">
        <v>680</v>
      </c>
      <c r="Y6" s="334">
        <v>792.34799999999996</v>
      </c>
      <c r="Z6" s="335">
        <v>670</v>
      </c>
      <c r="AA6" s="334">
        <v>1635.6969999999999</v>
      </c>
      <c r="AB6" s="336">
        <v>670</v>
      </c>
      <c r="AC6" s="334">
        <v>1635.0930000000001</v>
      </c>
      <c r="AD6" s="336">
        <v>670</v>
      </c>
      <c r="AE6" s="334">
        <v>1381.498</v>
      </c>
      <c r="AF6" s="336">
        <v>670</v>
      </c>
      <c r="AG6" s="334">
        <v>1382.2929999999999</v>
      </c>
      <c r="AH6" s="336">
        <v>670</v>
      </c>
      <c r="AI6" s="334">
        <v>1381.8969999999999</v>
      </c>
      <c r="AJ6" s="336">
        <v>650</v>
      </c>
      <c r="AK6" s="334">
        <v>1382.3050000000001</v>
      </c>
      <c r="AL6" s="336">
        <v>670</v>
      </c>
      <c r="AM6" s="334">
        <v>1382.056</v>
      </c>
      <c r="AN6" s="336">
        <v>670</v>
      </c>
      <c r="AO6" s="334">
        <v>1382.018</v>
      </c>
      <c r="AP6" s="336">
        <v>660</v>
      </c>
      <c r="AQ6" s="334">
        <v>1379.8130000000001</v>
      </c>
      <c r="AR6" s="336">
        <v>670</v>
      </c>
      <c r="AS6" s="334">
        <v>1380.443</v>
      </c>
      <c r="AT6" s="336">
        <v>670</v>
      </c>
      <c r="AU6" s="334">
        <v>1378.5319999999999</v>
      </c>
      <c r="AV6" s="336">
        <v>670</v>
      </c>
      <c r="AW6" s="334">
        <v>1377.4459999999999</v>
      </c>
      <c r="AX6" s="336">
        <v>660</v>
      </c>
      <c r="AY6" s="334">
        <v>1302.4580000000001</v>
      </c>
      <c r="AZ6" s="336">
        <v>670</v>
      </c>
      <c r="BA6" s="337">
        <v>1302.5050000000001</v>
      </c>
      <c r="BB6" s="336">
        <v>650</v>
      </c>
      <c r="BC6" s="334">
        <v>382.13</v>
      </c>
      <c r="BD6" s="336">
        <v>650</v>
      </c>
      <c r="BE6" s="334">
        <v>398.56099999999998</v>
      </c>
      <c r="BF6" s="338" t="s">
        <v>5</v>
      </c>
      <c r="BG6" s="339">
        <f>MASTER!F4</f>
        <v>1050</v>
      </c>
      <c r="BH6" s="340">
        <f t="shared" ref="BH6:BH22" si="3">BG6</f>
        <v>1050</v>
      </c>
      <c r="BI6" s="341"/>
      <c r="BJ6" s="341"/>
      <c r="BK6" s="342">
        <f>MASTER!H4</f>
        <v>1050</v>
      </c>
      <c r="BL6" s="343">
        <f>MASTER!M4</f>
        <v>18</v>
      </c>
      <c r="BN6" s="639">
        <f t="shared" si="0"/>
        <v>13864.508292854885</v>
      </c>
      <c r="BO6" s="639"/>
      <c r="BP6" s="639"/>
      <c r="BQ6" s="639"/>
      <c r="BS6" s="318" t="s">
        <v>234</v>
      </c>
      <c r="BT6" s="345" t="s">
        <v>235</v>
      </c>
      <c r="BU6" s="318" t="s">
        <v>234</v>
      </c>
      <c r="BV6" s="345" t="s">
        <v>235</v>
      </c>
      <c r="BW6" s="318" t="s">
        <v>234</v>
      </c>
      <c r="BX6" s="345" t="s">
        <v>235</v>
      </c>
      <c r="BY6" s="318" t="s">
        <v>234</v>
      </c>
      <c r="BZ6" s="345" t="s">
        <v>235</v>
      </c>
      <c r="CA6" s="318" t="s">
        <v>234</v>
      </c>
      <c r="CB6" s="345" t="s">
        <v>235</v>
      </c>
      <c r="CC6" s="318" t="s">
        <v>234</v>
      </c>
      <c r="CD6" s="345" t="s">
        <v>235</v>
      </c>
      <c r="CE6" s="318" t="s">
        <v>234</v>
      </c>
      <c r="CF6" s="345" t="s">
        <v>235</v>
      </c>
      <c r="CG6" s="318" t="s">
        <v>234</v>
      </c>
      <c r="CH6" s="345" t="s">
        <v>235</v>
      </c>
      <c r="CI6" s="318" t="s">
        <v>234</v>
      </c>
      <c r="CJ6" s="345" t="s">
        <v>235</v>
      </c>
    </row>
    <row r="7" spans="1:88" ht="15" customHeight="1">
      <c r="A7" s="319" t="s">
        <v>6</v>
      </c>
      <c r="B7" s="320">
        <f t="shared" si="1"/>
        <v>1130</v>
      </c>
      <c r="C7" s="320">
        <f t="shared" si="2"/>
        <v>1130</v>
      </c>
      <c r="D7" s="653">
        <f>IF(C7=0,0,LOOKUP(C7-MOD(C7,10),Z4:Z1172,AA4:AA1172)-(LOOKUP(C7-MOD(C7,10),Z4:Z1172,AA4:AA1172)-LOOKUP(C7+10-MOD(C7,10),Z4:Z1172,AA4:AA1172))/10*MOD(C7,10))</f>
        <v>1594.2239999999999</v>
      </c>
      <c r="E7" s="654"/>
      <c r="F7" s="321">
        <f>IF(BL7=0,0,LOOKUP(BL7-MOD(BL7,10),C46:C148,D46:D148)-(LOOKUP(BL7-MOD(BL7,10),C46:C148,D46:D148)-LOOKUP(BL7+10-MOD(BL7,10),C46:C148,D46:D148))/10*MOD(BL7,10))</f>
        <v>0.99993399999999999</v>
      </c>
      <c r="G7" s="322">
        <f t="shared" ref="G7:G22" si="4">D7*F7</f>
        <v>1594.1187812159999</v>
      </c>
      <c r="H7" s="323">
        <v>0</v>
      </c>
      <c r="I7" s="323">
        <v>0</v>
      </c>
      <c r="J7" s="653">
        <f t="shared" ref="J7:J22" si="5">+G7-I7</f>
        <v>1594.1187812159999</v>
      </c>
      <c r="K7" s="654"/>
      <c r="L7" s="324">
        <f t="shared" ref="L7:L22" si="6">BL7</f>
        <v>18</v>
      </c>
      <c r="M7" s="325">
        <f>BV9</f>
        <v>0.99739999999999995</v>
      </c>
      <c r="N7" s="326">
        <f>J7*M7</f>
        <v>1589.9740723848381</v>
      </c>
      <c r="O7" s="326" t="e">
        <f>#REF!*N7</f>
        <v>#REF!</v>
      </c>
      <c r="P7" s="327">
        <f t="shared" ref="P7:P22" si="7">(D7/Q7)</f>
        <v>0.97462837579666506</v>
      </c>
      <c r="Q7" s="328">
        <v>1635.7249999999999</v>
      </c>
      <c r="R7" s="329">
        <f t="shared" ref="R7:R16" si="8">(INT((L7*4)+0.5)/4)-15</f>
        <v>3</v>
      </c>
      <c r="S7" s="330"/>
      <c r="T7" s="331"/>
      <c r="U7" s="331"/>
      <c r="V7" s="346">
        <v>680</v>
      </c>
      <c r="W7" s="333">
        <v>798.08799999999997</v>
      </c>
      <c r="X7" s="346">
        <v>690</v>
      </c>
      <c r="Y7" s="334">
        <v>792.19200000000001</v>
      </c>
      <c r="Z7" s="335">
        <v>680</v>
      </c>
      <c r="AA7" s="334">
        <v>1635.4880000000001</v>
      </c>
      <c r="AB7" s="336">
        <v>680</v>
      </c>
      <c r="AC7" s="334">
        <v>1634.9159999999999</v>
      </c>
      <c r="AD7" s="336">
        <v>680</v>
      </c>
      <c r="AE7" s="334">
        <v>1381.393</v>
      </c>
      <c r="AF7" s="336">
        <v>680</v>
      </c>
      <c r="AG7" s="334">
        <v>1382.0709999999999</v>
      </c>
      <c r="AH7" s="336">
        <v>680</v>
      </c>
      <c r="AI7" s="334">
        <v>1381.6769999999999</v>
      </c>
      <c r="AJ7" s="336">
        <v>660</v>
      </c>
      <c r="AK7" s="334">
        <v>1382.1130000000001</v>
      </c>
      <c r="AL7" s="336">
        <v>680</v>
      </c>
      <c r="AM7" s="334">
        <v>1381.84</v>
      </c>
      <c r="AN7" s="336">
        <v>680</v>
      </c>
      <c r="AO7" s="334">
        <v>1381.8879999999999</v>
      </c>
      <c r="AP7" s="336">
        <v>670</v>
      </c>
      <c r="AQ7" s="334">
        <v>1379.72</v>
      </c>
      <c r="AR7" s="336">
        <v>680</v>
      </c>
      <c r="AS7" s="334">
        <v>1380.2159999999999</v>
      </c>
      <c r="AT7" s="336">
        <v>680</v>
      </c>
      <c r="AU7" s="334">
        <v>1378.3019999999999</v>
      </c>
      <c r="AV7" s="336">
        <v>680</v>
      </c>
      <c r="AW7" s="334">
        <v>1377.3389999999999</v>
      </c>
      <c r="AX7" s="336">
        <v>670</v>
      </c>
      <c r="AY7" s="334">
        <v>1302.249</v>
      </c>
      <c r="AZ7" s="336">
        <v>680</v>
      </c>
      <c r="BA7" s="337">
        <v>1302.4169999999999</v>
      </c>
      <c r="BB7" s="336">
        <v>660</v>
      </c>
      <c r="BC7" s="334">
        <v>382.05399999999997</v>
      </c>
      <c r="BD7" s="336">
        <v>660</v>
      </c>
      <c r="BE7" s="334">
        <v>398.47500000000002</v>
      </c>
      <c r="BF7" s="338" t="s">
        <v>6</v>
      </c>
      <c r="BG7" s="339">
        <f>MASTER!F5</f>
        <v>1130</v>
      </c>
      <c r="BH7" s="340">
        <f t="shared" si="3"/>
        <v>1130</v>
      </c>
      <c r="BI7" s="341"/>
      <c r="BJ7" s="341"/>
      <c r="BK7" s="342">
        <f>MASTER!H5</f>
        <v>1130</v>
      </c>
      <c r="BL7" s="343">
        <f>MASTER!M5</f>
        <v>18</v>
      </c>
      <c r="BN7" s="639">
        <f t="shared" si="0"/>
        <v>28619.533302927084</v>
      </c>
      <c r="BO7" s="639"/>
      <c r="BP7" s="639"/>
      <c r="BQ7" s="639"/>
      <c r="BS7" s="318" t="s">
        <v>236</v>
      </c>
      <c r="BT7" s="347">
        <f>MASTER!$N$3</f>
        <v>0.73770000000000002</v>
      </c>
      <c r="BU7" s="318" t="s">
        <v>236</v>
      </c>
      <c r="BV7" s="347">
        <f>MASTER!$N$5</f>
        <v>0.83260000000000001</v>
      </c>
      <c r="BW7" s="318" t="s">
        <v>236</v>
      </c>
      <c r="BX7" s="347">
        <f>MASTER!$N$7</f>
        <v>0.73770000000000002</v>
      </c>
      <c r="BY7" s="318" t="s">
        <v>236</v>
      </c>
      <c r="BZ7" s="347">
        <f>MASTER!$N$9</f>
        <v>0.73770000000000002</v>
      </c>
      <c r="CA7" s="318" t="s">
        <v>236</v>
      </c>
      <c r="CB7" s="347">
        <f>MASTER!$N$11</f>
        <v>0.73770000000000002</v>
      </c>
      <c r="CC7" s="318" t="s">
        <v>236</v>
      </c>
      <c r="CD7" s="347">
        <f>MASTER!$N$13</f>
        <v>0.73770000000000002</v>
      </c>
      <c r="CE7" s="318" t="s">
        <v>236</v>
      </c>
      <c r="CF7" s="347">
        <f>MASTER!$N$15</f>
        <v>0.73770000000000002</v>
      </c>
      <c r="CG7" s="318" t="s">
        <v>236</v>
      </c>
      <c r="CH7" s="347">
        <f>BT7</f>
        <v>0.73770000000000002</v>
      </c>
      <c r="CI7" s="318" t="s">
        <v>236</v>
      </c>
      <c r="CJ7" s="347">
        <f>MASTER!$N$19</f>
        <v>1</v>
      </c>
    </row>
    <row r="8" spans="1:88" ht="15" customHeight="1" thickBot="1">
      <c r="A8" s="319" t="s">
        <v>7</v>
      </c>
      <c r="B8" s="320">
        <f t="shared" si="1"/>
        <v>1130</v>
      </c>
      <c r="C8" s="320">
        <f t="shared" si="2"/>
        <v>1130</v>
      </c>
      <c r="D8" s="653">
        <f>IF(C8=0,0,LOOKUP(C8-MOD(C8,10),AB4:AB1172,AC4:AC1172)-(LOOKUP(C8-MOD(C8,10),AB4:AB1172,AC4:AC1172)-LOOKUP(C8+10-MOD(C8,10),AB4:AB1172,AC4:AC1172))/10*MOD(C8,10))</f>
        <v>1592.104</v>
      </c>
      <c r="E8" s="654"/>
      <c r="F8" s="321">
        <f>IF(BL8=0,0,LOOKUP(BL8-MOD(BL8,10),C46:C146,D46:D146)-(LOOKUP(BL8-MOD(BL8,10),C46:C146,D46:D146)-LOOKUP(BL8+10-MOD(BL8,10),C46:C146,D46:D146))/10*MOD(BL8,10))</f>
        <v>0.99993399999999999</v>
      </c>
      <c r="G8" s="322">
        <f t="shared" si="4"/>
        <v>1591.998921136</v>
      </c>
      <c r="H8" s="323">
        <v>0</v>
      </c>
      <c r="I8" s="323">
        <v>0</v>
      </c>
      <c r="J8" s="653">
        <f t="shared" si="5"/>
        <v>1591.998921136</v>
      </c>
      <c r="K8" s="654"/>
      <c r="L8" s="324">
        <f t="shared" si="6"/>
        <v>18</v>
      </c>
      <c r="M8" s="325">
        <f>BV30</f>
        <v>0.99629999999999996</v>
      </c>
      <c r="N8" s="326">
        <f t="shared" ref="N8:N22" si="9">J8*M8</f>
        <v>1586.1085251277968</v>
      </c>
      <c r="O8" s="326" t="e">
        <f>#REF!*N8</f>
        <v>#REF!</v>
      </c>
      <c r="P8" s="327">
        <f t="shared" si="7"/>
        <v>0.97369364168212946</v>
      </c>
      <c r="Q8" s="328">
        <v>1635.1179999999999</v>
      </c>
      <c r="R8" s="329">
        <f t="shared" si="8"/>
        <v>3</v>
      </c>
      <c r="S8" s="330"/>
      <c r="T8" s="331"/>
      <c r="U8" s="331"/>
      <c r="V8" s="346">
        <v>690</v>
      </c>
      <c r="W8" s="333">
        <v>797.89</v>
      </c>
      <c r="X8" s="346">
        <v>700</v>
      </c>
      <c r="Y8" s="334">
        <v>791.99699999999996</v>
      </c>
      <c r="Z8" s="335">
        <v>690</v>
      </c>
      <c r="AA8" s="334">
        <v>1635.211</v>
      </c>
      <c r="AB8" s="336">
        <v>690</v>
      </c>
      <c r="AC8" s="334">
        <v>1634.63</v>
      </c>
      <c r="AD8" s="336">
        <v>690</v>
      </c>
      <c r="AE8" s="334">
        <v>1381.146</v>
      </c>
      <c r="AF8" s="336">
        <v>690</v>
      </c>
      <c r="AG8" s="334">
        <v>1381.8150000000001</v>
      </c>
      <c r="AH8" s="336">
        <v>690</v>
      </c>
      <c r="AI8" s="334">
        <v>1381.42</v>
      </c>
      <c r="AJ8" s="336">
        <v>670</v>
      </c>
      <c r="AK8" s="334">
        <v>1381.856</v>
      </c>
      <c r="AL8" s="336">
        <v>690</v>
      </c>
      <c r="AM8" s="334">
        <v>1381.588</v>
      </c>
      <c r="AN8" s="336">
        <v>690</v>
      </c>
      <c r="AO8" s="334">
        <v>1381.6410000000001</v>
      </c>
      <c r="AP8" s="336">
        <v>680</v>
      </c>
      <c r="AQ8" s="334">
        <v>1379.491</v>
      </c>
      <c r="AR8" s="336">
        <v>690</v>
      </c>
      <c r="AS8" s="334">
        <v>1379.9649999999999</v>
      </c>
      <c r="AT8" s="336">
        <v>690</v>
      </c>
      <c r="AU8" s="334">
        <v>1378.05</v>
      </c>
      <c r="AV8" s="336">
        <v>690</v>
      </c>
      <c r="AW8" s="334">
        <v>1377.1</v>
      </c>
      <c r="AX8" s="336">
        <v>680</v>
      </c>
      <c r="AY8" s="334">
        <v>1302.002</v>
      </c>
      <c r="AZ8" s="336">
        <v>690</v>
      </c>
      <c r="BA8" s="337">
        <v>1302.1959999999999</v>
      </c>
      <c r="BB8" s="336">
        <v>670</v>
      </c>
      <c r="BC8" s="334">
        <v>381.97199999999998</v>
      </c>
      <c r="BD8" s="336">
        <v>670</v>
      </c>
      <c r="BE8" s="334">
        <v>398.37799999999999</v>
      </c>
      <c r="BF8" s="338" t="s">
        <v>7</v>
      </c>
      <c r="BG8" s="339">
        <f>MASTER!F6</f>
        <v>1130</v>
      </c>
      <c r="BH8" s="340">
        <f t="shared" si="3"/>
        <v>1130</v>
      </c>
      <c r="BI8" s="341"/>
      <c r="BJ8" s="341"/>
      <c r="BK8" s="342">
        <f>MASTER!H6</f>
        <v>1130</v>
      </c>
      <c r="BL8" s="343">
        <f>MASTER!M6</f>
        <v>18</v>
      </c>
      <c r="BN8" s="639">
        <f t="shared" si="0"/>
        <v>28549.953452300342</v>
      </c>
      <c r="BO8" s="639"/>
      <c r="BP8" s="639"/>
      <c r="BQ8" s="639"/>
      <c r="BS8" s="318" t="s">
        <v>237</v>
      </c>
      <c r="BT8" s="348">
        <f>L5</f>
        <v>18</v>
      </c>
      <c r="BU8" s="318" t="s">
        <v>237</v>
      </c>
      <c r="BV8" s="348">
        <f>L7</f>
        <v>18</v>
      </c>
      <c r="BW8" s="318" t="s">
        <v>237</v>
      </c>
      <c r="BX8" s="348">
        <f>L9</f>
        <v>18</v>
      </c>
      <c r="BY8" s="318" t="s">
        <v>237</v>
      </c>
      <c r="BZ8" s="348">
        <f>L11</f>
        <v>18</v>
      </c>
      <c r="CA8" s="318" t="s">
        <v>237</v>
      </c>
      <c r="CB8" s="348">
        <f>L13</f>
        <v>18</v>
      </c>
      <c r="CC8" s="318" t="s">
        <v>237</v>
      </c>
      <c r="CD8" s="348">
        <f>L15</f>
        <v>18</v>
      </c>
      <c r="CE8" s="318" t="s">
        <v>237</v>
      </c>
      <c r="CF8" s="348">
        <f>L17</f>
        <v>18</v>
      </c>
      <c r="CG8" s="318" t="s">
        <v>237</v>
      </c>
      <c r="CH8" s="348">
        <f>L19</f>
        <v>18</v>
      </c>
      <c r="CI8" s="318" t="s">
        <v>237</v>
      </c>
      <c r="CJ8" s="348">
        <f>L21</f>
        <v>0</v>
      </c>
    </row>
    <row r="9" spans="1:88" ht="15" customHeight="1" thickBot="1">
      <c r="A9" s="319" t="s">
        <v>8</v>
      </c>
      <c r="B9" s="320">
        <f t="shared" si="1"/>
        <v>1130</v>
      </c>
      <c r="C9" s="320">
        <f t="shared" si="2"/>
        <v>1130</v>
      </c>
      <c r="D9" s="653">
        <f>IF(C9=0,0,LOOKUP(C9-MOD(C9,10),AD4:AD1172,AE4:AE1172)-(LOOKUP(C9-MOD(C9,10),AD4:AD1172,AE4:AE1172)-LOOKUP(C9+10-MOD(C9,10),AD4:AD1172,AE4:AE1172))/10*MOD(C9,10))</f>
        <v>1347.046</v>
      </c>
      <c r="E9" s="654"/>
      <c r="F9" s="321">
        <f>IF(BL9=0,0,LOOKUP(BL9-MOD(BL9,10),C46:C148,D46:D148)-(LOOKUP(BL9-MOD(BL9,10),C46:C148,D46:D148)-LOOKUP(BL9+10-MOD(BL9,10),C46:C148,D46:D148))/10*MOD(BL9,10))</f>
        <v>0.99993399999999999</v>
      </c>
      <c r="G9" s="322">
        <f t="shared" si="4"/>
        <v>1346.9570949640001</v>
      </c>
      <c r="H9" s="323">
        <v>0</v>
      </c>
      <c r="I9" s="323">
        <v>0</v>
      </c>
      <c r="J9" s="653">
        <f t="shared" si="5"/>
        <v>1346.9570949640001</v>
      </c>
      <c r="K9" s="654"/>
      <c r="L9" s="324">
        <f t="shared" si="6"/>
        <v>18</v>
      </c>
      <c r="M9" s="325">
        <f>BX9</f>
        <v>0.99629999999999996</v>
      </c>
      <c r="N9" s="326">
        <f t="shared" si="9"/>
        <v>1341.9733537126333</v>
      </c>
      <c r="O9" s="326" t="e">
        <f>#REF!*N9</f>
        <v>#REF!</v>
      </c>
      <c r="P9" s="327">
        <f t="shared" si="7"/>
        <v>0.97505267782884109</v>
      </c>
      <c r="Q9" s="328">
        <v>1381.511</v>
      </c>
      <c r="R9" s="329">
        <f t="shared" si="8"/>
        <v>3</v>
      </c>
      <c r="S9" s="330"/>
      <c r="T9" s="331"/>
      <c r="U9" s="331"/>
      <c r="V9" s="346">
        <v>700</v>
      </c>
      <c r="W9" s="333">
        <v>797.67</v>
      </c>
      <c r="X9" s="346">
        <v>710</v>
      </c>
      <c r="Y9" s="334">
        <v>791.78</v>
      </c>
      <c r="Z9" s="335">
        <v>700</v>
      </c>
      <c r="AA9" s="334">
        <v>1634.904</v>
      </c>
      <c r="AB9" s="336">
        <v>700</v>
      </c>
      <c r="AC9" s="334">
        <v>1634.3130000000001</v>
      </c>
      <c r="AD9" s="336">
        <v>700</v>
      </c>
      <c r="AE9" s="334">
        <v>1380.876</v>
      </c>
      <c r="AF9" s="336">
        <v>700</v>
      </c>
      <c r="AG9" s="334">
        <v>1381.5340000000001</v>
      </c>
      <c r="AH9" s="336">
        <v>700</v>
      </c>
      <c r="AI9" s="334">
        <v>1381.1379999999999</v>
      </c>
      <c r="AJ9" s="336">
        <v>680</v>
      </c>
      <c r="AK9" s="334">
        <v>1381.576</v>
      </c>
      <c r="AL9" s="336">
        <v>700</v>
      </c>
      <c r="AM9" s="334">
        <v>1381.3130000000001</v>
      </c>
      <c r="AN9" s="336">
        <v>700</v>
      </c>
      <c r="AO9" s="334">
        <v>1381.3689999999999</v>
      </c>
      <c r="AP9" s="336">
        <v>690</v>
      </c>
      <c r="AQ9" s="334">
        <v>1379.2370000000001</v>
      </c>
      <c r="AR9" s="336">
        <v>700</v>
      </c>
      <c r="AS9" s="334">
        <v>1379.69</v>
      </c>
      <c r="AT9" s="336">
        <v>700</v>
      </c>
      <c r="AU9" s="334">
        <v>1377.7739999999999</v>
      </c>
      <c r="AV9" s="336">
        <v>700</v>
      </c>
      <c r="AW9" s="334">
        <v>1376.837</v>
      </c>
      <c r="AX9" s="336">
        <v>690</v>
      </c>
      <c r="AY9" s="334">
        <v>1301.732</v>
      </c>
      <c r="AZ9" s="336">
        <v>700</v>
      </c>
      <c r="BA9" s="337">
        <v>1301.951</v>
      </c>
      <c r="BB9" s="336">
        <v>680</v>
      </c>
      <c r="BC9" s="334">
        <v>381.88400000000001</v>
      </c>
      <c r="BD9" s="336">
        <v>680</v>
      </c>
      <c r="BE9" s="334">
        <v>398.27499999999998</v>
      </c>
      <c r="BF9" s="338" t="s">
        <v>8</v>
      </c>
      <c r="BG9" s="339">
        <f>MASTER!F7</f>
        <v>1130</v>
      </c>
      <c r="BH9" s="340">
        <f t="shared" si="3"/>
        <v>1130</v>
      </c>
      <c r="BI9" s="341"/>
      <c r="BJ9" s="341"/>
      <c r="BK9" s="342">
        <f>MASTER!H7</f>
        <v>1130</v>
      </c>
      <c r="BL9" s="343">
        <f>MASTER!M7</f>
        <v>18</v>
      </c>
      <c r="BM9" s="378"/>
      <c r="BN9" s="639">
        <f t="shared" si="0"/>
        <v>24155.520366827401</v>
      </c>
      <c r="BO9" s="639"/>
      <c r="BP9" s="639"/>
      <c r="BQ9" s="639"/>
      <c r="BS9" s="318" t="s">
        <v>34</v>
      </c>
      <c r="BT9" s="349">
        <f>IF(UPPER(BT5)="A",BT13,IF(UPPER(BT5)="B",BT19,IF(UPPER(BT5)="D",BT21,"")))</f>
        <v>0.99629999999999996</v>
      </c>
      <c r="BU9" s="318" t="s">
        <v>34</v>
      </c>
      <c r="BV9" s="350">
        <f>IF(UPPER(BV5)="A",BV13,IF(UPPER(BV5)="B",BV19,IF(UPPER(BV5)="D",BV21,"")))</f>
        <v>0.99739999999999995</v>
      </c>
      <c r="BW9" s="318" t="s">
        <v>34</v>
      </c>
      <c r="BX9" s="350">
        <f>IF(UPPER(BX5)="A",BX13,IF(UPPER(BX5)="B",BX19,IF(UPPER(BX5)="D",BX21,"")))</f>
        <v>0.99629999999999996</v>
      </c>
      <c r="BY9" s="318" t="s">
        <v>34</v>
      </c>
      <c r="BZ9" s="350">
        <f>IF(UPPER(BZ5)="A",BZ13,IF(UPPER(BZ5)="B",BZ19,IF(UPPER(BZ5)="D",BZ21,"")))</f>
        <v>0.99629999999999996</v>
      </c>
      <c r="CA9" s="318" t="s">
        <v>34</v>
      </c>
      <c r="CB9" s="350">
        <f>IF(UPPER(CB5)="A",CB13,IF(UPPER(CB5)="B",CB19,IF(UPPER(CB5)="D",CB21,"")))</f>
        <v>0.99629999999999996</v>
      </c>
      <c r="CC9" s="318" t="s">
        <v>34</v>
      </c>
      <c r="CD9" s="350">
        <f>IF(UPPER(CD5)="A",CD13,IF(UPPER(CD5)="B",CD19,IF(UPPER(CD5)="D",CD21,"")))</f>
        <v>0.99629999999999996</v>
      </c>
      <c r="CE9" s="318" t="s">
        <v>34</v>
      </c>
      <c r="CF9" s="350">
        <f>IF(UPPER(CF5)="A",CF13,IF(UPPER(CF5)="B",CF19,IF(UPPER(CF5)="D",CF21,"")))</f>
        <v>0.99629999999999996</v>
      </c>
      <c r="CG9" s="318" t="s">
        <v>34</v>
      </c>
      <c r="CH9" s="350">
        <f>IF(UPPER(CH5)="A",CH13,IF(UPPER(CH5)="B",CH19,IF(UPPER(CH5)="D",CH21,"")))</f>
        <v>0.99629999999999996</v>
      </c>
      <c r="CI9" s="318" t="s">
        <v>34</v>
      </c>
      <c r="CJ9" s="350">
        <f>IF(UPPER(CJ5)="A",CJ13,IF(UPPER(CJ5)="B",CJ19,IF(UPPER(CJ5)="D",CJ21,"")))</f>
        <v>1.0101</v>
      </c>
    </row>
    <row r="10" spans="1:88" ht="15" customHeight="1">
      <c r="A10" s="319" t="s">
        <v>9</v>
      </c>
      <c r="B10" s="320">
        <f t="shared" si="1"/>
        <v>1130</v>
      </c>
      <c r="C10" s="320">
        <f t="shared" si="2"/>
        <v>1130</v>
      </c>
      <c r="D10" s="653">
        <f>IF(C10=0,0,LOOKUP(C10-MOD(C10,10),AF4:AF1172,AG4:AG1172)-(LOOKUP(C10-MOD(C10,10),AF4:AF1172,AG4:AG1172)-LOOKUP(C10+10-MOD(C10,10),AF4:AF1172,AG4:AG1172))/10*MOD(C10,10))</f>
        <v>1346.7270000000001</v>
      </c>
      <c r="E10" s="654"/>
      <c r="F10" s="321">
        <f>IF(BL10=0,0,LOOKUP(BL10-MOD(BL10,10),C46:C148,D46:D148)-(LOOKUP(BL10-MOD(BL10,10),C46:C148,D46:D148)-LOOKUP(BL10+10-MOD(BL10,10),C46:C148,D46:D148))/10*MOD(BL10,10))</f>
        <v>0.99993399999999999</v>
      </c>
      <c r="G10" s="322">
        <f t="shared" si="4"/>
        <v>1346.6381160180001</v>
      </c>
      <c r="H10" s="323">
        <v>0</v>
      </c>
      <c r="I10" s="323">
        <v>0</v>
      </c>
      <c r="J10" s="653">
        <f t="shared" si="5"/>
        <v>1346.6381160180001</v>
      </c>
      <c r="K10" s="654"/>
      <c r="L10" s="324">
        <f t="shared" si="6"/>
        <v>18</v>
      </c>
      <c r="M10" s="325">
        <f>BX30</f>
        <v>0.99629999999999996</v>
      </c>
      <c r="N10" s="326">
        <f t="shared" si="9"/>
        <v>1341.6555549887335</v>
      </c>
      <c r="O10" s="326" t="e">
        <f>#REF!*N10</f>
        <v>#REF!</v>
      </c>
      <c r="P10" s="327">
        <f t="shared" si="7"/>
        <v>0.9742012209280877</v>
      </c>
      <c r="Q10" s="328">
        <v>1382.3910000000001</v>
      </c>
      <c r="R10" s="329">
        <f t="shared" si="8"/>
        <v>3</v>
      </c>
      <c r="S10" s="330"/>
      <c r="T10" s="331"/>
      <c r="U10" s="331"/>
      <c r="V10" s="346">
        <v>710</v>
      </c>
      <c r="W10" s="333">
        <v>797.428</v>
      </c>
      <c r="X10" s="346">
        <v>720</v>
      </c>
      <c r="Y10" s="334">
        <v>791.54</v>
      </c>
      <c r="Z10" s="335">
        <v>710</v>
      </c>
      <c r="AA10" s="334">
        <v>1634.567</v>
      </c>
      <c r="AB10" s="336">
        <v>710</v>
      </c>
      <c r="AC10" s="334">
        <v>1633.9649999999999</v>
      </c>
      <c r="AD10" s="336">
        <v>710</v>
      </c>
      <c r="AE10" s="334">
        <v>1380.5820000000001</v>
      </c>
      <c r="AF10" s="336">
        <v>710</v>
      </c>
      <c r="AG10" s="334">
        <v>1381.2280000000001</v>
      </c>
      <c r="AH10" s="336">
        <v>710</v>
      </c>
      <c r="AI10" s="334">
        <v>1380.8320000000001</v>
      </c>
      <c r="AJ10" s="336">
        <v>690</v>
      </c>
      <c r="AK10" s="334">
        <v>1381.2719999999999</v>
      </c>
      <c r="AL10" s="336">
        <v>710</v>
      </c>
      <c r="AM10" s="334">
        <v>1381.0129999999999</v>
      </c>
      <c r="AN10" s="336">
        <v>710</v>
      </c>
      <c r="AO10" s="334">
        <v>1381.0740000000001</v>
      </c>
      <c r="AP10" s="336">
        <v>700</v>
      </c>
      <c r="AQ10" s="334">
        <v>1378.9580000000001</v>
      </c>
      <c r="AR10" s="336">
        <v>710</v>
      </c>
      <c r="AS10" s="334">
        <v>1379.39</v>
      </c>
      <c r="AT10" s="336">
        <v>710</v>
      </c>
      <c r="AU10" s="334">
        <v>1377.4760000000001</v>
      </c>
      <c r="AV10" s="336">
        <v>710</v>
      </c>
      <c r="AW10" s="334">
        <v>1376.55</v>
      </c>
      <c r="AX10" s="336">
        <v>700</v>
      </c>
      <c r="AY10" s="334">
        <v>1301.4380000000001</v>
      </c>
      <c r="AZ10" s="336">
        <v>710</v>
      </c>
      <c r="BA10" s="337">
        <v>1301.682</v>
      </c>
      <c r="BB10" s="336">
        <v>690</v>
      </c>
      <c r="BC10" s="334">
        <v>381.78899999999999</v>
      </c>
      <c r="BD10" s="336">
        <v>690</v>
      </c>
      <c r="BE10" s="334">
        <v>398.166</v>
      </c>
      <c r="BF10" s="338" t="s">
        <v>9</v>
      </c>
      <c r="BG10" s="339">
        <f>MASTER!F8</f>
        <v>1130</v>
      </c>
      <c r="BH10" s="340">
        <f t="shared" si="3"/>
        <v>1130</v>
      </c>
      <c r="BI10" s="341"/>
      <c r="BJ10" s="341"/>
      <c r="BK10" s="342">
        <f>MASTER!H8</f>
        <v>1130</v>
      </c>
      <c r="BL10" s="343">
        <f>MASTER!M8</f>
        <v>18</v>
      </c>
      <c r="BM10" s="378"/>
      <c r="BN10" s="639">
        <f t="shared" si="0"/>
        <v>24149.799989797204</v>
      </c>
      <c r="BO10" s="639"/>
      <c r="BP10" s="639"/>
      <c r="BQ10" s="639"/>
      <c r="BS10" s="318" t="s">
        <v>238</v>
      </c>
      <c r="BT10" s="318">
        <f>IF(UPPER(BT6)="R",TRUNC((BT7*1000+0.25)*2)/2,TRUNC(BT7*500+0.5)*2)</f>
        <v>737.5</v>
      </c>
      <c r="BU10" s="318" t="s">
        <v>238</v>
      </c>
      <c r="BV10" s="318">
        <f>IF(UPPER(BV6)="R",TRUNC((BV7*1000+0.25)*2)/2,TRUNC(BV7*500+0.5)*2)</f>
        <v>832.5</v>
      </c>
      <c r="BW10" s="318" t="s">
        <v>238</v>
      </c>
      <c r="BX10" s="318">
        <f>IF(UPPER(BX6)="R",TRUNC((BX7*1000+0.25)*2)/2,TRUNC(BX7*500+0.5)*2)</f>
        <v>737.5</v>
      </c>
      <c r="BY10" s="318" t="s">
        <v>238</v>
      </c>
      <c r="BZ10" s="318">
        <f>IF(UPPER(BZ6)="R",TRUNC((BZ7*1000+0.25)*2)/2,TRUNC(BZ7*500+0.5)*2)</f>
        <v>737.5</v>
      </c>
      <c r="CA10" s="318" t="s">
        <v>238</v>
      </c>
      <c r="CB10" s="318">
        <f>IF(UPPER(CB6)="R",TRUNC((CB7*1000+0.25)*2)/2,TRUNC(CB7*500+0.5)*2)</f>
        <v>737.5</v>
      </c>
      <c r="CC10" s="318" t="s">
        <v>238</v>
      </c>
      <c r="CD10" s="318">
        <f>IF(UPPER(CD6)="R",TRUNC((CD7*1000+0.25)*2)/2,TRUNC(CD7*500+0.5)*2)</f>
        <v>737.5</v>
      </c>
      <c r="CE10" s="318" t="s">
        <v>238</v>
      </c>
      <c r="CF10" s="318">
        <f>IF(UPPER(CF6)="R",TRUNC((CF7*1000+0.25)*2)/2,TRUNC(CF7*500+0.5)*2)</f>
        <v>737.5</v>
      </c>
      <c r="CG10" s="318" t="s">
        <v>238</v>
      </c>
      <c r="CH10" s="318">
        <f>IF(UPPER(CH6)="R",TRUNC((CH7*1000+0.25)*2)/2,TRUNC(CH7*500+0.5)*2)</f>
        <v>737.5</v>
      </c>
      <c r="CI10" s="318" t="s">
        <v>238</v>
      </c>
      <c r="CJ10" s="318">
        <f>IF(UPPER(CJ6)="R",TRUNC((CJ7*1000+0.25)*2)/2,TRUNC(CJ7*500+0.5)*2)</f>
        <v>1000</v>
      </c>
    </row>
    <row r="11" spans="1:88" ht="15" customHeight="1">
      <c r="A11" s="319" t="s">
        <v>10</v>
      </c>
      <c r="B11" s="320">
        <f t="shared" si="1"/>
        <v>1130</v>
      </c>
      <c r="C11" s="320">
        <f t="shared" si="2"/>
        <v>1130</v>
      </c>
      <c r="D11" s="653">
        <f>IF(C11=0,0,LOOKUP(C11-MOD(C11,10),AH4:AH1172,AI4:AI1172)-(LOOKUP(C11-MOD(C11,10),AH4:AH1172,AI4:AI1172)-LOOKUP(C11+10-MOD(C11,10),AH4:AH1172,AI4:AI1172))/10*MOD(C11,10))</f>
        <v>1346.7550000000001</v>
      </c>
      <c r="E11" s="654"/>
      <c r="F11" s="321">
        <f>IF(BL11=0,0,LOOKUP(BL11-MOD(BL11,10),C46:C148,D46:D148)-(LOOKUP(BL11-MOD(BL11,10),C46:C148,D46:D148)-LOOKUP(BL11+10-MOD(BL11,10),C46:C148,D46:D148))/10*MOD(BL11,10))</f>
        <v>0.99993399999999999</v>
      </c>
      <c r="G11" s="322">
        <f t="shared" si="4"/>
        <v>1346.6661141700001</v>
      </c>
      <c r="H11" s="323">
        <v>0</v>
      </c>
      <c r="I11" s="323">
        <v>0</v>
      </c>
      <c r="J11" s="653">
        <f t="shared" si="5"/>
        <v>1346.6661141700001</v>
      </c>
      <c r="K11" s="654"/>
      <c r="L11" s="324">
        <f t="shared" si="6"/>
        <v>18</v>
      </c>
      <c r="M11" s="325">
        <f>BZ9</f>
        <v>0.99629999999999996</v>
      </c>
      <c r="N11" s="326">
        <f t="shared" si="9"/>
        <v>1341.6834495475712</v>
      </c>
      <c r="O11" s="326" t="e">
        <f>#REF!*N11</f>
        <v>#REF!</v>
      </c>
      <c r="P11" s="327">
        <f t="shared" si="7"/>
        <v>0.97449146459354796</v>
      </c>
      <c r="Q11" s="328">
        <v>1382.008</v>
      </c>
      <c r="R11" s="329">
        <f t="shared" si="8"/>
        <v>3</v>
      </c>
      <c r="S11" s="330"/>
      <c r="T11" s="331"/>
      <c r="U11" s="331"/>
      <c r="V11" s="346">
        <v>720</v>
      </c>
      <c r="W11" s="333">
        <v>797.16499999999996</v>
      </c>
      <c r="X11" s="346">
        <v>730</v>
      </c>
      <c r="Y11" s="334">
        <v>791.27800000000002</v>
      </c>
      <c r="Z11" s="335">
        <v>720</v>
      </c>
      <c r="AA11" s="334">
        <v>1634.201</v>
      </c>
      <c r="AB11" s="336">
        <v>720</v>
      </c>
      <c r="AC11" s="334">
        <v>1633.585</v>
      </c>
      <c r="AD11" s="336">
        <v>720</v>
      </c>
      <c r="AE11" s="334">
        <v>1380.2629999999999</v>
      </c>
      <c r="AF11" s="336">
        <v>720</v>
      </c>
      <c r="AG11" s="334">
        <v>1380.8969999999999</v>
      </c>
      <c r="AH11" s="336">
        <v>720</v>
      </c>
      <c r="AI11" s="334">
        <v>1380.502</v>
      </c>
      <c r="AJ11" s="336">
        <v>700</v>
      </c>
      <c r="AK11" s="334">
        <v>1380.944</v>
      </c>
      <c r="AL11" s="336">
        <v>720</v>
      </c>
      <c r="AM11" s="334">
        <v>1380.6890000000001</v>
      </c>
      <c r="AN11" s="336">
        <v>720</v>
      </c>
      <c r="AO11" s="334">
        <v>1380.7539999999999</v>
      </c>
      <c r="AP11" s="336">
        <v>710</v>
      </c>
      <c r="AQ11" s="334">
        <v>1378.655</v>
      </c>
      <c r="AR11" s="336">
        <v>720</v>
      </c>
      <c r="AS11" s="334">
        <v>1379.066</v>
      </c>
      <c r="AT11" s="336">
        <v>720</v>
      </c>
      <c r="AU11" s="334">
        <v>1377.154</v>
      </c>
      <c r="AV11" s="336">
        <v>720</v>
      </c>
      <c r="AW11" s="334">
        <v>1376.239</v>
      </c>
      <c r="AX11" s="336">
        <v>710</v>
      </c>
      <c r="AY11" s="334">
        <v>1301.1189999999999</v>
      </c>
      <c r="AZ11" s="336">
        <v>720</v>
      </c>
      <c r="BA11" s="337">
        <v>1301.3879999999999</v>
      </c>
      <c r="BB11" s="336">
        <v>700</v>
      </c>
      <c r="BC11" s="334">
        <v>381.68700000000001</v>
      </c>
      <c r="BD11" s="336">
        <v>700</v>
      </c>
      <c r="BE11" s="334">
        <v>398.04899999999998</v>
      </c>
      <c r="BF11" s="338" t="s">
        <v>10</v>
      </c>
      <c r="BG11" s="339">
        <f>MASTER!F9</f>
        <v>1130</v>
      </c>
      <c r="BH11" s="340">
        <f t="shared" si="3"/>
        <v>1130</v>
      </c>
      <c r="BI11" s="341"/>
      <c r="BJ11" s="341"/>
      <c r="BK11" s="342">
        <f>MASTER!H9</f>
        <v>1130</v>
      </c>
      <c r="BL11" s="343">
        <f>MASTER!M9</f>
        <v>18</v>
      </c>
      <c r="BM11" s="378"/>
      <c r="BN11" s="639">
        <f t="shared" si="0"/>
        <v>24150.30209185628</v>
      </c>
      <c r="BO11" s="639"/>
      <c r="BP11" s="639"/>
      <c r="BQ11" s="639"/>
      <c r="BS11" s="318" t="s">
        <v>239</v>
      </c>
      <c r="BT11" s="318">
        <f>IF(UPPER(BT6)="R",IF(BT8&gt;0,TRUNC((BT8*40+1)/2)/20-15,TRUNC((ABS(BT8)*40+1)/2)/20*-1-15),IF(BT8&gt;0,(TRUNC(BT8*4+0.5)/4-15),(TRUNC(ABS(BT8)*4+0.5)/4)*-1-15))</f>
        <v>3</v>
      </c>
      <c r="BU11" s="318" t="s">
        <v>239</v>
      </c>
      <c r="BV11" s="318">
        <f>IF(UPPER(BV6)="R",IF(BV8&gt;0,TRUNC((BV8*40+1)/2)/20-15,TRUNC((ABS(BV8)*40+1)/2)/20*-1-15),IF(BV8&gt;0,(TRUNC(BV8*4+0.5)/4-15),(TRUNC(ABS(BV8)*4+0.5)/4)*-1-15))</f>
        <v>3</v>
      </c>
      <c r="BW11" s="318" t="s">
        <v>239</v>
      </c>
      <c r="BX11" s="318">
        <f>IF(UPPER(BX6)="R",IF(BX8&gt;0,TRUNC((BX8*40+1)/2)/20-15,TRUNC((ABS(BX8)*40+1)/2)/20*-1-15),IF(BX8&gt;0,(TRUNC(BX8*4+0.5)/4-15),(TRUNC(ABS(BX8)*4+0.5)/4)*-1-15))</f>
        <v>3</v>
      </c>
      <c r="BY11" s="318" t="s">
        <v>239</v>
      </c>
      <c r="BZ11" s="318">
        <f>IF(UPPER(BZ6)="R",IF(BZ8&gt;0,TRUNC((BZ8*40+1)/2)/20-15,TRUNC((ABS(BZ8)*40+1)/2)/20*-1-15),IF(BZ8&gt;0,(TRUNC(BZ8*4+0.5)/4-15),(TRUNC(ABS(BZ8)*4+0.5)/4)*-1-15))</f>
        <v>3</v>
      </c>
      <c r="CA11" s="318" t="s">
        <v>239</v>
      </c>
      <c r="CB11" s="318">
        <f>IF(UPPER(CB6)="R",IF(CB8&gt;0,TRUNC((CB8*40+1)/2)/20-15,TRUNC((ABS(CB8)*40+1)/2)/20*-1-15),IF(CB8&gt;0,(TRUNC(CB8*4+0.5)/4-15),(TRUNC(ABS(CB8)*4+0.5)/4)*-1-15))</f>
        <v>3</v>
      </c>
      <c r="CC11" s="318" t="s">
        <v>239</v>
      </c>
      <c r="CD11" s="318">
        <f>IF(UPPER(CD6)="R",IF(CD8&gt;0,TRUNC((CD8*40+1)/2)/20-15,TRUNC((ABS(CD8)*40+1)/2)/20*-1-15),IF(CD8&gt;0,(TRUNC(CD8*4+0.5)/4-15),(TRUNC(ABS(CD8)*4+0.5)/4)*-1-15))</f>
        <v>3</v>
      </c>
      <c r="CE11" s="318" t="s">
        <v>239</v>
      </c>
      <c r="CF11" s="318">
        <f>IF(UPPER(CF6)="R",IF(CF8&gt;0,TRUNC((CF8*40+1)/2)/20-15,TRUNC((ABS(CF8)*40+1)/2)/20*-1-15),IF(CF8&gt;0,(TRUNC(CF8*4+0.5)/4-15),(TRUNC(ABS(CF8)*4+0.5)/4)*-1-15))</f>
        <v>3</v>
      </c>
      <c r="CG11" s="318" t="s">
        <v>239</v>
      </c>
      <c r="CH11" s="318">
        <f>IF(UPPER(CH6)="R",IF(CH8&gt;0,TRUNC((CH8*40+1)/2)/20-15,TRUNC((ABS(CH8)*40+1)/2)/20*-1-15),IF(CH8&gt;0,(TRUNC(CH8*4+0.5)/4-15),(TRUNC(ABS(CH8)*4+0.5)/4)*-1-15))</f>
        <v>3</v>
      </c>
      <c r="CI11" s="318" t="s">
        <v>239</v>
      </c>
      <c r="CJ11" s="318">
        <f>IF(UPPER(CJ6)="R",IF(CJ8&gt;0,TRUNC((CJ8*40+1)/2)/20-15,TRUNC((ABS(CJ8)*40+1)/2)/20*-1-15),IF(CJ8&gt;0,(TRUNC(CJ8*4+0.5)/4-15),(TRUNC(ABS(CJ8)*4+0.5)/4)*-1-15))</f>
        <v>-15</v>
      </c>
    </row>
    <row r="12" spans="1:88" ht="15" customHeight="1">
      <c r="A12" s="319" t="s">
        <v>11</v>
      </c>
      <c r="B12" s="320">
        <f t="shared" si="1"/>
        <v>1130</v>
      </c>
      <c r="C12" s="320">
        <f t="shared" si="2"/>
        <v>1130</v>
      </c>
      <c r="D12" s="653">
        <f>IF(C12=0,0,LOOKUP(C12-MOD(C12,10),AJ4:AJ1172,AK4:AK1172)-(LOOKUP(C12-MOD(C12,10),AJ4:AJ1172,AK4:AK1172)-LOOKUP(C12+10-MOD(C12,10),AJ4:AJ1172,AK4:AK1172))/10*MOD(C12,10))</f>
        <v>1345.4960000000001</v>
      </c>
      <c r="E12" s="654"/>
      <c r="F12" s="321">
        <f>IF(BL12=0,0,LOOKUP(BL12-MOD(BL12,10),C46:C148,D46:D148)-(LOOKUP(BL12-MOD(BL12,10),C46:C148,D46:D148)-LOOKUP(BL12+10-MOD(BL12,10),C46:C148,D46:D148))/10*MOD(BL12,10))</f>
        <v>0.99993399999999999</v>
      </c>
      <c r="G12" s="322">
        <f t="shared" si="4"/>
        <v>1345.4071972640002</v>
      </c>
      <c r="H12" s="323">
        <v>0</v>
      </c>
      <c r="I12" s="323">
        <v>0</v>
      </c>
      <c r="J12" s="653">
        <f t="shared" si="5"/>
        <v>1345.4071972640002</v>
      </c>
      <c r="K12" s="654"/>
      <c r="L12" s="324">
        <f t="shared" si="6"/>
        <v>18</v>
      </c>
      <c r="M12" s="325">
        <f>BZ30</f>
        <v>0.99739999999999995</v>
      </c>
      <c r="N12" s="326">
        <f t="shared" si="9"/>
        <v>1341.9091385511138</v>
      </c>
      <c r="O12" s="326" t="e">
        <f>#REF!*N12</f>
        <v>#REF!</v>
      </c>
      <c r="P12" s="327">
        <f t="shared" si="7"/>
        <v>0.97336706428582287</v>
      </c>
      <c r="Q12" s="328">
        <v>1382.3109999999999</v>
      </c>
      <c r="R12" s="329">
        <f t="shared" si="8"/>
        <v>3</v>
      </c>
      <c r="S12" s="330"/>
      <c r="T12" s="331"/>
      <c r="U12" s="331"/>
      <c r="V12" s="346">
        <v>730</v>
      </c>
      <c r="W12" s="333">
        <v>796.88099999999997</v>
      </c>
      <c r="X12" s="346">
        <v>740</v>
      </c>
      <c r="Y12" s="334">
        <v>790.99300000000005</v>
      </c>
      <c r="Z12" s="335">
        <v>730</v>
      </c>
      <c r="AA12" s="334">
        <v>1633.8050000000001</v>
      </c>
      <c r="AB12" s="336">
        <v>730</v>
      </c>
      <c r="AC12" s="334">
        <v>1633.173</v>
      </c>
      <c r="AD12" s="336">
        <v>730</v>
      </c>
      <c r="AE12" s="334">
        <v>1379.92</v>
      </c>
      <c r="AF12" s="336">
        <v>730</v>
      </c>
      <c r="AG12" s="334">
        <v>1380.54</v>
      </c>
      <c r="AH12" s="336">
        <v>730</v>
      </c>
      <c r="AI12" s="334">
        <v>1380.1469999999999</v>
      </c>
      <c r="AJ12" s="336">
        <v>710</v>
      </c>
      <c r="AK12" s="334">
        <v>1380.5930000000001</v>
      </c>
      <c r="AL12" s="336">
        <v>730</v>
      </c>
      <c r="AM12" s="334">
        <v>1380.3409999999999</v>
      </c>
      <c r="AN12" s="336">
        <v>730</v>
      </c>
      <c r="AO12" s="334">
        <v>1380.4110000000001</v>
      </c>
      <c r="AP12" s="336">
        <v>720</v>
      </c>
      <c r="AQ12" s="334">
        <v>1378.327</v>
      </c>
      <c r="AR12" s="336">
        <v>730</v>
      </c>
      <c r="AS12" s="334">
        <v>1378.7180000000001</v>
      </c>
      <c r="AT12" s="336">
        <v>730</v>
      </c>
      <c r="AU12" s="334">
        <v>1376.809</v>
      </c>
      <c r="AV12" s="336">
        <v>730</v>
      </c>
      <c r="AW12" s="334">
        <v>1375.905</v>
      </c>
      <c r="AX12" s="336">
        <v>720</v>
      </c>
      <c r="AY12" s="334">
        <v>1300.777</v>
      </c>
      <c r="AZ12" s="336">
        <v>730</v>
      </c>
      <c r="BA12" s="337">
        <v>1301.07</v>
      </c>
      <c r="BB12" s="336">
        <v>710</v>
      </c>
      <c r="BC12" s="334">
        <v>381.57799999999997</v>
      </c>
      <c r="BD12" s="336">
        <v>710</v>
      </c>
      <c r="BE12" s="334">
        <v>397.92599999999999</v>
      </c>
      <c r="BF12" s="338" t="s">
        <v>11</v>
      </c>
      <c r="BG12" s="339">
        <f>MASTER!F10</f>
        <v>1130</v>
      </c>
      <c r="BH12" s="340">
        <f t="shared" si="3"/>
        <v>1130</v>
      </c>
      <c r="BI12" s="341"/>
      <c r="BJ12" s="341"/>
      <c r="BK12" s="342">
        <f>MASTER!H10</f>
        <v>1130</v>
      </c>
      <c r="BL12" s="343">
        <f>MASTER!M10</f>
        <v>18</v>
      </c>
      <c r="BM12" s="378"/>
      <c r="BN12" s="639">
        <f t="shared" si="0"/>
        <v>24154.364493920046</v>
      </c>
      <c r="BO12" s="639"/>
      <c r="BP12" s="639"/>
      <c r="BQ12" s="639"/>
      <c r="BS12" s="318" t="s">
        <v>240</v>
      </c>
      <c r="BT12" s="351">
        <f>ROUND(TRUNC((TRUNC(613.9723/BT10*10^8)/10^8)/BT10*10^10)/10^10,7)</f>
        <v>1.1287999999999999E-3</v>
      </c>
      <c r="BU12" s="318" t="s">
        <v>240</v>
      </c>
      <c r="BV12" s="351">
        <f>ROUND(TRUNC((TRUNC(613.9723/BV10*10^8)/10^8)/BV10*10^10)/10^10,7)</f>
        <v>8.8590000000000001E-4</v>
      </c>
      <c r="BW12" s="318" t="s">
        <v>240</v>
      </c>
      <c r="BX12" s="351">
        <f>ROUND(TRUNC((TRUNC(613.9723/BX10*10^8)/10^8)/BX10*10^10)/10^10,7)</f>
        <v>1.1287999999999999E-3</v>
      </c>
      <c r="BY12" s="318" t="s">
        <v>240</v>
      </c>
      <c r="BZ12" s="351">
        <f>ROUND(TRUNC((TRUNC(613.9723/BZ10*10^8)/10^8)/BZ10*10^10)/10^10,7)</f>
        <v>1.1287999999999999E-3</v>
      </c>
      <c r="CA12" s="318" t="s">
        <v>240</v>
      </c>
      <c r="CB12" s="351">
        <f>ROUND(TRUNC((TRUNC(613.9723/CB10*10^8)/10^8)/CB10*10^10)/10^10,7)</f>
        <v>1.1287999999999999E-3</v>
      </c>
      <c r="CC12" s="318" t="s">
        <v>240</v>
      </c>
      <c r="CD12" s="351">
        <f>ROUND(TRUNC((TRUNC(613.9723/CD10*10^8)/10^8)/CD10*10^10)/10^10,7)</f>
        <v>1.1287999999999999E-3</v>
      </c>
      <c r="CE12" s="318" t="s">
        <v>240</v>
      </c>
      <c r="CF12" s="351">
        <f>ROUND(TRUNC((TRUNC(613.9723/CF10*10^8)/10^8)/CF10*10^10)/10^10,7)</f>
        <v>1.1287999999999999E-3</v>
      </c>
      <c r="CG12" s="318" t="s">
        <v>240</v>
      </c>
      <c r="CH12" s="351">
        <f>ROUND(TRUNC((TRUNC(613.9723/CH10*10^8)/10^8)/CH10*10^10)/10^10,7)</f>
        <v>1.1287999999999999E-3</v>
      </c>
      <c r="CI12" s="318" t="s">
        <v>240</v>
      </c>
      <c r="CJ12" s="351">
        <f>ROUND(TRUNC((TRUNC(613.9723/CJ10*10^8)/10^8)/CJ10*10^10)/10^10,7)</f>
        <v>6.1399999999999996E-4</v>
      </c>
    </row>
    <row r="13" spans="1:88" ht="15" customHeight="1">
      <c r="A13" s="319" t="s">
        <v>12</v>
      </c>
      <c r="B13" s="320">
        <f t="shared" si="1"/>
        <v>1130</v>
      </c>
      <c r="C13" s="320">
        <f t="shared" si="2"/>
        <v>1130</v>
      </c>
      <c r="D13" s="653">
        <f>IF(C13=0,0,LOOKUP(C13-MOD(C13,10),AL4:AL1172,AM4:AM1172)-(LOOKUP(C13-MOD(C13,10),AL4:AL1172,AM4:AM1172)-LOOKUP(C13+10-MOD(C13,10),AL4:AL1172,AM4:AM1172))/10*MOD(C13,10))</f>
        <v>1347.3689999999999</v>
      </c>
      <c r="E13" s="654"/>
      <c r="F13" s="321">
        <f>IF(BL13=0,0,LOOKUP(BL13-MOD(BL13,10),C46:C148,D46:D148)-(LOOKUP(BL13-MOD(BL13,10),C46:C148,D46:D148)-LOOKUP(BL13+10-MOD(BL13,10),C46:C148,D46:D148))/10*MOD(BL13,10))</f>
        <v>0.99993399999999999</v>
      </c>
      <c r="G13" s="322">
        <f t="shared" si="4"/>
        <v>1347.2800736459999</v>
      </c>
      <c r="H13" s="323">
        <v>0</v>
      </c>
      <c r="I13" s="323">
        <v>0</v>
      </c>
      <c r="J13" s="653">
        <f t="shared" si="5"/>
        <v>1347.2800736459999</v>
      </c>
      <c r="K13" s="654"/>
      <c r="L13" s="324">
        <f t="shared" si="6"/>
        <v>18</v>
      </c>
      <c r="M13" s="325">
        <f>CB9</f>
        <v>0.99629999999999996</v>
      </c>
      <c r="N13" s="326">
        <f t="shared" si="9"/>
        <v>1342.2951373735095</v>
      </c>
      <c r="O13" s="326" t="e">
        <f>#REF!*N13</f>
        <v>#REF!</v>
      </c>
      <c r="P13" s="327">
        <f t="shared" si="7"/>
        <v>0.97485462581839666</v>
      </c>
      <c r="Q13" s="328">
        <v>1382.123</v>
      </c>
      <c r="R13" s="329">
        <f t="shared" si="8"/>
        <v>3</v>
      </c>
      <c r="S13" s="330"/>
      <c r="T13" s="331"/>
      <c r="U13" s="331"/>
      <c r="V13" s="346">
        <v>740</v>
      </c>
      <c r="W13" s="333">
        <v>796.57500000000005</v>
      </c>
      <c r="X13" s="346">
        <v>750</v>
      </c>
      <c r="Y13" s="334">
        <v>790.68499999999995</v>
      </c>
      <c r="Z13" s="335">
        <v>740</v>
      </c>
      <c r="AA13" s="334">
        <v>1633.3789999999999</v>
      </c>
      <c r="AB13" s="336">
        <v>740</v>
      </c>
      <c r="AC13" s="334">
        <v>1632.731</v>
      </c>
      <c r="AD13" s="336">
        <v>740</v>
      </c>
      <c r="AE13" s="334">
        <v>1379.5530000000001</v>
      </c>
      <c r="AF13" s="336">
        <v>740</v>
      </c>
      <c r="AG13" s="334">
        <v>1380.1579999999999</v>
      </c>
      <c r="AH13" s="336">
        <v>740</v>
      </c>
      <c r="AI13" s="334">
        <v>1379.7670000000001</v>
      </c>
      <c r="AJ13" s="336">
        <v>720</v>
      </c>
      <c r="AK13" s="334">
        <v>1380.2190000000001</v>
      </c>
      <c r="AL13" s="336">
        <v>740</v>
      </c>
      <c r="AM13" s="334">
        <v>1379.97</v>
      </c>
      <c r="AN13" s="336">
        <v>740</v>
      </c>
      <c r="AO13" s="334">
        <v>1380.0440000000001</v>
      </c>
      <c r="AP13" s="336">
        <v>730</v>
      </c>
      <c r="AQ13" s="334">
        <v>1377.9739999999999</v>
      </c>
      <c r="AR13" s="336">
        <v>740</v>
      </c>
      <c r="AS13" s="334">
        <v>1378.346</v>
      </c>
      <c r="AT13" s="336">
        <v>740</v>
      </c>
      <c r="AU13" s="334">
        <v>1376.44</v>
      </c>
      <c r="AV13" s="336">
        <v>740</v>
      </c>
      <c r="AW13" s="334">
        <v>1375.546</v>
      </c>
      <c r="AX13" s="336">
        <v>730</v>
      </c>
      <c r="AY13" s="334">
        <v>1300.4110000000001</v>
      </c>
      <c r="AZ13" s="336">
        <v>740</v>
      </c>
      <c r="BA13" s="337">
        <v>1300.7270000000001</v>
      </c>
      <c r="BB13" s="336">
        <v>720</v>
      </c>
      <c r="BC13" s="334">
        <v>381.46199999999999</v>
      </c>
      <c r="BD13" s="336">
        <v>720</v>
      </c>
      <c r="BE13" s="334">
        <v>397.79500000000002</v>
      </c>
      <c r="BF13" s="338" t="s">
        <v>12</v>
      </c>
      <c r="BG13" s="339">
        <f>MASTER!F11</f>
        <v>1130</v>
      </c>
      <c r="BH13" s="340">
        <f t="shared" si="3"/>
        <v>1130</v>
      </c>
      <c r="BI13" s="341"/>
      <c r="BJ13" s="341"/>
      <c r="BK13" s="342">
        <f>MASTER!H11</f>
        <v>1130</v>
      </c>
      <c r="BL13" s="343">
        <f>MASTER!M11</f>
        <v>18</v>
      </c>
      <c r="BM13" s="378"/>
      <c r="BN13" s="639">
        <f t="shared" si="0"/>
        <v>24161.31247272317</v>
      </c>
      <c r="BO13" s="639"/>
      <c r="BP13" s="639"/>
      <c r="BQ13" s="639"/>
      <c r="BS13" s="318" t="s">
        <v>241</v>
      </c>
      <c r="BT13" s="344">
        <f>IF(AND(BT7&gt;=0.6105,BT7&lt;=1.075),ROUND(EXP(-(TRUNC(BT12*BT11*10^8)/10^8)-((TRUNC(0.8*BT12*BT11*10^8)/10^8)*TRUNC(BT12*BT11*10^8)/10^8)),4),"Den.out")</f>
        <v>0.99660000000000004</v>
      </c>
      <c r="BU13" s="318" t="s">
        <v>241</v>
      </c>
      <c r="BV13" s="344">
        <f>IF(AND(BV7&gt;=0.6105,BV7&lt;=1.075),ROUND(EXP(-(TRUNC(BV12*BV11*10^8)/10^8)-((TRUNC(0.8*BV12*BV11*10^8)/10^8)*TRUNC(BV12*BV11*10^8)/10^8)),4),"Den.out")</f>
        <v>0.99729999999999996</v>
      </c>
      <c r="BW13" s="318" t="s">
        <v>241</v>
      </c>
      <c r="BX13" s="344">
        <f>IF(AND(BX7&gt;=0.6105,BX7&lt;=1.075),ROUND(EXP(-(TRUNC(BX12*BX11*10^8)/10^8)-((TRUNC(0.8*BX12*BX11*10^8)/10^8)*TRUNC(BX12*BX11*10^8)/10^8)),4),"Den.out")</f>
        <v>0.99660000000000004</v>
      </c>
      <c r="BY13" s="318" t="s">
        <v>241</v>
      </c>
      <c r="BZ13" s="344">
        <f>IF(AND(BZ7&gt;=0.6105,BZ7&lt;=1.075),ROUND(EXP(-(TRUNC(BZ12*BZ11*10^8)/10^8)-((TRUNC(0.8*BZ12*BZ11*10^8)/10^8)*TRUNC(BZ12*BZ11*10^8)/10^8)),4),"Den.out")</f>
        <v>0.99660000000000004</v>
      </c>
      <c r="CA13" s="318" t="s">
        <v>241</v>
      </c>
      <c r="CB13" s="344">
        <f>IF(AND(CB7&gt;=0.6105,CB7&lt;=1.075),ROUND(EXP(-(TRUNC(CB12*CB11*10^8)/10^8)-((TRUNC(0.8*CB12*CB11*10^8)/10^8)*TRUNC(CB12*CB11*10^8)/10^8)),4),"Den.out")</f>
        <v>0.99660000000000004</v>
      </c>
      <c r="CC13" s="318" t="s">
        <v>241</v>
      </c>
      <c r="CD13" s="344">
        <f>IF(AND(CD7&gt;=0.6105,CD7&lt;=1.075),ROUND(EXP(-(TRUNC(CD12*CD11*10^8)/10^8)-((TRUNC(0.8*CD12*CD11*10^8)/10^8)*TRUNC(CD12*CD11*10^8)/10^8)),4),"Den.out")</f>
        <v>0.99660000000000004</v>
      </c>
      <c r="CE13" s="318" t="s">
        <v>241</v>
      </c>
      <c r="CF13" s="344">
        <f>IF(AND(CF7&gt;=0.6105,CF7&lt;=1.075),ROUND(EXP(-(TRUNC(CF12*CF11*10^8)/10^8)-((TRUNC(0.8*CF12*CF11*10^8)/10^8)*TRUNC(CF12*CF11*10^8)/10^8)),4),"Den.out")</f>
        <v>0.99660000000000004</v>
      </c>
      <c r="CG13" s="318" t="s">
        <v>241</v>
      </c>
      <c r="CH13" s="344">
        <f>IF(AND(CH7&gt;=0.6105,CH7&lt;=1.075),ROUND(EXP(-(TRUNC(CH12*CH11*10^8)/10^8)-((TRUNC(0.8*CH12*CH11*10^8)/10^8)*TRUNC(CH12*CH11*10^8)/10^8)),4),"Den.out")</f>
        <v>0.99660000000000004</v>
      </c>
      <c r="CI13" s="318" t="s">
        <v>241</v>
      </c>
      <c r="CJ13" s="344">
        <f>IF(AND(CJ7&gt;=0.6105,CJ7&lt;=1.075),ROUND(EXP(-(TRUNC(CJ12*CJ11*10^8)/10^8)-((TRUNC(0.8*CJ12*CJ11*10^8)/10^8)*TRUNC(CJ12*CJ11*10^8)/10^8)),4),"Den.out")</f>
        <v>1.0092000000000001</v>
      </c>
    </row>
    <row r="14" spans="1:88" ht="15" customHeight="1">
      <c r="A14" s="319" t="s">
        <v>13</v>
      </c>
      <c r="B14" s="320">
        <f t="shared" si="1"/>
        <v>1130</v>
      </c>
      <c r="C14" s="320">
        <f t="shared" si="2"/>
        <v>1130</v>
      </c>
      <c r="D14" s="653">
        <f>IF(C14=0,0,LOOKUP(C14-MOD(C14,10),AN4:AN1172,AO4:AO1172)-(LOOKUP(C14-MOD(C14,10),AN4:AN1172,AO4:AO1172)-LOOKUP(C14+10-MOD(C14,10),AN4:AN1172,AO4:AO1172))/10*MOD(C14,10))</f>
        <v>1347.654</v>
      </c>
      <c r="E14" s="654"/>
      <c r="F14" s="321">
        <f>IF(BL14=0,0,LOOKUP(BL14-MOD(BL14,10),C46:C148,D46:D148)-(LOOKUP(BL14-MOD(BL14,10),C46:C148,D46:D148)-LOOKUP(BL14+10-MOD(BL14,10),C46:C148,D46:D148))/10*MOD(BL14,10))</f>
        <v>0.99993399999999999</v>
      </c>
      <c r="G14" s="322">
        <f t="shared" si="4"/>
        <v>1347.5650548359999</v>
      </c>
      <c r="H14" s="323">
        <v>0</v>
      </c>
      <c r="I14" s="323">
        <v>0</v>
      </c>
      <c r="J14" s="653">
        <f t="shared" si="5"/>
        <v>1347.5650548359999</v>
      </c>
      <c r="K14" s="654"/>
      <c r="L14" s="324">
        <f t="shared" si="6"/>
        <v>18</v>
      </c>
      <c r="M14" s="325">
        <f>CB30</f>
        <v>0.99629999999999996</v>
      </c>
      <c r="N14" s="326">
        <f t="shared" si="9"/>
        <v>1342.5790641331066</v>
      </c>
      <c r="O14" s="326" t="e">
        <f>#REF!*N14</f>
        <v>#REF!</v>
      </c>
      <c r="P14" s="327">
        <f t="shared" si="7"/>
        <v>0.97512785558613857</v>
      </c>
      <c r="Q14" s="328">
        <v>1382.028</v>
      </c>
      <c r="R14" s="329">
        <f t="shared" si="8"/>
        <v>3</v>
      </c>
      <c r="S14" s="330"/>
      <c r="T14" s="331"/>
      <c r="U14" s="331"/>
      <c r="V14" s="346">
        <v>750</v>
      </c>
      <c r="W14" s="333">
        <v>796.24800000000005</v>
      </c>
      <c r="X14" s="346">
        <v>760</v>
      </c>
      <c r="Y14" s="334">
        <v>790.35699999999997</v>
      </c>
      <c r="Z14" s="335">
        <v>750</v>
      </c>
      <c r="AA14" s="334">
        <v>1632.925</v>
      </c>
      <c r="AB14" s="336">
        <v>750</v>
      </c>
      <c r="AC14" s="334">
        <v>1632.2570000000001</v>
      </c>
      <c r="AD14" s="336">
        <v>750</v>
      </c>
      <c r="AE14" s="334">
        <v>1379.162</v>
      </c>
      <c r="AF14" s="336">
        <v>750</v>
      </c>
      <c r="AG14" s="334">
        <v>1379.751</v>
      </c>
      <c r="AH14" s="336">
        <v>750</v>
      </c>
      <c r="AI14" s="334">
        <v>1379.3630000000001</v>
      </c>
      <c r="AJ14" s="336">
        <v>730</v>
      </c>
      <c r="AK14" s="334">
        <v>1379.82</v>
      </c>
      <c r="AL14" s="336">
        <v>750</v>
      </c>
      <c r="AM14" s="334">
        <v>1379.5740000000001</v>
      </c>
      <c r="AN14" s="336">
        <v>750</v>
      </c>
      <c r="AO14" s="334">
        <v>1379.653</v>
      </c>
      <c r="AP14" s="336">
        <v>740</v>
      </c>
      <c r="AQ14" s="334">
        <v>1377.597</v>
      </c>
      <c r="AR14" s="336">
        <v>750</v>
      </c>
      <c r="AS14" s="334">
        <v>1377.9490000000001</v>
      </c>
      <c r="AT14" s="336">
        <v>750</v>
      </c>
      <c r="AU14" s="334">
        <v>1376.049</v>
      </c>
      <c r="AV14" s="336">
        <v>750</v>
      </c>
      <c r="AW14" s="334">
        <v>1375.164</v>
      </c>
      <c r="AX14" s="336">
        <v>740</v>
      </c>
      <c r="AY14" s="334">
        <v>1300.021</v>
      </c>
      <c r="AZ14" s="336">
        <v>750</v>
      </c>
      <c r="BA14" s="337">
        <v>1300.3610000000001</v>
      </c>
      <c r="BB14" s="336">
        <v>730</v>
      </c>
      <c r="BC14" s="334">
        <v>381.33699999999999</v>
      </c>
      <c r="BD14" s="336">
        <v>730</v>
      </c>
      <c r="BE14" s="334">
        <v>397.65600000000001</v>
      </c>
      <c r="BF14" s="338" t="s">
        <v>13</v>
      </c>
      <c r="BG14" s="339">
        <f>MASTER!F12</f>
        <v>1130</v>
      </c>
      <c r="BH14" s="340">
        <f t="shared" si="3"/>
        <v>1130</v>
      </c>
      <c r="BI14" s="341"/>
      <c r="BJ14" s="341"/>
      <c r="BK14" s="342">
        <f>MASTER!H12</f>
        <v>1130</v>
      </c>
      <c r="BL14" s="343">
        <f>MASTER!M12</f>
        <v>18</v>
      </c>
      <c r="BM14" s="378"/>
      <c r="BN14" s="639">
        <f t="shared" si="0"/>
        <v>24166.423154395918</v>
      </c>
      <c r="BO14" s="639"/>
      <c r="BP14" s="639"/>
      <c r="BQ14" s="639"/>
      <c r="BS14" s="318" t="s">
        <v>242</v>
      </c>
      <c r="BT14" s="351">
        <f>ROUND((TRUNC((TRUNC(346.4228/BT10*10^8)/10^8)/BT10*10^10)/10^10)+(TRUNC(0.4388/BT10*10^10)/10^10),7)</f>
        <v>1.2319E-3</v>
      </c>
      <c r="BU14" s="318" t="s">
        <v>242</v>
      </c>
      <c r="BV14" s="351">
        <f>ROUND((TRUNC((TRUNC(346.4228/BV10*10^8)/10^8)/BV10*10^10)/10^10)+(TRUNC(0.4388/BV10*10^10)/10^10),7)</f>
        <v>1.0269000000000001E-3</v>
      </c>
      <c r="BW14" s="318" t="s">
        <v>242</v>
      </c>
      <c r="BX14" s="351">
        <f>ROUND((TRUNC((TRUNC(346.4228/BX10*10^8)/10^8)/BX10*10^10)/10^10)+(TRUNC(0.4388/BX10*10^10)/10^10),7)</f>
        <v>1.2319E-3</v>
      </c>
      <c r="BY14" s="318" t="s">
        <v>242</v>
      </c>
      <c r="BZ14" s="351">
        <f>ROUND((TRUNC((TRUNC(346.4228/BZ10*10^8)/10^8)/BZ10*10^10)/10^10)+(TRUNC(0.4388/BZ10*10^10)/10^10),7)</f>
        <v>1.2319E-3</v>
      </c>
      <c r="CA14" s="318" t="s">
        <v>242</v>
      </c>
      <c r="CB14" s="351">
        <f>ROUND((TRUNC((TRUNC(346.4228/CB10*10^8)/10^8)/CB10*10^10)/10^10)+(TRUNC(0.4388/CB10*10^10)/10^10),7)</f>
        <v>1.2319E-3</v>
      </c>
      <c r="CC14" s="318" t="s">
        <v>242</v>
      </c>
      <c r="CD14" s="351">
        <f>ROUND((TRUNC((TRUNC(346.4228/CD10*10^8)/10^8)/CD10*10^10)/10^10)+(TRUNC(0.4388/CD10*10^10)/10^10),7)</f>
        <v>1.2319E-3</v>
      </c>
      <c r="CE14" s="318" t="s">
        <v>242</v>
      </c>
      <c r="CF14" s="351">
        <f>ROUND((TRUNC((TRUNC(346.4228/CF10*10^8)/10^8)/CF10*10^10)/10^10)+(TRUNC(0.4388/CF10*10^10)/10^10),7)</f>
        <v>1.2319E-3</v>
      </c>
      <c r="CG14" s="318" t="s">
        <v>242</v>
      </c>
      <c r="CH14" s="351">
        <f>ROUND((TRUNC((TRUNC(346.4228/CH10*10^8)/10^8)/CH10*10^10)/10^10)+(TRUNC(0.4388/CH10*10^10)/10^10),7)</f>
        <v>1.2319E-3</v>
      </c>
      <c r="CI14" s="318" t="s">
        <v>242</v>
      </c>
      <c r="CJ14" s="351">
        <f>ROUND((TRUNC((TRUNC(346.4228/CJ10*10^8)/10^8)/CJ10*10^10)/10^10)+(TRUNC(0.4388/CJ10*10^10)/10^10),7)</f>
        <v>7.852E-4</v>
      </c>
    </row>
    <row r="15" spans="1:88" ht="15" customHeight="1">
      <c r="A15" s="319" t="s">
        <v>14</v>
      </c>
      <c r="B15" s="320">
        <f t="shared" si="1"/>
        <v>1130</v>
      </c>
      <c r="C15" s="320">
        <f t="shared" si="2"/>
        <v>1130</v>
      </c>
      <c r="D15" s="653">
        <f>IF(C15=0,0,LOOKUP(C15-MOD(C15,10),AP4:AP1172,AQ4:AQ1172)-(LOOKUP(C15-MOD(C15,10),AP4:AP1172,AQ4:AQ1172)-LOOKUP(C15+10-MOD(C15,10),AP4:AP1172,AQ4:AQ1172))/10*MOD(C15,10))</f>
        <v>1344.36</v>
      </c>
      <c r="E15" s="654"/>
      <c r="F15" s="321">
        <f>IF(BL15=0,0,LOOKUP(BL15-MOD(BL15,10),C46:C148,D46:D148)-(LOOKUP(BL15-MOD(BL15,10),C46:C148,D46:D148)-LOOKUP(BL15+10-MOD(BL15,10),C46:C148,D46:D148))/10*MOD(BL15,10))</f>
        <v>0.99993399999999999</v>
      </c>
      <c r="G15" s="322">
        <f t="shared" si="4"/>
        <v>1344.2712722399999</v>
      </c>
      <c r="H15" s="323">
        <v>0</v>
      </c>
      <c r="I15" s="323">
        <v>0</v>
      </c>
      <c r="J15" s="653">
        <f t="shared" si="5"/>
        <v>1344.2712722399999</v>
      </c>
      <c r="K15" s="654"/>
      <c r="L15" s="324">
        <f t="shared" si="6"/>
        <v>18</v>
      </c>
      <c r="M15" s="325">
        <f>CD9</f>
        <v>0.99629999999999996</v>
      </c>
      <c r="N15" s="326">
        <f t="shared" si="9"/>
        <v>1339.2974685327119</v>
      </c>
      <c r="O15" s="326" t="e">
        <f>#REF!*N15</f>
        <v>#REF!</v>
      </c>
      <c r="P15" s="327">
        <f t="shared" si="7"/>
        <v>0.97430028967525495</v>
      </c>
      <c r="Q15" s="328">
        <v>1379.8209999999999</v>
      </c>
      <c r="R15" s="329">
        <f t="shared" si="8"/>
        <v>3</v>
      </c>
      <c r="S15" s="330"/>
      <c r="T15" s="331"/>
      <c r="U15" s="331"/>
      <c r="V15" s="346">
        <v>760</v>
      </c>
      <c r="W15" s="333">
        <v>795.90099999999995</v>
      </c>
      <c r="X15" s="346">
        <v>770</v>
      </c>
      <c r="Y15" s="334">
        <v>790.00800000000004</v>
      </c>
      <c r="Z15" s="335">
        <v>760</v>
      </c>
      <c r="AA15" s="334">
        <v>1632.44</v>
      </c>
      <c r="AB15" s="336">
        <v>760</v>
      </c>
      <c r="AC15" s="334">
        <v>1631.752</v>
      </c>
      <c r="AD15" s="336">
        <v>760</v>
      </c>
      <c r="AE15" s="334">
        <v>1378.7470000000001</v>
      </c>
      <c r="AF15" s="336">
        <v>760</v>
      </c>
      <c r="AG15" s="334">
        <v>1379.319</v>
      </c>
      <c r="AH15" s="336">
        <v>760</v>
      </c>
      <c r="AI15" s="334">
        <v>1378.9349999999999</v>
      </c>
      <c r="AJ15" s="336">
        <v>740</v>
      </c>
      <c r="AK15" s="334">
        <v>1379.3989999999999</v>
      </c>
      <c r="AL15" s="336">
        <v>760</v>
      </c>
      <c r="AM15" s="334">
        <v>1379.153</v>
      </c>
      <c r="AN15" s="336">
        <v>760</v>
      </c>
      <c r="AO15" s="334">
        <v>1379.2370000000001</v>
      </c>
      <c r="AP15" s="336">
        <v>750</v>
      </c>
      <c r="AQ15" s="334">
        <v>1377.1949999999999</v>
      </c>
      <c r="AR15" s="336">
        <v>760</v>
      </c>
      <c r="AS15" s="334">
        <v>1377.528</v>
      </c>
      <c r="AT15" s="336">
        <v>760</v>
      </c>
      <c r="AU15" s="334">
        <v>1375.634</v>
      </c>
      <c r="AV15" s="336">
        <v>760</v>
      </c>
      <c r="AW15" s="334">
        <v>1374.758</v>
      </c>
      <c r="AX15" s="336">
        <v>750</v>
      </c>
      <c r="AY15" s="334">
        <v>1299.607</v>
      </c>
      <c r="AZ15" s="336">
        <v>760</v>
      </c>
      <c r="BA15" s="337">
        <v>1299.97</v>
      </c>
      <c r="BB15" s="336">
        <v>740</v>
      </c>
      <c r="BC15" s="334">
        <v>381.20299999999997</v>
      </c>
      <c r="BD15" s="336">
        <v>740</v>
      </c>
      <c r="BE15" s="334">
        <v>397.50799999999998</v>
      </c>
      <c r="BF15" s="338" t="s">
        <v>14</v>
      </c>
      <c r="BG15" s="339">
        <f>MASTER!F13</f>
        <v>1130</v>
      </c>
      <c r="BH15" s="340">
        <f t="shared" si="3"/>
        <v>1130</v>
      </c>
      <c r="BI15" s="341"/>
      <c r="BJ15" s="341"/>
      <c r="BK15" s="342">
        <f>MASTER!H13</f>
        <v>1130</v>
      </c>
      <c r="BL15" s="343">
        <f>MASTER!M13</f>
        <v>18</v>
      </c>
      <c r="BM15" s="378"/>
      <c r="BN15" s="639">
        <f t="shared" si="0"/>
        <v>24107.354433588815</v>
      </c>
      <c r="BO15" s="639"/>
      <c r="BP15" s="639"/>
      <c r="BQ15" s="639"/>
      <c r="BS15" s="318" t="s">
        <v>243</v>
      </c>
      <c r="BT15" s="351">
        <f>ROUND(-0.00336312+(ROUND((TRUNC(2680.3206/BT10*10^8)/10^8)/BT10,10)),7)</f>
        <v>1.5648000000000001E-3</v>
      </c>
      <c r="BU15" s="318" t="s">
        <v>243</v>
      </c>
      <c r="BV15" s="351">
        <f>ROUND(-0.00336312+(ROUND((TRUNC(2680.3206/BV10*10^8)/10^8)/BV10,10)),7)</f>
        <v>5.0429999999999995E-4</v>
      </c>
      <c r="BW15" s="318" t="s">
        <v>243</v>
      </c>
      <c r="BX15" s="351">
        <f>ROUND(-0.00336312+(ROUND((TRUNC(2680.3206/BX10*10^8)/10^8)/BX10,10)),7)</f>
        <v>1.5648000000000001E-3</v>
      </c>
      <c r="BY15" s="318" t="s">
        <v>243</v>
      </c>
      <c r="BZ15" s="351">
        <f>ROUND(-0.00336312+(ROUND((TRUNC(2680.3206/BZ10*10^8)/10^8)/BZ10,10)),7)</f>
        <v>1.5648000000000001E-3</v>
      </c>
      <c r="CA15" s="318" t="s">
        <v>243</v>
      </c>
      <c r="CB15" s="351">
        <f>ROUND(-0.00336312+(ROUND((TRUNC(2680.3206/CB10*10^8)/10^8)/CB10,10)),7)</f>
        <v>1.5648000000000001E-3</v>
      </c>
      <c r="CC15" s="318" t="s">
        <v>243</v>
      </c>
      <c r="CD15" s="351">
        <f>ROUND(-0.00336312+(ROUND((TRUNC(2680.3206/CD10*10^8)/10^8)/CD10,10)),7)</f>
        <v>1.5648000000000001E-3</v>
      </c>
      <c r="CE15" s="318" t="s">
        <v>243</v>
      </c>
      <c r="CF15" s="351">
        <f>ROUND(-0.00336312+(ROUND((TRUNC(2680.3206/CF10*10^8)/10^8)/CF10,10)),7)</f>
        <v>1.5648000000000001E-3</v>
      </c>
      <c r="CG15" s="318" t="s">
        <v>243</v>
      </c>
      <c r="CH15" s="351">
        <f>ROUND(-0.00336312+(ROUND((TRUNC(2680.3206/CH10*10^8)/10^8)/CH10,10)),7)</f>
        <v>1.5648000000000001E-3</v>
      </c>
      <c r="CI15" s="318" t="s">
        <v>243</v>
      </c>
      <c r="CJ15" s="351">
        <f>ROUND(-0.00336312+(ROUND((TRUNC(2680.3206/CJ10*10^8)/10^8)/CJ10,10)),7)</f>
        <v>-6.8280000000000001E-4</v>
      </c>
    </row>
    <row r="16" spans="1:88" ht="15" customHeight="1">
      <c r="A16" s="319" t="s">
        <v>15</v>
      </c>
      <c r="B16" s="320">
        <f t="shared" si="1"/>
        <v>1130</v>
      </c>
      <c r="C16" s="320">
        <f t="shared" si="2"/>
        <v>1130</v>
      </c>
      <c r="D16" s="653">
        <f>IF(C16=0,0,LOOKUP(C16-MOD(C16,10),AR4:AR1172,AS4:AS1172)-(LOOKUP(C16-MOD(C16,10),AR4:AR1172,AS4:AS1172)-LOOKUP(C16+10-MOD(C16,10),AR4:AR1172,AS4:AS1172))/10*MOD(C16,10))</f>
        <v>1345.6379999999999</v>
      </c>
      <c r="E16" s="654"/>
      <c r="F16" s="321">
        <f>IF(BL16=0,0,LOOKUP(BL16-MOD(BL16,10),C46:C148,D46:D148)-(LOOKUP(BL16-MOD(BL16,10),C46:C148,D46:D148)-LOOKUP(BL16+10-MOD(BL16,10),C46:C148,D46:D148))/10*MOD(BL16,10))</f>
        <v>0.99993399999999999</v>
      </c>
      <c r="G16" s="322">
        <f t="shared" si="4"/>
        <v>1345.549187892</v>
      </c>
      <c r="H16" s="323">
        <v>0</v>
      </c>
      <c r="I16" s="323">
        <v>0</v>
      </c>
      <c r="J16" s="653">
        <f t="shared" si="5"/>
        <v>1345.549187892</v>
      </c>
      <c r="K16" s="654"/>
      <c r="L16" s="324">
        <f t="shared" si="6"/>
        <v>18</v>
      </c>
      <c r="M16" s="325">
        <f>CD30</f>
        <v>0.99629999999999996</v>
      </c>
      <c r="N16" s="326">
        <f t="shared" si="9"/>
        <v>1340.5706558967995</v>
      </c>
      <c r="O16" s="326" t="e">
        <f>#REF!*N16</f>
        <v>#REF!</v>
      </c>
      <c r="P16" s="327">
        <f t="shared" si="7"/>
        <v>0.97475106737153516</v>
      </c>
      <c r="Q16" s="328">
        <v>1380.4939999999999</v>
      </c>
      <c r="R16" s="329">
        <f t="shared" si="8"/>
        <v>3</v>
      </c>
      <c r="S16" s="330"/>
      <c r="T16" s="331"/>
      <c r="U16" s="331"/>
      <c r="V16" s="346">
        <v>770</v>
      </c>
      <c r="W16" s="333">
        <v>795.53499999999997</v>
      </c>
      <c r="X16" s="346">
        <v>780</v>
      </c>
      <c r="Y16" s="334">
        <v>789.63800000000003</v>
      </c>
      <c r="Z16" s="335">
        <v>770</v>
      </c>
      <c r="AA16" s="334">
        <v>1631.9259999999999</v>
      </c>
      <c r="AB16" s="336">
        <v>770</v>
      </c>
      <c r="AC16" s="334">
        <v>1631.2149999999999</v>
      </c>
      <c r="AD16" s="336">
        <v>770</v>
      </c>
      <c r="AE16" s="334">
        <v>1378.307</v>
      </c>
      <c r="AF16" s="336">
        <v>770</v>
      </c>
      <c r="AG16" s="334">
        <v>1378.8620000000001</v>
      </c>
      <c r="AH16" s="336">
        <v>770</v>
      </c>
      <c r="AI16" s="334">
        <v>1378.482</v>
      </c>
      <c r="AJ16" s="336">
        <v>750</v>
      </c>
      <c r="AK16" s="334">
        <v>1378.953</v>
      </c>
      <c r="AL16" s="336">
        <v>770</v>
      </c>
      <c r="AM16" s="334">
        <v>1378.7090000000001</v>
      </c>
      <c r="AN16" s="336">
        <v>770</v>
      </c>
      <c r="AO16" s="334">
        <v>1378.798</v>
      </c>
      <c r="AP16" s="336">
        <v>760</v>
      </c>
      <c r="AQ16" s="334">
        <v>1376.768</v>
      </c>
      <c r="AR16" s="336">
        <v>770</v>
      </c>
      <c r="AS16" s="334">
        <v>1377.0830000000001</v>
      </c>
      <c r="AT16" s="336">
        <v>770</v>
      </c>
      <c r="AU16" s="334">
        <v>1375.1969999999999</v>
      </c>
      <c r="AV16" s="336">
        <v>770</v>
      </c>
      <c r="AW16" s="334">
        <v>1374.328</v>
      </c>
      <c r="AX16" s="336">
        <v>760</v>
      </c>
      <c r="AY16" s="334">
        <v>1299.1690000000001</v>
      </c>
      <c r="AZ16" s="336">
        <v>770</v>
      </c>
      <c r="BA16" s="337">
        <v>1299.5540000000001</v>
      </c>
      <c r="BB16" s="336">
        <v>750</v>
      </c>
      <c r="BC16" s="334">
        <v>381.06</v>
      </c>
      <c r="BD16" s="336">
        <v>750</v>
      </c>
      <c r="BE16" s="334">
        <v>397.35199999999998</v>
      </c>
      <c r="BF16" s="338" t="s">
        <v>15</v>
      </c>
      <c r="BG16" s="339">
        <f>MASTER!F14</f>
        <v>1130</v>
      </c>
      <c r="BH16" s="340">
        <f t="shared" si="3"/>
        <v>1130</v>
      </c>
      <c r="BI16" s="341"/>
      <c r="BJ16" s="341"/>
      <c r="BK16" s="342">
        <f>MASTER!H14</f>
        <v>1130</v>
      </c>
      <c r="BL16" s="343">
        <f>MASTER!M14</f>
        <v>18</v>
      </c>
      <c r="BM16" s="378"/>
      <c r="BN16" s="639">
        <f t="shared" si="0"/>
        <v>24130.271806142391</v>
      </c>
      <c r="BO16" s="639"/>
      <c r="BP16" s="639"/>
      <c r="BQ16" s="639"/>
      <c r="BS16" s="318" t="s">
        <v>244</v>
      </c>
      <c r="BT16" s="351">
        <f>ROUND(TRUNC((TRUNC(594.5418/BT10*10^8)/10^8)/BT10*10^10)/10^10,7)</f>
        <v>1.0931000000000001E-3</v>
      </c>
      <c r="BU16" s="318" t="s">
        <v>244</v>
      </c>
      <c r="BV16" s="351">
        <f>ROUND(TRUNC((TRUNC(594.5418/BV10*10^8)/10^8)/BV10*10^10)/10^10,7)</f>
        <v>8.5789999999999998E-4</v>
      </c>
      <c r="BW16" s="318" t="s">
        <v>244</v>
      </c>
      <c r="BX16" s="351">
        <f>ROUND(TRUNC((TRUNC(594.5418/BX10*10^8)/10^8)/BX10*10^10)/10^10,7)</f>
        <v>1.0931000000000001E-3</v>
      </c>
      <c r="BY16" s="318" t="s">
        <v>244</v>
      </c>
      <c r="BZ16" s="351">
        <f>ROUND(TRUNC((TRUNC(594.5418/BZ10*10^8)/10^8)/BZ10*10^10)/10^10,7)</f>
        <v>1.0931000000000001E-3</v>
      </c>
      <c r="CA16" s="318" t="s">
        <v>244</v>
      </c>
      <c r="CB16" s="351">
        <f>ROUND(TRUNC((TRUNC(594.5418/CB10*10^8)/10^8)/CB10*10^10)/10^10,7)</f>
        <v>1.0931000000000001E-3</v>
      </c>
      <c r="CC16" s="318" t="s">
        <v>244</v>
      </c>
      <c r="CD16" s="351">
        <f>ROUND(TRUNC((TRUNC(594.5418/CD10*10^8)/10^8)/CD10*10^10)/10^10,7)</f>
        <v>1.0931000000000001E-3</v>
      </c>
      <c r="CE16" s="318" t="s">
        <v>244</v>
      </c>
      <c r="CF16" s="351">
        <f>ROUND(TRUNC((TRUNC(594.5418/CF10*10^8)/10^8)/CF10*10^10)/10^10,7)</f>
        <v>1.0931000000000001E-3</v>
      </c>
      <c r="CG16" s="318" t="s">
        <v>244</v>
      </c>
      <c r="CH16" s="351">
        <f>ROUND(TRUNC((TRUNC(594.5418/CH10*10^8)/10^8)/CH10*10^10)/10^10,7)</f>
        <v>1.0931000000000001E-3</v>
      </c>
      <c r="CI16" s="318" t="s">
        <v>244</v>
      </c>
      <c r="CJ16" s="351">
        <f>ROUND(TRUNC((TRUNC(594.5418/CJ10*10^8)/10^8)/CJ10*10^10)/10^10,7)</f>
        <v>5.9449999999999998E-4</v>
      </c>
    </row>
    <row r="17" spans="1:88" ht="15" customHeight="1">
      <c r="A17" s="319" t="s">
        <v>16</v>
      </c>
      <c r="B17" s="320">
        <f t="shared" si="1"/>
        <v>1130</v>
      </c>
      <c r="C17" s="320">
        <f t="shared" si="2"/>
        <v>1130</v>
      </c>
      <c r="D17" s="653">
        <f>IF(C17=0,0,LOOKUP(C17-MOD(C17,10),AT4:AT1172,AU4:AU1172)-(LOOKUP(C17-MOD(C17,10),AT4:ARJ1172,AU4:AU1172)-LOOKUP(C17+10-MOD(C17,10),AT4:AT1172,AU4:AU1172))/10*MOD(C17,10))</f>
        <v>1344.4449999999999</v>
      </c>
      <c r="E17" s="654"/>
      <c r="F17" s="321">
        <f>IF(BL17=0,0,LOOKUP(BL17-MOD(BL17,10),C46:C148,D46:D148)-(LOOKUP(BL17-MOD(BL17,10),C46:C148,D46:D148)-LOOKUP(BL17+10-MOD(BL17,10),C46:C148,D46:D148))/10*MOD(BL17,10))</f>
        <v>0.99993399999999999</v>
      </c>
      <c r="G17" s="322">
        <f>D17*F17</f>
        <v>1344.3562666299999</v>
      </c>
      <c r="H17" s="323">
        <v>0</v>
      </c>
      <c r="I17" s="323">
        <v>0</v>
      </c>
      <c r="J17" s="653">
        <f>+G17-I17</f>
        <v>1344.3562666299999</v>
      </c>
      <c r="K17" s="654"/>
      <c r="L17" s="324">
        <f t="shared" si="6"/>
        <v>18</v>
      </c>
      <c r="M17" s="325">
        <f>CF9</f>
        <v>0.99629999999999996</v>
      </c>
      <c r="N17" s="326">
        <f t="shared" si="9"/>
        <v>1339.3821484434689</v>
      </c>
      <c r="O17" s="326" t="e">
        <f>#REF!*N17</f>
        <v>#REF!</v>
      </c>
      <c r="P17" s="327">
        <f t="shared" si="7"/>
        <v>0.9752262806126224</v>
      </c>
      <c r="Q17" s="328">
        <v>1378.598</v>
      </c>
      <c r="R17" s="329">
        <f>(INT((L21*4)+0.5)/4)-15</f>
        <v>-15</v>
      </c>
      <c r="S17" s="330"/>
      <c r="T17" s="331"/>
      <c r="U17" s="331"/>
      <c r="V17" s="346">
        <v>780</v>
      </c>
      <c r="W17" s="333">
        <v>795.15</v>
      </c>
      <c r="X17" s="346">
        <v>790</v>
      </c>
      <c r="Y17" s="334">
        <v>789.24800000000005</v>
      </c>
      <c r="Z17" s="335">
        <v>780</v>
      </c>
      <c r="AA17" s="334">
        <v>1631.3820000000001</v>
      </c>
      <c r="AB17" s="336">
        <v>780</v>
      </c>
      <c r="AC17" s="334">
        <v>1630.6469999999999</v>
      </c>
      <c r="AD17" s="336">
        <v>780</v>
      </c>
      <c r="AE17" s="334">
        <v>1377.8430000000001</v>
      </c>
      <c r="AF17" s="336">
        <v>780</v>
      </c>
      <c r="AG17" s="334">
        <v>1378.3789999999999</v>
      </c>
      <c r="AH17" s="336">
        <v>780</v>
      </c>
      <c r="AI17" s="334">
        <v>1378.0039999999999</v>
      </c>
      <c r="AJ17" s="336">
        <v>760</v>
      </c>
      <c r="AK17" s="334">
        <v>1378.4839999999999</v>
      </c>
      <c r="AL17" s="336">
        <v>780</v>
      </c>
      <c r="AM17" s="334">
        <v>1378.241</v>
      </c>
      <c r="AN17" s="336">
        <v>780</v>
      </c>
      <c r="AO17" s="334">
        <v>1378.335</v>
      </c>
      <c r="AP17" s="336">
        <v>770</v>
      </c>
      <c r="AQ17" s="334">
        <v>1376.317</v>
      </c>
      <c r="AR17" s="336">
        <v>780</v>
      </c>
      <c r="AS17" s="334">
        <v>1376.614</v>
      </c>
      <c r="AT17" s="336">
        <v>780</v>
      </c>
      <c r="AU17" s="334">
        <v>1374.7360000000001</v>
      </c>
      <c r="AV17" s="336">
        <v>780</v>
      </c>
      <c r="AW17" s="334">
        <v>1373.874</v>
      </c>
      <c r="AX17" s="336">
        <v>770</v>
      </c>
      <c r="AY17" s="334">
        <v>1298.7070000000001</v>
      </c>
      <c r="AZ17" s="336">
        <v>780</v>
      </c>
      <c r="BA17" s="337">
        <v>1299.114</v>
      </c>
      <c r="BB17" s="336">
        <v>760</v>
      </c>
      <c r="BC17" s="334">
        <v>380.90800000000002</v>
      </c>
      <c r="BD17" s="336">
        <v>760</v>
      </c>
      <c r="BE17" s="334">
        <v>397.18700000000001</v>
      </c>
      <c r="BF17" s="338" t="s">
        <v>16</v>
      </c>
      <c r="BG17" s="339">
        <f>MASTER!F15</f>
        <v>1130</v>
      </c>
      <c r="BH17" s="340">
        <f t="shared" si="3"/>
        <v>1130</v>
      </c>
      <c r="BI17" s="341"/>
      <c r="BJ17" s="341"/>
      <c r="BK17" s="342">
        <f>MASTER!H15</f>
        <v>1130</v>
      </c>
      <c r="BL17" s="343">
        <f>MASTER!M15</f>
        <v>18</v>
      </c>
      <c r="BM17" s="378"/>
      <c r="BN17" s="639">
        <f t="shared" si="0"/>
        <v>24108.878671982438</v>
      </c>
      <c r="BO17" s="639"/>
      <c r="BP17" s="639"/>
      <c r="BQ17" s="639"/>
      <c r="BS17" s="318" t="s">
        <v>245</v>
      </c>
      <c r="BT17" s="351">
        <f>ROUND(TRUNC((TRUNC(186.9696/BT10*10^8)/10^8)/BT10*10^10)/10^10+TRUNC(0.4862/BT10*10^10)/10^10,7)</f>
        <v>1.003E-3</v>
      </c>
      <c r="BU17" s="318" t="s">
        <v>245</v>
      </c>
      <c r="BV17" s="351">
        <f>ROUND(TRUNC((TRUNC(186.9696/BV10*10^8)/10^8)/BV10*10^10)/10^10+TRUNC(0.4862/BV10*10^10)/10^10,7)</f>
        <v>8.5380000000000005E-4</v>
      </c>
      <c r="BW17" s="318" t="s">
        <v>245</v>
      </c>
      <c r="BX17" s="351">
        <f>ROUND(TRUNC((TRUNC(186.9696/BX10*10^8)/10^8)/BX10*10^10)/10^10+TRUNC(0.4862/BX10*10^10)/10^10,7)</f>
        <v>1.003E-3</v>
      </c>
      <c r="BY17" s="318" t="s">
        <v>245</v>
      </c>
      <c r="BZ17" s="351">
        <f>ROUND(TRUNC((TRUNC(186.9696/BZ10*10^8)/10^8)/BZ10*10^10)/10^10+TRUNC(0.4862/BZ10*10^10)/10^10,7)</f>
        <v>1.003E-3</v>
      </c>
      <c r="CA17" s="318" t="s">
        <v>245</v>
      </c>
      <c r="CB17" s="351">
        <f>ROUND(TRUNC((TRUNC(186.9696/CB10*10^8)/10^8)/CB10*10^10)/10^10+TRUNC(0.4862/CB10*10^10)/10^10,7)</f>
        <v>1.003E-3</v>
      </c>
      <c r="CC17" s="318" t="s">
        <v>245</v>
      </c>
      <c r="CD17" s="351">
        <f>ROUND(TRUNC((TRUNC(186.9696/CD10*10^8)/10^8)/CD10*10^10)/10^10+TRUNC(0.4862/CD10*10^10)/10^10,7)</f>
        <v>1.003E-3</v>
      </c>
      <c r="CE17" s="318" t="s">
        <v>245</v>
      </c>
      <c r="CF17" s="351">
        <f>ROUND(TRUNC((TRUNC(186.9696/CF10*10^8)/10^8)/CF10*10^10)/10^10+TRUNC(0.4862/CF10*10^10)/10^10,7)</f>
        <v>1.003E-3</v>
      </c>
      <c r="CG17" s="318" t="s">
        <v>245</v>
      </c>
      <c r="CH17" s="351">
        <f>ROUND(TRUNC((TRUNC(186.9696/CH10*10^8)/10^8)/CH10*10^10)/10^10+TRUNC(0.4862/CH10*10^10)/10^10,7)</f>
        <v>1.003E-3</v>
      </c>
      <c r="CI17" s="318" t="s">
        <v>245</v>
      </c>
      <c r="CJ17" s="351">
        <f>ROUND(TRUNC((TRUNC(186.9696/CJ10*10^8)/10^8)/CJ10*10^10)/10^10+TRUNC(0.4862/CJ10*10^10)/10^10,7)</f>
        <v>6.7319999999999999E-4</v>
      </c>
    </row>
    <row r="18" spans="1:88" ht="15" customHeight="1">
      <c r="A18" s="319" t="s">
        <v>17</v>
      </c>
      <c r="B18" s="320">
        <f t="shared" si="1"/>
        <v>1130</v>
      </c>
      <c r="C18" s="320">
        <f t="shared" si="2"/>
        <v>1130</v>
      </c>
      <c r="D18" s="653">
        <f>IF(C18=0,0,LOOKUP(C18-MOD(C18,10),AV4:AV1172,AW4:AW1172)-(LOOKUP(C18-MOD(C18,10),AV4:AV1172,AW4:AW1172)-LOOKUP(C18+10-MOD(C18,10),AV4:AV1172,AW4:AW1172))/10*MOD(C18,10))</f>
        <v>1343.5139999999999</v>
      </c>
      <c r="E18" s="654"/>
      <c r="F18" s="321">
        <f>IF(BL18=0,0,LOOKUP(BL18-MOD(BL18,10),C46:C148,D46:D148)-(LOOKUP(BL18-MOD(BL18,10),C46:C148,D46:D148)-LOOKUP(BL18+10-MOD(BL18,10),C46:C148,D46:D148))/10*MOD(BL18,10))</f>
        <v>0.99993399999999999</v>
      </c>
      <c r="G18" s="322">
        <f>D18*F18</f>
        <v>1343.4253280759999</v>
      </c>
      <c r="H18" s="323">
        <v>0</v>
      </c>
      <c r="I18" s="323">
        <v>0</v>
      </c>
      <c r="J18" s="653">
        <f>+G18-I18</f>
        <v>1343.4253280759999</v>
      </c>
      <c r="K18" s="654"/>
      <c r="L18" s="324">
        <f t="shared" si="6"/>
        <v>18</v>
      </c>
      <c r="M18" s="325">
        <f>CF30</f>
        <v>0.99629999999999996</v>
      </c>
      <c r="N18" s="326">
        <f t="shared" si="9"/>
        <v>1338.4546543621186</v>
      </c>
      <c r="O18" s="326" t="e">
        <f>#REF!*N18</f>
        <v>#REF!</v>
      </c>
      <c r="P18" s="327">
        <f t="shared" si="7"/>
        <v>0.97535679827856936</v>
      </c>
      <c r="Q18" s="328">
        <v>1377.4590000000001</v>
      </c>
      <c r="R18" s="329">
        <f>(INT((L22*4)+0.5)/4)-15</f>
        <v>3</v>
      </c>
      <c r="S18" s="330"/>
      <c r="T18" s="331"/>
      <c r="U18" s="331"/>
      <c r="V18" s="346">
        <v>790</v>
      </c>
      <c r="W18" s="333">
        <v>794.745</v>
      </c>
      <c r="X18" s="346">
        <v>800</v>
      </c>
      <c r="Y18" s="334">
        <v>788.83799999999997</v>
      </c>
      <c r="Z18" s="335">
        <v>790</v>
      </c>
      <c r="AA18" s="334">
        <v>1630.809</v>
      </c>
      <c r="AB18" s="336">
        <v>790</v>
      </c>
      <c r="AC18" s="334">
        <v>1630.047</v>
      </c>
      <c r="AD18" s="336">
        <v>790</v>
      </c>
      <c r="AE18" s="334">
        <v>1377.355</v>
      </c>
      <c r="AF18" s="336">
        <v>790</v>
      </c>
      <c r="AG18" s="334">
        <v>1377.8710000000001</v>
      </c>
      <c r="AH18" s="336">
        <v>790</v>
      </c>
      <c r="AI18" s="334">
        <v>1377.502</v>
      </c>
      <c r="AJ18" s="336">
        <v>770</v>
      </c>
      <c r="AK18" s="334">
        <v>1377.992</v>
      </c>
      <c r="AL18" s="336">
        <v>790</v>
      </c>
      <c r="AM18" s="334">
        <v>1377.748</v>
      </c>
      <c r="AN18" s="336">
        <v>790</v>
      </c>
      <c r="AO18" s="334">
        <v>1377.848</v>
      </c>
      <c r="AP18" s="336">
        <v>780</v>
      </c>
      <c r="AQ18" s="334">
        <v>1375.8409999999999</v>
      </c>
      <c r="AR18" s="336">
        <v>790</v>
      </c>
      <c r="AS18" s="334">
        <v>1376.12</v>
      </c>
      <c r="AT18" s="336">
        <v>790</v>
      </c>
      <c r="AU18" s="334">
        <v>1374.251</v>
      </c>
      <c r="AV18" s="336">
        <v>790</v>
      </c>
      <c r="AW18" s="352">
        <v>1373.396</v>
      </c>
      <c r="AX18" s="336">
        <v>780</v>
      </c>
      <c r="AY18" s="334">
        <v>1298.221</v>
      </c>
      <c r="AZ18" s="336">
        <v>790</v>
      </c>
      <c r="BA18" s="337">
        <v>1298.6500000000001</v>
      </c>
      <c r="BB18" s="336">
        <v>770</v>
      </c>
      <c r="BC18" s="334">
        <v>380.74799999999999</v>
      </c>
      <c r="BD18" s="336">
        <v>770</v>
      </c>
      <c r="BE18" s="334">
        <v>397.01299999999998</v>
      </c>
      <c r="BF18" s="338" t="s">
        <v>17</v>
      </c>
      <c r="BG18" s="339">
        <f>MASTER!F16</f>
        <v>1130</v>
      </c>
      <c r="BH18" s="340">
        <f t="shared" si="3"/>
        <v>1130</v>
      </c>
      <c r="BI18" s="341"/>
      <c r="BJ18" s="341"/>
      <c r="BK18" s="342">
        <f>MASTER!H16</f>
        <v>1130</v>
      </c>
      <c r="BL18" s="343">
        <f>MASTER!M16</f>
        <v>18</v>
      </c>
      <c r="BM18" s="378"/>
      <c r="BN18" s="639">
        <f t="shared" si="0"/>
        <v>24092.183778518134</v>
      </c>
      <c r="BO18" s="639"/>
      <c r="BP18" s="639"/>
      <c r="BQ18" s="639"/>
      <c r="BS18" s="318" t="s">
        <v>246</v>
      </c>
      <c r="BT18" s="351">
        <f>IF(BT10&lt;770.5,BT14,IF(AND(BT10&gt;=770.5,BT10&lt;=787.5),BT15,IF(AND(BT10&gt;787.5,BT10&lt;839),BT16,IF(AND(BT10&gt;=839,BT10&lt;=1075),BT17,""))))</f>
        <v>1.2319E-3</v>
      </c>
      <c r="BU18" s="318" t="s">
        <v>246</v>
      </c>
      <c r="BV18" s="351">
        <f>IF(BV10&lt;770.5,BV14,IF(AND(BV10&gt;=770.5,BV10&lt;=787.5),BV15,IF(AND(BV10&gt;787.5,BV10&lt;839),BV16,IF(AND(BV10&gt;=839,BV10&lt;=1075),BV17,""))))</f>
        <v>8.5789999999999998E-4</v>
      </c>
      <c r="BW18" s="318" t="s">
        <v>246</v>
      </c>
      <c r="BX18" s="351">
        <f>IF(BX10&lt;770.5,BX14,IF(AND(BX10&gt;=770.5,BX10&lt;=787.5),BX15,IF(AND(BX10&gt;787.5,BX10&lt;839),BX16,IF(AND(BX10&gt;=839,BX10&lt;=1075),BX17,""))))</f>
        <v>1.2319E-3</v>
      </c>
      <c r="BY18" s="318" t="s">
        <v>246</v>
      </c>
      <c r="BZ18" s="351">
        <f>IF(BZ10&lt;770.5,BZ14,IF(AND(BZ10&gt;=770.5,BZ10&lt;=787.5),BZ15,IF(AND(BZ10&gt;787.5,BZ10&lt;839),BZ16,IF(AND(BZ10&gt;=839,BZ10&lt;=1075),BZ17,""))))</f>
        <v>1.2319E-3</v>
      </c>
      <c r="CA18" s="318" t="s">
        <v>246</v>
      </c>
      <c r="CB18" s="351">
        <f>IF(CB10&lt;770.5,CB14,IF(AND(CB10&gt;=770.5,CB10&lt;=787.5),CB15,IF(AND(CB10&gt;787.5,CB10&lt;839),CB16,IF(AND(CB10&gt;=839,CB10&lt;=1075),CB17,""))))</f>
        <v>1.2319E-3</v>
      </c>
      <c r="CC18" s="318" t="s">
        <v>246</v>
      </c>
      <c r="CD18" s="351">
        <f>IF(CD10&lt;770.5,CD14,IF(AND(CD10&gt;=770.5,CD10&lt;=787.5),CD15,IF(AND(CD10&gt;787.5,CD10&lt;839),CD16,IF(AND(CD10&gt;=839,CD10&lt;=1075),CD17,""))))</f>
        <v>1.2319E-3</v>
      </c>
      <c r="CE18" s="318" t="s">
        <v>246</v>
      </c>
      <c r="CF18" s="351">
        <f>IF(CF10&lt;770.5,CF14,IF(AND(CF10&gt;=770.5,CF10&lt;=787.5),CF15,IF(AND(CF10&gt;787.5,CF10&lt;839),CF16,IF(AND(CF10&gt;=839,CF10&lt;=1075),CF17,""))))</f>
        <v>1.2319E-3</v>
      </c>
      <c r="CG18" s="318" t="s">
        <v>246</v>
      </c>
      <c r="CH18" s="351">
        <f>IF(CH10&lt;770.5,CH14,IF(AND(CH10&gt;=770.5,CH10&lt;=787.5),CH15,IF(AND(CH10&gt;787.5,CH10&lt;839),CH16,IF(AND(CH10&gt;=839,CH10&lt;=1075),CH17,""))))</f>
        <v>1.2319E-3</v>
      </c>
      <c r="CI18" s="318" t="s">
        <v>246</v>
      </c>
      <c r="CJ18" s="351">
        <f>IF(CJ10&lt;770.5,CJ14,IF(AND(CJ10&gt;=770.5,CJ10&lt;=787.5),CJ15,IF(AND(CJ10&gt;787.5,CJ10&lt;839),CJ16,IF(AND(CJ10&gt;=839,CJ10&lt;=1075),CJ17,""))))</f>
        <v>6.7319999999999999E-4</v>
      </c>
    </row>
    <row r="19" spans="1:88" ht="15" customHeight="1">
      <c r="A19" s="319" t="s">
        <v>18</v>
      </c>
      <c r="B19" s="320">
        <f t="shared" si="1"/>
        <v>1130</v>
      </c>
      <c r="C19" s="320">
        <f t="shared" si="2"/>
        <v>1130</v>
      </c>
      <c r="D19" s="653">
        <f>IF(C19=0,0,LOOKUP(C19-MOD(C19,10),AX4:AX1171,AY4:AY1171)-(LOOKUP(C19-MOD(C19,10),AX4:AX1171,AY4:AY1171)-LOOKUP(C19+10-MOD(C19,10),AX4:AX1171,AY4:AY1171))/10*MOD(C19,10))</f>
        <v>1266.973</v>
      </c>
      <c r="E19" s="654"/>
      <c r="F19" s="321">
        <f>IF(BL19=0,0,LOOKUP(BL19-MOD(BL19,10),C46:C148,D46:D148)-(LOOKUP(BL19-MOD(BL19,10),C46:C148,D46:D148)-LOOKUP(BL19+10-MOD(BL19,10),C46:C148,D46:D148))/10*MOD(BL19,10))</f>
        <v>0.99993399999999999</v>
      </c>
      <c r="G19" s="322">
        <f>D19*F19</f>
        <v>1266.8893797819999</v>
      </c>
      <c r="H19" s="323">
        <v>0</v>
      </c>
      <c r="I19" s="323">
        <v>0</v>
      </c>
      <c r="J19" s="653">
        <f>+G19-I19</f>
        <v>1266.8893797819999</v>
      </c>
      <c r="K19" s="654"/>
      <c r="L19" s="324">
        <f t="shared" si="6"/>
        <v>18</v>
      </c>
      <c r="M19" s="325">
        <f>CH9</f>
        <v>0.99629999999999996</v>
      </c>
      <c r="N19" s="326">
        <f t="shared" si="9"/>
        <v>1262.2018890768065</v>
      </c>
      <c r="O19" s="326" t="e">
        <f>#REF!*N19</f>
        <v>#REF!</v>
      </c>
      <c r="P19" s="327">
        <f t="shared" si="7"/>
        <v>0.97267470515889398</v>
      </c>
      <c r="Q19" s="328">
        <v>1302.566</v>
      </c>
      <c r="R19" s="353"/>
      <c r="S19" s="331"/>
      <c r="T19" s="331"/>
      <c r="U19" s="331"/>
      <c r="V19" s="346">
        <v>800</v>
      </c>
      <c r="W19" s="333">
        <v>794.32100000000003</v>
      </c>
      <c r="X19" s="346">
        <v>810</v>
      </c>
      <c r="Y19" s="334">
        <v>788.40800000000002</v>
      </c>
      <c r="Z19" s="335">
        <v>800</v>
      </c>
      <c r="AA19" s="334">
        <v>1630.2059999999999</v>
      </c>
      <c r="AB19" s="336">
        <v>800</v>
      </c>
      <c r="AC19" s="334">
        <v>1629.4159999999999</v>
      </c>
      <c r="AD19" s="336">
        <v>800</v>
      </c>
      <c r="AE19" s="334">
        <v>1376.8430000000001</v>
      </c>
      <c r="AF19" s="336">
        <v>800</v>
      </c>
      <c r="AG19" s="334">
        <v>1377.338</v>
      </c>
      <c r="AH19" s="336">
        <v>800</v>
      </c>
      <c r="AI19" s="334">
        <v>1376.9760000000001</v>
      </c>
      <c r="AJ19" s="336">
        <v>780</v>
      </c>
      <c r="AK19" s="334">
        <v>1377.4749999999999</v>
      </c>
      <c r="AL19" s="336">
        <v>800</v>
      </c>
      <c r="AM19" s="334">
        <v>1377.231</v>
      </c>
      <c r="AN19" s="336">
        <v>800</v>
      </c>
      <c r="AO19" s="334">
        <v>1377.337</v>
      </c>
      <c r="AP19" s="336">
        <v>790</v>
      </c>
      <c r="AQ19" s="334">
        <v>1375.34</v>
      </c>
      <c r="AR19" s="336">
        <v>800</v>
      </c>
      <c r="AS19" s="334">
        <v>1375.6020000000001</v>
      </c>
      <c r="AT19" s="336">
        <v>800</v>
      </c>
      <c r="AU19" s="334">
        <v>1373.7439999999999</v>
      </c>
      <c r="AV19" s="336">
        <v>800</v>
      </c>
      <c r="AW19" s="352">
        <v>1372.894</v>
      </c>
      <c r="AX19" s="336">
        <v>790</v>
      </c>
      <c r="AY19" s="334">
        <v>1297.711</v>
      </c>
      <c r="AZ19" s="336">
        <v>800</v>
      </c>
      <c r="BA19" s="337">
        <v>1298.162</v>
      </c>
      <c r="BB19" s="336">
        <v>780</v>
      </c>
      <c r="BC19" s="334">
        <v>380.57900000000001</v>
      </c>
      <c r="BD19" s="336">
        <v>780</v>
      </c>
      <c r="BE19" s="334">
        <v>396.83</v>
      </c>
      <c r="BF19" s="338" t="s">
        <v>18</v>
      </c>
      <c r="BG19" s="339">
        <f>MASTER!F17</f>
        <v>1130</v>
      </c>
      <c r="BH19" s="340">
        <f t="shared" si="3"/>
        <v>1130</v>
      </c>
      <c r="BI19" s="341"/>
      <c r="BJ19" s="341"/>
      <c r="BK19" s="342">
        <f>MASTER!H17</f>
        <v>1130</v>
      </c>
      <c r="BL19" s="343">
        <f>MASTER!M17</f>
        <v>18</v>
      </c>
      <c r="BM19" s="378"/>
      <c r="BN19" s="639">
        <f t="shared" si="0"/>
        <v>22719.634003382518</v>
      </c>
      <c r="BO19" s="639"/>
      <c r="BP19" s="639"/>
      <c r="BQ19" s="639"/>
      <c r="BS19" s="318" t="s">
        <v>247</v>
      </c>
      <c r="BT19" s="344">
        <f>IF(AND(BT7&gt;=0.653,BT7&lt;=1.1),ROUND(EXP(-(TRUNC(BT18*BT11*10^8)/10^8)-((TRUNC(0.8*BT18*BT11*10^8)/10^8)*TRUNC(BT18*BT11*10^8)/10^8)),4),"Den.out")</f>
        <v>0.99629999999999996</v>
      </c>
      <c r="BU19" s="318" t="s">
        <v>247</v>
      </c>
      <c r="BV19" s="344">
        <f>IF(AND(BV7&gt;=0.653,BV7&lt;=1.1),ROUND(EXP(-(TRUNC(BV18*BV11*10^8)/10^8)-((TRUNC(0.8*BV18*BV11*10^8)/10^8)*TRUNC(BV18*BV11*10^8)/10^8)),4),"Den.out")</f>
        <v>0.99739999999999995</v>
      </c>
      <c r="BW19" s="318" t="s">
        <v>247</v>
      </c>
      <c r="BX19" s="344">
        <f>IF(AND(BX7&gt;=0.653,BX7&lt;=1.1),ROUND(EXP(-(TRUNC(BX18*BX11*10^8)/10^8)-((TRUNC(0.8*BX18*BX11*10^8)/10^8)*TRUNC(BX18*BX11*10^8)/10^8)),4),"Den.out")</f>
        <v>0.99629999999999996</v>
      </c>
      <c r="BY19" s="318" t="s">
        <v>247</v>
      </c>
      <c r="BZ19" s="344">
        <f>IF(AND(BZ7&gt;=0.653,BZ7&lt;=1.1),ROUND(EXP(-(TRUNC(BZ18*BZ11*10^8)/10^8)-((TRUNC(0.8*BZ18*BZ11*10^8)/10^8)*TRUNC(BZ18*BZ11*10^8)/10^8)),4),"Den.out")</f>
        <v>0.99629999999999996</v>
      </c>
      <c r="CA19" s="318" t="s">
        <v>247</v>
      </c>
      <c r="CB19" s="344">
        <f>IF(AND(CB7&gt;=0.653,CB7&lt;=1.1),ROUND(EXP(-(TRUNC(CB18*CB11*10^8)/10^8)-((TRUNC(0.8*CB18*CB11*10^8)/10^8)*TRUNC(CB18*CB11*10^8)/10^8)),4),"Den.out")</f>
        <v>0.99629999999999996</v>
      </c>
      <c r="CC19" s="318" t="s">
        <v>247</v>
      </c>
      <c r="CD19" s="344">
        <f>IF(AND(CD7&gt;=0.653,CD7&lt;=1.1),ROUND(EXP(-(TRUNC(CD18*CD11*10^8)/10^8)-((TRUNC(0.8*CD18*CD11*10^8)/10^8)*TRUNC(CD18*CD11*10^8)/10^8)),4),"Den.out")</f>
        <v>0.99629999999999996</v>
      </c>
      <c r="CE19" s="318" t="s">
        <v>247</v>
      </c>
      <c r="CF19" s="344">
        <f>IF(AND(CF7&gt;=0.653,CF7&lt;=1.1),ROUND(EXP(-(TRUNC(CF18*CF11*10^8)/10^8)-((TRUNC(0.8*CF18*CF11*10^8)/10^8)*TRUNC(CF18*CF11*10^8)/10^8)),4),"Den.out")</f>
        <v>0.99629999999999996</v>
      </c>
      <c r="CG19" s="318" t="s">
        <v>247</v>
      </c>
      <c r="CH19" s="344">
        <f>IF(AND(CH7&gt;=0.653,CH7&lt;=1.1),ROUND(EXP(-(TRUNC(CH18*CH11*10^8)/10^8)-((TRUNC(0.8*CH18*CH11*10^8)/10^8)*TRUNC(CH18*CH11*10^8)/10^8)),4),"Den.out")</f>
        <v>0.99629999999999996</v>
      </c>
      <c r="CI19" s="318" t="s">
        <v>247</v>
      </c>
      <c r="CJ19" s="344">
        <f>IF(AND(CJ7&gt;=0.653,CJ7&lt;=1.1),ROUND(EXP(-(TRUNC(CJ18*CJ11*10^8)/10^8)-((TRUNC(0.8*CJ18*CJ11*10^8)/10^8)*TRUNC(CJ18*CJ11*10^8)/10^8)),4),"Den.out")</f>
        <v>1.0101</v>
      </c>
    </row>
    <row r="20" spans="1:88" ht="15" customHeight="1">
      <c r="A20" s="319" t="s">
        <v>19</v>
      </c>
      <c r="B20" s="320">
        <f t="shared" si="1"/>
        <v>1130</v>
      </c>
      <c r="C20" s="320">
        <f t="shared" si="2"/>
        <v>1130</v>
      </c>
      <c r="D20" s="653">
        <f>IF(C20=0,0,LOOKUP(C20-MOD(C20,10),AZ4:AZ1172,BA4:BA1172)-(LOOKUP(C20-MOD(C20,10),AZ4:AZ1172,BA4:BA1172)-LOOKUP(C20+10-MOD(C20,10),AZ4:AZ1172,BA4:BA1172))/10*MOD(C20,10))</f>
        <v>1268.9349999999999</v>
      </c>
      <c r="E20" s="654"/>
      <c r="F20" s="321">
        <f>IF(BL20=0,0,LOOKUP(BL20-MOD(BL20,10),C46:C148,D46:D148)-(LOOKUP(BL20-MOD(BL20,10),C46:C148,D46:D148)-LOOKUP(BL20+10-MOD(BL20,10),C46:C148,D46:D148))/10*MOD(BL20,10))</f>
        <v>0.99993399999999999</v>
      </c>
      <c r="G20" s="322">
        <f>D20*F20</f>
        <v>1268.8512502899998</v>
      </c>
      <c r="H20" s="323">
        <v>0</v>
      </c>
      <c r="I20" s="323">
        <v>0</v>
      </c>
      <c r="J20" s="653">
        <f>+G20-I20</f>
        <v>1268.8512502899998</v>
      </c>
      <c r="K20" s="654"/>
      <c r="L20" s="324">
        <f t="shared" si="6"/>
        <v>18</v>
      </c>
      <c r="M20" s="325">
        <f>CH30</f>
        <v>0.99629999999999996</v>
      </c>
      <c r="N20" s="326">
        <f t="shared" si="9"/>
        <v>1264.1565006639269</v>
      </c>
      <c r="O20" s="326" t="e">
        <f>#REF!*N20</f>
        <v>#REF!</v>
      </c>
      <c r="P20" s="327">
        <f t="shared" si="7"/>
        <v>0.97421835892994779</v>
      </c>
      <c r="Q20" s="328">
        <v>1302.5160000000001</v>
      </c>
      <c r="R20" s="353"/>
      <c r="S20" s="331"/>
      <c r="T20" s="331"/>
      <c r="U20" s="331"/>
      <c r="V20" s="346">
        <v>810</v>
      </c>
      <c r="W20" s="333">
        <v>793.87699999999995</v>
      </c>
      <c r="X20" s="346">
        <v>820</v>
      </c>
      <c r="Y20" s="334">
        <v>787.95699999999999</v>
      </c>
      <c r="Z20" s="335">
        <v>810</v>
      </c>
      <c r="AA20" s="334">
        <v>1629.5730000000001</v>
      </c>
      <c r="AB20" s="336">
        <v>810</v>
      </c>
      <c r="AC20" s="334">
        <v>1628.7529999999999</v>
      </c>
      <c r="AD20" s="336">
        <v>810</v>
      </c>
      <c r="AE20" s="334">
        <v>1376.307</v>
      </c>
      <c r="AF20" s="336">
        <v>810</v>
      </c>
      <c r="AG20" s="334">
        <v>1376.78</v>
      </c>
      <c r="AH20" s="336">
        <v>810</v>
      </c>
      <c r="AI20" s="334">
        <v>1376.425</v>
      </c>
      <c r="AJ20" s="336">
        <v>790</v>
      </c>
      <c r="AK20" s="334">
        <v>1376.9349999999999</v>
      </c>
      <c r="AL20" s="336">
        <v>810</v>
      </c>
      <c r="AM20" s="334">
        <v>1376.691</v>
      </c>
      <c r="AN20" s="336">
        <v>810</v>
      </c>
      <c r="AO20" s="334">
        <v>1376.8019999999999</v>
      </c>
      <c r="AP20" s="336">
        <v>800</v>
      </c>
      <c r="AQ20" s="334">
        <v>1374.8150000000001</v>
      </c>
      <c r="AR20" s="336">
        <v>810</v>
      </c>
      <c r="AS20" s="334">
        <v>1375.059</v>
      </c>
      <c r="AT20" s="336">
        <v>810</v>
      </c>
      <c r="AU20" s="334">
        <v>1373.213</v>
      </c>
      <c r="AV20" s="336">
        <v>810</v>
      </c>
      <c r="AW20" s="334">
        <v>1372.3689999999999</v>
      </c>
      <c r="AX20" s="336">
        <v>800</v>
      </c>
      <c r="AY20" s="334">
        <v>1297.1780000000001</v>
      </c>
      <c r="AZ20" s="336">
        <v>810</v>
      </c>
      <c r="BA20" s="337">
        <v>1297.6489999999999</v>
      </c>
      <c r="BB20" s="336">
        <v>790</v>
      </c>
      <c r="BC20" s="334">
        <v>380.40100000000001</v>
      </c>
      <c r="BD20" s="336">
        <v>790</v>
      </c>
      <c r="BE20" s="334">
        <v>396.63900000000001</v>
      </c>
      <c r="BF20" s="338" t="s">
        <v>19</v>
      </c>
      <c r="BG20" s="339">
        <f>MASTER!F18</f>
        <v>1130</v>
      </c>
      <c r="BH20" s="340">
        <f t="shared" si="3"/>
        <v>1130</v>
      </c>
      <c r="BI20" s="341"/>
      <c r="BJ20" s="341"/>
      <c r="BK20" s="342">
        <f>MASTER!H18</f>
        <v>1130</v>
      </c>
      <c r="BL20" s="343">
        <f>MASTER!M18</f>
        <v>18</v>
      </c>
      <c r="BM20" s="378"/>
      <c r="BN20" s="639">
        <f t="shared" si="0"/>
        <v>22754.817011950683</v>
      </c>
      <c r="BO20" s="639"/>
      <c r="BP20" s="639"/>
      <c r="BQ20" s="639"/>
      <c r="BS20" s="318" t="s">
        <v>248</v>
      </c>
      <c r="BT20" s="351">
        <f>ROUND(TRUNC(0.6278/BT10*10^10)/10^10,7)</f>
        <v>8.5130000000000004E-4</v>
      </c>
      <c r="BU20" s="318" t="s">
        <v>248</v>
      </c>
      <c r="BV20" s="351">
        <f>ROUND(TRUNC(0.6278/BV10*10^10)/10^10,7)</f>
        <v>7.5409999999999995E-4</v>
      </c>
      <c r="BW20" s="318" t="s">
        <v>248</v>
      </c>
      <c r="BX20" s="351">
        <f>ROUND(TRUNC(0.6278/BX10*10^10)/10^10,7)</f>
        <v>8.5130000000000004E-4</v>
      </c>
      <c r="BY20" s="318" t="s">
        <v>248</v>
      </c>
      <c r="BZ20" s="351">
        <f>ROUND(TRUNC(0.6278/BZ10*10^10)/10^10,7)</f>
        <v>8.5130000000000004E-4</v>
      </c>
      <c r="CA20" s="318" t="s">
        <v>248</v>
      </c>
      <c r="CB20" s="351">
        <f>ROUND(TRUNC(0.6278/CB10*10^10)/10^10,7)</f>
        <v>8.5130000000000004E-4</v>
      </c>
      <c r="CC20" s="318" t="s">
        <v>248</v>
      </c>
      <c r="CD20" s="351">
        <f>ROUND(TRUNC(0.6278/CD10*10^10)/10^10,7)</f>
        <v>8.5130000000000004E-4</v>
      </c>
      <c r="CE20" s="318" t="s">
        <v>248</v>
      </c>
      <c r="CF20" s="351">
        <f>ROUND(TRUNC(0.6278/CF10*10^10)/10^10,7)</f>
        <v>8.5130000000000004E-4</v>
      </c>
      <c r="CG20" s="318" t="s">
        <v>248</v>
      </c>
      <c r="CH20" s="351">
        <f>ROUND(TRUNC(0.6278/CH10*10^10)/10^10,7)</f>
        <v>8.5130000000000004E-4</v>
      </c>
      <c r="CI20" s="318" t="s">
        <v>248</v>
      </c>
      <c r="CJ20" s="351">
        <f>ROUND(TRUNC(0.6278/CJ10*10^10)/10^10,7)</f>
        <v>6.2779999999999997E-4</v>
      </c>
    </row>
    <row r="21" spans="1:88" ht="15" customHeight="1">
      <c r="A21" s="319" t="s">
        <v>192</v>
      </c>
      <c r="B21" s="320">
        <f t="shared" si="1"/>
        <v>0</v>
      </c>
      <c r="C21" s="320">
        <f t="shared" si="2"/>
        <v>0</v>
      </c>
      <c r="D21" s="653">
        <f>IF(C21=0,0,LOOKUP(C21-MOD(C21,10),BB4:BB1172,BC4:BC1172)-(LOOKUP(C21-MOD(C21,10),BB4:BB1172,BC4:BC1172)-LOOKUP(C21+10-MOD(C21,10),BB4:BB1172,BC4:BC1172))/10*MOD(C21,10))</f>
        <v>0</v>
      </c>
      <c r="E21" s="654"/>
      <c r="F21" s="321">
        <f>IF(BL21=0,0,LOOKUP(BL21-MOD(BL21,10),C46:C148,D46:D148)-(LOOKUP(BL21-MOD(BL21,10),C46:C148,D46:D148)-LOOKUP(BL21+10-MOD(BL21,10),C46:C148,D46:D148))/10*MOD(BL21,10))</f>
        <v>0</v>
      </c>
      <c r="G21" s="322">
        <f t="shared" si="4"/>
        <v>0</v>
      </c>
      <c r="H21" s="323">
        <v>0</v>
      </c>
      <c r="I21" s="323">
        <v>0</v>
      </c>
      <c r="J21" s="653">
        <f t="shared" si="5"/>
        <v>0</v>
      </c>
      <c r="K21" s="654"/>
      <c r="L21" s="324">
        <f t="shared" si="6"/>
        <v>0</v>
      </c>
      <c r="M21" s="325">
        <f>CJ9</f>
        <v>1.0101</v>
      </c>
      <c r="N21" s="326">
        <f t="shared" si="9"/>
        <v>0</v>
      </c>
      <c r="O21" s="326" t="e">
        <f>#REF!*N21</f>
        <v>#REF!</v>
      </c>
      <c r="P21" s="327">
        <f t="shared" si="7"/>
        <v>0</v>
      </c>
      <c r="Q21" s="328">
        <v>382.14299999999997</v>
      </c>
      <c r="V21" s="346">
        <v>820</v>
      </c>
      <c r="W21" s="333">
        <v>793.41300000000001</v>
      </c>
      <c r="X21" s="346">
        <v>830</v>
      </c>
      <c r="Y21" s="334">
        <v>787.48500000000001</v>
      </c>
      <c r="Z21" s="335">
        <v>820</v>
      </c>
      <c r="AA21" s="334">
        <v>1628.9110000000001</v>
      </c>
      <c r="AB21" s="336">
        <v>820</v>
      </c>
      <c r="AC21" s="334">
        <v>1628.059</v>
      </c>
      <c r="AD21" s="336">
        <v>820</v>
      </c>
      <c r="AE21" s="334">
        <v>1375.7460000000001</v>
      </c>
      <c r="AF21" s="336">
        <v>820</v>
      </c>
      <c r="AG21" s="334">
        <v>1376.1969999999999</v>
      </c>
      <c r="AH21" s="336">
        <v>820</v>
      </c>
      <c r="AI21" s="334">
        <v>1375.8510000000001</v>
      </c>
      <c r="AJ21" s="336">
        <v>800</v>
      </c>
      <c r="AK21" s="334">
        <v>1376.3720000000001</v>
      </c>
      <c r="AL21" s="336">
        <v>820</v>
      </c>
      <c r="AM21" s="352">
        <v>1376.126</v>
      </c>
      <c r="AN21" s="336">
        <v>820</v>
      </c>
      <c r="AO21" s="334">
        <v>1376.2429999999999</v>
      </c>
      <c r="AP21" s="336">
        <v>810</v>
      </c>
      <c r="AQ21" s="334">
        <v>1374.2639999999999</v>
      </c>
      <c r="AR21" s="336">
        <v>820</v>
      </c>
      <c r="AS21" s="334">
        <v>1374.492</v>
      </c>
      <c r="AT21" s="336">
        <v>820</v>
      </c>
      <c r="AU21" s="334">
        <v>1372.6590000000001</v>
      </c>
      <c r="AV21" s="336">
        <v>820</v>
      </c>
      <c r="AW21" s="334">
        <v>1371.819</v>
      </c>
      <c r="AX21" s="336">
        <v>810</v>
      </c>
      <c r="AY21" s="334">
        <v>1296.6210000000001</v>
      </c>
      <c r="AZ21" s="336">
        <v>820</v>
      </c>
      <c r="BA21" s="337">
        <v>1297.1110000000001</v>
      </c>
      <c r="BB21" s="336">
        <v>800</v>
      </c>
      <c r="BC21" s="334">
        <v>380.21600000000001</v>
      </c>
      <c r="BD21" s="336">
        <v>800</v>
      </c>
      <c r="BE21" s="334">
        <v>396.44099999999997</v>
      </c>
      <c r="BF21" s="338" t="s">
        <v>196</v>
      </c>
      <c r="BG21" s="339">
        <f>MASTER!F19</f>
        <v>0</v>
      </c>
      <c r="BH21" s="340">
        <f t="shared" si="3"/>
        <v>0</v>
      </c>
      <c r="BI21" s="341"/>
      <c r="BJ21" s="341"/>
      <c r="BK21" s="342">
        <f>MASTER!H19</f>
        <v>0</v>
      </c>
      <c r="BL21" s="343">
        <f>MASTER!M19</f>
        <v>0</v>
      </c>
      <c r="BM21" s="378"/>
      <c r="BN21" s="639">
        <f t="shared" si="0"/>
        <v>0</v>
      </c>
      <c r="BO21" s="639"/>
      <c r="BP21" s="639"/>
      <c r="BQ21" s="639"/>
      <c r="BS21" s="318" t="s">
        <v>34</v>
      </c>
      <c r="BT21" s="344" t="str">
        <f>IF(AND(BT7&gt;=0.8,BT7&lt;=1.164),ROUND(EXP(-(TRUNC(BT20*BT11*10^8)/10^8)-((TRUNC(0.8*BT20*BT11*10^8)/10^8)*TRUNC(BT20*BT11*10^8)/10^8)),4),"Den.out")</f>
        <v>Den.out</v>
      </c>
      <c r="BU21" s="318" t="s">
        <v>34</v>
      </c>
      <c r="BV21" s="344">
        <f>IF(AND(BV7&gt;=0.8,BV7&lt;=1.164),ROUND(EXP(-(TRUNC(BV20*BV11*10^8)/10^8)-((TRUNC(0.8*BV20*BV11*10^8)/10^8)*TRUNC(BV20*BV11*10^8)/10^8)),4),"Den.out")</f>
        <v>0.99770000000000003</v>
      </c>
      <c r="BW21" s="318" t="s">
        <v>34</v>
      </c>
      <c r="BX21" s="344" t="str">
        <f>IF(AND(BX7&gt;=0.8,BX7&lt;=1.164),ROUND(EXP(-(TRUNC(BX20*BX11*10^8)/10^8)-((TRUNC(0.8*BX20*BX11*10^8)/10^8)*TRUNC(BX20*BX11*10^8)/10^8)),4),"Den.out")</f>
        <v>Den.out</v>
      </c>
      <c r="BY21" s="318" t="s">
        <v>34</v>
      </c>
      <c r="BZ21" s="344" t="str">
        <f>IF(AND(BZ7&gt;=0.8,BZ7&lt;=1.164),ROUND(EXP(-(TRUNC(BZ20*BZ11*10^8)/10^8)-((TRUNC(0.8*BZ20*BZ11*10^8)/10^8)*TRUNC(BZ20*BZ11*10^8)/10^8)),4),"Den.out")</f>
        <v>Den.out</v>
      </c>
      <c r="CA21" s="318" t="s">
        <v>34</v>
      </c>
      <c r="CB21" s="344" t="str">
        <f>IF(AND(CB7&gt;=0.8,CB7&lt;=1.164),ROUND(EXP(-(TRUNC(CB20*CB11*10^8)/10^8)-((TRUNC(0.8*CB20*CB11*10^8)/10^8)*TRUNC(CB20*CB11*10^8)/10^8)),4),"Den.out")</f>
        <v>Den.out</v>
      </c>
      <c r="CC21" s="318" t="s">
        <v>34</v>
      </c>
      <c r="CD21" s="344" t="str">
        <f>IF(AND(CD7&gt;=0.8,CD7&lt;=1.164),ROUND(EXP(-(TRUNC(CD20*CD11*10^8)/10^8)-((TRUNC(0.8*CD20*CD11*10^8)/10^8)*TRUNC(CD20*CD11*10^8)/10^8)),4),"Den.out")</f>
        <v>Den.out</v>
      </c>
      <c r="CE21" s="318" t="s">
        <v>34</v>
      </c>
      <c r="CF21" s="344" t="str">
        <f>IF(AND(CF7&gt;=0.8,CF7&lt;=1.164),ROUND(EXP(-(TRUNC(CF20*CF11*10^8)/10^8)-((TRUNC(0.8*CF20*CF11*10^8)/10^8)*TRUNC(CF20*CF11*10^8)/10^8)),4),"Den.out")</f>
        <v>Den.out</v>
      </c>
      <c r="CG21" s="318" t="s">
        <v>34</v>
      </c>
      <c r="CH21" s="344" t="str">
        <f>IF(AND(CH7&gt;=0.8,CH7&lt;=1.164),ROUND(EXP(-(TRUNC(CH20*CH11*10^8)/10^8)-((TRUNC(0.8*CH20*CH11*10^8)/10^8)*TRUNC(CH20*CH11*10^8)/10^8)),4),"Den.out")</f>
        <v>Den.out</v>
      </c>
      <c r="CI21" s="318" t="s">
        <v>34</v>
      </c>
      <c r="CJ21" s="344">
        <f>IF(AND(CJ7&gt;=0.8,CJ7&lt;=1.164),ROUND(EXP(-(TRUNC(CJ20*CJ11*10^8)/10^8)-((TRUNC(0.8*CJ20*CJ11*10^8)/10^8)*TRUNC(CJ20*CJ11*10^8)/10^8)),4),"Den.out")</f>
        <v>1.0094000000000001</v>
      </c>
    </row>
    <row r="22" spans="1:88" ht="15" customHeight="1">
      <c r="A22" s="319" t="s">
        <v>193</v>
      </c>
      <c r="B22" s="320">
        <f t="shared" si="1"/>
        <v>1780</v>
      </c>
      <c r="C22" s="320">
        <f t="shared" si="2"/>
        <v>1780</v>
      </c>
      <c r="D22" s="653">
        <f>IF(C22=0,0,LOOKUP(C22-MOD(C22,10),BD4:BD1172,BE4:BE1172)-(LOOKUP(C22-MOD(C22,10),BD4:BD1172,BE4:BE1172)-LOOKUP(C22+10-MOD(C22,10),BD4:BD1172,BE4:BE1172))/10*MOD(C22,10))</f>
        <v>360.92700000000002</v>
      </c>
      <c r="E22" s="654"/>
      <c r="F22" s="321">
        <f>IF(BL22=0,0,LOOKUP(BL22-MOD(BL22,10),C46:C148,D46:D148)-(LOOKUP(BL22-MOD(BL22,10),C46:C148,D46:D148)-LOOKUP(BL22+10-MOD(BL22,10),C46:C148,D46:D148))/10*MOD(BL22,10))</f>
        <v>0.99993399999999999</v>
      </c>
      <c r="G22" s="322">
        <f t="shared" si="4"/>
        <v>360.90317881800001</v>
      </c>
      <c r="H22" s="323">
        <v>0</v>
      </c>
      <c r="I22" s="323">
        <v>0</v>
      </c>
      <c r="J22" s="653">
        <f t="shared" si="5"/>
        <v>360.90317881800001</v>
      </c>
      <c r="K22" s="654"/>
      <c r="L22" s="324">
        <f t="shared" si="6"/>
        <v>18</v>
      </c>
      <c r="M22" s="325">
        <f>CJ30</f>
        <v>0.99629999999999996</v>
      </c>
      <c r="N22" s="326">
        <f t="shared" si="9"/>
        <v>359.56783705637338</v>
      </c>
      <c r="O22" s="326" t="e">
        <f>#REF!*N22</f>
        <v>#REF!</v>
      </c>
      <c r="P22" s="327">
        <f t="shared" si="7"/>
        <v>0.90550487716763017</v>
      </c>
      <c r="Q22" s="328">
        <v>398.59199999999998</v>
      </c>
      <c r="V22" s="346">
        <v>830</v>
      </c>
      <c r="W22" s="333">
        <v>792.92899999999997</v>
      </c>
      <c r="X22" s="346">
        <v>840</v>
      </c>
      <c r="Y22" s="334">
        <v>786.99099999999999</v>
      </c>
      <c r="Z22" s="335">
        <v>830</v>
      </c>
      <c r="AA22" s="334">
        <v>1628.2190000000001</v>
      </c>
      <c r="AB22" s="336">
        <v>830</v>
      </c>
      <c r="AC22" s="334">
        <v>1627.3330000000001</v>
      </c>
      <c r="AD22" s="336">
        <v>830</v>
      </c>
      <c r="AE22" s="334">
        <v>1375.162</v>
      </c>
      <c r="AF22" s="336">
        <v>830</v>
      </c>
      <c r="AG22" s="334">
        <v>1375.588</v>
      </c>
      <c r="AH22" s="336">
        <v>830</v>
      </c>
      <c r="AI22" s="334">
        <v>1375.252</v>
      </c>
      <c r="AJ22" s="336">
        <v>810</v>
      </c>
      <c r="AK22" s="334">
        <v>1375.7840000000001</v>
      </c>
      <c r="AL22" s="336">
        <v>830</v>
      </c>
      <c r="AM22" s="352">
        <v>1375.538</v>
      </c>
      <c r="AN22" s="336">
        <v>830</v>
      </c>
      <c r="AO22" s="334">
        <v>1375.66</v>
      </c>
      <c r="AP22" s="336">
        <v>820</v>
      </c>
      <c r="AQ22" s="334">
        <v>1373.69</v>
      </c>
      <c r="AR22" s="336">
        <v>830</v>
      </c>
      <c r="AS22" s="334">
        <v>1373.9</v>
      </c>
      <c r="AT22" s="336">
        <v>830</v>
      </c>
      <c r="AU22" s="334">
        <v>1372.0820000000001</v>
      </c>
      <c r="AV22" s="336">
        <v>830</v>
      </c>
      <c r="AW22" s="334">
        <v>1371.2460000000001</v>
      </c>
      <c r="AX22" s="336">
        <v>820</v>
      </c>
      <c r="AY22" s="334">
        <v>1296.04</v>
      </c>
      <c r="AZ22" s="336">
        <v>830</v>
      </c>
      <c r="BA22" s="337">
        <v>1296.549</v>
      </c>
      <c r="BB22" s="336">
        <v>810</v>
      </c>
      <c r="BC22" s="334">
        <v>380.024</v>
      </c>
      <c r="BD22" s="336">
        <v>810</v>
      </c>
      <c r="BE22" s="334">
        <v>396.23599999999999</v>
      </c>
      <c r="BF22" s="338" t="s">
        <v>197</v>
      </c>
      <c r="BG22" s="339">
        <f>MASTER!F20</f>
        <v>1780</v>
      </c>
      <c r="BH22" s="340">
        <f t="shared" si="3"/>
        <v>1780</v>
      </c>
      <c r="BI22" s="341"/>
      <c r="BJ22" s="341"/>
      <c r="BK22" s="342">
        <f>MASTER!H20</f>
        <v>1780</v>
      </c>
      <c r="BL22" s="343">
        <f>MASTER!M20</f>
        <v>18</v>
      </c>
      <c r="BM22" s="378"/>
      <c r="BN22" s="639">
        <f t="shared" si="0"/>
        <v>6472.2210670147206</v>
      </c>
      <c r="BO22" s="639"/>
      <c r="BP22" s="639"/>
      <c r="BQ22" s="639"/>
    </row>
    <row r="23" spans="1:88" ht="15" customHeight="1">
      <c r="A23" s="354"/>
      <c r="B23" s="355"/>
      <c r="C23" s="356"/>
      <c r="D23" s="661"/>
      <c r="E23" s="662"/>
      <c r="F23" s="357"/>
      <c r="G23" s="357"/>
      <c r="H23" s="355"/>
      <c r="I23" s="355"/>
      <c r="J23" s="663"/>
      <c r="K23" s="664"/>
      <c r="L23" s="355"/>
      <c r="M23" s="355"/>
      <c r="N23" s="355"/>
      <c r="O23" s="355"/>
      <c r="P23" s="135"/>
      <c r="Q23" s="135"/>
      <c r="V23" s="346">
        <v>840</v>
      </c>
      <c r="W23" s="333">
        <v>792.423</v>
      </c>
      <c r="X23" s="346">
        <v>850</v>
      </c>
      <c r="Y23" s="334">
        <v>786.47500000000002</v>
      </c>
      <c r="Z23" s="335">
        <v>840</v>
      </c>
      <c r="AA23" s="334">
        <v>1627.498</v>
      </c>
      <c r="AB23" s="336">
        <v>840</v>
      </c>
      <c r="AC23" s="334">
        <v>1626.576</v>
      </c>
      <c r="AD23" s="336">
        <v>840</v>
      </c>
      <c r="AE23" s="334">
        <v>1374.5530000000001</v>
      </c>
      <c r="AF23" s="336">
        <v>840</v>
      </c>
      <c r="AG23" s="334">
        <v>1374.9549999999999</v>
      </c>
      <c r="AH23" s="336">
        <v>840</v>
      </c>
      <c r="AI23" s="334">
        <v>1374.6279999999999</v>
      </c>
      <c r="AJ23" s="336">
        <v>820</v>
      </c>
      <c r="AK23" s="334">
        <v>1375.174</v>
      </c>
      <c r="AL23" s="336">
        <v>840</v>
      </c>
      <c r="AM23" s="334">
        <v>1374.925</v>
      </c>
      <c r="AN23" s="336">
        <v>840</v>
      </c>
      <c r="AO23" s="334">
        <v>1375.0519999999999</v>
      </c>
      <c r="AP23" s="336">
        <v>830</v>
      </c>
      <c r="AQ23" s="334">
        <v>1373.09</v>
      </c>
      <c r="AR23" s="336">
        <v>840</v>
      </c>
      <c r="AS23" s="334">
        <v>1373.2840000000001</v>
      </c>
      <c r="AT23" s="336">
        <v>840</v>
      </c>
      <c r="AU23" s="334">
        <v>1371.482</v>
      </c>
      <c r="AV23" s="336">
        <v>840</v>
      </c>
      <c r="AW23" s="334">
        <v>1370.6489999999999</v>
      </c>
      <c r="AX23" s="336">
        <v>830</v>
      </c>
      <c r="AY23" s="334">
        <v>1295.4349999999999</v>
      </c>
      <c r="AZ23" s="336">
        <v>840</v>
      </c>
      <c r="BA23" s="337">
        <v>1295.963</v>
      </c>
      <c r="BB23" s="336">
        <v>820</v>
      </c>
      <c r="BC23" s="334">
        <v>379.82600000000002</v>
      </c>
      <c r="BD23" s="336">
        <v>820</v>
      </c>
      <c r="BE23" s="334">
        <v>396.024</v>
      </c>
      <c r="BF23" s="135"/>
      <c r="BG23" s="135"/>
      <c r="BH23" s="135"/>
      <c r="BI23" s="135"/>
      <c r="BJ23" s="135"/>
      <c r="BK23" s="135"/>
      <c r="BL23" s="135"/>
      <c r="BN23" s="639">
        <f>SUM(BN5:BN22)</f>
        <v>378315.76668354659</v>
      </c>
      <c r="BO23" s="639"/>
      <c r="BP23" s="639"/>
      <c r="BQ23" s="639"/>
      <c r="BS23" s="650" t="s">
        <v>5</v>
      </c>
      <c r="BT23" s="650"/>
      <c r="BU23" s="650" t="s">
        <v>7</v>
      </c>
      <c r="BV23" s="650"/>
      <c r="BW23" s="650" t="s">
        <v>9</v>
      </c>
      <c r="BX23" s="650"/>
      <c r="BY23" s="650" t="s">
        <v>11</v>
      </c>
      <c r="BZ23" s="650"/>
      <c r="CA23" s="650" t="s">
        <v>13</v>
      </c>
      <c r="CB23" s="650"/>
      <c r="CC23" s="650" t="s">
        <v>15</v>
      </c>
      <c r="CD23" s="650"/>
      <c r="CE23" s="650" t="s">
        <v>17</v>
      </c>
      <c r="CF23" s="650"/>
      <c r="CG23" s="650" t="s">
        <v>19</v>
      </c>
      <c r="CH23" s="650"/>
      <c r="CI23" s="650" t="s">
        <v>249</v>
      </c>
      <c r="CJ23" s="650"/>
    </row>
    <row r="24" spans="1:88" ht="15" customHeight="1">
      <c r="A24" s="358" t="s">
        <v>250</v>
      </c>
      <c r="B24" s="355"/>
      <c r="C24" s="356"/>
      <c r="D24" s="663">
        <f>SUM(D5:D22)</f>
        <v>21093.743000000002</v>
      </c>
      <c r="E24" s="664">
        <f>SUM(E5:E22)</f>
        <v>0</v>
      </c>
      <c r="F24" s="359"/>
      <c r="G24" s="360">
        <f>SUM(G5:G22)</f>
        <v>21092.350812961995</v>
      </c>
      <c r="H24" s="355"/>
      <c r="I24" s="355">
        <f>SUM(I5:I22)</f>
        <v>0</v>
      </c>
      <c r="J24" s="663">
        <f>SUM(J5:J22)</f>
        <v>21092.350812961995</v>
      </c>
      <c r="K24" s="664">
        <f>SUM(K5:K22)</f>
        <v>0</v>
      </c>
      <c r="L24" s="361">
        <f>BN23/N24</f>
        <v>18</v>
      </c>
      <c r="M24" s="355"/>
      <c r="N24" s="360">
        <f>SUM(N5:N22)</f>
        <v>21017.542593530365</v>
      </c>
      <c r="O24" s="360" t="e">
        <f>SUM(O5:O22)</f>
        <v>#REF!</v>
      </c>
      <c r="P24" s="135"/>
      <c r="Q24" s="135"/>
      <c r="V24" s="346">
        <v>850</v>
      </c>
      <c r="W24" s="333">
        <v>791.89499999999998</v>
      </c>
      <c r="X24" s="346">
        <v>860</v>
      </c>
      <c r="Y24" s="334">
        <v>785.93700000000001</v>
      </c>
      <c r="Z24" s="335">
        <v>850</v>
      </c>
      <c r="AA24" s="334">
        <v>1626.7470000000001</v>
      </c>
      <c r="AB24" s="336">
        <v>850</v>
      </c>
      <c r="AC24" s="334">
        <v>1625.787</v>
      </c>
      <c r="AD24" s="336">
        <v>850</v>
      </c>
      <c r="AE24" s="334">
        <v>1373.9190000000001</v>
      </c>
      <c r="AF24" s="336">
        <v>850</v>
      </c>
      <c r="AG24" s="334">
        <v>1374.296</v>
      </c>
      <c r="AH24" s="336">
        <v>850</v>
      </c>
      <c r="AI24" s="334">
        <v>1373.98</v>
      </c>
      <c r="AJ24" s="336">
        <v>830</v>
      </c>
      <c r="AK24" s="334">
        <v>1374.539</v>
      </c>
      <c r="AL24" s="336">
        <v>850</v>
      </c>
      <c r="AM24" s="334">
        <v>1374.289</v>
      </c>
      <c r="AN24" s="336">
        <v>850</v>
      </c>
      <c r="AO24" s="334">
        <v>1374.421</v>
      </c>
      <c r="AP24" s="336">
        <v>840</v>
      </c>
      <c r="AQ24" s="334">
        <v>1372.4659999999999</v>
      </c>
      <c r="AR24" s="336">
        <v>850</v>
      </c>
      <c r="AS24" s="334">
        <v>1372.644</v>
      </c>
      <c r="AT24" s="336">
        <v>850</v>
      </c>
      <c r="AU24" s="334">
        <v>1370.8589999999999</v>
      </c>
      <c r="AV24" s="336">
        <v>850</v>
      </c>
      <c r="AW24" s="334">
        <v>1370.027</v>
      </c>
      <c r="AX24" s="336">
        <v>840</v>
      </c>
      <c r="AY24" s="334">
        <v>1294.807</v>
      </c>
      <c r="AZ24" s="336">
        <v>850</v>
      </c>
      <c r="BA24" s="337">
        <v>1295.3520000000001</v>
      </c>
      <c r="BB24" s="336">
        <v>830</v>
      </c>
      <c r="BC24" s="334">
        <v>379.62099999999998</v>
      </c>
      <c r="BD24" s="336">
        <v>830</v>
      </c>
      <c r="BE24" s="334">
        <v>395.80500000000001</v>
      </c>
      <c r="BF24" s="135"/>
      <c r="BG24" s="135"/>
      <c r="BH24" s="135"/>
      <c r="BI24" s="135"/>
      <c r="BJ24" s="135"/>
      <c r="BK24" s="135"/>
      <c r="BL24" s="135"/>
    </row>
    <row r="25" spans="1:88" ht="15" customHeight="1">
      <c r="A25" s="279"/>
      <c r="B25" s="135"/>
      <c r="C25" s="135"/>
      <c r="D25" s="362"/>
      <c r="E25" s="362"/>
      <c r="F25" s="135"/>
      <c r="G25" s="135"/>
      <c r="H25" s="362"/>
      <c r="I25" s="362"/>
      <c r="J25" s="135"/>
      <c r="K25" s="135"/>
      <c r="L25" s="135"/>
      <c r="M25" s="135"/>
      <c r="N25" s="135"/>
      <c r="O25" s="135"/>
      <c r="V25" s="346">
        <v>860</v>
      </c>
      <c r="W25" s="333">
        <v>791.34699999999998</v>
      </c>
      <c r="X25" s="346">
        <v>870</v>
      </c>
      <c r="Y25" s="334">
        <v>785.37800000000004</v>
      </c>
      <c r="Z25" s="335">
        <v>860</v>
      </c>
      <c r="AA25" s="334">
        <v>1625.9659999999999</v>
      </c>
      <c r="AB25" s="336">
        <v>860</v>
      </c>
      <c r="AC25" s="334">
        <v>1624.9659999999999</v>
      </c>
      <c r="AD25" s="336">
        <v>860</v>
      </c>
      <c r="AE25" s="334">
        <v>1373.2619999999999</v>
      </c>
      <c r="AF25" s="336">
        <v>860</v>
      </c>
      <c r="AG25" s="334">
        <v>1373.6120000000001</v>
      </c>
      <c r="AH25" s="336">
        <v>860</v>
      </c>
      <c r="AI25" s="334">
        <v>1373.308</v>
      </c>
      <c r="AJ25" s="336">
        <v>840</v>
      </c>
      <c r="AK25" s="334">
        <v>1373.8810000000001</v>
      </c>
      <c r="AL25" s="336">
        <v>860</v>
      </c>
      <c r="AM25" s="334">
        <v>1373.6279999999999</v>
      </c>
      <c r="AN25" s="336">
        <v>860</v>
      </c>
      <c r="AO25" s="334">
        <v>1373.7650000000001</v>
      </c>
      <c r="AP25" s="336">
        <v>850</v>
      </c>
      <c r="AQ25" s="334">
        <v>1371.817</v>
      </c>
      <c r="AR25" s="336">
        <v>860</v>
      </c>
      <c r="AS25" s="334">
        <v>1371.979</v>
      </c>
      <c r="AT25" s="336">
        <v>860</v>
      </c>
      <c r="AU25" s="334">
        <v>1370.213</v>
      </c>
      <c r="AV25" s="336">
        <v>860</v>
      </c>
      <c r="AW25" s="334">
        <v>1369.3820000000001</v>
      </c>
      <c r="AX25" s="336">
        <v>850</v>
      </c>
      <c r="AY25" s="334">
        <v>1294.155</v>
      </c>
      <c r="AZ25" s="336">
        <v>860</v>
      </c>
      <c r="BA25" s="337">
        <v>1294.7159999999999</v>
      </c>
      <c r="BB25" s="336">
        <v>840</v>
      </c>
      <c r="BC25" s="334">
        <v>379.40899999999999</v>
      </c>
      <c r="BD25" s="336">
        <v>840</v>
      </c>
      <c r="BE25" s="334">
        <v>395.58</v>
      </c>
      <c r="BS25" s="317" t="s">
        <v>231</v>
      </c>
      <c r="BT25" s="318"/>
      <c r="BU25" s="317" t="s">
        <v>231</v>
      </c>
      <c r="BV25" s="318"/>
      <c r="BW25" s="317" t="s">
        <v>231</v>
      </c>
      <c r="BX25" s="318"/>
      <c r="BY25" s="317" t="s">
        <v>231</v>
      </c>
      <c r="BZ25" s="318"/>
      <c r="CA25" s="317" t="s">
        <v>231</v>
      </c>
      <c r="CB25" s="318"/>
      <c r="CC25" s="317" t="s">
        <v>231</v>
      </c>
      <c r="CD25" s="318"/>
      <c r="CE25" s="317" t="s">
        <v>231</v>
      </c>
      <c r="CF25" s="318"/>
      <c r="CG25" s="317" t="s">
        <v>231</v>
      </c>
      <c r="CH25" s="318"/>
      <c r="CI25" s="317" t="s">
        <v>231</v>
      </c>
      <c r="CJ25" s="318"/>
    </row>
    <row r="26" spans="1:88" ht="15" customHeight="1">
      <c r="A26" s="363"/>
      <c r="B26" s="364"/>
      <c r="C26" s="364"/>
      <c r="D26" s="365"/>
      <c r="E26" s="365"/>
      <c r="F26" s="364"/>
      <c r="G26" s="364"/>
      <c r="H26" s="365"/>
      <c r="I26" s="365"/>
      <c r="J26" s="364"/>
      <c r="K26" s="364"/>
      <c r="L26" s="364"/>
      <c r="M26" s="364"/>
      <c r="N26" s="135"/>
      <c r="O26" s="135"/>
      <c r="V26" s="346">
        <v>870</v>
      </c>
      <c r="W26" s="333">
        <v>790.77800000000002</v>
      </c>
      <c r="X26" s="346">
        <v>880</v>
      </c>
      <c r="Y26" s="334">
        <v>784.8</v>
      </c>
      <c r="Z26" s="335">
        <v>870</v>
      </c>
      <c r="AA26" s="334">
        <v>1625.1559999999999</v>
      </c>
      <c r="AB26" s="336">
        <v>870</v>
      </c>
      <c r="AC26" s="334">
        <v>1624.115</v>
      </c>
      <c r="AD26" s="336">
        <v>870</v>
      </c>
      <c r="AE26" s="334">
        <v>1372.5809999999999</v>
      </c>
      <c r="AF26" s="336">
        <v>870</v>
      </c>
      <c r="AG26" s="334">
        <v>1372.902</v>
      </c>
      <c r="AH26" s="336">
        <v>870</v>
      </c>
      <c r="AI26" s="334">
        <v>1372.6110000000001</v>
      </c>
      <c r="AJ26" s="336">
        <v>850</v>
      </c>
      <c r="AK26" s="334">
        <v>1373.1990000000001</v>
      </c>
      <c r="AL26" s="336">
        <v>870</v>
      </c>
      <c r="AM26" s="334">
        <v>1372.943</v>
      </c>
      <c r="AN26" s="336">
        <v>870</v>
      </c>
      <c r="AO26" s="334">
        <v>1373.086</v>
      </c>
      <c r="AP26" s="336">
        <v>860</v>
      </c>
      <c r="AQ26" s="334">
        <v>1371.143</v>
      </c>
      <c r="AR26" s="336">
        <v>870</v>
      </c>
      <c r="AS26" s="334">
        <v>1371.29</v>
      </c>
      <c r="AT26" s="336">
        <v>870</v>
      </c>
      <c r="AU26" s="334">
        <v>1369.5429999999999</v>
      </c>
      <c r="AV26" s="336">
        <v>870</v>
      </c>
      <c r="AW26" s="334">
        <v>1368.713</v>
      </c>
      <c r="AX26" s="336">
        <v>860</v>
      </c>
      <c r="AY26" s="334">
        <v>1293.4780000000001</v>
      </c>
      <c r="AZ26" s="336">
        <v>870</v>
      </c>
      <c r="BA26" s="337">
        <v>1294.057</v>
      </c>
      <c r="BB26" s="336">
        <v>850</v>
      </c>
      <c r="BC26" s="334">
        <v>379.19099999999997</v>
      </c>
      <c r="BD26" s="336">
        <v>850</v>
      </c>
      <c r="BE26" s="334">
        <v>395.34899999999999</v>
      </c>
      <c r="BS26" s="344" t="s">
        <v>232</v>
      </c>
      <c r="BT26" s="345" t="s">
        <v>233</v>
      </c>
      <c r="BU26" s="344" t="s">
        <v>232</v>
      </c>
      <c r="BV26" s="345" t="s">
        <v>233</v>
      </c>
      <c r="BW26" s="344" t="s">
        <v>232</v>
      </c>
      <c r="BX26" s="345" t="s">
        <v>233</v>
      </c>
      <c r="BY26" s="344" t="s">
        <v>232</v>
      </c>
      <c r="BZ26" s="345" t="s">
        <v>233</v>
      </c>
      <c r="CA26" s="344" t="s">
        <v>232</v>
      </c>
      <c r="CB26" s="345" t="s">
        <v>233</v>
      </c>
      <c r="CC26" s="344" t="s">
        <v>232</v>
      </c>
      <c r="CD26" s="345" t="s">
        <v>233</v>
      </c>
      <c r="CE26" s="344" t="s">
        <v>232</v>
      </c>
      <c r="CF26" s="345" t="s">
        <v>233</v>
      </c>
      <c r="CG26" s="344" t="s">
        <v>232</v>
      </c>
      <c r="CH26" s="345" t="s">
        <v>233</v>
      </c>
      <c r="CI26" s="344" t="s">
        <v>232</v>
      </c>
      <c r="CJ26" s="345" t="s">
        <v>233</v>
      </c>
    </row>
    <row r="27" spans="1:88" ht="15" customHeight="1">
      <c r="A27" s="135"/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V27" s="346">
        <v>880</v>
      </c>
      <c r="W27" s="333">
        <v>790.19</v>
      </c>
      <c r="X27" s="346">
        <v>890</v>
      </c>
      <c r="Y27" s="334">
        <v>784.20299999999997</v>
      </c>
      <c r="Z27" s="335">
        <v>880</v>
      </c>
      <c r="AA27" s="334">
        <v>1624.316</v>
      </c>
      <c r="AB27" s="336">
        <v>880</v>
      </c>
      <c r="AC27" s="334">
        <v>1623.231</v>
      </c>
      <c r="AD27" s="336">
        <v>880</v>
      </c>
      <c r="AE27" s="334">
        <v>1371.875</v>
      </c>
      <c r="AF27" s="336">
        <v>880</v>
      </c>
      <c r="AG27" s="334">
        <v>1372.1669999999999</v>
      </c>
      <c r="AH27" s="336">
        <v>880</v>
      </c>
      <c r="AI27" s="334">
        <v>1371.8889999999999</v>
      </c>
      <c r="AJ27" s="336">
        <v>860</v>
      </c>
      <c r="AK27" s="334">
        <v>1372.4939999999999</v>
      </c>
      <c r="AL27" s="336">
        <v>880</v>
      </c>
      <c r="AM27" s="334">
        <v>1372.2339999999999</v>
      </c>
      <c r="AN27" s="336">
        <v>880</v>
      </c>
      <c r="AO27" s="334">
        <v>1372.383</v>
      </c>
      <c r="AP27" s="336">
        <v>870</v>
      </c>
      <c r="AQ27" s="334">
        <v>1370.4449999999999</v>
      </c>
      <c r="AR27" s="336">
        <v>880</v>
      </c>
      <c r="AS27" s="334">
        <v>1370.577</v>
      </c>
      <c r="AT27" s="336">
        <v>880</v>
      </c>
      <c r="AU27" s="334">
        <v>1368.85</v>
      </c>
      <c r="AV27" s="336">
        <v>880</v>
      </c>
      <c r="AW27" s="334">
        <v>1368.02</v>
      </c>
      <c r="AX27" s="336">
        <v>870</v>
      </c>
      <c r="AY27" s="334">
        <v>1292.778</v>
      </c>
      <c r="AZ27" s="336">
        <v>880</v>
      </c>
      <c r="BA27" s="337">
        <v>1293.3720000000001</v>
      </c>
      <c r="BB27" s="336">
        <v>860</v>
      </c>
      <c r="BC27" s="334">
        <v>378.96600000000001</v>
      </c>
      <c r="BD27" s="336">
        <v>860</v>
      </c>
      <c r="BE27" s="334">
        <v>395.11099999999999</v>
      </c>
      <c r="BS27" s="318" t="s">
        <v>234</v>
      </c>
      <c r="BT27" s="345" t="s">
        <v>235</v>
      </c>
      <c r="BU27" s="318" t="s">
        <v>234</v>
      </c>
      <c r="BV27" s="345" t="s">
        <v>235</v>
      </c>
      <c r="BW27" s="318" t="s">
        <v>234</v>
      </c>
      <c r="BX27" s="345" t="s">
        <v>235</v>
      </c>
      <c r="BY27" s="318" t="s">
        <v>234</v>
      </c>
      <c r="BZ27" s="345" t="s">
        <v>235</v>
      </c>
      <c r="CA27" s="318" t="s">
        <v>234</v>
      </c>
      <c r="CB27" s="345" t="s">
        <v>235</v>
      </c>
      <c r="CC27" s="318" t="s">
        <v>234</v>
      </c>
      <c r="CD27" s="345" t="s">
        <v>235</v>
      </c>
      <c r="CE27" s="318" t="s">
        <v>234</v>
      </c>
      <c r="CF27" s="345" t="s">
        <v>235</v>
      </c>
      <c r="CG27" s="318" t="s">
        <v>234</v>
      </c>
      <c r="CH27" s="345" t="s">
        <v>235</v>
      </c>
      <c r="CI27" s="318" t="s">
        <v>234</v>
      </c>
      <c r="CJ27" s="345" t="s">
        <v>235</v>
      </c>
    </row>
    <row r="28" spans="1:88" ht="15">
      <c r="A28" s="665"/>
      <c r="B28" s="666"/>
      <c r="C28" s="666"/>
      <c r="D28" s="667"/>
      <c r="E28" s="665"/>
      <c r="F28" s="666"/>
      <c r="G28" s="667"/>
      <c r="H28" s="665"/>
      <c r="I28" s="666"/>
      <c r="J28" s="666"/>
      <c r="K28" s="667"/>
      <c r="L28" s="665"/>
      <c r="M28" s="666"/>
      <c r="N28" s="666"/>
      <c r="O28" s="667"/>
      <c r="V28" s="346">
        <v>890</v>
      </c>
      <c r="W28" s="333">
        <v>789.58399999999995</v>
      </c>
      <c r="X28" s="346">
        <v>900</v>
      </c>
      <c r="Y28" s="334">
        <v>783.59</v>
      </c>
      <c r="Z28" s="335">
        <v>890</v>
      </c>
      <c r="AA28" s="334">
        <v>1623.4459999999999</v>
      </c>
      <c r="AB28" s="336">
        <v>890</v>
      </c>
      <c r="AC28" s="334">
        <v>1622.317</v>
      </c>
      <c r="AD28" s="336">
        <v>890</v>
      </c>
      <c r="AE28" s="334">
        <v>1371.145</v>
      </c>
      <c r="AF28" s="336">
        <v>890</v>
      </c>
      <c r="AG28" s="334">
        <v>1371.4069999999999</v>
      </c>
      <c r="AH28" s="336">
        <v>890</v>
      </c>
      <c r="AI28" s="334">
        <v>1371.143</v>
      </c>
      <c r="AJ28" s="336">
        <v>870</v>
      </c>
      <c r="AK28" s="334">
        <v>1371.7650000000001</v>
      </c>
      <c r="AL28" s="336">
        <v>890</v>
      </c>
      <c r="AM28" s="334">
        <v>1371.501</v>
      </c>
      <c r="AN28" s="336">
        <v>890</v>
      </c>
      <c r="AO28" s="334">
        <v>1371.6559999999999</v>
      </c>
      <c r="AP28" s="336">
        <v>880</v>
      </c>
      <c r="AQ28" s="334">
        <v>1369.722</v>
      </c>
      <c r="AR28" s="336">
        <v>890</v>
      </c>
      <c r="AS28" s="334">
        <v>1369.84</v>
      </c>
      <c r="AT28" s="336">
        <v>890</v>
      </c>
      <c r="AU28" s="334">
        <v>1368.134</v>
      </c>
      <c r="AV28" s="336">
        <v>890</v>
      </c>
      <c r="AW28" s="334">
        <v>1367.3040000000001</v>
      </c>
      <c r="AX28" s="336">
        <v>880</v>
      </c>
      <c r="AY28" s="334">
        <v>1292.0530000000001</v>
      </c>
      <c r="AZ28" s="336">
        <v>890</v>
      </c>
      <c r="BA28" s="337">
        <v>1292.664</v>
      </c>
      <c r="BB28" s="336">
        <v>870</v>
      </c>
      <c r="BC28" s="334">
        <v>378.73399999999998</v>
      </c>
      <c r="BD28" s="336">
        <v>870</v>
      </c>
      <c r="BE28" s="334">
        <v>394.86599999999999</v>
      </c>
      <c r="BS28" s="318" t="s">
        <v>236</v>
      </c>
      <c r="BT28" s="347">
        <f>MASTER!$N$4</f>
        <v>0.73770000000000002</v>
      </c>
      <c r="BU28" s="318" t="s">
        <v>236</v>
      </c>
      <c r="BV28" s="347">
        <f>MASTER!$N$6</f>
        <v>0.73770000000000002</v>
      </c>
      <c r="BW28" s="318" t="s">
        <v>236</v>
      </c>
      <c r="BX28" s="347">
        <f>MASTER!$N$8</f>
        <v>0.73770000000000002</v>
      </c>
      <c r="BY28" s="318" t="s">
        <v>236</v>
      </c>
      <c r="BZ28" s="347">
        <f>MASTER!$N$10</f>
        <v>0.83260000000000001</v>
      </c>
      <c r="CA28" s="318" t="s">
        <v>236</v>
      </c>
      <c r="CB28" s="347">
        <f>MASTER!$N$12</f>
        <v>0.73770000000000002</v>
      </c>
      <c r="CC28" s="318" t="s">
        <v>236</v>
      </c>
      <c r="CD28" s="347">
        <f>MASTER!$N$14</f>
        <v>0.73770000000000002</v>
      </c>
      <c r="CE28" s="318" t="s">
        <v>236</v>
      </c>
      <c r="CF28" s="347">
        <f>MASTER!$N$16</f>
        <v>0.73770000000000002</v>
      </c>
      <c r="CG28" s="318" t="s">
        <v>236</v>
      </c>
      <c r="CH28" s="347">
        <f>MASTER!$N$18</f>
        <v>0.73770000000000002</v>
      </c>
      <c r="CI28" s="318" t="s">
        <v>236</v>
      </c>
      <c r="CJ28" s="347">
        <f>MASTER!$N$20</f>
        <v>0.73770000000000002</v>
      </c>
    </row>
    <row r="29" spans="1:88" ht="15" customHeight="1" thickBot="1">
      <c r="A29" s="665"/>
      <c r="B29" s="666"/>
      <c r="C29" s="666"/>
      <c r="D29" s="667"/>
      <c r="E29" s="665"/>
      <c r="F29" s="666"/>
      <c r="G29" s="667"/>
      <c r="H29" s="665"/>
      <c r="I29" s="666"/>
      <c r="J29" s="666"/>
      <c r="K29" s="667"/>
      <c r="L29" s="665"/>
      <c r="M29" s="666"/>
      <c r="N29" s="666"/>
      <c r="O29" s="667"/>
      <c r="V29" s="346">
        <v>900</v>
      </c>
      <c r="W29" s="333">
        <v>788.96199999999999</v>
      </c>
      <c r="X29" s="346">
        <v>910</v>
      </c>
      <c r="Y29" s="334">
        <v>782.96100000000001</v>
      </c>
      <c r="Z29" s="335">
        <v>900</v>
      </c>
      <c r="AA29" s="334">
        <v>1622.547</v>
      </c>
      <c r="AB29" s="336">
        <v>900</v>
      </c>
      <c r="AC29" s="334">
        <v>1621.37</v>
      </c>
      <c r="AD29" s="336">
        <v>900</v>
      </c>
      <c r="AE29" s="334">
        <v>1370.3910000000001</v>
      </c>
      <c r="AF29" s="336">
        <v>900</v>
      </c>
      <c r="AG29" s="334">
        <v>1370.6220000000001</v>
      </c>
      <c r="AH29" s="336">
        <v>900</v>
      </c>
      <c r="AI29" s="334">
        <v>1370.3710000000001</v>
      </c>
      <c r="AJ29" s="336">
        <v>880</v>
      </c>
      <c r="AK29" s="334">
        <v>1371.0129999999999</v>
      </c>
      <c r="AL29" s="336">
        <v>900</v>
      </c>
      <c r="AM29" s="334">
        <v>1370.7429999999999</v>
      </c>
      <c r="AN29" s="336">
        <v>900</v>
      </c>
      <c r="AO29" s="334">
        <v>1370.905</v>
      </c>
      <c r="AP29" s="336">
        <v>890</v>
      </c>
      <c r="AQ29" s="334">
        <v>1368.9739999999999</v>
      </c>
      <c r="AR29" s="336">
        <v>900</v>
      </c>
      <c r="AS29" s="334">
        <v>1369.079</v>
      </c>
      <c r="AT29" s="336">
        <v>900</v>
      </c>
      <c r="AU29" s="334">
        <v>1367.395</v>
      </c>
      <c r="AV29" s="336">
        <v>900</v>
      </c>
      <c r="AW29" s="334">
        <v>1366.5630000000001</v>
      </c>
      <c r="AX29" s="336">
        <v>890</v>
      </c>
      <c r="AY29" s="334">
        <v>1291.3040000000001</v>
      </c>
      <c r="AZ29" s="336">
        <v>900</v>
      </c>
      <c r="BA29" s="337">
        <v>1291.931</v>
      </c>
      <c r="BB29" s="336">
        <v>880</v>
      </c>
      <c r="BC29" s="334">
        <v>378.49299999999999</v>
      </c>
      <c r="BD29" s="336">
        <v>880</v>
      </c>
      <c r="BE29" s="334">
        <v>394.613</v>
      </c>
      <c r="BS29" s="318" t="s">
        <v>237</v>
      </c>
      <c r="BT29" s="348">
        <f>L6</f>
        <v>18</v>
      </c>
      <c r="BU29" s="318" t="s">
        <v>237</v>
      </c>
      <c r="BV29" s="348">
        <f>L8</f>
        <v>18</v>
      </c>
      <c r="BW29" s="318" t="s">
        <v>237</v>
      </c>
      <c r="BX29" s="348">
        <f>L10</f>
        <v>18</v>
      </c>
      <c r="BY29" s="318" t="s">
        <v>237</v>
      </c>
      <c r="BZ29" s="348">
        <f>L12</f>
        <v>18</v>
      </c>
      <c r="CA29" s="318" t="s">
        <v>237</v>
      </c>
      <c r="CB29" s="348">
        <f>L14</f>
        <v>18</v>
      </c>
      <c r="CC29" s="318" t="s">
        <v>237</v>
      </c>
      <c r="CD29" s="348">
        <f>L16</f>
        <v>18</v>
      </c>
      <c r="CE29" s="318" t="s">
        <v>237</v>
      </c>
      <c r="CF29" s="348">
        <f>L18</f>
        <v>18</v>
      </c>
      <c r="CG29" s="318" t="s">
        <v>237</v>
      </c>
      <c r="CH29" s="348">
        <f>L20</f>
        <v>18</v>
      </c>
      <c r="CI29" s="318" t="s">
        <v>237</v>
      </c>
      <c r="CJ29" s="348">
        <f>L22</f>
        <v>18</v>
      </c>
    </row>
    <row r="30" spans="1:88" ht="15" customHeight="1" thickBot="1">
      <c r="A30" s="665"/>
      <c r="B30" s="666"/>
      <c r="C30" s="666"/>
      <c r="D30" s="667"/>
      <c r="E30" s="665"/>
      <c r="F30" s="666"/>
      <c r="G30" s="667"/>
      <c r="H30" s="665"/>
      <c r="I30" s="666"/>
      <c r="J30" s="666"/>
      <c r="K30" s="667"/>
      <c r="L30" s="665"/>
      <c r="M30" s="666"/>
      <c r="N30" s="666"/>
      <c r="O30" s="667"/>
      <c r="V30" s="346">
        <v>910</v>
      </c>
      <c r="W30" s="333">
        <v>788.32500000000005</v>
      </c>
      <c r="X30" s="346">
        <v>920</v>
      </c>
      <c r="Y30" s="334">
        <v>782.32</v>
      </c>
      <c r="Z30" s="335">
        <v>910</v>
      </c>
      <c r="AA30" s="334">
        <v>1621.6189999999999</v>
      </c>
      <c r="AB30" s="336">
        <v>910</v>
      </c>
      <c r="AC30" s="334">
        <v>1620.393</v>
      </c>
      <c r="AD30" s="336">
        <v>910</v>
      </c>
      <c r="AE30" s="334">
        <v>1369.6120000000001</v>
      </c>
      <c r="AF30" s="336">
        <v>910</v>
      </c>
      <c r="AG30" s="334">
        <v>1369.8119999999999</v>
      </c>
      <c r="AH30" s="336">
        <v>910</v>
      </c>
      <c r="AI30" s="334">
        <v>1369.576</v>
      </c>
      <c r="AJ30" s="336">
        <v>890</v>
      </c>
      <c r="AK30" s="334">
        <v>1370.2370000000001</v>
      </c>
      <c r="AL30" s="336">
        <v>910</v>
      </c>
      <c r="AM30" s="334">
        <v>1369.961</v>
      </c>
      <c r="AN30" s="336">
        <v>910</v>
      </c>
      <c r="AO30" s="334">
        <v>1370.13</v>
      </c>
      <c r="AP30" s="336">
        <v>900</v>
      </c>
      <c r="AQ30" s="334">
        <v>1368.201</v>
      </c>
      <c r="AR30" s="336">
        <v>910</v>
      </c>
      <c r="AS30" s="334">
        <v>1368.2940000000001</v>
      </c>
      <c r="AT30" s="336">
        <v>910</v>
      </c>
      <c r="AU30" s="334">
        <v>1366.6320000000001</v>
      </c>
      <c r="AV30" s="336">
        <v>910</v>
      </c>
      <c r="AW30" s="334">
        <v>1365.798</v>
      </c>
      <c r="AX30" s="336">
        <v>900</v>
      </c>
      <c r="AY30" s="334">
        <v>1290.5309999999999</v>
      </c>
      <c r="AZ30" s="336">
        <v>910</v>
      </c>
      <c r="BA30" s="337">
        <v>1291.174</v>
      </c>
      <c r="BB30" s="336">
        <v>890</v>
      </c>
      <c r="BC30" s="334">
        <v>378.24400000000003</v>
      </c>
      <c r="BD30" s="336">
        <v>890</v>
      </c>
      <c r="BE30" s="334">
        <v>394.35199999999998</v>
      </c>
      <c r="BS30" s="318" t="s">
        <v>34</v>
      </c>
      <c r="BT30" s="350">
        <f>IF(UPPER(BT26)="A",BT34,IF(UPPER(BT26)="B",BT40,IF(UPPER(BT26)="D",BT42,"")))</f>
        <v>0.99629999999999996</v>
      </c>
      <c r="BU30" s="318" t="s">
        <v>34</v>
      </c>
      <c r="BV30" s="350">
        <f>IF(UPPER(BV26)="A",BV34,IF(UPPER(BV26)="B",BV40,IF(UPPER(BV26)="D",BV42,"")))</f>
        <v>0.99629999999999996</v>
      </c>
      <c r="BW30" s="318" t="s">
        <v>34</v>
      </c>
      <c r="BX30" s="350">
        <f>IF(UPPER(BX26)="A",BX34,IF(UPPER(BX26)="B",BX40,IF(UPPER(BX26)="D",BX42,"")))</f>
        <v>0.99629999999999996</v>
      </c>
      <c r="BY30" s="318" t="s">
        <v>34</v>
      </c>
      <c r="BZ30" s="350">
        <f>IF(UPPER(BZ26)="A",BZ34,IF(UPPER(BZ26)="B",BZ40,IF(UPPER(BZ26)="D",BZ42,"")))</f>
        <v>0.99739999999999995</v>
      </c>
      <c r="CA30" s="318" t="s">
        <v>34</v>
      </c>
      <c r="CB30" s="350">
        <f>IF(UPPER(CB26)="A",CB34,IF(UPPER(CB26)="B",CB40,IF(UPPER(CB26)="D",CB42,"")))</f>
        <v>0.99629999999999996</v>
      </c>
      <c r="CC30" s="318" t="s">
        <v>34</v>
      </c>
      <c r="CD30" s="350">
        <f>IF(UPPER(CD26)="A",CD34,IF(UPPER(CD26)="B",CD40,IF(UPPER(CD26)="D",CD42,"")))</f>
        <v>0.99629999999999996</v>
      </c>
      <c r="CE30" s="318" t="s">
        <v>34</v>
      </c>
      <c r="CF30" s="350">
        <f>IF(UPPER(CF26)="A",CF34,IF(UPPER(CF26)="B",CF40,IF(UPPER(CF26)="D",CF42,"")))</f>
        <v>0.99629999999999996</v>
      </c>
      <c r="CG30" s="318" t="s">
        <v>34</v>
      </c>
      <c r="CH30" s="350">
        <f>IF(UPPER(CH26)="A",CH34,IF(UPPER(CH26)="B",CH40,IF(UPPER(CH26)="D",CH42,"")))</f>
        <v>0.99629999999999996</v>
      </c>
      <c r="CI30" s="318" t="s">
        <v>34</v>
      </c>
      <c r="CJ30" s="350">
        <f>IF(UPPER(CJ26)="A",CJ34,IF(UPPER(CJ26)="B",CJ40,IF(UPPER(CJ26)="D",CJ42,"")))</f>
        <v>0.99629999999999996</v>
      </c>
    </row>
    <row r="31" spans="1:88" ht="15" customHeight="1">
      <c r="A31" s="665"/>
      <c r="B31" s="666"/>
      <c r="C31" s="666"/>
      <c r="D31" s="667"/>
      <c r="E31" s="665"/>
      <c r="F31" s="666"/>
      <c r="G31" s="667"/>
      <c r="H31" s="668"/>
      <c r="I31" s="669"/>
      <c r="J31" s="669"/>
      <c r="K31" s="670"/>
      <c r="L31" s="663"/>
      <c r="M31" s="671"/>
      <c r="N31" s="671"/>
      <c r="O31" s="664"/>
      <c r="V31" s="346">
        <v>920</v>
      </c>
      <c r="W31" s="333">
        <v>787.67600000000004</v>
      </c>
      <c r="X31" s="346">
        <v>930</v>
      </c>
      <c r="Y31" s="334">
        <v>781.66600000000005</v>
      </c>
      <c r="Z31" s="335">
        <v>920</v>
      </c>
      <c r="AA31" s="334">
        <v>1620.66</v>
      </c>
      <c r="AB31" s="336">
        <v>920</v>
      </c>
      <c r="AC31" s="334">
        <v>1619.383</v>
      </c>
      <c r="AD31" s="336">
        <v>920</v>
      </c>
      <c r="AE31" s="334">
        <v>1368.81</v>
      </c>
      <c r="AF31" s="336">
        <v>920</v>
      </c>
      <c r="AG31" s="334">
        <v>1368.9760000000001</v>
      </c>
      <c r="AH31" s="336">
        <v>920</v>
      </c>
      <c r="AI31" s="334">
        <v>1368.7560000000001</v>
      </c>
      <c r="AJ31" s="336">
        <v>900</v>
      </c>
      <c r="AK31" s="334">
        <v>1369.4369999999999</v>
      </c>
      <c r="AL31" s="336">
        <v>920</v>
      </c>
      <c r="AM31" s="334">
        <v>1369.155</v>
      </c>
      <c r="AN31" s="336">
        <v>920</v>
      </c>
      <c r="AO31" s="334">
        <v>1369.3320000000001</v>
      </c>
      <c r="AP31" s="336">
        <v>910</v>
      </c>
      <c r="AQ31" s="334">
        <v>1367.404</v>
      </c>
      <c r="AR31" s="336">
        <v>920</v>
      </c>
      <c r="AS31" s="334">
        <v>1367.4839999999999</v>
      </c>
      <c r="AT31" s="336">
        <v>920</v>
      </c>
      <c r="AU31" s="334">
        <v>1365.846</v>
      </c>
      <c r="AV31" s="336">
        <v>920</v>
      </c>
      <c r="AW31" s="334">
        <v>1365.01</v>
      </c>
      <c r="AX31" s="336">
        <v>910</v>
      </c>
      <c r="AY31" s="334">
        <v>1289.7339999999999</v>
      </c>
      <c r="AZ31" s="336">
        <v>920</v>
      </c>
      <c r="BA31" s="337">
        <v>1290.393</v>
      </c>
      <c r="BB31" s="336">
        <v>900</v>
      </c>
      <c r="BC31" s="334">
        <v>377.98599999999999</v>
      </c>
      <c r="BD31" s="336">
        <v>900</v>
      </c>
      <c r="BE31" s="334">
        <v>394.08199999999999</v>
      </c>
      <c r="BS31" s="318" t="s">
        <v>238</v>
      </c>
      <c r="BT31" s="318">
        <f>IF(UPPER(BT27)="R",TRUNC((BT28*1000+0.25)*2)/2,TRUNC(BT28*500+0.5)*2)</f>
        <v>737.5</v>
      </c>
      <c r="BU31" s="318" t="s">
        <v>238</v>
      </c>
      <c r="BV31" s="318">
        <f>IF(UPPER(BV27)="R",TRUNC((BV28*1000+0.25)*2)/2,TRUNC(BV28*500+0.5)*2)</f>
        <v>737.5</v>
      </c>
      <c r="BW31" s="318" t="s">
        <v>238</v>
      </c>
      <c r="BX31" s="318">
        <f>IF(UPPER(BX27)="R",TRUNC((BX28*1000+0.25)*2)/2,TRUNC(BX28*500+0.5)*2)</f>
        <v>737.5</v>
      </c>
      <c r="BY31" s="318" t="s">
        <v>238</v>
      </c>
      <c r="BZ31" s="318">
        <f>IF(UPPER(BZ27)="R",TRUNC((BZ28*1000+0.25)*2)/2,TRUNC(BZ28*500+0.5)*2)</f>
        <v>832.5</v>
      </c>
      <c r="CA31" s="318" t="s">
        <v>238</v>
      </c>
      <c r="CB31" s="318">
        <f>IF(UPPER(CB27)="R",TRUNC((CB28*1000+0.25)*2)/2,TRUNC(CB28*500+0.5)*2)</f>
        <v>737.5</v>
      </c>
      <c r="CC31" s="318" t="s">
        <v>238</v>
      </c>
      <c r="CD31" s="318">
        <f>IF(UPPER(CD27)="R",TRUNC((CD28*1000+0.25)*2)/2,TRUNC(CD28*500+0.5)*2)</f>
        <v>737.5</v>
      </c>
      <c r="CE31" s="318" t="s">
        <v>238</v>
      </c>
      <c r="CF31" s="318">
        <f>IF(UPPER(CF27)="R",TRUNC((CF28*1000+0.25)*2)/2,TRUNC(CF28*500+0.5)*2)</f>
        <v>737.5</v>
      </c>
      <c r="CG31" s="318" t="s">
        <v>238</v>
      </c>
      <c r="CH31" s="318">
        <f>IF(UPPER(CH27)="R",TRUNC((CH28*1000+0.25)*2)/2,TRUNC(CH28*500+0.5)*2)</f>
        <v>737.5</v>
      </c>
      <c r="CI31" s="318" t="s">
        <v>238</v>
      </c>
      <c r="CJ31" s="318">
        <f>IF(UPPER(CJ27)="R",TRUNC((CJ28*1000+0.25)*2)/2,TRUNC(CJ28*500+0.5)*2)</f>
        <v>737.5</v>
      </c>
    </row>
    <row r="32" spans="1:88" ht="16.5" customHeight="1">
      <c r="A32" s="366"/>
      <c r="B32" s="366"/>
      <c r="C32" s="366"/>
      <c r="D32" s="366"/>
      <c r="E32" s="366"/>
      <c r="F32" s="366"/>
      <c r="G32" s="366"/>
      <c r="H32" s="366"/>
      <c r="I32" s="366"/>
      <c r="J32" s="366"/>
      <c r="K32" s="366"/>
      <c r="L32" s="362"/>
      <c r="M32" s="362"/>
      <c r="N32" s="135"/>
      <c r="O32" s="135"/>
      <c r="V32" s="346">
        <v>930</v>
      </c>
      <c r="W32" s="333">
        <v>787.01400000000001</v>
      </c>
      <c r="X32" s="346">
        <v>940</v>
      </c>
      <c r="Y32" s="334">
        <v>781</v>
      </c>
      <c r="Z32" s="335">
        <v>930</v>
      </c>
      <c r="AA32" s="334">
        <v>1619.673</v>
      </c>
      <c r="AB32" s="336">
        <v>930</v>
      </c>
      <c r="AC32" s="334">
        <v>1618.3430000000001</v>
      </c>
      <c r="AD32" s="336">
        <v>930</v>
      </c>
      <c r="AE32" s="334">
        <v>1367.9829999999999</v>
      </c>
      <c r="AF32" s="336">
        <v>930</v>
      </c>
      <c r="AG32" s="334">
        <v>1368.115</v>
      </c>
      <c r="AH32" s="336">
        <v>930</v>
      </c>
      <c r="AI32" s="334">
        <v>1367.9110000000001</v>
      </c>
      <c r="AJ32" s="336">
        <v>910</v>
      </c>
      <c r="AK32" s="334">
        <v>1368.614</v>
      </c>
      <c r="AL32" s="336">
        <v>930</v>
      </c>
      <c r="AM32" s="334">
        <v>1368.3240000000001</v>
      </c>
      <c r="AN32" s="336">
        <v>930</v>
      </c>
      <c r="AO32" s="334">
        <v>1368.509</v>
      </c>
      <c r="AP32" s="336">
        <v>920</v>
      </c>
      <c r="AQ32" s="334">
        <v>1366.5820000000001</v>
      </c>
      <c r="AR32" s="336">
        <v>930</v>
      </c>
      <c r="AS32" s="334">
        <v>1366.65</v>
      </c>
      <c r="AT32" s="336">
        <v>930</v>
      </c>
      <c r="AU32" s="334">
        <v>1365.037</v>
      </c>
      <c r="AV32" s="336">
        <v>930</v>
      </c>
      <c r="AW32" s="334">
        <v>1364.1969999999999</v>
      </c>
      <c r="AX32" s="336">
        <v>920</v>
      </c>
      <c r="AY32" s="334">
        <v>1288.913</v>
      </c>
      <c r="AZ32" s="336">
        <v>930</v>
      </c>
      <c r="BA32" s="337">
        <v>1289.587</v>
      </c>
      <c r="BB32" s="336">
        <v>910</v>
      </c>
      <c r="BC32" s="334">
        <v>377.71899999999999</v>
      </c>
      <c r="BD32" s="336">
        <v>910</v>
      </c>
      <c r="BE32" s="334">
        <v>393.803</v>
      </c>
      <c r="BS32" s="318" t="s">
        <v>239</v>
      </c>
      <c r="BT32" s="318">
        <f>IF(UPPER(BT27)="R",IF(BT29&gt;0,TRUNC((BT29*40+1)/2)/20-15,TRUNC((ABS(BT29)*40+1)/2)/20*-1-15),IF(BT29&gt;0,(TRUNC(BT29*4+0.5)/4-15),(TRUNC(ABS(BT29)*4+0.5)/4)*-1-15))</f>
        <v>3</v>
      </c>
      <c r="BU32" s="318" t="s">
        <v>239</v>
      </c>
      <c r="BV32" s="318">
        <f>IF(UPPER(BV27)="R",IF(BV29&gt;0,TRUNC((BV29*40+1)/2)/20-15,TRUNC((ABS(BV29)*40+1)/2)/20*-1-15),IF(BV29&gt;0,(TRUNC(BV29*4+0.5)/4-15),(TRUNC(ABS(BV29)*4+0.5)/4)*-1-15))</f>
        <v>3</v>
      </c>
      <c r="BW32" s="318" t="s">
        <v>239</v>
      </c>
      <c r="BX32" s="318">
        <f>IF(UPPER(BX27)="R",IF(BX29&gt;0,TRUNC((BX29*40+1)/2)/20-15,TRUNC((ABS(BX29)*40+1)/2)/20*-1-15),IF(BX29&gt;0,(TRUNC(BX29*4+0.5)/4-15),(TRUNC(ABS(BX29)*4+0.5)/4)*-1-15))</f>
        <v>3</v>
      </c>
      <c r="BY32" s="318" t="s">
        <v>239</v>
      </c>
      <c r="BZ32" s="318">
        <f>IF(UPPER(BZ27)="R",IF(BZ29&gt;0,TRUNC((BZ29*40+1)/2)/20-15,TRUNC((ABS(BZ29)*40+1)/2)/20*-1-15),IF(BZ29&gt;0,(TRUNC(BZ29*4+0.5)/4-15),(TRUNC(ABS(BZ29)*4+0.5)/4)*-1-15))</f>
        <v>3</v>
      </c>
      <c r="CA32" s="318" t="s">
        <v>239</v>
      </c>
      <c r="CB32" s="318">
        <f>IF(UPPER(CB27)="R",IF(CB29&gt;0,TRUNC((CB29*40+1)/2)/20-15,TRUNC((ABS(CB29)*40+1)/2)/20*-1-15),IF(CB29&gt;0,(TRUNC(CB29*4+0.5)/4-15),(TRUNC(ABS(CB29)*4+0.5)/4)*-1-15))</f>
        <v>3</v>
      </c>
      <c r="CC32" s="318" t="s">
        <v>239</v>
      </c>
      <c r="CD32" s="318">
        <f>IF(UPPER(CD27)="R",IF(CD29&gt;0,TRUNC((CD29*40+1)/2)/20-15,TRUNC((ABS(CD29)*40+1)/2)/20*-1-15),IF(CD29&gt;0,(TRUNC(CD29*4+0.5)/4-15),(TRUNC(ABS(CD29)*4+0.5)/4)*-1-15))</f>
        <v>3</v>
      </c>
      <c r="CE32" s="318" t="s">
        <v>239</v>
      </c>
      <c r="CF32" s="318">
        <f>IF(UPPER(CF27)="R",IF(CF29&gt;0,TRUNC((CF29*40+1)/2)/20-15,TRUNC((ABS(CF29)*40+1)/2)/20*-1-15),IF(CF29&gt;0,(TRUNC(CF29*4+0.5)/4-15),(TRUNC(ABS(CF29)*4+0.5)/4)*-1-15))</f>
        <v>3</v>
      </c>
      <c r="CG32" s="318" t="s">
        <v>239</v>
      </c>
      <c r="CH32" s="318">
        <f>IF(UPPER(CH27)="R",IF(CH29&gt;0,TRUNC((CH29*40+1)/2)/20-15,TRUNC((ABS(CH29)*40+1)/2)/20*-1-15),IF(CH29&gt;0,(TRUNC(CH29*4+0.5)/4-15),(TRUNC(ABS(CH29)*4+0.5)/4)*-1-15))</f>
        <v>3</v>
      </c>
      <c r="CI32" s="318" t="s">
        <v>239</v>
      </c>
      <c r="CJ32" s="318">
        <f>IF(UPPER(CJ27)="R",IF(CJ29&gt;0,TRUNC((CJ29*40+1)/2)/20-15,TRUNC((ABS(CJ29)*40+1)/2)/20*-1-15),IF(CJ29&gt;0,(TRUNC(CJ29*4+0.5)/4-15),(TRUNC(ABS(CJ29)*4+0.5)/4)*-1-15))</f>
        <v>3</v>
      </c>
    </row>
    <row r="33" spans="1:88" ht="15" customHeight="1">
      <c r="A33" s="366"/>
      <c r="B33" s="366"/>
      <c r="C33" s="366"/>
      <c r="D33" s="366"/>
      <c r="E33" s="366"/>
      <c r="F33" s="366"/>
      <c r="G33" s="366"/>
      <c r="H33" s="366"/>
      <c r="I33" s="366"/>
      <c r="J33" s="366"/>
      <c r="K33" s="366"/>
      <c r="L33" s="362"/>
      <c r="M33" s="362"/>
      <c r="N33" s="135"/>
      <c r="O33" s="135"/>
      <c r="V33" s="346">
        <v>940</v>
      </c>
      <c r="W33" s="333">
        <v>786.34199999999998</v>
      </c>
      <c r="X33" s="346">
        <v>950</v>
      </c>
      <c r="Y33" s="334">
        <v>780.32500000000005</v>
      </c>
      <c r="Z33" s="335">
        <v>940</v>
      </c>
      <c r="AA33" s="334">
        <v>1618.655</v>
      </c>
      <c r="AB33" s="336">
        <v>940</v>
      </c>
      <c r="AC33" s="334">
        <v>1617.27</v>
      </c>
      <c r="AD33" s="336">
        <v>940</v>
      </c>
      <c r="AE33" s="334">
        <v>1367.1320000000001</v>
      </c>
      <c r="AF33" s="336">
        <v>940</v>
      </c>
      <c r="AG33" s="334">
        <v>1367.229</v>
      </c>
      <c r="AH33" s="336">
        <v>940</v>
      </c>
      <c r="AI33" s="334">
        <v>1367.0419999999999</v>
      </c>
      <c r="AJ33" s="336">
        <v>920</v>
      </c>
      <c r="AK33" s="334">
        <v>1367.7670000000001</v>
      </c>
      <c r="AL33" s="336">
        <v>940</v>
      </c>
      <c r="AM33" s="334">
        <v>1367.47</v>
      </c>
      <c r="AN33" s="336">
        <v>940</v>
      </c>
      <c r="AO33" s="334">
        <v>1367.662</v>
      </c>
      <c r="AP33" s="336">
        <v>930</v>
      </c>
      <c r="AQ33" s="334">
        <v>1365.7349999999999</v>
      </c>
      <c r="AR33" s="336">
        <v>940</v>
      </c>
      <c r="AS33" s="334">
        <v>1365.7919999999999</v>
      </c>
      <c r="AT33" s="336">
        <v>940</v>
      </c>
      <c r="AU33" s="334">
        <v>1364.2049999999999</v>
      </c>
      <c r="AV33" s="336">
        <v>940</v>
      </c>
      <c r="AW33" s="334">
        <v>1363.3610000000001</v>
      </c>
      <c r="AX33" s="336">
        <v>930</v>
      </c>
      <c r="AY33" s="334">
        <v>1288.068</v>
      </c>
      <c r="AZ33" s="336">
        <v>940</v>
      </c>
      <c r="BA33" s="337">
        <v>1288.7570000000001</v>
      </c>
      <c r="BB33" s="336">
        <v>920</v>
      </c>
      <c r="BC33" s="334">
        <v>377.44299999999998</v>
      </c>
      <c r="BD33" s="336">
        <v>920</v>
      </c>
      <c r="BE33" s="334">
        <v>393.51600000000002</v>
      </c>
      <c r="BS33" s="318" t="s">
        <v>240</v>
      </c>
      <c r="BT33" s="351">
        <f>ROUND(TRUNC((TRUNC(613.9723/BT31*10^8)/10^8)/BT31*10^10)/10^10,7)</f>
        <v>1.1287999999999999E-3</v>
      </c>
      <c r="BU33" s="318" t="s">
        <v>240</v>
      </c>
      <c r="BV33" s="351">
        <f>ROUND(TRUNC((TRUNC(613.9723/BV31*10^8)/10^8)/BV31*10^10)/10^10,7)</f>
        <v>1.1287999999999999E-3</v>
      </c>
      <c r="BW33" s="318" t="s">
        <v>240</v>
      </c>
      <c r="BX33" s="351">
        <f>ROUND(TRUNC((TRUNC(613.9723/BX31*10^8)/10^8)/BX31*10^10)/10^10,7)</f>
        <v>1.1287999999999999E-3</v>
      </c>
      <c r="BY33" s="318" t="s">
        <v>240</v>
      </c>
      <c r="BZ33" s="351">
        <f>ROUND(TRUNC((TRUNC(613.9723/BZ31*10^8)/10^8)/BZ31*10^10)/10^10,7)</f>
        <v>8.8590000000000001E-4</v>
      </c>
      <c r="CA33" s="318" t="s">
        <v>240</v>
      </c>
      <c r="CB33" s="351">
        <f>ROUND(TRUNC((TRUNC(613.9723/CB31*10^8)/10^8)/CB31*10^10)/10^10,7)</f>
        <v>1.1287999999999999E-3</v>
      </c>
      <c r="CC33" s="318" t="s">
        <v>240</v>
      </c>
      <c r="CD33" s="351">
        <f>ROUND(TRUNC((TRUNC(613.9723/CD31*10^8)/10^8)/CD31*10^10)/10^10,7)</f>
        <v>1.1287999999999999E-3</v>
      </c>
      <c r="CE33" s="318" t="s">
        <v>240</v>
      </c>
      <c r="CF33" s="351">
        <f>ROUND(TRUNC((TRUNC(613.9723/CF31*10^8)/10^8)/CF31*10^10)/10^10,7)</f>
        <v>1.1287999999999999E-3</v>
      </c>
      <c r="CG33" s="318" t="s">
        <v>240</v>
      </c>
      <c r="CH33" s="351">
        <f>ROUND(TRUNC((TRUNC(613.9723/CH31*10^8)/10^8)/CH31*10^10)/10^10,7)</f>
        <v>1.1287999999999999E-3</v>
      </c>
      <c r="CI33" s="318" t="s">
        <v>240</v>
      </c>
      <c r="CJ33" s="351">
        <f>ROUND(TRUNC((TRUNC(613.9723/CJ31*10^8)/10^8)/CJ31*10^10)/10^10,7)</f>
        <v>1.1287999999999999E-3</v>
      </c>
    </row>
    <row r="34" spans="1:88" ht="15" customHeight="1">
      <c r="A34" s="135"/>
      <c r="B34" s="135"/>
      <c r="C34" s="135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V34" s="346">
        <v>950</v>
      </c>
      <c r="W34" s="333">
        <v>785.65899999999999</v>
      </c>
      <c r="X34" s="346">
        <v>960</v>
      </c>
      <c r="Y34" s="334">
        <v>779.64</v>
      </c>
      <c r="Z34" s="335">
        <v>950</v>
      </c>
      <c r="AA34" s="334">
        <v>1617.6079999999999</v>
      </c>
      <c r="AB34" s="336">
        <v>950</v>
      </c>
      <c r="AC34" s="334">
        <v>1616.1669999999999</v>
      </c>
      <c r="AD34" s="336">
        <v>950</v>
      </c>
      <c r="AE34" s="334">
        <v>1366.2570000000001</v>
      </c>
      <c r="AF34" s="336">
        <v>950</v>
      </c>
      <c r="AG34" s="334">
        <v>1366.318</v>
      </c>
      <c r="AH34" s="336">
        <v>950</v>
      </c>
      <c r="AI34" s="334">
        <v>1366.1489999999999</v>
      </c>
      <c r="AJ34" s="336">
        <v>930</v>
      </c>
      <c r="AK34" s="334">
        <v>1366.8969999999999</v>
      </c>
      <c r="AL34" s="336">
        <v>950</v>
      </c>
      <c r="AM34" s="334">
        <v>1366.5909999999999</v>
      </c>
      <c r="AN34" s="336">
        <v>950</v>
      </c>
      <c r="AO34" s="334">
        <v>1366.7919999999999</v>
      </c>
      <c r="AP34" s="336">
        <v>940</v>
      </c>
      <c r="AQ34" s="334">
        <v>1364.8630000000001</v>
      </c>
      <c r="AR34" s="336">
        <v>950</v>
      </c>
      <c r="AS34" s="334">
        <v>1364.9090000000001</v>
      </c>
      <c r="AT34" s="336">
        <v>950</v>
      </c>
      <c r="AU34" s="334">
        <v>1363.3489999999999</v>
      </c>
      <c r="AV34" s="336">
        <v>950</v>
      </c>
      <c r="AW34" s="334">
        <v>1362.501</v>
      </c>
      <c r="AX34" s="336">
        <v>940</v>
      </c>
      <c r="AY34" s="334">
        <v>1287.2</v>
      </c>
      <c r="AZ34" s="336">
        <v>950</v>
      </c>
      <c r="BA34" s="337">
        <v>1287.902</v>
      </c>
      <c r="BB34" s="336">
        <v>930</v>
      </c>
      <c r="BC34" s="334">
        <v>377.15899999999999</v>
      </c>
      <c r="BD34" s="336">
        <v>930</v>
      </c>
      <c r="BE34" s="334">
        <v>393.22</v>
      </c>
      <c r="BS34" s="318" t="s">
        <v>241</v>
      </c>
      <c r="BT34" s="344">
        <f>IF(AND(BT28&gt;=0.6105,BT28&lt;=1.075),ROUND(EXP(-(TRUNC(BT33*BT32*10^8)/10^8)-((TRUNC(0.8*BT33*BT32*10^8)/10^8)*TRUNC(BT33*BT32*10^8)/10^8)),4),"Den.out")</f>
        <v>0.99660000000000004</v>
      </c>
      <c r="BU34" s="318" t="s">
        <v>241</v>
      </c>
      <c r="BV34" s="344">
        <f>IF(AND(BV28&gt;=0.6105,BV28&lt;=1.075),ROUND(EXP(-(TRUNC(BV33*BV32*10^8)/10^8)-((TRUNC(0.8*BV33*BV32*10^8)/10^8)*TRUNC(BV33*BV32*10^8)/10^8)),4),"Den.out")</f>
        <v>0.99660000000000004</v>
      </c>
      <c r="BW34" s="318" t="s">
        <v>241</v>
      </c>
      <c r="BX34" s="344">
        <f>IF(AND(BX28&gt;=0.6105,BX28&lt;=1.075),ROUND(EXP(-(TRUNC(BX33*BX32*10^8)/10^8)-((TRUNC(0.8*BX33*BX32*10^8)/10^8)*TRUNC(BX33*BX32*10^8)/10^8)),4),"Den.out")</f>
        <v>0.99660000000000004</v>
      </c>
      <c r="BY34" s="318" t="s">
        <v>241</v>
      </c>
      <c r="BZ34" s="344">
        <f>IF(AND(BZ28&gt;=0.6105,BZ28&lt;=1.075),ROUND(EXP(-(TRUNC(BZ33*BZ32*10^8)/10^8)-((TRUNC(0.8*BZ33*BZ32*10^8)/10^8)*TRUNC(BZ33*BZ32*10^8)/10^8)),4),"Den.out")</f>
        <v>0.99729999999999996</v>
      </c>
      <c r="CA34" s="318" t="s">
        <v>241</v>
      </c>
      <c r="CB34" s="344">
        <f>IF(AND(CB28&gt;=0.6105,CB28&lt;=1.075),ROUND(EXP(-(TRUNC(CB33*CB32*10^8)/10^8)-((TRUNC(0.8*CB33*CB32*10^8)/10^8)*TRUNC(CB33*CB32*10^8)/10^8)),4),"Den.out")</f>
        <v>0.99660000000000004</v>
      </c>
      <c r="CC34" s="318" t="s">
        <v>241</v>
      </c>
      <c r="CD34" s="344">
        <f>IF(AND(CD28&gt;=0.6105,CD28&lt;=1.075),ROUND(EXP(-(TRUNC(CD33*CD32*10^8)/10^8)-((TRUNC(0.8*CD33*CD32*10^8)/10^8)*TRUNC(CD33*CD32*10^8)/10^8)),4),"Den.out")</f>
        <v>0.99660000000000004</v>
      </c>
      <c r="CE34" s="318" t="s">
        <v>241</v>
      </c>
      <c r="CF34" s="344">
        <f>IF(AND(CF28&gt;=0.6105,CF28&lt;=1.075),ROUND(EXP(-(TRUNC(CF33*CF32*10^8)/10^8)-((TRUNC(0.8*CF33*CF32*10^8)/10^8)*TRUNC(CF33*CF32*10^8)/10^8)),4),"Den.out")</f>
        <v>0.99660000000000004</v>
      </c>
      <c r="CG34" s="318" t="s">
        <v>241</v>
      </c>
      <c r="CH34" s="344">
        <f>IF(AND(CH28&gt;=0.6105,CH28&lt;=1.075),ROUND(EXP(-(TRUNC(CH33*CH32*10^8)/10^8)-((TRUNC(0.8*CH33*CH32*10^8)/10^8)*TRUNC(CH33*CH32*10^8)/10^8)),4),"Den.out")</f>
        <v>0.99660000000000004</v>
      </c>
      <c r="CI34" s="318" t="s">
        <v>241</v>
      </c>
      <c r="CJ34" s="344">
        <f>IF(AND(CJ28&gt;=0.6105,CJ28&lt;=1.075),ROUND(EXP(-(TRUNC(CJ33*CJ32*10^8)/10^8)-((TRUNC(0.8*CJ33*CJ32*10^8)/10^8)*TRUNC(CJ33*CJ32*10^8)/10^8)),4),"Den.out")</f>
        <v>0.99660000000000004</v>
      </c>
    </row>
    <row r="35" spans="1:88" ht="15">
      <c r="A35" s="135"/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V35" s="346">
        <v>960</v>
      </c>
      <c r="W35" s="333">
        <v>784.96699999999998</v>
      </c>
      <c r="X35" s="346">
        <v>970</v>
      </c>
      <c r="Y35" s="334">
        <v>778.947</v>
      </c>
      <c r="Z35" s="335">
        <v>960</v>
      </c>
      <c r="AA35" s="334">
        <v>1616.5309999999999</v>
      </c>
      <c r="AB35" s="336">
        <v>960</v>
      </c>
      <c r="AC35" s="334">
        <v>1615.0319999999999</v>
      </c>
      <c r="AD35" s="336">
        <v>960</v>
      </c>
      <c r="AE35" s="334">
        <v>1365.357</v>
      </c>
      <c r="AF35" s="336">
        <v>960</v>
      </c>
      <c r="AG35" s="334">
        <v>1365.3820000000001</v>
      </c>
      <c r="AH35" s="336">
        <v>960</v>
      </c>
      <c r="AI35" s="334">
        <v>1365.232</v>
      </c>
      <c r="AJ35" s="336">
        <v>940</v>
      </c>
      <c r="AK35" s="334">
        <v>1366.0029999999999</v>
      </c>
      <c r="AL35" s="336">
        <v>960</v>
      </c>
      <c r="AM35" s="334">
        <v>1365.6890000000001</v>
      </c>
      <c r="AN35" s="336">
        <v>960</v>
      </c>
      <c r="AO35" s="334">
        <v>1365.8969999999999</v>
      </c>
      <c r="AP35" s="336">
        <v>950</v>
      </c>
      <c r="AQ35" s="334">
        <v>1363.9670000000001</v>
      </c>
      <c r="AR35" s="336">
        <v>960</v>
      </c>
      <c r="AS35" s="334">
        <v>1364.001</v>
      </c>
      <c r="AT35" s="336">
        <v>960</v>
      </c>
      <c r="AU35" s="334">
        <v>1362.471</v>
      </c>
      <c r="AV35" s="336">
        <v>960</v>
      </c>
      <c r="AW35" s="334">
        <v>1361.617</v>
      </c>
      <c r="AX35" s="336">
        <v>950</v>
      </c>
      <c r="AY35" s="334">
        <v>1286.307</v>
      </c>
      <c r="AZ35" s="336">
        <v>960</v>
      </c>
      <c r="BA35" s="337">
        <v>1287.0229999999999</v>
      </c>
      <c r="BB35" s="336">
        <v>940</v>
      </c>
      <c r="BC35" s="334">
        <v>376.86599999999999</v>
      </c>
      <c r="BD35" s="336">
        <v>940</v>
      </c>
      <c r="BE35" s="334">
        <v>392.916</v>
      </c>
      <c r="BS35" s="318" t="s">
        <v>242</v>
      </c>
      <c r="BT35" s="351">
        <f>ROUND((TRUNC((TRUNC(346.4228/BT31*10^8)/10^8)/BT31*10^10)/10^10)+(TRUNC(0.4388/BT31*10^10)/10^10),7)</f>
        <v>1.2319E-3</v>
      </c>
      <c r="BU35" s="318" t="s">
        <v>242</v>
      </c>
      <c r="BV35" s="351">
        <f>ROUND((TRUNC((TRUNC(346.4228/BV31*10^8)/10^8)/BV31*10^10)/10^10)+(TRUNC(0.4388/BV31*10^10)/10^10),7)</f>
        <v>1.2319E-3</v>
      </c>
      <c r="BW35" s="318" t="s">
        <v>242</v>
      </c>
      <c r="BX35" s="351">
        <f>ROUND((TRUNC((TRUNC(346.4228/BX31*10^8)/10^8)/BX31*10^10)/10^10)+(TRUNC(0.4388/BX31*10^10)/10^10),7)</f>
        <v>1.2319E-3</v>
      </c>
      <c r="BY35" s="318" t="s">
        <v>242</v>
      </c>
      <c r="BZ35" s="351">
        <f>ROUND((TRUNC((TRUNC(346.4228/BZ31*10^8)/10^8)/BZ31*10^10)/10^10)+(TRUNC(0.4388/BZ31*10^10)/10^10),7)</f>
        <v>1.0269000000000001E-3</v>
      </c>
      <c r="CA35" s="318" t="s">
        <v>242</v>
      </c>
      <c r="CB35" s="351">
        <f>ROUND((TRUNC((TRUNC(346.4228/CB31*10^8)/10^8)/CB31*10^10)/10^10)+(TRUNC(0.4388/CB31*10^10)/10^10),7)</f>
        <v>1.2319E-3</v>
      </c>
      <c r="CC35" s="318" t="s">
        <v>242</v>
      </c>
      <c r="CD35" s="351">
        <f>ROUND((TRUNC((TRUNC(346.4228/CD31*10^8)/10^8)/CD31*10^10)/10^10)+(TRUNC(0.4388/CD31*10^10)/10^10),7)</f>
        <v>1.2319E-3</v>
      </c>
      <c r="CE35" s="318" t="s">
        <v>242</v>
      </c>
      <c r="CF35" s="351">
        <f>ROUND((TRUNC((TRUNC(346.4228/CF31*10^8)/10^8)/CF31*10^10)/10^10)+(TRUNC(0.4388/CF31*10^10)/10^10),7)</f>
        <v>1.2319E-3</v>
      </c>
      <c r="CG35" s="318" t="s">
        <v>242</v>
      </c>
      <c r="CH35" s="351">
        <f>ROUND((TRUNC((TRUNC(346.4228/CH31*10^8)/10^8)/CH31*10^10)/10^10)+(TRUNC(0.4388/CH31*10^10)/10^10),7)</f>
        <v>1.2319E-3</v>
      </c>
      <c r="CI35" s="318" t="s">
        <v>242</v>
      </c>
      <c r="CJ35" s="351">
        <f>ROUND((TRUNC((TRUNC(346.4228/CJ31*10^8)/10^8)/CJ31*10^10)/10^10)+(TRUNC(0.4388/CJ31*10^10)/10^10),7)</f>
        <v>1.2319E-3</v>
      </c>
    </row>
    <row r="36" spans="1:88" ht="15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V36" s="346">
        <v>970</v>
      </c>
      <c r="W36" s="333">
        <v>784.26599999999996</v>
      </c>
      <c r="X36" s="346">
        <v>980</v>
      </c>
      <c r="Y36" s="334">
        <v>778.24599999999998</v>
      </c>
      <c r="Z36" s="335">
        <v>970</v>
      </c>
      <c r="AA36" s="334">
        <v>1615.425</v>
      </c>
      <c r="AB36" s="336">
        <v>970</v>
      </c>
      <c r="AC36" s="334">
        <v>1613.865</v>
      </c>
      <c r="AD36" s="336">
        <v>970</v>
      </c>
      <c r="AE36" s="334">
        <v>1364.434</v>
      </c>
      <c r="AF36" s="336">
        <v>970</v>
      </c>
      <c r="AG36" s="334">
        <v>1364.421</v>
      </c>
      <c r="AH36" s="336">
        <v>970</v>
      </c>
      <c r="AI36" s="334">
        <v>1364.2909999999999</v>
      </c>
      <c r="AJ36" s="336">
        <v>950</v>
      </c>
      <c r="AK36" s="334">
        <v>1365.085</v>
      </c>
      <c r="AL36" s="336">
        <v>970</v>
      </c>
      <c r="AM36" s="334">
        <v>1364.7639999999999</v>
      </c>
      <c r="AN36" s="336">
        <v>970</v>
      </c>
      <c r="AO36" s="334">
        <v>1364.9780000000001</v>
      </c>
      <c r="AP36" s="336">
        <v>960</v>
      </c>
      <c r="AQ36" s="334">
        <v>1363.046</v>
      </c>
      <c r="AR36" s="336">
        <v>970</v>
      </c>
      <c r="AS36" s="334">
        <v>1363.069</v>
      </c>
      <c r="AT36" s="336">
        <v>970</v>
      </c>
      <c r="AU36" s="334">
        <v>1361.569</v>
      </c>
      <c r="AV36" s="336">
        <v>970</v>
      </c>
      <c r="AW36" s="334">
        <v>1360.7090000000001</v>
      </c>
      <c r="AX36" s="336">
        <v>960</v>
      </c>
      <c r="AY36" s="334">
        <v>1285.3920000000001</v>
      </c>
      <c r="AZ36" s="336">
        <v>970</v>
      </c>
      <c r="BA36" s="337">
        <v>1286.1189999999999</v>
      </c>
      <c r="BB36" s="336">
        <v>950</v>
      </c>
      <c r="BC36" s="334">
        <v>376.565</v>
      </c>
      <c r="BD36" s="336">
        <v>950</v>
      </c>
      <c r="BE36" s="334">
        <v>392.60300000000001</v>
      </c>
      <c r="BS36" s="318" t="s">
        <v>243</v>
      </c>
      <c r="BT36" s="351">
        <f>ROUND(-0.00336312+(ROUND((TRUNC(2680.3206/BT31*10^8)/10^8)/BT31,10)),7)</f>
        <v>1.5648000000000001E-3</v>
      </c>
      <c r="BU36" s="318" t="s">
        <v>243</v>
      </c>
      <c r="BV36" s="351">
        <f>ROUND(-0.00336312+(ROUND((TRUNC(2680.3206/BV31*10^8)/10^8)/BV31,10)),7)</f>
        <v>1.5648000000000001E-3</v>
      </c>
      <c r="BW36" s="318" t="s">
        <v>243</v>
      </c>
      <c r="BX36" s="351">
        <f>ROUND(-0.00336312+(ROUND((TRUNC(2680.3206/BX31*10^8)/10^8)/BX31,10)),7)</f>
        <v>1.5648000000000001E-3</v>
      </c>
      <c r="BY36" s="318" t="s">
        <v>243</v>
      </c>
      <c r="BZ36" s="351">
        <f>ROUND(-0.00336312+(ROUND((TRUNC(2680.3206/BZ31*10^8)/10^8)/BZ31,10)),7)</f>
        <v>5.0429999999999995E-4</v>
      </c>
      <c r="CA36" s="318" t="s">
        <v>243</v>
      </c>
      <c r="CB36" s="351">
        <f>ROUND(-0.00336312+(ROUND((TRUNC(2680.3206/CB31*10^8)/10^8)/CB31,10)),7)</f>
        <v>1.5648000000000001E-3</v>
      </c>
      <c r="CC36" s="318" t="s">
        <v>243</v>
      </c>
      <c r="CD36" s="351">
        <f>ROUND(-0.00336312+(ROUND((TRUNC(2680.3206/CD31*10^8)/10^8)/CD31,10)),7)</f>
        <v>1.5648000000000001E-3</v>
      </c>
      <c r="CE36" s="318" t="s">
        <v>243</v>
      </c>
      <c r="CF36" s="351">
        <f>ROUND(-0.00336312+(ROUND((TRUNC(2680.3206/CF31*10^8)/10^8)/CF31,10)),7)</f>
        <v>1.5648000000000001E-3</v>
      </c>
      <c r="CG36" s="318" t="s">
        <v>243</v>
      </c>
      <c r="CH36" s="351">
        <f>ROUND(-0.00336312+(ROUND((TRUNC(2680.3206/CH31*10^8)/10^8)/CH31,10)),7)</f>
        <v>1.5648000000000001E-3</v>
      </c>
      <c r="CI36" s="318" t="s">
        <v>243</v>
      </c>
      <c r="CJ36" s="351">
        <f>ROUND(-0.00336312+(ROUND((TRUNC(2680.3206/CJ31*10^8)/10^8)/CJ31,10)),7)</f>
        <v>1.5648000000000001E-3</v>
      </c>
    </row>
    <row r="37" spans="1:88" ht="15">
      <c r="A37" s="362"/>
      <c r="B37" s="362"/>
      <c r="C37" s="362"/>
      <c r="D37" s="135"/>
      <c r="E37" s="135"/>
      <c r="F37" s="362"/>
      <c r="G37" s="362"/>
      <c r="H37" s="135"/>
      <c r="I37" s="135"/>
      <c r="J37" s="362"/>
      <c r="K37" s="362"/>
      <c r="L37" s="362"/>
      <c r="M37" s="135"/>
      <c r="N37" s="135"/>
      <c r="O37" s="135"/>
      <c r="V37" s="346">
        <v>980</v>
      </c>
      <c r="W37" s="333">
        <v>783.55600000000004</v>
      </c>
      <c r="X37" s="346">
        <v>990</v>
      </c>
      <c r="Y37" s="334">
        <v>777.53599999999994</v>
      </c>
      <c r="Z37" s="335">
        <v>980</v>
      </c>
      <c r="AA37" s="334">
        <v>1614.289</v>
      </c>
      <c r="AB37" s="336">
        <v>980</v>
      </c>
      <c r="AC37" s="334">
        <v>1612.6679999999999</v>
      </c>
      <c r="AD37" s="336">
        <v>980</v>
      </c>
      <c r="AE37" s="334">
        <v>1363.4860000000001</v>
      </c>
      <c r="AF37" s="336">
        <v>980</v>
      </c>
      <c r="AG37" s="334">
        <v>1363.434</v>
      </c>
      <c r="AH37" s="336">
        <v>980</v>
      </c>
      <c r="AI37" s="334">
        <v>1363.325</v>
      </c>
      <c r="AJ37" s="336">
        <v>960</v>
      </c>
      <c r="AK37" s="334">
        <v>1364.144</v>
      </c>
      <c r="AL37" s="336">
        <v>980</v>
      </c>
      <c r="AM37" s="334">
        <v>1363.8140000000001</v>
      </c>
      <c r="AN37" s="336">
        <v>980</v>
      </c>
      <c r="AO37" s="334">
        <v>1364.0350000000001</v>
      </c>
      <c r="AP37" s="336">
        <v>970</v>
      </c>
      <c r="AQ37" s="334">
        <v>1362.1010000000001</v>
      </c>
      <c r="AR37" s="336">
        <v>980</v>
      </c>
      <c r="AS37" s="334">
        <v>1362.1120000000001</v>
      </c>
      <c r="AT37" s="336">
        <v>980</v>
      </c>
      <c r="AU37" s="334">
        <v>1360.644</v>
      </c>
      <c r="AV37" s="336">
        <v>980</v>
      </c>
      <c r="AW37" s="334">
        <v>1359.777</v>
      </c>
      <c r="AX37" s="336">
        <v>970</v>
      </c>
      <c r="AY37" s="334">
        <v>1284.453</v>
      </c>
      <c r="AZ37" s="336">
        <v>980</v>
      </c>
      <c r="BA37" s="337">
        <v>1285.191</v>
      </c>
      <c r="BB37" s="336">
        <v>960</v>
      </c>
      <c r="BC37" s="334">
        <v>376.25599999999997</v>
      </c>
      <c r="BD37" s="336">
        <v>960</v>
      </c>
      <c r="BE37" s="334">
        <v>392.28300000000002</v>
      </c>
      <c r="BS37" s="318" t="s">
        <v>244</v>
      </c>
      <c r="BT37" s="351">
        <f>ROUND(TRUNC((TRUNC(594.5418/BT31*10^8)/10^8)/BT31*10^10)/10^10,7)</f>
        <v>1.0931000000000001E-3</v>
      </c>
      <c r="BU37" s="318" t="s">
        <v>244</v>
      </c>
      <c r="BV37" s="351">
        <f>ROUND(TRUNC((TRUNC(594.5418/BV31*10^8)/10^8)/BV31*10^10)/10^10,7)</f>
        <v>1.0931000000000001E-3</v>
      </c>
      <c r="BW37" s="318" t="s">
        <v>244</v>
      </c>
      <c r="BX37" s="351">
        <f>ROUND(TRUNC((TRUNC(594.5418/BX31*10^8)/10^8)/BX31*10^10)/10^10,7)</f>
        <v>1.0931000000000001E-3</v>
      </c>
      <c r="BY37" s="318" t="s">
        <v>244</v>
      </c>
      <c r="BZ37" s="351">
        <f>ROUND(TRUNC((TRUNC(594.5418/BZ31*10^8)/10^8)/BZ31*10^10)/10^10,7)</f>
        <v>8.5789999999999998E-4</v>
      </c>
      <c r="CA37" s="318" t="s">
        <v>244</v>
      </c>
      <c r="CB37" s="351">
        <f>ROUND(TRUNC((TRUNC(594.5418/CB31*10^8)/10^8)/CB31*10^10)/10^10,7)</f>
        <v>1.0931000000000001E-3</v>
      </c>
      <c r="CC37" s="318" t="s">
        <v>244</v>
      </c>
      <c r="CD37" s="351">
        <f>ROUND(TRUNC((TRUNC(594.5418/CD31*10^8)/10^8)/CD31*10^10)/10^10,7)</f>
        <v>1.0931000000000001E-3</v>
      </c>
      <c r="CE37" s="318" t="s">
        <v>244</v>
      </c>
      <c r="CF37" s="351">
        <f>ROUND(TRUNC((TRUNC(594.5418/CF31*10^8)/10^8)/CF31*10^10)/10^10,7)</f>
        <v>1.0931000000000001E-3</v>
      </c>
      <c r="CG37" s="318" t="s">
        <v>244</v>
      </c>
      <c r="CH37" s="351">
        <f>ROUND(TRUNC((TRUNC(594.5418/CH31*10^8)/10^8)/CH31*10^10)/10^10,7)</f>
        <v>1.0931000000000001E-3</v>
      </c>
      <c r="CI37" s="318" t="s">
        <v>244</v>
      </c>
      <c r="CJ37" s="351">
        <f>ROUND(TRUNC((TRUNC(594.5418/CJ31*10^8)/10^8)/CJ31*10^10)/10^10,7)</f>
        <v>1.0931000000000001E-3</v>
      </c>
    </row>
    <row r="38" spans="1:88" ht="15">
      <c r="A38" s="362"/>
      <c r="B38" s="362"/>
      <c r="C38" s="362"/>
      <c r="D38" s="135"/>
      <c r="E38" s="135"/>
      <c r="F38" s="362"/>
      <c r="G38" s="362"/>
      <c r="H38" s="135"/>
      <c r="I38" s="135"/>
      <c r="J38" s="362"/>
      <c r="K38" s="362"/>
      <c r="L38" s="362"/>
      <c r="M38" s="135"/>
      <c r="N38" s="135"/>
      <c r="O38" s="135"/>
      <c r="V38" s="346">
        <v>990</v>
      </c>
      <c r="W38" s="333">
        <v>782.83900000000006</v>
      </c>
      <c r="X38" s="346">
        <v>1000</v>
      </c>
      <c r="Y38" s="334">
        <v>776.82</v>
      </c>
      <c r="Z38" s="335">
        <v>990</v>
      </c>
      <c r="AA38" s="334">
        <v>1613.124</v>
      </c>
      <c r="AB38" s="336">
        <v>990</v>
      </c>
      <c r="AC38" s="334">
        <v>1611.4390000000001</v>
      </c>
      <c r="AD38" s="336">
        <v>990</v>
      </c>
      <c r="AE38" s="334">
        <v>1362.5139999999999</v>
      </c>
      <c r="AF38" s="336">
        <v>990</v>
      </c>
      <c r="AG38" s="334">
        <v>1362.422</v>
      </c>
      <c r="AH38" s="336">
        <v>990</v>
      </c>
      <c r="AI38" s="334">
        <v>1362.335</v>
      </c>
      <c r="AJ38" s="336">
        <v>970</v>
      </c>
      <c r="AK38" s="334">
        <v>1363.1790000000001</v>
      </c>
      <c r="AL38" s="336">
        <v>990</v>
      </c>
      <c r="AM38" s="334">
        <v>1362.8409999999999</v>
      </c>
      <c r="AN38" s="336">
        <v>990</v>
      </c>
      <c r="AO38" s="334">
        <v>1363.068</v>
      </c>
      <c r="AP38" s="336">
        <v>980</v>
      </c>
      <c r="AQ38" s="334">
        <v>1361.1310000000001</v>
      </c>
      <c r="AR38" s="336">
        <v>990</v>
      </c>
      <c r="AS38" s="334">
        <v>1361.1310000000001</v>
      </c>
      <c r="AT38" s="336">
        <v>990</v>
      </c>
      <c r="AU38" s="334">
        <v>1359.6969999999999</v>
      </c>
      <c r="AV38" s="336">
        <v>990</v>
      </c>
      <c r="AW38" s="334">
        <v>1358.8219999999999</v>
      </c>
      <c r="AX38" s="336">
        <v>980</v>
      </c>
      <c r="AY38" s="334">
        <v>1283.49</v>
      </c>
      <c r="AZ38" s="336">
        <v>990</v>
      </c>
      <c r="BA38" s="337">
        <v>1284.239</v>
      </c>
      <c r="BB38" s="336">
        <v>970</v>
      </c>
      <c r="BC38" s="334">
        <v>375.94200000000001</v>
      </c>
      <c r="BD38" s="336">
        <v>970</v>
      </c>
      <c r="BE38" s="334">
        <v>391.95499999999998</v>
      </c>
      <c r="BS38" s="318" t="s">
        <v>245</v>
      </c>
      <c r="BT38" s="351">
        <f>ROUND(TRUNC((TRUNC(186.9696/BT31*10^8)/10^8)/BT31*10^10)/10^10+TRUNC(0.4862/BT31*10^10)/10^10,7)</f>
        <v>1.003E-3</v>
      </c>
      <c r="BU38" s="318" t="s">
        <v>245</v>
      </c>
      <c r="BV38" s="351">
        <f>ROUND(TRUNC((TRUNC(186.9696/BV31*10^8)/10^8)/BV31*10^10)/10^10+TRUNC(0.4862/BV31*10^10)/10^10,7)</f>
        <v>1.003E-3</v>
      </c>
      <c r="BW38" s="318" t="s">
        <v>245</v>
      </c>
      <c r="BX38" s="351">
        <f>ROUND(TRUNC((TRUNC(186.9696/BX31*10^8)/10^8)/BX31*10^10)/10^10+TRUNC(0.4862/BX31*10^10)/10^10,7)</f>
        <v>1.003E-3</v>
      </c>
      <c r="BY38" s="318" t="s">
        <v>245</v>
      </c>
      <c r="BZ38" s="351">
        <f>ROUND(TRUNC((TRUNC(186.9696/BZ31*10^8)/10^8)/BZ31*10^10)/10^10+TRUNC(0.4862/BZ31*10^10)/10^10,7)</f>
        <v>8.5380000000000005E-4</v>
      </c>
      <c r="CA38" s="318" t="s">
        <v>245</v>
      </c>
      <c r="CB38" s="351">
        <f>ROUND(TRUNC((TRUNC(186.9696/CB31*10^8)/10^8)/CB31*10^10)/10^10+TRUNC(0.4862/CB31*10^10)/10^10,7)</f>
        <v>1.003E-3</v>
      </c>
      <c r="CC38" s="318" t="s">
        <v>245</v>
      </c>
      <c r="CD38" s="351">
        <f>ROUND(TRUNC((TRUNC(186.9696/CD31*10^8)/10^8)/CD31*10^10)/10^10+TRUNC(0.4862/CD31*10^10)/10^10,7)</f>
        <v>1.003E-3</v>
      </c>
      <c r="CE38" s="318" t="s">
        <v>245</v>
      </c>
      <c r="CF38" s="351">
        <f>ROUND(TRUNC((TRUNC(186.9696/CF31*10^8)/10^8)/CF31*10^10)/10^10+TRUNC(0.4862/CF31*10^10)/10^10,7)</f>
        <v>1.003E-3</v>
      </c>
      <c r="CG38" s="318" t="s">
        <v>245</v>
      </c>
      <c r="CH38" s="351">
        <f>ROUND(TRUNC((TRUNC(186.9696/CH31*10^8)/10^8)/CH31*10^10)/10^10+TRUNC(0.4862/CH31*10^10)/10^10,7)</f>
        <v>1.003E-3</v>
      </c>
      <c r="CI38" s="318" t="s">
        <v>245</v>
      </c>
      <c r="CJ38" s="351">
        <f>ROUND(TRUNC((TRUNC(186.9696/CJ31*10^8)/10^8)/CJ31*10^10)/10^10+TRUNC(0.4862/CJ31*10^10)/10^10,7)</f>
        <v>1.003E-3</v>
      </c>
    </row>
    <row r="39" spans="1:88" ht="15">
      <c r="A39" s="672" t="s">
        <v>251</v>
      </c>
      <c r="B39" s="672"/>
      <c r="C39" s="672"/>
      <c r="D39" s="135"/>
      <c r="E39" s="135"/>
      <c r="F39" s="135"/>
      <c r="G39" s="672" t="s">
        <v>252</v>
      </c>
      <c r="H39" s="672"/>
      <c r="I39" s="135"/>
      <c r="J39" s="672"/>
      <c r="K39" s="672"/>
      <c r="L39" s="672"/>
      <c r="M39" s="672" t="s">
        <v>253</v>
      </c>
      <c r="N39" s="672"/>
      <c r="O39" s="672"/>
      <c r="V39" s="346">
        <v>1000</v>
      </c>
      <c r="W39" s="333">
        <v>782.11400000000003</v>
      </c>
      <c r="X39" s="346">
        <v>1010</v>
      </c>
      <c r="Y39" s="334">
        <v>776.096</v>
      </c>
      <c r="Z39" s="335">
        <v>1000</v>
      </c>
      <c r="AA39" s="334">
        <v>1611.9290000000001</v>
      </c>
      <c r="AB39" s="336">
        <v>1000</v>
      </c>
      <c r="AC39" s="334">
        <v>1610.1780000000001</v>
      </c>
      <c r="AD39" s="336">
        <v>1000</v>
      </c>
      <c r="AE39" s="334">
        <v>1361.518</v>
      </c>
      <c r="AF39" s="336">
        <v>1000</v>
      </c>
      <c r="AG39" s="334">
        <v>1361.386</v>
      </c>
      <c r="AH39" s="336">
        <v>1000</v>
      </c>
      <c r="AI39" s="334">
        <v>1361.3209999999999</v>
      </c>
      <c r="AJ39" s="336">
        <v>980</v>
      </c>
      <c r="AK39" s="334">
        <v>1362.19</v>
      </c>
      <c r="AL39" s="336">
        <v>1000</v>
      </c>
      <c r="AM39" s="334">
        <v>1361.8430000000001</v>
      </c>
      <c r="AN39" s="336">
        <v>1000</v>
      </c>
      <c r="AO39" s="334">
        <v>1362.076</v>
      </c>
      <c r="AP39" s="336">
        <v>990</v>
      </c>
      <c r="AQ39" s="334">
        <v>1360.1369999999999</v>
      </c>
      <c r="AR39" s="336">
        <v>1000</v>
      </c>
      <c r="AS39" s="334">
        <v>1360.125</v>
      </c>
      <c r="AT39" s="336">
        <v>1000</v>
      </c>
      <c r="AU39" s="334">
        <v>1358.7260000000001</v>
      </c>
      <c r="AV39" s="336">
        <v>1000</v>
      </c>
      <c r="AW39" s="334">
        <v>1357.8420000000001</v>
      </c>
      <c r="AX39" s="336">
        <v>990</v>
      </c>
      <c r="AY39" s="334">
        <v>1282.5039999999999</v>
      </c>
      <c r="AZ39" s="336">
        <v>1000</v>
      </c>
      <c r="BA39" s="337">
        <v>1283.2619999999999</v>
      </c>
      <c r="BB39" s="336">
        <v>980</v>
      </c>
      <c r="BC39" s="334">
        <v>375.62</v>
      </c>
      <c r="BD39" s="336">
        <v>980</v>
      </c>
      <c r="BE39" s="334">
        <v>391.62200000000001</v>
      </c>
      <c r="BS39" s="318" t="s">
        <v>246</v>
      </c>
      <c r="BT39" s="351">
        <f>IF(BT31&lt;770.5,BT35,IF(AND(BT31&gt;=770.5,BT31&lt;=787.5),BT36,IF(AND(BT31&gt;787.5,BT31&lt;839),BT37,IF(AND(BT31&gt;=839,BT31&lt;=1075),BT38,""))))</f>
        <v>1.2319E-3</v>
      </c>
      <c r="BU39" s="318" t="s">
        <v>246</v>
      </c>
      <c r="BV39" s="351">
        <f>IF(BV31&lt;770.5,BV35,IF(AND(BV31&gt;=770.5,BV31&lt;=787.5),BV36,IF(AND(BV31&gt;787.5,BV31&lt;839),BV37,IF(AND(BV31&gt;=839,BV31&lt;=1075),BV38,""))))</f>
        <v>1.2319E-3</v>
      </c>
      <c r="BW39" s="318" t="s">
        <v>246</v>
      </c>
      <c r="BX39" s="351">
        <f>IF(BX31&lt;770.5,BX35,IF(AND(BX31&gt;=770.5,BX31&lt;=787.5),BX36,IF(AND(BX31&gt;787.5,BX31&lt;839),BX37,IF(AND(BX31&gt;=839,BX31&lt;=1075),BX38,""))))</f>
        <v>1.2319E-3</v>
      </c>
      <c r="BY39" s="318" t="s">
        <v>246</v>
      </c>
      <c r="BZ39" s="351">
        <f>IF(BZ31&lt;770.5,BZ35,IF(AND(BZ31&gt;=770.5,BZ31&lt;=787.5),BZ36,IF(AND(BZ31&gt;787.5,BZ31&lt;839),BZ37,IF(AND(BZ31&gt;=839,BZ31&lt;=1075),BZ38,""))))</f>
        <v>8.5789999999999998E-4</v>
      </c>
      <c r="CA39" s="318" t="s">
        <v>246</v>
      </c>
      <c r="CB39" s="351">
        <f>IF(CB31&lt;770.5,CB35,IF(AND(CB31&gt;=770.5,CB31&lt;=787.5),CB36,IF(AND(CB31&gt;787.5,CB31&lt;839),CB37,IF(AND(CB31&gt;=839,CB31&lt;=1075),CB38,""))))</f>
        <v>1.2319E-3</v>
      </c>
      <c r="CC39" s="318" t="s">
        <v>246</v>
      </c>
      <c r="CD39" s="351">
        <f>IF(CD31&lt;770.5,CD35,IF(AND(CD31&gt;=770.5,CD31&lt;=787.5),CD36,IF(AND(CD31&gt;787.5,CD31&lt;839),CD37,IF(AND(CD31&gt;=839,CD31&lt;=1075),CD38,""))))</f>
        <v>1.2319E-3</v>
      </c>
      <c r="CE39" s="318" t="s">
        <v>246</v>
      </c>
      <c r="CF39" s="351">
        <f>IF(CF31&lt;770.5,CF35,IF(AND(CF31&gt;=770.5,CF31&lt;=787.5),CF36,IF(AND(CF31&gt;787.5,CF31&lt;839),CF37,IF(AND(CF31&gt;=839,CF31&lt;=1075),CF38,""))))</f>
        <v>1.2319E-3</v>
      </c>
      <c r="CG39" s="318" t="s">
        <v>246</v>
      </c>
      <c r="CH39" s="351">
        <f>IF(CH31&lt;770.5,CH35,IF(AND(CH31&gt;=770.5,CH31&lt;=787.5),CH36,IF(AND(CH31&gt;787.5,CH31&lt;839),CH37,IF(AND(CH31&gt;=839,CH31&lt;=1075),CH38,""))))</f>
        <v>1.2319E-3</v>
      </c>
      <c r="CI39" s="318" t="s">
        <v>246</v>
      </c>
      <c r="CJ39" s="351">
        <f>IF(CJ31&lt;770.5,CJ35,IF(AND(CJ31&gt;=770.5,CJ31&lt;=787.5),CJ36,IF(AND(CJ31&gt;787.5,CJ31&lt;839),CJ37,IF(AND(CJ31&gt;=839,CJ31&lt;=1075),CJ38,""))))</f>
        <v>1.2319E-3</v>
      </c>
    </row>
    <row r="40" spans="1:88" ht="15.4" thickBot="1">
      <c r="A40" s="278"/>
      <c r="B40" s="278"/>
      <c r="C40" s="278"/>
      <c r="D40" s="278"/>
      <c r="E40" s="278"/>
      <c r="F40" s="278"/>
      <c r="G40" s="278"/>
      <c r="H40" s="278"/>
      <c r="I40" s="278"/>
      <c r="J40" s="278"/>
      <c r="K40" s="278"/>
      <c r="L40" s="278"/>
      <c r="M40" s="278"/>
      <c r="N40" s="367" t="str">
        <f>'[6]LİMAN BİLGİLERİ'!C50</f>
        <v>AKIN ARIDICI</v>
      </c>
      <c r="O40" s="278"/>
      <c r="V40" s="346">
        <v>1010</v>
      </c>
      <c r="W40" s="333">
        <v>781.38199999999995</v>
      </c>
      <c r="X40" s="346">
        <v>1020</v>
      </c>
      <c r="Y40" s="334">
        <v>775.36800000000005</v>
      </c>
      <c r="Z40" s="335">
        <v>1010</v>
      </c>
      <c r="AA40" s="334">
        <v>1610.704</v>
      </c>
      <c r="AB40" s="336">
        <v>1010</v>
      </c>
      <c r="AC40" s="334">
        <v>1608.886</v>
      </c>
      <c r="AD40" s="336">
        <v>1010</v>
      </c>
      <c r="AE40" s="334">
        <v>1360.498</v>
      </c>
      <c r="AF40" s="336">
        <v>1010</v>
      </c>
      <c r="AG40" s="334">
        <v>1360.3240000000001</v>
      </c>
      <c r="AH40" s="336">
        <v>1010</v>
      </c>
      <c r="AI40" s="334">
        <v>1360.2819999999999</v>
      </c>
      <c r="AJ40" s="336">
        <v>990</v>
      </c>
      <c r="AK40" s="334">
        <v>1361.1769999999999</v>
      </c>
      <c r="AL40" s="336">
        <v>1010</v>
      </c>
      <c r="AM40" s="334">
        <v>1360.8209999999999</v>
      </c>
      <c r="AN40" s="336">
        <v>1010</v>
      </c>
      <c r="AO40" s="334">
        <v>1361.0609999999999</v>
      </c>
      <c r="AP40" s="336">
        <v>1000</v>
      </c>
      <c r="AQ40" s="334">
        <v>1359.117</v>
      </c>
      <c r="AR40" s="336">
        <v>1010</v>
      </c>
      <c r="AS40" s="334">
        <v>1359.095</v>
      </c>
      <c r="AT40" s="336">
        <v>1010</v>
      </c>
      <c r="AU40" s="334">
        <v>1357.732</v>
      </c>
      <c r="AV40" s="336">
        <v>1010</v>
      </c>
      <c r="AW40" s="334">
        <v>1356.8389999999999</v>
      </c>
      <c r="AX40" s="336">
        <v>1000</v>
      </c>
      <c r="AY40" s="334">
        <v>1281.4929999999999</v>
      </c>
      <c r="AZ40" s="336">
        <v>1010</v>
      </c>
      <c r="BA40" s="337">
        <v>1282.261</v>
      </c>
      <c r="BB40" s="336">
        <v>990</v>
      </c>
      <c r="BC40" s="334">
        <v>375.29199999999997</v>
      </c>
      <c r="BD40" s="336">
        <v>990</v>
      </c>
      <c r="BE40" s="334">
        <v>391.28199999999998</v>
      </c>
      <c r="BS40" s="318" t="s">
        <v>247</v>
      </c>
      <c r="BT40" s="344">
        <f>IF(AND(BT28&gt;=0.653,BT28&lt;=1.1),ROUND(EXP(-(TRUNC(BT39*BT32*10^8)/10^8)-((TRUNC(0.8*BT39*BT32*10^8)/10^8)*TRUNC(BT39*BT32*10^8)/10^8)),4),"Den.out")</f>
        <v>0.99629999999999996</v>
      </c>
      <c r="BU40" s="318" t="s">
        <v>247</v>
      </c>
      <c r="BV40" s="344">
        <f>IF(AND(BV28&gt;=0.653,BV28&lt;=1.1),ROUND(EXP(-(TRUNC(BV39*BV32*10^8)/10^8)-((TRUNC(0.8*BV39*BV32*10^8)/10^8)*TRUNC(BV39*BV32*10^8)/10^8)),4),"Den.out")</f>
        <v>0.99629999999999996</v>
      </c>
      <c r="BW40" s="318" t="s">
        <v>247</v>
      </c>
      <c r="BX40" s="344">
        <f>IF(AND(BX28&gt;=0.653,BX28&lt;=1.1),ROUND(EXP(-(TRUNC(BX39*BX32*10^8)/10^8)-((TRUNC(0.8*BX39*BX32*10^8)/10^8)*TRUNC(BX39*BX32*10^8)/10^8)),4),"Den.out")</f>
        <v>0.99629999999999996</v>
      </c>
      <c r="BY40" s="318" t="s">
        <v>247</v>
      </c>
      <c r="BZ40" s="344">
        <f>IF(AND(BZ28&gt;=0.653,BZ28&lt;=1.1),ROUND(EXP(-(TRUNC(BZ39*BZ32*10^8)/10^8)-((TRUNC(0.8*BZ39*BZ32*10^8)/10^8)*TRUNC(BZ39*BZ32*10^8)/10^8)),4),"Den.out")</f>
        <v>0.99739999999999995</v>
      </c>
      <c r="CA40" s="318" t="s">
        <v>247</v>
      </c>
      <c r="CB40" s="344">
        <f>IF(AND(CB28&gt;=0.653,CB28&lt;=1.1),ROUND(EXP(-(TRUNC(CB39*CB32*10^8)/10^8)-((TRUNC(0.8*CB39*CB32*10^8)/10^8)*TRUNC(CB39*CB32*10^8)/10^8)),4),"Den.out")</f>
        <v>0.99629999999999996</v>
      </c>
      <c r="CC40" s="318" t="s">
        <v>247</v>
      </c>
      <c r="CD40" s="344">
        <f>IF(AND(CD28&gt;=0.653,CD28&lt;=1.1),ROUND(EXP(-(TRUNC(CD39*CD32*10^8)/10^8)-((TRUNC(0.8*CD39*CD32*10^8)/10^8)*TRUNC(CD39*CD32*10^8)/10^8)),4),"Den.out")</f>
        <v>0.99629999999999996</v>
      </c>
      <c r="CE40" s="318" t="s">
        <v>247</v>
      </c>
      <c r="CF40" s="344">
        <f>IF(AND(CF28&gt;=0.653,CF28&lt;=1.1),ROUND(EXP(-(TRUNC(CF39*CF32*10^8)/10^8)-((TRUNC(0.8*CF39*CF32*10^8)/10^8)*TRUNC(CF39*CF32*10^8)/10^8)),4),"Den.out")</f>
        <v>0.99629999999999996</v>
      </c>
      <c r="CG40" s="318" t="s">
        <v>247</v>
      </c>
      <c r="CH40" s="344">
        <f>IF(AND(CH28&gt;=0.653,CH28&lt;=1.1),ROUND(EXP(-(TRUNC(CH39*CH32*10^8)/10^8)-((TRUNC(0.8*CH39*CH32*10^8)/10^8)*TRUNC(CH39*CH32*10^8)/10^8)),4),"Den.out")</f>
        <v>0.99629999999999996</v>
      </c>
      <c r="CI40" s="318" t="s">
        <v>247</v>
      </c>
      <c r="CJ40" s="344">
        <f>IF(AND(CJ28&gt;=0.653,CJ28&lt;=1.1),ROUND(EXP(-(TRUNC(CJ39*CJ32*10^8)/10^8)-((TRUNC(0.8*CJ39*CJ32*10^8)/10^8)*TRUNC(CJ39*CJ32*10^8)/10^8)),4),"Den.out")</f>
        <v>0.99629999999999996</v>
      </c>
    </row>
    <row r="41" spans="1:88" ht="15.4" thickTop="1">
      <c r="A41" s="135"/>
      <c r="B41" s="135"/>
      <c r="C41" s="135"/>
      <c r="D41" s="135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V41" s="346">
        <v>1020</v>
      </c>
      <c r="W41" s="333">
        <v>780.64499999999998</v>
      </c>
      <c r="X41" s="346">
        <v>1030</v>
      </c>
      <c r="Y41" s="334">
        <v>774.63499999999999</v>
      </c>
      <c r="Z41" s="335">
        <v>1020</v>
      </c>
      <c r="AA41" s="334">
        <v>1609.4490000000001</v>
      </c>
      <c r="AB41" s="336">
        <v>1020</v>
      </c>
      <c r="AC41" s="334">
        <v>1607.5619999999999</v>
      </c>
      <c r="AD41" s="336">
        <v>1020</v>
      </c>
      <c r="AE41" s="334">
        <v>1359.454</v>
      </c>
      <c r="AF41" s="336">
        <v>1020</v>
      </c>
      <c r="AG41" s="334">
        <v>1359.2360000000001</v>
      </c>
      <c r="AH41" s="336">
        <v>1020</v>
      </c>
      <c r="AI41" s="334">
        <v>1359.2190000000001</v>
      </c>
      <c r="AJ41" s="336">
        <v>1000</v>
      </c>
      <c r="AK41" s="334">
        <v>1360.1410000000001</v>
      </c>
      <c r="AL41" s="336">
        <v>1020</v>
      </c>
      <c r="AM41" s="334">
        <v>1359.7750000000001</v>
      </c>
      <c r="AN41" s="336">
        <v>1020</v>
      </c>
      <c r="AO41" s="334">
        <v>1360.0219999999999</v>
      </c>
      <c r="AP41" s="336">
        <v>1010</v>
      </c>
      <c r="AQ41" s="334">
        <v>1358.0730000000001</v>
      </c>
      <c r="AR41" s="336">
        <v>1020</v>
      </c>
      <c r="AS41" s="334">
        <v>1358.0409999999999</v>
      </c>
      <c r="AT41" s="336">
        <v>1020</v>
      </c>
      <c r="AU41" s="334">
        <v>1356.7139999999999</v>
      </c>
      <c r="AV41" s="336">
        <v>1020</v>
      </c>
      <c r="AW41" s="334">
        <v>1355.8119999999999</v>
      </c>
      <c r="AX41" s="336">
        <v>1010</v>
      </c>
      <c r="AY41" s="334">
        <v>1280.4590000000001</v>
      </c>
      <c r="AZ41" s="336">
        <v>1020</v>
      </c>
      <c r="BA41" s="337">
        <v>1281.2349999999999</v>
      </c>
      <c r="BB41" s="336">
        <v>1000</v>
      </c>
      <c r="BC41" s="334">
        <v>374.95699999999999</v>
      </c>
      <c r="BD41" s="336">
        <v>1000</v>
      </c>
      <c r="BE41" s="334">
        <v>390.935</v>
      </c>
      <c r="BS41" s="318" t="s">
        <v>248</v>
      </c>
      <c r="BT41" s="351">
        <f>ROUND(TRUNC(0.6278/BT31*10^10)/10^10,7)</f>
        <v>8.5130000000000004E-4</v>
      </c>
      <c r="BU41" s="318" t="s">
        <v>248</v>
      </c>
      <c r="BV41" s="351">
        <f>ROUND(TRUNC(0.6278/BV31*10^10)/10^10,7)</f>
        <v>8.5130000000000004E-4</v>
      </c>
      <c r="BW41" s="318" t="s">
        <v>248</v>
      </c>
      <c r="BX41" s="351">
        <f>ROUND(TRUNC(0.6278/BX31*10^10)/10^10,7)</f>
        <v>8.5130000000000004E-4</v>
      </c>
      <c r="BY41" s="318" t="s">
        <v>248</v>
      </c>
      <c r="BZ41" s="351">
        <f>ROUND(TRUNC(0.6278/BZ31*10^10)/10^10,7)</f>
        <v>7.5409999999999995E-4</v>
      </c>
      <c r="CA41" s="318" t="s">
        <v>248</v>
      </c>
      <c r="CB41" s="351">
        <f>ROUND(TRUNC(0.6278/CB31*10^10)/10^10,7)</f>
        <v>8.5130000000000004E-4</v>
      </c>
      <c r="CC41" s="318" t="s">
        <v>248</v>
      </c>
      <c r="CD41" s="351">
        <f>ROUND(TRUNC(0.6278/CD31*10^10)/10^10,7)</f>
        <v>8.5130000000000004E-4</v>
      </c>
      <c r="CE41" s="318" t="s">
        <v>248</v>
      </c>
      <c r="CF41" s="351">
        <f>ROUND(TRUNC(0.6278/CF31*10^10)/10^10,7)</f>
        <v>8.5130000000000004E-4</v>
      </c>
      <c r="CG41" s="318" t="s">
        <v>248</v>
      </c>
      <c r="CH41" s="351">
        <f>ROUND(TRUNC(0.6278/CH31*10^10)/10^10,7)</f>
        <v>8.5130000000000004E-4</v>
      </c>
      <c r="CI41" s="318" t="s">
        <v>248</v>
      </c>
      <c r="CJ41" s="351">
        <f>ROUND(TRUNC(0.6278/CJ31*10^10)/10^10,7)</f>
        <v>8.5130000000000004E-4</v>
      </c>
    </row>
    <row r="42" spans="1:88" ht="15">
      <c r="A42" s="135"/>
      <c r="B42" s="135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V42" s="346">
        <v>1030</v>
      </c>
      <c r="W42" s="333">
        <v>779.90300000000002</v>
      </c>
      <c r="X42" s="346">
        <v>1040</v>
      </c>
      <c r="Y42" s="334">
        <v>773.899</v>
      </c>
      <c r="Z42" s="335">
        <v>1030</v>
      </c>
      <c r="AA42" s="334">
        <v>1608.165</v>
      </c>
      <c r="AB42" s="336">
        <v>1030</v>
      </c>
      <c r="AC42" s="334">
        <v>1606.2080000000001</v>
      </c>
      <c r="AD42" s="336">
        <v>1030</v>
      </c>
      <c r="AE42" s="334">
        <v>1358.385</v>
      </c>
      <c r="AF42" s="336">
        <v>1030</v>
      </c>
      <c r="AG42" s="334">
        <v>1358.123</v>
      </c>
      <c r="AH42" s="336">
        <v>1030</v>
      </c>
      <c r="AI42" s="334">
        <v>1358.13</v>
      </c>
      <c r="AJ42" s="336">
        <v>1010</v>
      </c>
      <c r="AK42" s="334">
        <v>1359.0820000000001</v>
      </c>
      <c r="AL42" s="336">
        <v>1030</v>
      </c>
      <c r="AM42" s="334">
        <v>1358.7049999999999</v>
      </c>
      <c r="AN42" s="336">
        <v>1030</v>
      </c>
      <c r="AO42" s="334">
        <v>1358.9580000000001</v>
      </c>
      <c r="AP42" s="336">
        <v>1020</v>
      </c>
      <c r="AQ42" s="334">
        <v>1357.0039999999999</v>
      </c>
      <c r="AR42" s="336">
        <v>1030</v>
      </c>
      <c r="AS42" s="334">
        <v>1356.963</v>
      </c>
      <c r="AT42" s="336">
        <v>1030</v>
      </c>
      <c r="AU42" s="334">
        <v>1355.674</v>
      </c>
      <c r="AV42" s="336">
        <v>1030</v>
      </c>
      <c r="AW42" s="334">
        <v>1354.76</v>
      </c>
      <c r="AX42" s="336">
        <v>1020</v>
      </c>
      <c r="AY42" s="334">
        <v>1279.4000000000001</v>
      </c>
      <c r="AZ42" s="336">
        <v>1030</v>
      </c>
      <c r="BA42" s="337">
        <v>1280.1849999999999</v>
      </c>
      <c r="BB42" s="336">
        <v>1010</v>
      </c>
      <c r="BC42" s="334">
        <v>374.61500000000001</v>
      </c>
      <c r="BD42" s="336">
        <v>1010</v>
      </c>
      <c r="BE42" s="334">
        <v>390.58100000000002</v>
      </c>
      <c r="BS42" s="318" t="s">
        <v>34</v>
      </c>
      <c r="BT42" s="344" t="str">
        <f>IF(AND(BT28&gt;=0.8,BT28&lt;=1.164),ROUND(EXP(-(TRUNC(BT41*BT32*10^8)/10^8)-((TRUNC(0.8*BT41*BT32*10^8)/10^8)*TRUNC(BT41*BT32*10^8)/10^8)),4),"Den.out")</f>
        <v>Den.out</v>
      </c>
      <c r="BU42" s="318" t="s">
        <v>34</v>
      </c>
      <c r="BV42" s="344" t="str">
        <f>IF(AND(BV28&gt;=0.8,BV28&lt;=1.164),ROUND(EXP(-(TRUNC(BV41*BV32*10^8)/10^8)-((TRUNC(0.8*BV41*BV32*10^8)/10^8)*TRUNC(BV41*BV32*10^8)/10^8)),4),"Den.out")</f>
        <v>Den.out</v>
      </c>
      <c r="BW42" s="318" t="s">
        <v>34</v>
      </c>
      <c r="BX42" s="344" t="str">
        <f>IF(AND(BX28&gt;=0.8,BX28&lt;=1.164),ROUND(EXP(-(TRUNC(BX41*BX32*10^8)/10^8)-((TRUNC(0.8*BX41*BX32*10^8)/10^8)*TRUNC(BX41*BX32*10^8)/10^8)),4),"Den.out")</f>
        <v>Den.out</v>
      </c>
      <c r="BY42" s="318" t="s">
        <v>34</v>
      </c>
      <c r="BZ42" s="344">
        <f>IF(AND(BZ28&gt;=0.8,BZ28&lt;=1.164),ROUND(EXP(-(TRUNC(BZ41*BZ32*10^8)/10^8)-((TRUNC(0.8*BZ41*BZ32*10^8)/10^8)*TRUNC(BZ41*BZ32*10^8)/10^8)),4),"Den.out")</f>
        <v>0.99770000000000003</v>
      </c>
      <c r="CA42" s="318" t="s">
        <v>34</v>
      </c>
      <c r="CB42" s="344" t="str">
        <f>IF(AND(CB28&gt;=0.8,CB28&lt;=1.164),ROUND(EXP(-(TRUNC(CB41*CB32*10^8)/10^8)-((TRUNC(0.8*CB41*CB32*10^8)/10^8)*TRUNC(CB41*CB32*10^8)/10^8)),4),"Den.out")</f>
        <v>Den.out</v>
      </c>
      <c r="CC42" s="318" t="s">
        <v>34</v>
      </c>
      <c r="CD42" s="344" t="str">
        <f>IF(AND(CD28&gt;=0.8,CD28&lt;=1.164),ROUND(EXP(-(TRUNC(CD41*CD32*10^8)/10^8)-((TRUNC(0.8*CD41*CD32*10^8)/10^8)*TRUNC(CD41*CD32*10^8)/10^8)),4),"Den.out")</f>
        <v>Den.out</v>
      </c>
      <c r="CE42" s="318" t="s">
        <v>34</v>
      </c>
      <c r="CF42" s="344" t="str">
        <f>IF(AND(CF28&gt;=0.8,CF28&lt;=1.164),ROUND(EXP(-(TRUNC(CF41*CF32*10^8)/10^8)-((TRUNC(0.8*CF41*CF32*10^8)/10^8)*TRUNC(CF41*CF32*10^8)/10^8)),4),"Den.out")</f>
        <v>Den.out</v>
      </c>
      <c r="CG42" s="318" t="s">
        <v>34</v>
      </c>
      <c r="CH42" s="344" t="str">
        <f>IF(AND(CH28&gt;=0.8,CH28&lt;=1.164),ROUND(EXP(-(TRUNC(CH41*CH32*10^8)/10^8)-((TRUNC(0.8*CH41*CH32*10^8)/10^8)*TRUNC(CH41*CH32*10^8)/10^8)),4),"Den.out")</f>
        <v>Den.out</v>
      </c>
      <c r="CI42" s="318" t="s">
        <v>34</v>
      </c>
      <c r="CJ42" s="344" t="str">
        <f>IF(AND(CJ28&gt;=0.8,CJ28&lt;=1.164),ROUND(EXP(-(TRUNC(CJ41*CJ32*10^8)/10^8)-((TRUNC(0.8*CJ41*CJ32*10^8)/10^8)*TRUNC(CJ41*CJ32*10^8)/10^8)),4),"Den.out")</f>
        <v>Den.out</v>
      </c>
    </row>
    <row r="43" spans="1:88">
      <c r="V43" s="346">
        <v>1040</v>
      </c>
      <c r="W43" s="333">
        <v>779.15899999999999</v>
      </c>
      <c r="X43" s="346">
        <v>1050</v>
      </c>
      <c r="Y43" s="334">
        <v>773.16200000000003</v>
      </c>
      <c r="Z43" s="335">
        <v>1040</v>
      </c>
      <c r="AA43" s="334">
        <v>1606.8520000000001</v>
      </c>
      <c r="AB43" s="336">
        <v>1040</v>
      </c>
      <c r="AC43" s="334">
        <v>1604.8240000000001</v>
      </c>
      <c r="AD43" s="336">
        <v>1040</v>
      </c>
      <c r="AE43" s="334">
        <v>1357.2919999999999</v>
      </c>
      <c r="AF43" s="336">
        <v>1040</v>
      </c>
      <c r="AG43" s="334">
        <v>1356.99</v>
      </c>
      <c r="AH43" s="336">
        <v>1040</v>
      </c>
      <c r="AI43" s="334">
        <v>1357.0170000000001</v>
      </c>
      <c r="AJ43" s="336">
        <v>1020</v>
      </c>
      <c r="AK43" s="334">
        <v>1357.999</v>
      </c>
      <c r="AL43" s="336">
        <v>1040</v>
      </c>
      <c r="AM43" s="334">
        <v>1357.61</v>
      </c>
      <c r="AN43" s="336">
        <v>1040</v>
      </c>
      <c r="AO43" s="334">
        <v>1357.8720000000001</v>
      </c>
      <c r="AP43" s="336">
        <v>1030</v>
      </c>
      <c r="AQ43" s="334">
        <v>1355.91</v>
      </c>
      <c r="AR43" s="336">
        <v>1040</v>
      </c>
      <c r="AS43" s="334">
        <v>1355.8610000000001</v>
      </c>
      <c r="AT43" s="336">
        <v>1040</v>
      </c>
      <c r="AU43" s="334">
        <v>1354.61</v>
      </c>
      <c r="AV43" s="336">
        <v>1040</v>
      </c>
      <c r="AW43" s="334">
        <v>1353.6849999999999</v>
      </c>
      <c r="AX43" s="336">
        <v>1030</v>
      </c>
      <c r="AY43" s="334">
        <v>1278.317</v>
      </c>
      <c r="AZ43" s="336">
        <v>1040</v>
      </c>
      <c r="BA43" s="337">
        <v>1279.1099999999999</v>
      </c>
      <c r="BB43" s="336">
        <v>1020</v>
      </c>
      <c r="BC43" s="334">
        <v>374.267</v>
      </c>
      <c r="BD43" s="336">
        <v>1020</v>
      </c>
      <c r="BE43" s="334">
        <v>390.221</v>
      </c>
    </row>
    <row r="44" spans="1:88">
      <c r="V44" s="346">
        <v>1050</v>
      </c>
      <c r="W44" s="333">
        <v>778.41399999999999</v>
      </c>
      <c r="X44" s="346">
        <v>1060</v>
      </c>
      <c r="Y44" s="334">
        <v>772.42499999999995</v>
      </c>
      <c r="Z44" s="335">
        <v>1050</v>
      </c>
      <c r="AA44" s="334">
        <v>1605.509</v>
      </c>
      <c r="AB44" s="336">
        <v>1050</v>
      </c>
      <c r="AC44" s="334">
        <v>1603.4190000000001</v>
      </c>
      <c r="AD44" s="336">
        <v>1050</v>
      </c>
      <c r="AE44" s="334">
        <v>1356.175</v>
      </c>
      <c r="AF44" s="336">
        <v>1050</v>
      </c>
      <c r="AG44" s="334">
        <v>1355.8510000000001</v>
      </c>
      <c r="AH44" s="336">
        <v>1050</v>
      </c>
      <c r="AI44" s="334">
        <v>1355.884</v>
      </c>
      <c r="AJ44" s="336">
        <v>1030</v>
      </c>
      <c r="AK44" s="334">
        <v>1356.8920000000001</v>
      </c>
      <c r="AL44" s="336">
        <v>1050</v>
      </c>
      <c r="AM44" s="334">
        <v>1356.49</v>
      </c>
      <c r="AN44" s="336">
        <v>1050</v>
      </c>
      <c r="AO44" s="334">
        <v>1356.761</v>
      </c>
      <c r="AP44" s="336">
        <v>1040</v>
      </c>
      <c r="AQ44" s="334">
        <v>1354.7929999999999</v>
      </c>
      <c r="AR44" s="336">
        <v>1050</v>
      </c>
      <c r="AS44" s="334">
        <v>1354.7370000000001</v>
      </c>
      <c r="AT44" s="336">
        <v>1050</v>
      </c>
      <c r="AU44" s="334">
        <v>1353.5229999999999</v>
      </c>
      <c r="AV44" s="336">
        <v>1050</v>
      </c>
      <c r="AW44" s="334">
        <v>1352.586</v>
      </c>
      <c r="AX44" s="336">
        <v>1040</v>
      </c>
      <c r="AY44" s="334">
        <v>1277.2090000000001</v>
      </c>
      <c r="AZ44" s="336">
        <v>1050</v>
      </c>
      <c r="BA44" s="337">
        <v>1278.011</v>
      </c>
      <c r="BB44" s="336">
        <v>1030</v>
      </c>
      <c r="BC44" s="334">
        <v>373.911</v>
      </c>
      <c r="BD44" s="336">
        <v>1030</v>
      </c>
      <c r="BE44" s="334">
        <v>389.85399999999998</v>
      </c>
    </row>
    <row r="45" spans="1:88">
      <c r="A45" s="674"/>
      <c r="B45" s="674"/>
      <c r="C45" s="674"/>
      <c r="F45" s="674"/>
      <c r="G45" s="674"/>
      <c r="J45" s="674"/>
      <c r="K45" s="674"/>
      <c r="L45" s="674"/>
      <c r="V45" s="346">
        <v>1060</v>
      </c>
      <c r="W45" s="333">
        <v>777.66800000000001</v>
      </c>
      <c r="X45" s="346">
        <v>1070</v>
      </c>
      <c r="Y45" s="334">
        <v>771.68700000000001</v>
      </c>
      <c r="Z45" s="335">
        <v>1060</v>
      </c>
      <c r="AA45" s="334">
        <v>1604.1369999999999</v>
      </c>
      <c r="AB45" s="336">
        <v>1060</v>
      </c>
      <c r="AC45" s="334">
        <v>1602.0060000000001</v>
      </c>
      <c r="AD45" s="336">
        <v>1060</v>
      </c>
      <c r="AE45" s="334">
        <v>1355.04</v>
      </c>
      <c r="AF45" s="336">
        <v>1060</v>
      </c>
      <c r="AG45" s="334">
        <v>1354.711</v>
      </c>
      <c r="AH45" s="336">
        <v>1060</v>
      </c>
      <c r="AI45" s="334">
        <v>1354.7439999999999</v>
      </c>
      <c r="AJ45" s="336">
        <v>1040</v>
      </c>
      <c r="AK45" s="334">
        <v>1355.7629999999999</v>
      </c>
      <c r="AL45" s="336">
        <v>1060</v>
      </c>
      <c r="AM45" s="334">
        <v>1355.3530000000001</v>
      </c>
      <c r="AN45" s="336">
        <v>1060</v>
      </c>
      <c r="AO45" s="334">
        <v>1355.6310000000001</v>
      </c>
      <c r="AP45" s="336">
        <v>1050</v>
      </c>
      <c r="AQ45" s="334">
        <v>1353.6590000000001</v>
      </c>
      <c r="AR45" s="336">
        <v>1060</v>
      </c>
      <c r="AS45" s="334">
        <v>1353.6</v>
      </c>
      <c r="AT45" s="336">
        <v>1060</v>
      </c>
      <c r="AU45" s="334">
        <v>1352.412</v>
      </c>
      <c r="AV45" s="336">
        <v>1060</v>
      </c>
      <c r="AW45" s="334">
        <v>1351.4649999999999</v>
      </c>
      <c r="AX45" s="336">
        <v>1050</v>
      </c>
      <c r="AY45" s="334">
        <v>1276.0809999999999</v>
      </c>
      <c r="AZ45" s="336">
        <v>1060</v>
      </c>
      <c r="BA45" s="337">
        <v>1276.8900000000001</v>
      </c>
      <c r="BB45" s="336">
        <v>1040</v>
      </c>
      <c r="BC45" s="334">
        <v>373.54700000000003</v>
      </c>
      <c r="BD45" s="336">
        <v>1040</v>
      </c>
      <c r="BE45" s="334">
        <v>389.48</v>
      </c>
    </row>
    <row r="46" spans="1:88">
      <c r="C46" s="157" t="s">
        <v>161</v>
      </c>
      <c r="D46" s="675" t="s">
        <v>162</v>
      </c>
      <c r="E46" s="676"/>
      <c r="V46" s="346">
        <v>1070</v>
      </c>
      <c r="W46" s="333">
        <v>776.923</v>
      </c>
      <c r="X46" s="346">
        <v>1080</v>
      </c>
      <c r="Y46" s="334">
        <v>770.95</v>
      </c>
      <c r="Z46" s="335">
        <v>1070</v>
      </c>
      <c r="AA46" s="334">
        <v>1602.7380000000001</v>
      </c>
      <c r="AB46" s="336">
        <v>1070</v>
      </c>
      <c r="AC46" s="334">
        <v>1600.5920000000001</v>
      </c>
      <c r="AD46" s="336">
        <v>1070</v>
      </c>
      <c r="AE46" s="334">
        <v>1353.8979999999999</v>
      </c>
      <c r="AF46" s="336">
        <v>1070</v>
      </c>
      <c r="AG46" s="334">
        <v>1353.5719999999999</v>
      </c>
      <c r="AH46" s="336">
        <v>1070</v>
      </c>
      <c r="AI46" s="334">
        <v>1353.604</v>
      </c>
      <c r="AJ46" s="336">
        <v>1050</v>
      </c>
      <c r="AK46" s="334">
        <v>1354.624</v>
      </c>
      <c r="AL46" s="336">
        <v>1070</v>
      </c>
      <c r="AM46" s="334">
        <v>1354.213</v>
      </c>
      <c r="AN46" s="336">
        <v>1070</v>
      </c>
      <c r="AO46" s="334">
        <v>1354.4929999999999</v>
      </c>
      <c r="AP46" s="336">
        <v>1060</v>
      </c>
      <c r="AQ46" s="334">
        <v>1352.5219999999999</v>
      </c>
      <c r="AR46" s="336">
        <v>1070</v>
      </c>
      <c r="AS46" s="334">
        <v>1352.4639999999999</v>
      </c>
      <c r="AT46" s="336">
        <v>1070</v>
      </c>
      <c r="AU46" s="334">
        <v>1351.28</v>
      </c>
      <c r="AV46" s="336">
        <v>1070</v>
      </c>
      <c r="AW46" s="334">
        <v>1350.33</v>
      </c>
      <c r="AX46" s="336">
        <v>1060</v>
      </c>
      <c r="AY46" s="334">
        <v>1274.944</v>
      </c>
      <c r="AZ46" s="336">
        <v>1070</v>
      </c>
      <c r="BA46" s="337">
        <v>1275.7539999999999</v>
      </c>
      <c r="BB46" s="336">
        <v>1050</v>
      </c>
      <c r="BC46" s="334">
        <v>373.178</v>
      </c>
      <c r="BD46" s="336">
        <v>1050</v>
      </c>
      <c r="BE46" s="334">
        <v>389.09899999999999</v>
      </c>
    </row>
    <row r="47" spans="1:88">
      <c r="C47" s="379">
        <v>0</v>
      </c>
      <c r="D47" s="673">
        <v>0.99934000000000001</v>
      </c>
      <c r="E47" s="673"/>
      <c r="G47" s="380"/>
      <c r="V47" s="346">
        <v>1080</v>
      </c>
      <c r="W47" s="333">
        <v>776.17700000000002</v>
      </c>
      <c r="X47" s="346">
        <v>1090</v>
      </c>
      <c r="Y47" s="334">
        <v>770.21199999999999</v>
      </c>
      <c r="Z47" s="335">
        <v>1080</v>
      </c>
      <c r="AA47" s="334">
        <v>1601.3230000000001</v>
      </c>
      <c r="AB47" s="336">
        <v>1080</v>
      </c>
      <c r="AC47" s="334">
        <v>1599.1780000000001</v>
      </c>
      <c r="AD47" s="336">
        <v>1080</v>
      </c>
      <c r="AE47" s="334">
        <v>1352.7570000000001</v>
      </c>
      <c r="AF47" s="336">
        <v>1080</v>
      </c>
      <c r="AG47" s="334">
        <v>1352.431</v>
      </c>
      <c r="AH47" s="336">
        <v>1080</v>
      </c>
      <c r="AI47" s="334">
        <v>1352.463</v>
      </c>
      <c r="AJ47" s="336">
        <v>1060</v>
      </c>
      <c r="AK47" s="334">
        <v>1353.4839999999999</v>
      </c>
      <c r="AL47" s="336">
        <v>1080</v>
      </c>
      <c r="AM47" s="334">
        <v>1353.0730000000001</v>
      </c>
      <c r="AN47" s="336">
        <v>1080</v>
      </c>
      <c r="AO47" s="334">
        <v>1353.3530000000001</v>
      </c>
      <c r="AP47" s="336">
        <v>1070</v>
      </c>
      <c r="AQ47" s="334">
        <v>1351.386</v>
      </c>
      <c r="AR47" s="336">
        <v>1080</v>
      </c>
      <c r="AS47" s="334">
        <v>1351.327</v>
      </c>
      <c r="AT47" s="336">
        <v>1080</v>
      </c>
      <c r="AU47" s="334">
        <v>1350.1410000000001</v>
      </c>
      <c r="AV47" s="336">
        <v>1080</v>
      </c>
      <c r="AW47" s="334">
        <v>1349.1949999999999</v>
      </c>
      <c r="AX47" s="336">
        <v>1070</v>
      </c>
      <c r="AY47" s="334">
        <v>1273.806</v>
      </c>
      <c r="AZ47" s="336">
        <v>1080</v>
      </c>
      <c r="BA47" s="337">
        <v>1274.6179999999999</v>
      </c>
      <c r="BB47" s="336">
        <v>1060</v>
      </c>
      <c r="BC47" s="334">
        <v>372.80900000000003</v>
      </c>
      <c r="BD47" s="336">
        <v>1060</v>
      </c>
      <c r="BE47" s="334">
        <v>388.71699999999998</v>
      </c>
    </row>
    <row r="48" spans="1:88">
      <c r="C48" s="379">
        <v>1</v>
      </c>
      <c r="D48" s="673">
        <v>0.99937299999999996</v>
      </c>
      <c r="E48" s="673"/>
      <c r="G48" s="381"/>
      <c r="V48" s="346">
        <v>1090</v>
      </c>
      <c r="W48" s="333">
        <v>775.43100000000004</v>
      </c>
      <c r="X48" s="346">
        <v>1100</v>
      </c>
      <c r="Y48" s="334">
        <v>769.47400000000005</v>
      </c>
      <c r="Z48" s="335">
        <v>1090</v>
      </c>
      <c r="AA48" s="334">
        <v>1599.903</v>
      </c>
      <c r="AB48" s="336">
        <v>1090</v>
      </c>
      <c r="AC48" s="334">
        <v>1597.7639999999999</v>
      </c>
      <c r="AD48" s="336">
        <v>1090</v>
      </c>
      <c r="AE48" s="334">
        <v>1351.615</v>
      </c>
      <c r="AF48" s="336">
        <v>1090</v>
      </c>
      <c r="AG48" s="334">
        <v>1351.2909999999999</v>
      </c>
      <c r="AH48" s="336">
        <v>1090</v>
      </c>
      <c r="AI48" s="334">
        <v>1351.3219999999999</v>
      </c>
      <c r="AJ48" s="336">
        <v>1070</v>
      </c>
      <c r="AK48" s="334">
        <v>1352.3430000000001</v>
      </c>
      <c r="AL48" s="336">
        <v>1090</v>
      </c>
      <c r="AM48" s="334">
        <v>1351.933</v>
      </c>
      <c r="AN48" s="336">
        <v>1090</v>
      </c>
      <c r="AO48" s="334">
        <v>1352.2139999999999</v>
      </c>
      <c r="AP48" s="336">
        <v>1080</v>
      </c>
      <c r="AQ48" s="334">
        <v>1350.249</v>
      </c>
      <c r="AR48" s="336">
        <v>1090</v>
      </c>
      <c r="AS48" s="334">
        <v>1350.1890000000001</v>
      </c>
      <c r="AT48" s="336">
        <v>1090</v>
      </c>
      <c r="AU48" s="334">
        <v>1349.0029999999999</v>
      </c>
      <c r="AV48" s="336">
        <v>1090</v>
      </c>
      <c r="AW48" s="334">
        <v>1348.059</v>
      </c>
      <c r="AX48" s="336">
        <v>1080</v>
      </c>
      <c r="AY48" s="334">
        <v>1272.6679999999999</v>
      </c>
      <c r="AZ48" s="336">
        <v>1090</v>
      </c>
      <c r="BA48" s="337">
        <v>1273.482</v>
      </c>
      <c r="BB48" s="336">
        <v>1070</v>
      </c>
      <c r="BC48" s="334">
        <v>372.44099999999997</v>
      </c>
      <c r="BD48" s="336">
        <v>1070</v>
      </c>
      <c r="BE48" s="334">
        <v>388.334</v>
      </c>
    </row>
    <row r="49" spans="3:57">
      <c r="C49" s="379">
        <v>2</v>
      </c>
      <c r="D49" s="673">
        <v>0.99940600000000002</v>
      </c>
      <c r="E49" s="673"/>
      <c r="V49" s="346">
        <v>1100</v>
      </c>
      <c r="W49" s="333">
        <v>774.68499999999995</v>
      </c>
      <c r="X49" s="346">
        <v>1110</v>
      </c>
      <c r="Y49" s="334">
        <v>768.73500000000001</v>
      </c>
      <c r="Z49" s="335">
        <v>1100</v>
      </c>
      <c r="AA49" s="334">
        <v>1598.4839999999999</v>
      </c>
      <c r="AB49" s="336">
        <v>1100</v>
      </c>
      <c r="AC49" s="334">
        <v>1596.3489999999999</v>
      </c>
      <c r="AD49" s="336">
        <v>1100</v>
      </c>
      <c r="AE49" s="334">
        <v>1350.473</v>
      </c>
      <c r="AF49" s="336">
        <v>1100</v>
      </c>
      <c r="AG49" s="334">
        <v>1350.15</v>
      </c>
      <c r="AH49" s="336">
        <v>1100</v>
      </c>
      <c r="AI49" s="334">
        <v>1350.181</v>
      </c>
      <c r="AJ49" s="336">
        <v>1080</v>
      </c>
      <c r="AK49" s="334">
        <v>1351.203</v>
      </c>
      <c r="AL49" s="336">
        <v>1100</v>
      </c>
      <c r="AM49" s="334">
        <v>1350.7919999999999</v>
      </c>
      <c r="AN49" s="336">
        <v>1100</v>
      </c>
      <c r="AO49" s="334">
        <v>1351.075</v>
      </c>
      <c r="AP49" s="336">
        <v>1090</v>
      </c>
      <c r="AQ49" s="334">
        <v>1349.1120000000001</v>
      </c>
      <c r="AR49" s="336">
        <v>1100</v>
      </c>
      <c r="AS49" s="334">
        <v>1349.0519999999999</v>
      </c>
      <c r="AT49" s="336">
        <v>1100</v>
      </c>
      <c r="AU49" s="334">
        <v>1347.864</v>
      </c>
      <c r="AV49" s="336">
        <v>1100</v>
      </c>
      <c r="AW49" s="334">
        <v>1346.923</v>
      </c>
      <c r="AX49" s="336">
        <v>1090</v>
      </c>
      <c r="AY49" s="334">
        <v>1271.529</v>
      </c>
      <c r="AZ49" s="336">
        <v>1100</v>
      </c>
      <c r="BA49" s="337">
        <v>1272.346</v>
      </c>
      <c r="BB49" s="336">
        <v>1080</v>
      </c>
      <c r="BC49" s="334">
        <v>372.072</v>
      </c>
      <c r="BD49" s="336">
        <v>1080</v>
      </c>
      <c r="BE49" s="334">
        <v>387.95100000000002</v>
      </c>
    </row>
    <row r="50" spans="3:57">
      <c r="C50" s="379">
        <v>3</v>
      </c>
      <c r="D50" s="673">
        <v>0.99943899999999997</v>
      </c>
      <c r="E50" s="673"/>
      <c r="V50" s="346">
        <v>1110</v>
      </c>
      <c r="W50" s="333">
        <v>773.93799999999999</v>
      </c>
      <c r="X50" s="346">
        <v>1120</v>
      </c>
      <c r="Y50" s="334">
        <v>767.99699999999996</v>
      </c>
      <c r="Z50" s="335">
        <v>1110</v>
      </c>
      <c r="AA50" s="334">
        <v>1597.0640000000001</v>
      </c>
      <c r="AB50" s="336">
        <v>1110</v>
      </c>
      <c r="AC50" s="334">
        <v>1594.934</v>
      </c>
      <c r="AD50" s="336">
        <v>1110</v>
      </c>
      <c r="AE50" s="334">
        <v>1349.3309999999999</v>
      </c>
      <c r="AF50" s="336">
        <v>1110</v>
      </c>
      <c r="AG50" s="334">
        <v>1349.01</v>
      </c>
      <c r="AH50" s="336">
        <v>1110</v>
      </c>
      <c r="AI50" s="334">
        <v>1349.039</v>
      </c>
      <c r="AJ50" s="336">
        <v>1090</v>
      </c>
      <c r="AK50" s="334">
        <v>1350.0619999999999</v>
      </c>
      <c r="AL50" s="336">
        <v>1110</v>
      </c>
      <c r="AM50" s="334">
        <v>1349.6510000000001</v>
      </c>
      <c r="AN50" s="336">
        <v>1110</v>
      </c>
      <c r="AO50" s="334">
        <v>1349.9349999999999</v>
      </c>
      <c r="AP50" s="336">
        <v>1100</v>
      </c>
      <c r="AQ50" s="334">
        <v>1347.9739999999999</v>
      </c>
      <c r="AR50" s="336">
        <v>1110</v>
      </c>
      <c r="AS50" s="334">
        <v>1347.914</v>
      </c>
      <c r="AT50" s="336">
        <v>1110</v>
      </c>
      <c r="AU50" s="334">
        <v>1346.7239999999999</v>
      </c>
      <c r="AV50" s="336">
        <v>1110</v>
      </c>
      <c r="AW50" s="334">
        <v>1345.787</v>
      </c>
      <c r="AX50" s="336">
        <v>1100</v>
      </c>
      <c r="AY50" s="334">
        <v>1270.3910000000001</v>
      </c>
      <c r="AZ50" s="336">
        <v>1110</v>
      </c>
      <c r="BA50" s="337">
        <v>1271.2090000000001</v>
      </c>
      <c r="BB50" s="336">
        <v>1090</v>
      </c>
      <c r="BC50" s="334">
        <v>371.702</v>
      </c>
      <c r="BD50" s="336">
        <v>1090</v>
      </c>
      <c r="BE50" s="334">
        <v>387.56799999999998</v>
      </c>
    </row>
    <row r="51" spans="3:57">
      <c r="C51" s="379">
        <v>4</v>
      </c>
      <c r="D51" s="673">
        <v>0.99947200000000003</v>
      </c>
      <c r="E51" s="673"/>
      <c r="V51" s="346">
        <v>1120</v>
      </c>
      <c r="W51" s="333">
        <v>773.19200000000001</v>
      </c>
      <c r="X51" s="346">
        <v>1130</v>
      </c>
      <c r="Y51" s="334">
        <v>767.25800000000004</v>
      </c>
      <c r="Z51" s="335">
        <v>1120</v>
      </c>
      <c r="AA51" s="334">
        <v>1595.644</v>
      </c>
      <c r="AB51" s="336">
        <v>1120</v>
      </c>
      <c r="AC51" s="334">
        <v>1593.519</v>
      </c>
      <c r="AD51" s="336">
        <v>1120</v>
      </c>
      <c r="AE51" s="334">
        <v>1348.1880000000001</v>
      </c>
      <c r="AF51" s="336">
        <v>1120</v>
      </c>
      <c r="AG51" s="334">
        <v>1347.8689999999999</v>
      </c>
      <c r="AH51" s="336">
        <v>1120</v>
      </c>
      <c r="AI51" s="334">
        <v>1347.8969999999999</v>
      </c>
      <c r="AJ51" s="336">
        <v>1100</v>
      </c>
      <c r="AK51" s="334">
        <v>1348.921</v>
      </c>
      <c r="AL51" s="336">
        <v>1120</v>
      </c>
      <c r="AM51" s="334">
        <v>1348.51</v>
      </c>
      <c r="AN51" s="336">
        <v>1120</v>
      </c>
      <c r="AO51" s="334">
        <v>1348.7950000000001</v>
      </c>
      <c r="AP51" s="336">
        <v>1110</v>
      </c>
      <c r="AQ51" s="334">
        <v>1346.837</v>
      </c>
      <c r="AR51" s="336">
        <v>1120</v>
      </c>
      <c r="AS51" s="334">
        <v>1346.7760000000001</v>
      </c>
      <c r="AT51" s="336">
        <v>1120</v>
      </c>
      <c r="AU51" s="334">
        <v>1345.585</v>
      </c>
      <c r="AV51" s="336">
        <v>1120</v>
      </c>
      <c r="AW51" s="334">
        <v>1344.6510000000001</v>
      </c>
      <c r="AX51" s="336">
        <v>1110</v>
      </c>
      <c r="AY51" s="334">
        <v>1269.252</v>
      </c>
      <c r="AZ51" s="336">
        <v>1120</v>
      </c>
      <c r="BA51" s="337">
        <v>1270.0719999999999</v>
      </c>
      <c r="BB51" s="336">
        <v>1100</v>
      </c>
      <c r="BC51" s="334">
        <v>371.33300000000003</v>
      </c>
      <c r="BD51" s="336">
        <v>1100</v>
      </c>
      <c r="BE51" s="334">
        <v>387.185</v>
      </c>
    </row>
    <row r="52" spans="3:57">
      <c r="C52" s="379">
        <v>5</v>
      </c>
      <c r="D52" s="673">
        <v>0.99950499999999998</v>
      </c>
      <c r="E52" s="673"/>
      <c r="V52" s="346">
        <v>1130</v>
      </c>
      <c r="W52" s="333">
        <v>772.44500000000005</v>
      </c>
      <c r="X52" s="346">
        <v>1140</v>
      </c>
      <c r="Y52" s="334">
        <v>766.51900000000001</v>
      </c>
      <c r="Z52" s="335">
        <v>1130</v>
      </c>
      <c r="AA52" s="334">
        <v>1594.2239999999999</v>
      </c>
      <c r="AB52" s="336">
        <v>1130</v>
      </c>
      <c r="AC52" s="334">
        <v>1592.104</v>
      </c>
      <c r="AD52" s="336">
        <v>1130</v>
      </c>
      <c r="AE52" s="334">
        <v>1347.046</v>
      </c>
      <c r="AF52" s="336">
        <v>1130</v>
      </c>
      <c r="AG52" s="334">
        <v>1346.7270000000001</v>
      </c>
      <c r="AH52" s="336">
        <v>1130</v>
      </c>
      <c r="AI52" s="334">
        <v>1346.7550000000001</v>
      </c>
      <c r="AJ52" s="336">
        <v>1110</v>
      </c>
      <c r="AK52" s="334">
        <v>1347.779</v>
      </c>
      <c r="AL52" s="336">
        <v>1130</v>
      </c>
      <c r="AM52" s="334">
        <v>1347.3689999999999</v>
      </c>
      <c r="AN52" s="336">
        <v>1130</v>
      </c>
      <c r="AO52" s="334">
        <v>1347.654</v>
      </c>
      <c r="AP52" s="336">
        <v>1120</v>
      </c>
      <c r="AQ52" s="334">
        <v>1345.6990000000001</v>
      </c>
      <c r="AR52" s="336">
        <v>1130</v>
      </c>
      <c r="AS52" s="334">
        <v>1345.6379999999999</v>
      </c>
      <c r="AT52" s="336">
        <v>1130</v>
      </c>
      <c r="AU52" s="334">
        <v>1344.4449999999999</v>
      </c>
      <c r="AV52" s="336">
        <v>1130</v>
      </c>
      <c r="AW52" s="334">
        <v>1343.5139999999999</v>
      </c>
      <c r="AX52" s="336">
        <v>1120</v>
      </c>
      <c r="AY52" s="334">
        <v>1268.1130000000001</v>
      </c>
      <c r="AZ52" s="336">
        <v>1130</v>
      </c>
      <c r="BA52" s="337">
        <v>1268.9349999999999</v>
      </c>
      <c r="BB52" s="336">
        <v>1110</v>
      </c>
      <c r="BC52" s="334">
        <v>370.964</v>
      </c>
      <c r="BD52" s="336">
        <v>1110</v>
      </c>
      <c r="BE52" s="334">
        <v>386.80200000000002</v>
      </c>
    </row>
    <row r="53" spans="3:57">
      <c r="C53" s="379">
        <v>6</v>
      </c>
      <c r="D53" s="673">
        <v>0.99953800000000004</v>
      </c>
      <c r="E53" s="673"/>
      <c r="V53" s="346">
        <v>1140</v>
      </c>
      <c r="W53" s="333">
        <v>771.69799999999998</v>
      </c>
      <c r="X53" s="346">
        <v>1150</v>
      </c>
      <c r="Y53" s="334">
        <v>765.78</v>
      </c>
      <c r="Z53" s="335">
        <v>1140</v>
      </c>
      <c r="AA53" s="334">
        <v>1592.8030000000001</v>
      </c>
      <c r="AB53" s="336">
        <v>1140</v>
      </c>
      <c r="AC53" s="334">
        <v>1590.6880000000001</v>
      </c>
      <c r="AD53" s="336">
        <v>1140</v>
      </c>
      <c r="AE53" s="334">
        <v>1345.903</v>
      </c>
      <c r="AF53" s="336">
        <v>1140</v>
      </c>
      <c r="AG53" s="334">
        <v>1345.586</v>
      </c>
      <c r="AH53" s="336">
        <v>1140</v>
      </c>
      <c r="AI53" s="334">
        <v>1345.6130000000001</v>
      </c>
      <c r="AJ53" s="336">
        <v>1120</v>
      </c>
      <c r="AK53" s="334">
        <v>1346.6379999999999</v>
      </c>
      <c r="AL53" s="336">
        <v>1140</v>
      </c>
      <c r="AM53" s="334">
        <v>1346.2270000000001</v>
      </c>
      <c r="AN53" s="336">
        <v>1140</v>
      </c>
      <c r="AO53" s="334">
        <v>1346.5139999999999</v>
      </c>
      <c r="AP53" s="336">
        <v>1130</v>
      </c>
      <c r="AQ53" s="334">
        <v>1344.36</v>
      </c>
      <c r="AR53" s="336">
        <v>1140</v>
      </c>
      <c r="AS53" s="334">
        <v>1344.5</v>
      </c>
      <c r="AT53" s="336">
        <v>1140</v>
      </c>
      <c r="AU53" s="334">
        <v>1343.3050000000001</v>
      </c>
      <c r="AV53" s="336">
        <v>1140</v>
      </c>
      <c r="AW53" s="334">
        <v>1342.377</v>
      </c>
      <c r="AX53" s="336">
        <v>1130</v>
      </c>
      <c r="AY53" s="334">
        <v>1266.973</v>
      </c>
      <c r="AZ53" s="336">
        <v>1140</v>
      </c>
      <c r="BA53" s="337">
        <v>1267.797</v>
      </c>
      <c r="BB53" s="336">
        <v>1120</v>
      </c>
      <c r="BC53" s="334">
        <v>370.59500000000003</v>
      </c>
      <c r="BD53" s="336">
        <v>1120</v>
      </c>
      <c r="BE53" s="334">
        <v>386.41899999999998</v>
      </c>
    </row>
    <row r="54" spans="3:57">
      <c r="C54" s="379">
        <v>7</v>
      </c>
      <c r="D54" s="673">
        <v>0.99957099999999999</v>
      </c>
      <c r="E54" s="673"/>
      <c r="V54" s="346">
        <v>1150</v>
      </c>
      <c r="W54" s="333">
        <v>770.95100000000002</v>
      </c>
      <c r="X54" s="346">
        <v>1160</v>
      </c>
      <c r="Y54" s="334">
        <v>765.04100000000005</v>
      </c>
      <c r="Z54" s="335">
        <v>1150</v>
      </c>
      <c r="AA54" s="334">
        <v>1591.3820000000001</v>
      </c>
      <c r="AB54" s="336">
        <v>1150</v>
      </c>
      <c r="AC54" s="334">
        <v>1589.2719999999999</v>
      </c>
      <c r="AD54" s="336">
        <v>1150</v>
      </c>
      <c r="AE54" s="334">
        <v>1344.76</v>
      </c>
      <c r="AF54" s="336">
        <v>1150</v>
      </c>
      <c r="AG54" s="334">
        <v>1344.444</v>
      </c>
      <c r="AH54" s="336">
        <v>1150</v>
      </c>
      <c r="AI54" s="334">
        <v>1344.47</v>
      </c>
      <c r="AJ54" s="336">
        <v>1130</v>
      </c>
      <c r="AK54" s="334">
        <v>1345.4960000000001</v>
      </c>
      <c r="AL54" s="336">
        <v>1150</v>
      </c>
      <c r="AM54" s="334">
        <v>1345.085</v>
      </c>
      <c r="AN54" s="336">
        <v>1150</v>
      </c>
      <c r="AO54" s="334">
        <v>1345.373</v>
      </c>
      <c r="AP54" s="336">
        <v>1140</v>
      </c>
      <c r="AQ54" s="334">
        <v>1343.422</v>
      </c>
      <c r="AR54" s="336">
        <v>1150</v>
      </c>
      <c r="AS54" s="334">
        <v>1343.3610000000001</v>
      </c>
      <c r="AT54" s="336">
        <v>1150</v>
      </c>
      <c r="AU54" s="334">
        <v>1342.165</v>
      </c>
      <c r="AV54" s="336">
        <v>1150</v>
      </c>
      <c r="AW54" s="334">
        <v>1341.24</v>
      </c>
      <c r="AX54" s="336">
        <v>1140</v>
      </c>
      <c r="AY54" s="334">
        <v>1265.8330000000001</v>
      </c>
      <c r="AZ54" s="336">
        <v>1150</v>
      </c>
      <c r="BA54" s="337">
        <v>1266.6590000000001</v>
      </c>
      <c r="BB54" s="336">
        <v>1130</v>
      </c>
      <c r="BC54" s="334">
        <v>370.22500000000002</v>
      </c>
      <c r="BD54" s="336">
        <v>1130</v>
      </c>
      <c r="BE54" s="334">
        <v>386.036</v>
      </c>
    </row>
    <row r="55" spans="3:57">
      <c r="C55" s="379">
        <v>8</v>
      </c>
      <c r="D55" s="673">
        <v>0.99960400000000005</v>
      </c>
      <c r="E55" s="673"/>
      <c r="V55" s="346">
        <v>1160</v>
      </c>
      <c r="W55" s="333">
        <v>770.20299999999997</v>
      </c>
      <c r="X55" s="346">
        <v>1170</v>
      </c>
      <c r="Y55" s="334">
        <v>764.30100000000004</v>
      </c>
      <c r="Z55" s="335">
        <v>1160</v>
      </c>
      <c r="AA55" s="334">
        <v>1589.961</v>
      </c>
      <c r="AB55" s="336">
        <v>1160</v>
      </c>
      <c r="AC55" s="334">
        <v>1587.856</v>
      </c>
      <c r="AD55" s="336">
        <v>1160</v>
      </c>
      <c r="AE55" s="334">
        <v>1343.616</v>
      </c>
      <c r="AF55" s="336">
        <v>1160</v>
      </c>
      <c r="AG55" s="334">
        <v>1343.3019999999999</v>
      </c>
      <c r="AH55" s="336">
        <v>1160</v>
      </c>
      <c r="AI55" s="334">
        <v>1343.328</v>
      </c>
      <c r="AJ55" s="336">
        <v>1140</v>
      </c>
      <c r="AK55" s="334">
        <v>1344.3530000000001</v>
      </c>
      <c r="AL55" s="336">
        <v>1160</v>
      </c>
      <c r="AM55" s="334">
        <v>1343.943</v>
      </c>
      <c r="AN55" s="336">
        <v>1160</v>
      </c>
      <c r="AO55" s="334">
        <v>1344.232</v>
      </c>
      <c r="AP55" s="336">
        <v>1150</v>
      </c>
      <c r="AQ55" s="334">
        <v>1342.2829999999999</v>
      </c>
      <c r="AR55" s="336">
        <v>1160</v>
      </c>
      <c r="AS55" s="334">
        <v>1342.222</v>
      </c>
      <c r="AT55" s="336">
        <v>1160</v>
      </c>
      <c r="AU55" s="334">
        <v>1341.0250000000001</v>
      </c>
      <c r="AV55" s="336">
        <v>1160</v>
      </c>
      <c r="AW55" s="334">
        <v>1340.1020000000001</v>
      </c>
      <c r="AX55" s="336">
        <v>1150</v>
      </c>
      <c r="AY55" s="334">
        <v>1264.694</v>
      </c>
      <c r="AZ55" s="336">
        <v>1160</v>
      </c>
      <c r="BA55" s="337">
        <v>1265.5219999999999</v>
      </c>
      <c r="BB55" s="336">
        <v>1140</v>
      </c>
      <c r="BC55" s="334">
        <v>369.85599999999999</v>
      </c>
      <c r="BD55" s="336">
        <v>1140</v>
      </c>
      <c r="BE55" s="334">
        <v>385.65199999999999</v>
      </c>
    </row>
    <row r="56" spans="3:57">
      <c r="C56" s="379">
        <v>9</v>
      </c>
      <c r="D56" s="673">
        <v>0.999637</v>
      </c>
      <c r="E56" s="673"/>
      <c r="V56" s="346">
        <v>1170</v>
      </c>
      <c r="W56" s="333">
        <v>769.45600000000002</v>
      </c>
      <c r="X56" s="346">
        <v>1180</v>
      </c>
      <c r="Y56" s="334">
        <v>763.56100000000004</v>
      </c>
      <c r="Z56" s="335">
        <v>1170</v>
      </c>
      <c r="AA56" s="334">
        <v>1588.539</v>
      </c>
      <c r="AB56" s="336">
        <v>1170</v>
      </c>
      <c r="AC56" s="334">
        <v>1586.4390000000001</v>
      </c>
      <c r="AD56" s="336">
        <v>1170</v>
      </c>
      <c r="AE56" s="334">
        <v>1342.473</v>
      </c>
      <c r="AF56" s="336">
        <v>1170</v>
      </c>
      <c r="AG56" s="334">
        <v>1342.1590000000001</v>
      </c>
      <c r="AH56" s="336">
        <v>1170</v>
      </c>
      <c r="AI56" s="334">
        <v>1342.1849999999999</v>
      </c>
      <c r="AJ56" s="336">
        <v>1150</v>
      </c>
      <c r="AK56" s="334">
        <v>1343.211</v>
      </c>
      <c r="AL56" s="336">
        <v>1170</v>
      </c>
      <c r="AM56" s="334">
        <v>1342.8009999999999</v>
      </c>
      <c r="AN56" s="336">
        <v>1170</v>
      </c>
      <c r="AO56" s="334">
        <v>1343.0909999999999</v>
      </c>
      <c r="AP56" s="336">
        <v>1160</v>
      </c>
      <c r="AQ56" s="334">
        <v>1341.144</v>
      </c>
      <c r="AR56" s="336">
        <v>1170</v>
      </c>
      <c r="AS56" s="334">
        <v>1341.0830000000001</v>
      </c>
      <c r="AT56" s="336">
        <v>1170</v>
      </c>
      <c r="AU56" s="334">
        <v>1339.884</v>
      </c>
      <c r="AV56" s="336">
        <v>1170</v>
      </c>
      <c r="AW56" s="334">
        <v>1338.9649999999999</v>
      </c>
      <c r="AX56" s="336">
        <v>1160</v>
      </c>
      <c r="AY56" s="334">
        <v>1263.5530000000001</v>
      </c>
      <c r="AZ56" s="336">
        <v>1170</v>
      </c>
      <c r="BA56" s="337">
        <v>1264.383</v>
      </c>
      <c r="BB56" s="336">
        <v>1150</v>
      </c>
      <c r="BC56" s="334">
        <v>369.48599999999999</v>
      </c>
      <c r="BD56" s="336">
        <v>1150</v>
      </c>
      <c r="BE56" s="334">
        <v>385.26900000000001</v>
      </c>
    </row>
    <row r="57" spans="3:57">
      <c r="C57" s="379">
        <v>10</v>
      </c>
      <c r="D57" s="673">
        <v>0.99966999999999995</v>
      </c>
      <c r="E57" s="673"/>
      <c r="V57" s="346">
        <v>1180</v>
      </c>
      <c r="W57" s="333">
        <v>768.70799999999997</v>
      </c>
      <c r="X57" s="346">
        <v>1190</v>
      </c>
      <c r="Y57" s="334">
        <v>762.82100000000003</v>
      </c>
      <c r="Z57" s="335">
        <v>1180</v>
      </c>
      <c r="AA57" s="334">
        <v>1587.117</v>
      </c>
      <c r="AB57" s="336">
        <v>1180</v>
      </c>
      <c r="AC57" s="334">
        <v>1585.0219999999999</v>
      </c>
      <c r="AD57" s="336">
        <v>1180</v>
      </c>
      <c r="AE57" s="334">
        <v>1341.329</v>
      </c>
      <c r="AF57" s="336">
        <v>1180</v>
      </c>
      <c r="AG57" s="334">
        <v>1341.0170000000001</v>
      </c>
      <c r="AH57" s="336">
        <v>1180</v>
      </c>
      <c r="AI57" s="334">
        <v>1341.0419999999999</v>
      </c>
      <c r="AJ57" s="336">
        <v>1160</v>
      </c>
      <c r="AK57" s="334">
        <v>1342.068</v>
      </c>
      <c r="AL57" s="336">
        <v>1180</v>
      </c>
      <c r="AM57" s="334">
        <v>1341.6579999999999</v>
      </c>
      <c r="AN57" s="336">
        <v>1180</v>
      </c>
      <c r="AO57" s="334">
        <v>1341.9490000000001</v>
      </c>
      <c r="AP57" s="336">
        <v>1170</v>
      </c>
      <c r="AQ57" s="334">
        <v>1340.0050000000001</v>
      </c>
      <c r="AR57" s="336">
        <v>1180</v>
      </c>
      <c r="AS57" s="334">
        <v>1339.943</v>
      </c>
      <c r="AT57" s="336">
        <v>1180</v>
      </c>
      <c r="AU57" s="334">
        <v>1338.7429999999999</v>
      </c>
      <c r="AV57" s="336">
        <v>1180</v>
      </c>
      <c r="AW57" s="334">
        <v>1337.827</v>
      </c>
      <c r="AX57" s="336">
        <v>1170</v>
      </c>
      <c r="AY57" s="334">
        <v>1262.413</v>
      </c>
      <c r="AZ57" s="336">
        <v>1180</v>
      </c>
      <c r="BA57" s="337">
        <v>1263.2449999999999</v>
      </c>
      <c r="BB57" s="336">
        <v>1160</v>
      </c>
      <c r="BC57" s="334">
        <v>369.11599999999999</v>
      </c>
      <c r="BD57" s="336">
        <v>1160</v>
      </c>
      <c r="BE57" s="334">
        <v>384.88499999999999</v>
      </c>
    </row>
    <row r="58" spans="3:57">
      <c r="C58" s="379">
        <v>11</v>
      </c>
      <c r="D58" s="673">
        <v>0.99970300000000001</v>
      </c>
      <c r="E58" s="673"/>
      <c r="V58" s="346">
        <v>1190</v>
      </c>
      <c r="W58" s="333">
        <v>767.96</v>
      </c>
      <c r="X58" s="346">
        <v>1200</v>
      </c>
      <c r="Y58" s="334">
        <v>762.08100000000002</v>
      </c>
      <c r="Z58" s="335">
        <v>1190</v>
      </c>
      <c r="AA58" s="334">
        <v>1585.6949999999999</v>
      </c>
      <c r="AB58" s="336">
        <v>1190</v>
      </c>
      <c r="AC58" s="334">
        <v>1583.605</v>
      </c>
      <c r="AD58" s="336">
        <v>1190</v>
      </c>
      <c r="AE58" s="334">
        <v>1340.1849999999999</v>
      </c>
      <c r="AF58" s="336">
        <v>1190</v>
      </c>
      <c r="AG58" s="334">
        <v>1339.874</v>
      </c>
      <c r="AH58" s="336">
        <v>1190</v>
      </c>
      <c r="AI58" s="334">
        <v>1339.8979999999999</v>
      </c>
      <c r="AJ58" s="336">
        <v>1170</v>
      </c>
      <c r="AK58" s="334">
        <v>1340.925</v>
      </c>
      <c r="AL58" s="336">
        <v>1190</v>
      </c>
      <c r="AM58" s="334">
        <v>1340.5150000000001</v>
      </c>
      <c r="AN58" s="336">
        <v>1190</v>
      </c>
      <c r="AO58" s="334">
        <v>1340.807</v>
      </c>
      <c r="AP58" s="336">
        <v>1180</v>
      </c>
      <c r="AQ58" s="334">
        <v>1338.866</v>
      </c>
      <c r="AR58" s="336">
        <v>1190</v>
      </c>
      <c r="AS58" s="334">
        <v>1338.8040000000001</v>
      </c>
      <c r="AT58" s="336">
        <v>1190</v>
      </c>
      <c r="AU58" s="334">
        <v>1337.6020000000001</v>
      </c>
      <c r="AV58" s="336">
        <v>1190</v>
      </c>
      <c r="AW58" s="334">
        <v>1336.6880000000001</v>
      </c>
      <c r="AX58" s="336">
        <v>1180</v>
      </c>
      <c r="AY58" s="334">
        <v>1261.2719999999999</v>
      </c>
      <c r="AZ58" s="336">
        <v>1190</v>
      </c>
      <c r="BA58" s="337">
        <v>1262.106</v>
      </c>
      <c r="BB58" s="336">
        <v>1170</v>
      </c>
      <c r="BC58" s="334">
        <v>368.74700000000001</v>
      </c>
      <c r="BD58" s="336">
        <v>1170</v>
      </c>
      <c r="BE58" s="334">
        <v>384.50200000000001</v>
      </c>
    </row>
    <row r="59" spans="3:57">
      <c r="C59" s="379">
        <v>12</v>
      </c>
      <c r="D59" s="673">
        <v>0.99973599999999996</v>
      </c>
      <c r="E59" s="673"/>
      <c r="V59" s="346">
        <v>1200</v>
      </c>
      <c r="W59" s="333">
        <v>767.21100000000001</v>
      </c>
      <c r="X59" s="346">
        <v>1210</v>
      </c>
      <c r="Y59" s="334">
        <v>761.34100000000001</v>
      </c>
      <c r="Z59" s="335">
        <v>1200</v>
      </c>
      <c r="AA59" s="334">
        <v>1584.2729999999999</v>
      </c>
      <c r="AB59" s="336">
        <v>1200</v>
      </c>
      <c r="AC59" s="334">
        <v>1582.1869999999999</v>
      </c>
      <c r="AD59" s="336">
        <v>1200</v>
      </c>
      <c r="AE59" s="334">
        <v>1339.04</v>
      </c>
      <c r="AF59" s="336">
        <v>1200</v>
      </c>
      <c r="AG59" s="334">
        <v>1338.731</v>
      </c>
      <c r="AH59" s="336">
        <v>1200</v>
      </c>
      <c r="AI59" s="334">
        <v>1338.7539999999999</v>
      </c>
      <c r="AJ59" s="336">
        <v>1180</v>
      </c>
      <c r="AK59" s="334">
        <v>1339.7819999999999</v>
      </c>
      <c r="AL59" s="336">
        <v>1200</v>
      </c>
      <c r="AM59" s="334">
        <v>1339.3720000000001</v>
      </c>
      <c r="AN59" s="336">
        <v>1200</v>
      </c>
      <c r="AO59" s="334">
        <v>1339.665</v>
      </c>
      <c r="AP59" s="336">
        <v>1190</v>
      </c>
      <c r="AQ59" s="334">
        <v>1337.7260000000001</v>
      </c>
      <c r="AR59" s="336">
        <v>1200</v>
      </c>
      <c r="AS59" s="334">
        <v>1337.664</v>
      </c>
      <c r="AT59" s="336">
        <v>1200</v>
      </c>
      <c r="AU59" s="334">
        <v>1336.46</v>
      </c>
      <c r="AV59" s="336">
        <v>1200</v>
      </c>
      <c r="AW59" s="334">
        <v>1335.55</v>
      </c>
      <c r="AX59" s="336">
        <v>1190</v>
      </c>
      <c r="AY59" s="334">
        <v>1260.1320000000001</v>
      </c>
      <c r="AZ59" s="336">
        <v>1200</v>
      </c>
      <c r="BA59" s="337">
        <v>1260.9670000000001</v>
      </c>
      <c r="BB59" s="336">
        <v>1180</v>
      </c>
      <c r="BC59" s="334">
        <v>368.37700000000001</v>
      </c>
      <c r="BD59" s="336">
        <v>1180</v>
      </c>
      <c r="BE59" s="334">
        <v>384.11799999999999</v>
      </c>
    </row>
    <row r="60" spans="3:57">
      <c r="C60" s="379">
        <v>13</v>
      </c>
      <c r="D60" s="673">
        <v>0.99976900000000002</v>
      </c>
      <c r="E60" s="673"/>
      <c r="V60" s="346">
        <v>1210</v>
      </c>
      <c r="W60" s="333">
        <v>766.46299999999997</v>
      </c>
      <c r="X60" s="346">
        <v>1220</v>
      </c>
      <c r="Y60" s="334">
        <v>760.6</v>
      </c>
      <c r="Z60" s="335">
        <v>1210</v>
      </c>
      <c r="AA60" s="334">
        <v>1582.85</v>
      </c>
      <c r="AB60" s="336">
        <v>1210</v>
      </c>
      <c r="AC60" s="334">
        <v>1580.77</v>
      </c>
      <c r="AD60" s="336">
        <v>1210</v>
      </c>
      <c r="AE60" s="334">
        <v>1337.896</v>
      </c>
      <c r="AF60" s="336">
        <v>1210</v>
      </c>
      <c r="AG60" s="334">
        <v>1337.588</v>
      </c>
      <c r="AH60" s="336">
        <v>1210</v>
      </c>
      <c r="AI60" s="334">
        <v>1337.61</v>
      </c>
      <c r="AJ60" s="336">
        <v>1190</v>
      </c>
      <c r="AK60" s="334">
        <v>1338.6389999999999</v>
      </c>
      <c r="AL60" s="336">
        <v>1210</v>
      </c>
      <c r="AM60" s="334">
        <v>1338.229</v>
      </c>
      <c r="AN60" s="336">
        <v>1210</v>
      </c>
      <c r="AO60" s="334">
        <v>1338.5229999999999</v>
      </c>
      <c r="AP60" s="336">
        <v>1200</v>
      </c>
      <c r="AQ60" s="334">
        <v>1336.586</v>
      </c>
      <c r="AR60" s="336">
        <v>1210</v>
      </c>
      <c r="AS60" s="334">
        <v>1336.5239999999999</v>
      </c>
      <c r="AT60" s="336">
        <v>1210</v>
      </c>
      <c r="AU60" s="334">
        <v>1335.319</v>
      </c>
      <c r="AV60" s="336">
        <v>1210</v>
      </c>
      <c r="AW60" s="334">
        <v>1334.4110000000001</v>
      </c>
      <c r="AX60" s="336">
        <v>1200</v>
      </c>
      <c r="AY60" s="334">
        <v>1258.99</v>
      </c>
      <c r="AZ60" s="336">
        <v>1210</v>
      </c>
      <c r="BA60" s="337">
        <v>1259.828</v>
      </c>
      <c r="BB60" s="336">
        <v>1190</v>
      </c>
      <c r="BC60" s="334">
        <v>368.00700000000001</v>
      </c>
      <c r="BD60" s="336">
        <v>1190</v>
      </c>
      <c r="BE60" s="334">
        <v>383.73399999999998</v>
      </c>
    </row>
    <row r="61" spans="3:57">
      <c r="C61" s="379">
        <v>14</v>
      </c>
      <c r="D61" s="673" t="s">
        <v>323</v>
      </c>
      <c r="E61" s="673"/>
      <c r="V61" s="346">
        <v>1220</v>
      </c>
      <c r="W61" s="333">
        <v>765.71400000000006</v>
      </c>
      <c r="X61" s="346">
        <v>1230</v>
      </c>
      <c r="Y61" s="334">
        <v>759.85900000000004</v>
      </c>
      <c r="Z61" s="335">
        <v>1220</v>
      </c>
      <c r="AA61" s="334">
        <v>1581.4269999999999</v>
      </c>
      <c r="AB61" s="336">
        <v>1220</v>
      </c>
      <c r="AC61" s="334">
        <v>1579.3510000000001</v>
      </c>
      <c r="AD61" s="336">
        <v>1220</v>
      </c>
      <c r="AE61" s="334">
        <v>1336.751</v>
      </c>
      <c r="AF61" s="336">
        <v>1220</v>
      </c>
      <c r="AG61" s="334">
        <v>1336.444</v>
      </c>
      <c r="AH61" s="336">
        <v>1220</v>
      </c>
      <c r="AI61" s="334">
        <v>1336.4659999999999</v>
      </c>
      <c r="AJ61" s="336">
        <v>1200</v>
      </c>
      <c r="AK61" s="334">
        <v>1337.4960000000001</v>
      </c>
      <c r="AL61" s="336">
        <v>1220</v>
      </c>
      <c r="AM61" s="334">
        <v>1337.085</v>
      </c>
      <c r="AN61" s="336">
        <v>1220</v>
      </c>
      <c r="AO61" s="334">
        <v>1337.3810000000001</v>
      </c>
      <c r="AP61" s="336">
        <v>1210</v>
      </c>
      <c r="AQ61" s="334">
        <v>1335.4459999999999</v>
      </c>
      <c r="AR61" s="336">
        <v>1220</v>
      </c>
      <c r="AS61" s="334">
        <v>1335.383</v>
      </c>
      <c r="AT61" s="336">
        <v>1220</v>
      </c>
      <c r="AU61" s="334">
        <v>1334.1769999999999</v>
      </c>
      <c r="AV61" s="336">
        <v>1220</v>
      </c>
      <c r="AW61" s="334">
        <v>1333.2719999999999</v>
      </c>
      <c r="AX61" s="336">
        <v>1210</v>
      </c>
      <c r="AY61" s="334">
        <v>1257.8489999999999</v>
      </c>
      <c r="AZ61" s="336">
        <v>1220</v>
      </c>
      <c r="BA61" s="337">
        <v>1258.6890000000001</v>
      </c>
      <c r="BB61" s="336">
        <v>1200</v>
      </c>
      <c r="BC61" s="334">
        <v>367.637</v>
      </c>
      <c r="BD61" s="336">
        <v>1200</v>
      </c>
      <c r="BE61" s="334">
        <v>383.35</v>
      </c>
    </row>
    <row r="62" spans="3:57">
      <c r="C62" s="379">
        <v>15</v>
      </c>
      <c r="D62" s="673">
        <v>0.99983500000000003</v>
      </c>
      <c r="E62" s="673"/>
      <c r="V62" s="346">
        <v>1230</v>
      </c>
      <c r="W62" s="333">
        <v>764.96500000000003</v>
      </c>
      <c r="X62" s="346">
        <v>1240</v>
      </c>
      <c r="Y62" s="334">
        <v>759.11800000000005</v>
      </c>
      <c r="Z62" s="335">
        <v>1230</v>
      </c>
      <c r="AA62" s="334">
        <v>1580.0039999999999</v>
      </c>
      <c r="AB62" s="336">
        <v>1230</v>
      </c>
      <c r="AC62" s="334">
        <v>1577.933</v>
      </c>
      <c r="AD62" s="336">
        <v>1230</v>
      </c>
      <c r="AE62" s="334">
        <v>1335.606</v>
      </c>
      <c r="AF62" s="336">
        <v>1230</v>
      </c>
      <c r="AG62" s="334">
        <v>1335.3</v>
      </c>
      <c r="AH62" s="336">
        <v>1230</v>
      </c>
      <c r="AI62" s="334">
        <v>1335.3219999999999</v>
      </c>
      <c r="AJ62" s="336">
        <v>1210</v>
      </c>
      <c r="AK62" s="334">
        <v>1336.3520000000001</v>
      </c>
      <c r="AL62" s="336">
        <v>1230</v>
      </c>
      <c r="AM62" s="334">
        <v>1335.942</v>
      </c>
      <c r="AN62" s="336">
        <v>1230</v>
      </c>
      <c r="AO62" s="334">
        <v>1336.2380000000001</v>
      </c>
      <c r="AP62" s="336">
        <v>1220</v>
      </c>
      <c r="AQ62" s="334">
        <v>1334.306</v>
      </c>
      <c r="AR62" s="336">
        <v>1230</v>
      </c>
      <c r="AS62" s="334">
        <v>1334.2429999999999</v>
      </c>
      <c r="AT62" s="336">
        <v>1230</v>
      </c>
      <c r="AU62" s="334">
        <v>1333.0350000000001</v>
      </c>
      <c r="AV62" s="336">
        <v>1230</v>
      </c>
      <c r="AW62" s="334">
        <v>1332.133</v>
      </c>
      <c r="AX62" s="336">
        <v>1220</v>
      </c>
      <c r="AY62" s="334">
        <v>1256.7070000000001</v>
      </c>
      <c r="AZ62" s="336">
        <v>1230</v>
      </c>
      <c r="BA62" s="337">
        <v>1257.549</v>
      </c>
      <c r="BB62" s="336">
        <v>1210</v>
      </c>
      <c r="BC62" s="334">
        <v>367.267</v>
      </c>
      <c r="BD62" s="336">
        <v>1210</v>
      </c>
      <c r="BE62" s="334">
        <v>382.96600000000001</v>
      </c>
    </row>
    <row r="63" spans="3:57">
      <c r="C63" s="379">
        <v>16</v>
      </c>
      <c r="D63" s="673">
        <v>0.99986799999999998</v>
      </c>
      <c r="E63" s="673"/>
      <c r="V63" s="346">
        <v>1240</v>
      </c>
      <c r="W63" s="333">
        <v>764.21600000000001</v>
      </c>
      <c r="X63" s="346">
        <v>1250</v>
      </c>
      <c r="Y63" s="334">
        <v>758.37699999999995</v>
      </c>
      <c r="Z63" s="335">
        <v>1240</v>
      </c>
      <c r="AA63" s="334">
        <v>1578.5809999999999</v>
      </c>
      <c r="AB63" s="336">
        <v>1240</v>
      </c>
      <c r="AC63" s="334">
        <v>1576.5139999999999</v>
      </c>
      <c r="AD63" s="336">
        <v>1240</v>
      </c>
      <c r="AE63" s="334">
        <v>1334.46</v>
      </c>
      <c r="AF63" s="336">
        <v>1240</v>
      </c>
      <c r="AG63" s="334">
        <v>1334.1559999999999</v>
      </c>
      <c r="AH63" s="336">
        <v>1240</v>
      </c>
      <c r="AI63" s="334">
        <v>1334.1769999999999</v>
      </c>
      <c r="AJ63" s="336">
        <v>1220</v>
      </c>
      <c r="AK63" s="334">
        <v>1335.2080000000001</v>
      </c>
      <c r="AL63" s="336">
        <v>1240</v>
      </c>
      <c r="AM63" s="334">
        <v>1334.798</v>
      </c>
      <c r="AN63" s="336">
        <v>1240</v>
      </c>
      <c r="AO63" s="334">
        <v>1335.095</v>
      </c>
      <c r="AP63" s="336">
        <v>1230</v>
      </c>
      <c r="AQ63" s="334">
        <v>1333.165</v>
      </c>
      <c r="AR63" s="336">
        <v>1240</v>
      </c>
      <c r="AS63" s="334">
        <v>1333.1020000000001</v>
      </c>
      <c r="AT63" s="336">
        <v>1240</v>
      </c>
      <c r="AU63" s="334">
        <v>1331.8920000000001</v>
      </c>
      <c r="AV63" s="336">
        <v>1240</v>
      </c>
      <c r="AW63" s="334">
        <v>1330.9939999999999</v>
      </c>
      <c r="AX63" s="336">
        <v>1230</v>
      </c>
      <c r="AY63" s="334">
        <v>1255.566</v>
      </c>
      <c r="AZ63" s="336">
        <v>1240</v>
      </c>
      <c r="BA63" s="337">
        <v>1256.4090000000001</v>
      </c>
      <c r="BB63" s="336">
        <v>1220</v>
      </c>
      <c r="BC63" s="334">
        <v>366.89600000000002</v>
      </c>
      <c r="BD63" s="336">
        <v>1220</v>
      </c>
      <c r="BE63" s="334">
        <v>382.58199999999999</v>
      </c>
    </row>
    <row r="64" spans="3:57">
      <c r="C64" s="379">
        <v>17</v>
      </c>
      <c r="D64" s="673">
        <v>0.99990100000000004</v>
      </c>
      <c r="E64" s="673"/>
      <c r="V64" s="346">
        <v>1250</v>
      </c>
      <c r="W64" s="333">
        <v>763.46699999999998</v>
      </c>
      <c r="X64" s="346">
        <v>1260</v>
      </c>
      <c r="Y64" s="334">
        <v>757.63499999999999</v>
      </c>
      <c r="Z64" s="335">
        <v>1250</v>
      </c>
      <c r="AA64" s="334">
        <v>1577.1569999999999</v>
      </c>
      <c r="AB64" s="336">
        <v>1250</v>
      </c>
      <c r="AC64" s="334">
        <v>1575.096</v>
      </c>
      <c r="AD64" s="336">
        <v>1250</v>
      </c>
      <c r="AE64" s="334">
        <v>1333.3150000000001</v>
      </c>
      <c r="AF64" s="336">
        <v>1250</v>
      </c>
      <c r="AG64" s="334">
        <v>1333.0119999999999</v>
      </c>
      <c r="AH64" s="336">
        <v>1250</v>
      </c>
      <c r="AI64" s="334">
        <v>1333.0319999999999</v>
      </c>
      <c r="AJ64" s="336">
        <v>1230</v>
      </c>
      <c r="AK64" s="334">
        <v>1334.0630000000001</v>
      </c>
      <c r="AL64" s="336">
        <v>1250</v>
      </c>
      <c r="AM64" s="334">
        <v>1333.653</v>
      </c>
      <c r="AN64" s="336">
        <v>1250</v>
      </c>
      <c r="AO64" s="334">
        <v>1333.952</v>
      </c>
      <c r="AP64" s="336">
        <v>1240</v>
      </c>
      <c r="AQ64" s="334">
        <v>1332.0250000000001</v>
      </c>
      <c r="AR64" s="336">
        <v>1250</v>
      </c>
      <c r="AS64" s="334">
        <v>1331.961</v>
      </c>
      <c r="AT64" s="336">
        <v>1250</v>
      </c>
      <c r="AU64" s="334">
        <v>1330.75</v>
      </c>
      <c r="AV64" s="336">
        <v>1250</v>
      </c>
      <c r="AW64" s="334">
        <v>1329.854</v>
      </c>
      <c r="AX64" s="336">
        <v>1240</v>
      </c>
      <c r="AY64" s="334">
        <v>1254.424</v>
      </c>
      <c r="AZ64" s="336">
        <v>1250</v>
      </c>
      <c r="BA64" s="337">
        <v>1255.269</v>
      </c>
      <c r="BB64" s="336">
        <v>1230</v>
      </c>
      <c r="BC64" s="334">
        <v>366.52600000000001</v>
      </c>
      <c r="BD64" s="336">
        <v>1230</v>
      </c>
      <c r="BE64" s="334">
        <v>382.19799999999998</v>
      </c>
    </row>
    <row r="65" spans="3:57">
      <c r="C65" s="379">
        <v>18</v>
      </c>
      <c r="D65" s="673">
        <v>0.99993399999999999</v>
      </c>
      <c r="E65" s="673"/>
      <c r="V65" s="346">
        <v>1260</v>
      </c>
      <c r="W65" s="333">
        <v>762.71699999999998</v>
      </c>
      <c r="X65" s="346">
        <v>1270</v>
      </c>
      <c r="Y65" s="334">
        <v>756.89300000000003</v>
      </c>
      <c r="Z65" s="335">
        <v>1260</v>
      </c>
      <c r="AA65" s="334">
        <v>1575.7329999999999</v>
      </c>
      <c r="AB65" s="336">
        <v>1260</v>
      </c>
      <c r="AC65" s="334">
        <v>1573.6759999999999</v>
      </c>
      <c r="AD65" s="336">
        <v>1260</v>
      </c>
      <c r="AE65" s="334">
        <v>1332.1690000000001</v>
      </c>
      <c r="AF65" s="336">
        <v>1260</v>
      </c>
      <c r="AG65" s="334">
        <v>1331.867</v>
      </c>
      <c r="AH65" s="336">
        <v>1260</v>
      </c>
      <c r="AI65" s="334">
        <v>1331.8869999999999</v>
      </c>
      <c r="AJ65" s="336">
        <v>1240</v>
      </c>
      <c r="AK65" s="334">
        <v>1332.9190000000001</v>
      </c>
      <c r="AL65" s="336">
        <v>1260</v>
      </c>
      <c r="AM65" s="334">
        <v>1332.509</v>
      </c>
      <c r="AN65" s="336">
        <v>1260</v>
      </c>
      <c r="AO65" s="334">
        <v>1332.808</v>
      </c>
      <c r="AP65" s="336">
        <v>1250</v>
      </c>
      <c r="AQ65" s="334">
        <v>1330.883</v>
      </c>
      <c r="AR65" s="336">
        <v>1260</v>
      </c>
      <c r="AS65" s="334">
        <v>1330.819</v>
      </c>
      <c r="AT65" s="336">
        <v>1260</v>
      </c>
      <c r="AU65" s="334">
        <v>1329.607</v>
      </c>
      <c r="AV65" s="336">
        <v>1260</v>
      </c>
      <c r="AW65" s="334">
        <v>1328.7139999999999</v>
      </c>
      <c r="AX65" s="336">
        <v>1250</v>
      </c>
      <c r="AY65" s="334">
        <v>1253.2809999999999</v>
      </c>
      <c r="AZ65" s="336">
        <v>1260</v>
      </c>
      <c r="BA65" s="337">
        <v>1254.1279999999999</v>
      </c>
      <c r="BB65" s="336">
        <v>1240</v>
      </c>
      <c r="BC65" s="334">
        <v>366.15600000000001</v>
      </c>
      <c r="BD65" s="336">
        <v>1240</v>
      </c>
      <c r="BE65" s="334">
        <v>381.81400000000002</v>
      </c>
    </row>
    <row r="66" spans="3:57">
      <c r="C66" s="379">
        <v>19</v>
      </c>
      <c r="D66" s="673">
        <v>0.99996700000000005</v>
      </c>
      <c r="E66" s="673"/>
      <c r="V66" s="346">
        <v>1270</v>
      </c>
      <c r="W66" s="333">
        <v>761.96799999999996</v>
      </c>
      <c r="X66" s="346">
        <v>1280</v>
      </c>
      <c r="Y66" s="334">
        <v>756.15099999999995</v>
      </c>
      <c r="Z66" s="335">
        <v>1270</v>
      </c>
      <c r="AA66" s="334">
        <v>1574.308</v>
      </c>
      <c r="AB66" s="336">
        <v>1270</v>
      </c>
      <c r="AC66" s="334">
        <v>1572.2570000000001</v>
      </c>
      <c r="AD66" s="336">
        <v>1270</v>
      </c>
      <c r="AE66" s="334">
        <v>1331.0229999999999</v>
      </c>
      <c r="AF66" s="336">
        <v>1270</v>
      </c>
      <c r="AG66" s="334">
        <v>1330.723</v>
      </c>
      <c r="AH66" s="336">
        <v>1270</v>
      </c>
      <c r="AI66" s="334">
        <v>1330.742</v>
      </c>
      <c r="AJ66" s="336">
        <v>1250</v>
      </c>
      <c r="AK66" s="334">
        <v>1331.7739999999999</v>
      </c>
      <c r="AL66" s="336">
        <v>1270</v>
      </c>
      <c r="AM66" s="334">
        <v>1331.364</v>
      </c>
      <c r="AN66" s="336">
        <v>1270</v>
      </c>
      <c r="AO66" s="334">
        <v>1331.665</v>
      </c>
      <c r="AP66" s="336">
        <v>1260</v>
      </c>
      <c r="AQ66" s="334">
        <v>1329.742</v>
      </c>
      <c r="AR66" s="336">
        <v>1270</v>
      </c>
      <c r="AS66" s="334">
        <v>1329.6780000000001</v>
      </c>
      <c r="AT66" s="336">
        <v>1270</v>
      </c>
      <c r="AU66" s="334">
        <v>1328.4639999999999</v>
      </c>
      <c r="AV66" s="336">
        <v>1270</v>
      </c>
      <c r="AW66" s="334">
        <v>1327.5740000000001</v>
      </c>
      <c r="AX66" s="336">
        <v>1260</v>
      </c>
      <c r="AY66" s="334">
        <v>1252.1389999999999</v>
      </c>
      <c r="AZ66" s="336">
        <v>1270</v>
      </c>
      <c r="BA66" s="337">
        <v>1252.9880000000001</v>
      </c>
      <c r="BB66" s="336">
        <v>1250</v>
      </c>
      <c r="BC66" s="334">
        <v>365.78500000000003</v>
      </c>
      <c r="BD66" s="336">
        <v>1250</v>
      </c>
      <c r="BE66" s="334">
        <v>381.42899999999997</v>
      </c>
    </row>
    <row r="67" spans="3:57">
      <c r="C67" s="379">
        <v>20</v>
      </c>
      <c r="D67" s="673">
        <v>1</v>
      </c>
      <c r="E67" s="673"/>
      <c r="V67" s="346">
        <v>1280</v>
      </c>
      <c r="W67" s="333">
        <v>761.21799999999996</v>
      </c>
      <c r="X67" s="346">
        <v>1290</v>
      </c>
      <c r="Y67" s="334">
        <v>755.40899999999999</v>
      </c>
      <c r="Z67" s="335">
        <v>1280</v>
      </c>
      <c r="AA67" s="334">
        <v>1572.884</v>
      </c>
      <c r="AB67" s="336">
        <v>1280</v>
      </c>
      <c r="AC67" s="334">
        <v>1570.837</v>
      </c>
      <c r="AD67" s="336">
        <v>1280</v>
      </c>
      <c r="AE67" s="334">
        <v>1329.877</v>
      </c>
      <c r="AF67" s="336">
        <v>1280</v>
      </c>
      <c r="AG67" s="334">
        <v>1329.578</v>
      </c>
      <c r="AH67" s="336">
        <v>1280</v>
      </c>
      <c r="AI67" s="334">
        <v>1329.596</v>
      </c>
      <c r="AJ67" s="336">
        <v>1260</v>
      </c>
      <c r="AK67" s="334">
        <v>1330.6289999999999</v>
      </c>
      <c r="AL67" s="336">
        <v>1280</v>
      </c>
      <c r="AM67" s="334">
        <v>1330.2190000000001</v>
      </c>
      <c r="AN67" s="336">
        <v>1280</v>
      </c>
      <c r="AO67" s="334">
        <v>1330.521</v>
      </c>
      <c r="AP67" s="336">
        <v>1270</v>
      </c>
      <c r="AQ67" s="334">
        <v>1328.6</v>
      </c>
      <c r="AR67" s="336">
        <v>1280</v>
      </c>
      <c r="AS67" s="334">
        <v>1328.5360000000001</v>
      </c>
      <c r="AT67" s="336">
        <v>1280</v>
      </c>
      <c r="AU67" s="334">
        <v>1327.3209999999999</v>
      </c>
      <c r="AV67" s="336">
        <v>1280</v>
      </c>
      <c r="AW67" s="334">
        <v>1326.434</v>
      </c>
      <c r="AX67" s="336">
        <v>1270</v>
      </c>
      <c r="AY67" s="334">
        <v>1250.9960000000001</v>
      </c>
      <c r="AZ67" s="336">
        <v>1280</v>
      </c>
      <c r="BA67" s="337">
        <v>1251.847</v>
      </c>
      <c r="BB67" s="336">
        <v>1260</v>
      </c>
      <c r="BC67" s="334">
        <v>365.41399999999999</v>
      </c>
      <c r="BD67" s="336">
        <v>1260</v>
      </c>
      <c r="BE67" s="334">
        <v>381.04500000000002</v>
      </c>
    </row>
    <row r="68" spans="3:57">
      <c r="C68" s="379">
        <v>21</v>
      </c>
      <c r="D68" s="673">
        <v>1.0000329999999999</v>
      </c>
      <c r="E68" s="673"/>
      <c r="V68" s="346">
        <v>1290</v>
      </c>
      <c r="W68" s="333">
        <v>760.46799999999996</v>
      </c>
      <c r="X68" s="346">
        <v>1300</v>
      </c>
      <c r="Y68" s="334">
        <v>754.66700000000003</v>
      </c>
      <c r="Z68" s="335">
        <v>1290</v>
      </c>
      <c r="AA68" s="334">
        <v>1571.4590000000001</v>
      </c>
      <c r="AB68" s="336">
        <v>1290</v>
      </c>
      <c r="AC68" s="334">
        <v>1569.4169999999999</v>
      </c>
      <c r="AD68" s="336">
        <v>1290</v>
      </c>
      <c r="AE68" s="334">
        <v>1328.73</v>
      </c>
      <c r="AF68" s="336">
        <v>1290</v>
      </c>
      <c r="AG68" s="334">
        <v>1328.433</v>
      </c>
      <c r="AH68" s="336">
        <v>1290</v>
      </c>
      <c r="AI68" s="334">
        <v>1328.45</v>
      </c>
      <c r="AJ68" s="336">
        <v>1270</v>
      </c>
      <c r="AK68" s="334">
        <v>1329.4839999999999</v>
      </c>
      <c r="AL68" s="336">
        <v>1290</v>
      </c>
      <c r="AM68" s="334">
        <v>1329.0740000000001</v>
      </c>
      <c r="AN68" s="336">
        <v>1290</v>
      </c>
      <c r="AO68" s="334">
        <v>1329.376</v>
      </c>
      <c r="AP68" s="336">
        <v>1280</v>
      </c>
      <c r="AQ68" s="334">
        <v>1327.4590000000001</v>
      </c>
      <c r="AR68" s="336">
        <v>1290</v>
      </c>
      <c r="AS68" s="334">
        <v>1327.394</v>
      </c>
      <c r="AT68" s="336">
        <v>1290</v>
      </c>
      <c r="AU68" s="334">
        <v>1326.1769999999999</v>
      </c>
      <c r="AV68" s="336">
        <v>1290</v>
      </c>
      <c r="AW68" s="334">
        <v>1325.2929999999999</v>
      </c>
      <c r="AX68" s="336">
        <v>1280</v>
      </c>
      <c r="AY68" s="334">
        <v>1249.8530000000001</v>
      </c>
      <c r="AZ68" s="336">
        <v>1290</v>
      </c>
      <c r="BA68" s="337">
        <v>1250.7059999999999</v>
      </c>
      <c r="BB68" s="336">
        <v>1270</v>
      </c>
      <c r="BC68" s="334">
        <v>365.04399999999998</v>
      </c>
      <c r="BD68" s="336">
        <v>1270</v>
      </c>
      <c r="BE68" s="334">
        <v>380.66</v>
      </c>
    </row>
    <row r="69" spans="3:57">
      <c r="C69" s="379">
        <v>22</v>
      </c>
      <c r="D69" s="673">
        <v>1.0000659999999999</v>
      </c>
      <c r="E69" s="673"/>
      <c r="V69" s="346">
        <v>1300</v>
      </c>
      <c r="W69" s="333">
        <v>759.71699999999998</v>
      </c>
      <c r="X69" s="346">
        <v>1310</v>
      </c>
      <c r="Y69" s="334">
        <v>753.92399999999998</v>
      </c>
      <c r="Z69" s="335">
        <v>1300</v>
      </c>
      <c r="AA69" s="334">
        <v>1570.0340000000001</v>
      </c>
      <c r="AB69" s="336">
        <v>1300</v>
      </c>
      <c r="AC69" s="334">
        <v>1567.9960000000001</v>
      </c>
      <c r="AD69" s="336">
        <v>1300</v>
      </c>
      <c r="AE69" s="334">
        <v>1327.5840000000001</v>
      </c>
      <c r="AF69" s="336">
        <v>1300</v>
      </c>
      <c r="AG69" s="334">
        <v>1327.287</v>
      </c>
      <c r="AH69" s="336">
        <v>1300</v>
      </c>
      <c r="AI69" s="334">
        <v>1327.3040000000001</v>
      </c>
      <c r="AJ69" s="336">
        <v>1280</v>
      </c>
      <c r="AK69" s="334">
        <v>1328.338</v>
      </c>
      <c r="AL69" s="336">
        <v>1300</v>
      </c>
      <c r="AM69" s="334">
        <v>1327.9280000000001</v>
      </c>
      <c r="AN69" s="336">
        <v>1300</v>
      </c>
      <c r="AO69" s="334">
        <v>1328.232</v>
      </c>
      <c r="AP69" s="336">
        <v>1290</v>
      </c>
      <c r="AQ69" s="334">
        <v>1326.317</v>
      </c>
      <c r="AR69" s="336">
        <v>1300</v>
      </c>
      <c r="AS69" s="334">
        <v>1326.251</v>
      </c>
      <c r="AT69" s="336">
        <v>1300</v>
      </c>
      <c r="AU69" s="334">
        <v>1325.0329999999999</v>
      </c>
      <c r="AV69" s="336">
        <v>1300</v>
      </c>
      <c r="AW69" s="334">
        <v>1324.152</v>
      </c>
      <c r="AX69" s="336">
        <v>1290</v>
      </c>
      <c r="AY69" s="334">
        <v>1248.71</v>
      </c>
      <c r="AZ69" s="336">
        <v>1300</v>
      </c>
      <c r="BA69" s="337">
        <v>1249.5640000000001</v>
      </c>
      <c r="BB69" s="336">
        <v>1280</v>
      </c>
      <c r="BC69" s="334">
        <v>364.673</v>
      </c>
      <c r="BD69" s="336">
        <v>1280</v>
      </c>
      <c r="BE69" s="334">
        <v>380.27600000000001</v>
      </c>
    </row>
    <row r="70" spans="3:57">
      <c r="C70" s="379">
        <v>23</v>
      </c>
      <c r="D70" s="673">
        <v>1.0000990000000001</v>
      </c>
      <c r="E70" s="673"/>
      <c r="V70" s="346">
        <v>1310</v>
      </c>
      <c r="W70" s="333">
        <v>758.96699999999998</v>
      </c>
      <c r="X70" s="346">
        <v>1320</v>
      </c>
      <c r="Y70" s="334">
        <v>753.18100000000004</v>
      </c>
      <c r="Z70" s="335">
        <v>1310</v>
      </c>
      <c r="AA70" s="334">
        <v>1568.6079999999999</v>
      </c>
      <c r="AB70" s="336">
        <v>1310</v>
      </c>
      <c r="AC70" s="334">
        <v>1566.576</v>
      </c>
      <c r="AD70" s="336">
        <v>1310</v>
      </c>
      <c r="AE70" s="334">
        <v>1326.4369999999999</v>
      </c>
      <c r="AF70" s="336">
        <v>1310</v>
      </c>
      <c r="AG70" s="334">
        <v>1326.1410000000001</v>
      </c>
      <c r="AH70" s="336">
        <v>1310</v>
      </c>
      <c r="AI70" s="334">
        <v>1326.1579999999999</v>
      </c>
      <c r="AJ70" s="336">
        <v>1290</v>
      </c>
      <c r="AK70" s="334">
        <v>1327.192</v>
      </c>
      <c r="AL70" s="336">
        <v>1310</v>
      </c>
      <c r="AM70" s="334">
        <v>1326.7829999999999</v>
      </c>
      <c r="AN70" s="336">
        <v>1310</v>
      </c>
      <c r="AO70" s="334">
        <v>1327.087</v>
      </c>
      <c r="AP70" s="336">
        <v>1300</v>
      </c>
      <c r="AQ70" s="334">
        <v>1325.174</v>
      </c>
      <c r="AR70" s="336">
        <v>1310</v>
      </c>
      <c r="AS70" s="334">
        <v>1325.1089999999999</v>
      </c>
      <c r="AT70" s="336">
        <v>1310</v>
      </c>
      <c r="AU70" s="334">
        <v>1323.8889999999999</v>
      </c>
      <c r="AV70" s="336">
        <v>1310</v>
      </c>
      <c r="AW70" s="334">
        <v>1323.011</v>
      </c>
      <c r="AX70" s="336">
        <v>1300</v>
      </c>
      <c r="AY70" s="334">
        <v>1247.566</v>
      </c>
      <c r="AZ70" s="336">
        <v>1310</v>
      </c>
      <c r="BA70" s="337">
        <v>1248.423</v>
      </c>
      <c r="BB70" s="336">
        <v>1290</v>
      </c>
      <c r="BC70" s="334">
        <v>364.30200000000002</v>
      </c>
      <c r="BD70" s="336">
        <v>1290</v>
      </c>
      <c r="BE70" s="334">
        <v>379.89100000000002</v>
      </c>
    </row>
    <row r="71" spans="3:57">
      <c r="C71" s="379">
        <v>24</v>
      </c>
      <c r="D71" s="673">
        <v>1.000132</v>
      </c>
      <c r="E71" s="673"/>
      <c r="V71" s="346">
        <v>1320</v>
      </c>
      <c r="W71" s="333">
        <v>758.21600000000001</v>
      </c>
      <c r="X71" s="346">
        <v>1330</v>
      </c>
      <c r="Y71" s="334">
        <v>752.43799999999999</v>
      </c>
      <c r="Z71" s="335">
        <v>1320</v>
      </c>
      <c r="AA71" s="334">
        <v>1567.182</v>
      </c>
      <c r="AB71" s="336">
        <v>1320</v>
      </c>
      <c r="AC71" s="334">
        <v>1565.155</v>
      </c>
      <c r="AD71" s="336">
        <v>1320</v>
      </c>
      <c r="AE71" s="334">
        <v>1325.29</v>
      </c>
      <c r="AF71" s="336">
        <v>1320</v>
      </c>
      <c r="AG71" s="334">
        <v>1324.9949999999999</v>
      </c>
      <c r="AH71" s="336">
        <v>1320</v>
      </c>
      <c r="AI71" s="334">
        <v>1325.011</v>
      </c>
      <c r="AJ71" s="336">
        <v>1300</v>
      </c>
      <c r="AK71" s="334">
        <v>1326.046</v>
      </c>
      <c r="AL71" s="336">
        <v>1320</v>
      </c>
      <c r="AM71" s="334">
        <v>1325.6369999999999</v>
      </c>
      <c r="AN71" s="336">
        <v>1320</v>
      </c>
      <c r="AO71" s="334">
        <v>1325.942</v>
      </c>
      <c r="AP71" s="336">
        <v>1310</v>
      </c>
      <c r="AQ71" s="334">
        <v>1324.0319999999999</v>
      </c>
      <c r="AR71" s="336">
        <v>1320</v>
      </c>
      <c r="AS71" s="334">
        <v>1323.9659999999999</v>
      </c>
      <c r="AT71" s="336">
        <v>1320</v>
      </c>
      <c r="AU71" s="334">
        <v>1322.7449999999999</v>
      </c>
      <c r="AV71" s="336">
        <v>1320</v>
      </c>
      <c r="AW71" s="334">
        <v>1321.87</v>
      </c>
      <c r="AX71" s="336">
        <v>1310</v>
      </c>
      <c r="AY71" s="334">
        <v>1246.422</v>
      </c>
      <c r="AZ71" s="336">
        <v>1320</v>
      </c>
      <c r="BA71" s="337">
        <v>1247.2809999999999</v>
      </c>
      <c r="BB71" s="336">
        <v>1300</v>
      </c>
      <c r="BC71" s="334">
        <v>363.93099999999998</v>
      </c>
      <c r="BD71" s="336">
        <v>1300</v>
      </c>
      <c r="BE71" s="334">
        <v>379.50599999999997</v>
      </c>
    </row>
    <row r="72" spans="3:57">
      <c r="C72" s="379">
        <v>25</v>
      </c>
      <c r="D72" s="673">
        <v>1.000165</v>
      </c>
      <c r="E72" s="673"/>
      <c r="V72" s="346">
        <v>1330</v>
      </c>
      <c r="W72" s="333">
        <v>757.46500000000003</v>
      </c>
      <c r="X72" s="346">
        <v>1340</v>
      </c>
      <c r="Y72" s="334">
        <v>751.69500000000005</v>
      </c>
      <c r="Z72" s="335">
        <v>1330</v>
      </c>
      <c r="AA72" s="334">
        <v>1565.7560000000001</v>
      </c>
      <c r="AB72" s="336">
        <v>1330</v>
      </c>
      <c r="AC72" s="334">
        <v>1563.7329999999999</v>
      </c>
      <c r="AD72" s="336">
        <v>1330</v>
      </c>
      <c r="AE72" s="334">
        <v>1324.1420000000001</v>
      </c>
      <c r="AF72" s="336">
        <v>1330</v>
      </c>
      <c r="AG72" s="334">
        <v>1323.8489999999999</v>
      </c>
      <c r="AH72" s="336">
        <v>1330</v>
      </c>
      <c r="AI72" s="334">
        <v>1323.864</v>
      </c>
      <c r="AJ72" s="336">
        <v>1310</v>
      </c>
      <c r="AK72" s="334">
        <v>1324.9</v>
      </c>
      <c r="AL72" s="336">
        <v>1330</v>
      </c>
      <c r="AM72" s="334">
        <v>1324.491</v>
      </c>
      <c r="AN72" s="336">
        <v>1330</v>
      </c>
      <c r="AO72" s="334">
        <v>1324.797</v>
      </c>
      <c r="AP72" s="336">
        <v>1320</v>
      </c>
      <c r="AQ72" s="334">
        <v>1322.8889999999999</v>
      </c>
      <c r="AR72" s="336">
        <v>1330</v>
      </c>
      <c r="AS72" s="334">
        <v>1322.8230000000001</v>
      </c>
      <c r="AT72" s="336">
        <v>1330</v>
      </c>
      <c r="AU72" s="334">
        <v>1321.6</v>
      </c>
      <c r="AV72" s="336">
        <v>1330</v>
      </c>
      <c r="AW72" s="334">
        <v>1320.7280000000001</v>
      </c>
      <c r="AX72" s="336">
        <v>1320</v>
      </c>
      <c r="AY72" s="334">
        <v>1245.278</v>
      </c>
      <c r="AZ72" s="336">
        <v>1330</v>
      </c>
      <c r="BA72" s="337">
        <v>1246.1389999999999</v>
      </c>
      <c r="BB72" s="336">
        <v>1310</v>
      </c>
      <c r="BC72" s="334">
        <v>363.56</v>
      </c>
      <c r="BD72" s="336">
        <v>1310</v>
      </c>
      <c r="BE72" s="334">
        <v>379.12099999999998</v>
      </c>
    </row>
    <row r="73" spans="3:57">
      <c r="C73" s="379">
        <v>26</v>
      </c>
      <c r="D73" s="673">
        <v>1.0001979999999999</v>
      </c>
      <c r="E73" s="673"/>
      <c r="V73" s="346">
        <v>1340</v>
      </c>
      <c r="W73" s="333">
        <v>756.71400000000006</v>
      </c>
      <c r="X73" s="346">
        <v>1350</v>
      </c>
      <c r="Y73" s="334">
        <v>750.952</v>
      </c>
      <c r="Z73" s="335">
        <v>1340</v>
      </c>
      <c r="AA73" s="334">
        <v>1564.33</v>
      </c>
      <c r="AB73" s="336">
        <v>1340</v>
      </c>
      <c r="AC73" s="334">
        <v>1562.3119999999999</v>
      </c>
      <c r="AD73" s="336">
        <v>1340</v>
      </c>
      <c r="AE73" s="334">
        <v>1322.9939999999999</v>
      </c>
      <c r="AF73" s="336">
        <v>1340</v>
      </c>
      <c r="AG73" s="334">
        <v>1322.703</v>
      </c>
      <c r="AH73" s="336">
        <v>1340</v>
      </c>
      <c r="AI73" s="334">
        <v>1322.7170000000001</v>
      </c>
      <c r="AJ73" s="336">
        <v>1320</v>
      </c>
      <c r="AK73" s="334">
        <v>1323.7539999999999</v>
      </c>
      <c r="AL73" s="336">
        <v>1340</v>
      </c>
      <c r="AM73" s="334">
        <v>1323.3440000000001</v>
      </c>
      <c r="AN73" s="336">
        <v>1340</v>
      </c>
      <c r="AO73" s="334">
        <v>1323.652</v>
      </c>
      <c r="AP73" s="336">
        <v>1330</v>
      </c>
      <c r="AQ73" s="334">
        <v>1321.7460000000001</v>
      </c>
      <c r="AR73" s="336">
        <v>1340</v>
      </c>
      <c r="AS73" s="334">
        <v>1321.6790000000001</v>
      </c>
      <c r="AT73" s="336">
        <v>1340</v>
      </c>
      <c r="AU73" s="334">
        <v>1320.4559999999999</v>
      </c>
      <c r="AV73" s="336">
        <v>1340</v>
      </c>
      <c r="AW73" s="334">
        <v>1319.586</v>
      </c>
      <c r="AX73" s="336">
        <v>1330</v>
      </c>
      <c r="AY73" s="334">
        <v>1244.134</v>
      </c>
      <c r="AZ73" s="336">
        <v>1340</v>
      </c>
      <c r="BA73" s="337">
        <v>1244.9970000000001</v>
      </c>
      <c r="BB73" s="336">
        <v>1320</v>
      </c>
      <c r="BC73" s="334">
        <v>363.18900000000002</v>
      </c>
      <c r="BD73" s="336">
        <v>1320</v>
      </c>
      <c r="BE73" s="334">
        <v>378.73599999999999</v>
      </c>
    </row>
    <row r="74" spans="3:57">
      <c r="C74" s="379">
        <v>27</v>
      </c>
      <c r="D74" s="673">
        <v>1.0002310000000001</v>
      </c>
      <c r="E74" s="673"/>
      <c r="V74" s="346">
        <v>1350</v>
      </c>
      <c r="W74" s="333">
        <v>755.96299999999997</v>
      </c>
      <c r="X74" s="346">
        <v>1360</v>
      </c>
      <c r="Y74" s="334">
        <v>750.20799999999997</v>
      </c>
      <c r="Z74" s="335">
        <v>1350</v>
      </c>
      <c r="AA74" s="334">
        <v>1562.903</v>
      </c>
      <c r="AB74" s="336">
        <v>1350</v>
      </c>
      <c r="AC74" s="334">
        <v>1560.89</v>
      </c>
      <c r="AD74" s="336">
        <v>1350</v>
      </c>
      <c r="AE74" s="334">
        <v>1321.847</v>
      </c>
      <c r="AF74" s="336">
        <v>1350</v>
      </c>
      <c r="AG74" s="334">
        <v>1321.556</v>
      </c>
      <c r="AH74" s="336">
        <v>1350</v>
      </c>
      <c r="AI74" s="334">
        <v>1321.57</v>
      </c>
      <c r="AJ74" s="336">
        <v>1330</v>
      </c>
      <c r="AK74" s="334">
        <v>1322.607</v>
      </c>
      <c r="AL74" s="336">
        <v>1350</v>
      </c>
      <c r="AM74" s="334">
        <v>1322.1969999999999</v>
      </c>
      <c r="AN74" s="336">
        <v>1350</v>
      </c>
      <c r="AO74" s="334">
        <v>1322.5060000000001</v>
      </c>
      <c r="AP74" s="336">
        <v>1340</v>
      </c>
      <c r="AQ74" s="334">
        <v>1320.6030000000001</v>
      </c>
      <c r="AR74" s="336">
        <v>1350</v>
      </c>
      <c r="AS74" s="334">
        <v>1320.5360000000001</v>
      </c>
      <c r="AT74" s="336">
        <v>1350</v>
      </c>
      <c r="AU74" s="334">
        <v>1319.3109999999999</v>
      </c>
      <c r="AV74" s="336">
        <v>1350</v>
      </c>
      <c r="AW74" s="334">
        <v>1318.444</v>
      </c>
      <c r="AX74" s="336">
        <v>1340</v>
      </c>
      <c r="AY74" s="334">
        <v>1242.99</v>
      </c>
      <c r="AZ74" s="336">
        <v>1350</v>
      </c>
      <c r="BA74" s="337">
        <v>1243.854</v>
      </c>
      <c r="BB74" s="336">
        <v>1330</v>
      </c>
      <c r="BC74" s="334">
        <v>362.81799999999998</v>
      </c>
      <c r="BD74" s="336">
        <v>1330</v>
      </c>
      <c r="BE74" s="334">
        <v>378.351</v>
      </c>
    </row>
    <row r="75" spans="3:57">
      <c r="C75" s="379">
        <v>28</v>
      </c>
      <c r="D75" s="673">
        <v>1.000264</v>
      </c>
      <c r="E75" s="673"/>
      <c r="V75" s="346">
        <v>1360</v>
      </c>
      <c r="W75" s="333">
        <v>755.21100000000001</v>
      </c>
      <c r="X75" s="346">
        <v>1370</v>
      </c>
      <c r="Y75" s="334">
        <v>749.46400000000006</v>
      </c>
      <c r="Z75" s="335">
        <v>1360</v>
      </c>
      <c r="AA75" s="334">
        <v>1561.4760000000001</v>
      </c>
      <c r="AB75" s="336">
        <v>1360</v>
      </c>
      <c r="AC75" s="334">
        <v>1559.4680000000001</v>
      </c>
      <c r="AD75" s="336">
        <v>1360</v>
      </c>
      <c r="AE75" s="334">
        <v>1320.6980000000001</v>
      </c>
      <c r="AF75" s="336">
        <v>1360</v>
      </c>
      <c r="AG75" s="334">
        <v>1320.4090000000001</v>
      </c>
      <c r="AH75" s="336">
        <v>1360</v>
      </c>
      <c r="AI75" s="334">
        <v>1320.423</v>
      </c>
      <c r="AJ75" s="336">
        <v>1340</v>
      </c>
      <c r="AK75" s="334">
        <v>1321.46</v>
      </c>
      <c r="AL75" s="336">
        <v>1360</v>
      </c>
      <c r="AM75" s="334">
        <v>1321.0509999999999</v>
      </c>
      <c r="AN75" s="336">
        <v>1360</v>
      </c>
      <c r="AO75" s="334">
        <v>1321.36</v>
      </c>
      <c r="AP75" s="336">
        <v>1350</v>
      </c>
      <c r="AQ75" s="334">
        <v>1319.4590000000001</v>
      </c>
      <c r="AR75" s="336">
        <v>1360</v>
      </c>
      <c r="AS75" s="334">
        <v>1319.3920000000001</v>
      </c>
      <c r="AT75" s="336">
        <v>1360</v>
      </c>
      <c r="AU75" s="334">
        <v>1318.165</v>
      </c>
      <c r="AV75" s="336">
        <v>1360</v>
      </c>
      <c r="AW75" s="334">
        <v>1317.3019999999999</v>
      </c>
      <c r="AX75" s="336">
        <v>1350</v>
      </c>
      <c r="AY75" s="334">
        <v>1241.845</v>
      </c>
      <c r="AZ75" s="336">
        <v>1360</v>
      </c>
      <c r="BA75" s="337">
        <v>1242.711</v>
      </c>
      <c r="BB75" s="336">
        <v>1340</v>
      </c>
      <c r="BC75" s="334">
        <v>362.44600000000003</v>
      </c>
      <c r="BD75" s="336">
        <v>1340</v>
      </c>
      <c r="BE75" s="334">
        <v>377.96600000000001</v>
      </c>
    </row>
    <row r="76" spans="3:57">
      <c r="C76" s="379">
        <v>29</v>
      </c>
      <c r="D76" s="673">
        <v>1.000297</v>
      </c>
      <c r="E76" s="673"/>
      <c r="V76" s="346">
        <v>1370</v>
      </c>
      <c r="W76" s="333">
        <v>754.45899999999995</v>
      </c>
      <c r="X76" s="346">
        <v>1380</v>
      </c>
      <c r="Y76" s="334">
        <v>748.72</v>
      </c>
      <c r="Z76" s="335">
        <v>1370</v>
      </c>
      <c r="AA76" s="334">
        <v>1560.049</v>
      </c>
      <c r="AB76" s="336">
        <v>1370</v>
      </c>
      <c r="AC76" s="334">
        <v>1558.0450000000001</v>
      </c>
      <c r="AD76" s="336">
        <v>1370</v>
      </c>
      <c r="AE76" s="334">
        <v>1319.55</v>
      </c>
      <c r="AF76" s="336">
        <v>1370</v>
      </c>
      <c r="AG76" s="334">
        <v>1319.2619999999999</v>
      </c>
      <c r="AH76" s="336">
        <v>1370</v>
      </c>
      <c r="AI76" s="334">
        <v>1319.2750000000001</v>
      </c>
      <c r="AJ76" s="336">
        <v>1350</v>
      </c>
      <c r="AK76" s="334">
        <v>1320.3130000000001</v>
      </c>
      <c r="AL76" s="336">
        <v>1370</v>
      </c>
      <c r="AM76" s="334">
        <v>1319.903</v>
      </c>
      <c r="AN76" s="336">
        <v>1370</v>
      </c>
      <c r="AO76" s="334">
        <v>1320.2139999999999</v>
      </c>
      <c r="AP76" s="336">
        <v>1360</v>
      </c>
      <c r="AQ76" s="334">
        <v>1318.3150000000001</v>
      </c>
      <c r="AR76" s="336">
        <v>1370</v>
      </c>
      <c r="AS76" s="334">
        <v>1318.248</v>
      </c>
      <c r="AT76" s="336">
        <v>1370</v>
      </c>
      <c r="AU76" s="334">
        <v>1317.02</v>
      </c>
      <c r="AV76" s="336">
        <v>1370</v>
      </c>
      <c r="AW76" s="334">
        <v>1316.16</v>
      </c>
      <c r="AX76" s="336">
        <v>1360</v>
      </c>
      <c r="AY76" s="334">
        <v>1240.7</v>
      </c>
      <c r="AZ76" s="336">
        <v>1370</v>
      </c>
      <c r="BA76" s="337">
        <v>1241.568</v>
      </c>
      <c r="BB76" s="336">
        <v>1350</v>
      </c>
      <c r="BC76" s="334">
        <v>362.07499999999999</v>
      </c>
      <c r="BD76" s="336">
        <v>1350</v>
      </c>
      <c r="BE76" s="334">
        <v>377.58100000000002</v>
      </c>
    </row>
    <row r="77" spans="3:57">
      <c r="C77" s="379">
        <v>30</v>
      </c>
      <c r="D77" s="673">
        <v>1.0003299999999999</v>
      </c>
      <c r="E77" s="673"/>
      <c r="V77" s="346">
        <v>1380</v>
      </c>
      <c r="W77" s="333">
        <v>753.70699999999999</v>
      </c>
      <c r="X77" s="346">
        <v>1390</v>
      </c>
      <c r="Y77" s="334">
        <v>747.976</v>
      </c>
      <c r="Z77" s="335">
        <v>1380</v>
      </c>
      <c r="AA77" s="334">
        <v>1558.6210000000001</v>
      </c>
      <c r="AB77" s="336">
        <v>1380</v>
      </c>
      <c r="AC77" s="334">
        <v>1556.623</v>
      </c>
      <c r="AD77" s="336">
        <v>1380</v>
      </c>
      <c r="AE77" s="334">
        <v>1318.4010000000001</v>
      </c>
      <c r="AF77" s="336">
        <v>1380</v>
      </c>
      <c r="AG77" s="334">
        <v>1318.114</v>
      </c>
      <c r="AH77" s="336">
        <v>1380</v>
      </c>
      <c r="AI77" s="334">
        <v>1318.127</v>
      </c>
      <c r="AJ77" s="336">
        <v>1360</v>
      </c>
      <c r="AK77" s="334">
        <v>1319.1659999999999</v>
      </c>
      <c r="AL77" s="336">
        <v>1380</v>
      </c>
      <c r="AM77" s="334">
        <v>1318.7560000000001</v>
      </c>
      <c r="AN77" s="336">
        <v>1380</v>
      </c>
      <c r="AO77" s="334">
        <v>1319.068</v>
      </c>
      <c r="AP77" s="336">
        <v>1370</v>
      </c>
      <c r="AQ77" s="334">
        <v>1317.171</v>
      </c>
      <c r="AR77" s="336">
        <v>1380</v>
      </c>
      <c r="AS77" s="334">
        <v>1317.104</v>
      </c>
      <c r="AT77" s="336">
        <v>1380</v>
      </c>
      <c r="AU77" s="334">
        <v>1315.874</v>
      </c>
      <c r="AV77" s="336">
        <v>1380</v>
      </c>
      <c r="AW77" s="334">
        <v>1315.0170000000001</v>
      </c>
      <c r="AX77" s="336">
        <v>1370</v>
      </c>
      <c r="AY77" s="334">
        <v>1239.5550000000001</v>
      </c>
      <c r="AZ77" s="336">
        <v>1380</v>
      </c>
      <c r="BA77" s="337">
        <v>1240.425</v>
      </c>
      <c r="BB77" s="336">
        <v>1360</v>
      </c>
      <c r="BC77" s="334">
        <v>361.70299999999997</v>
      </c>
      <c r="BD77" s="336">
        <v>1360</v>
      </c>
      <c r="BE77" s="334">
        <v>377.19499999999999</v>
      </c>
    </row>
    <row r="78" spans="3:57">
      <c r="C78" s="379">
        <v>31</v>
      </c>
      <c r="D78" s="673">
        <v>1.0003629999999999</v>
      </c>
      <c r="E78" s="673"/>
      <c r="V78" s="346">
        <v>1390</v>
      </c>
      <c r="W78" s="333">
        <v>752.95500000000004</v>
      </c>
      <c r="X78" s="346">
        <v>1400</v>
      </c>
      <c r="Y78" s="334">
        <v>747.23099999999999</v>
      </c>
      <c r="Z78" s="335">
        <v>1390</v>
      </c>
      <c r="AA78" s="334">
        <v>1557.194</v>
      </c>
      <c r="AB78" s="336">
        <v>1390</v>
      </c>
      <c r="AC78" s="334">
        <v>1555.2</v>
      </c>
      <c r="AD78" s="336">
        <v>1390</v>
      </c>
      <c r="AE78" s="334">
        <v>1317.2529999999999</v>
      </c>
      <c r="AF78" s="336">
        <v>1390</v>
      </c>
      <c r="AG78" s="334">
        <v>1316.9659999999999</v>
      </c>
      <c r="AH78" s="336">
        <v>1390</v>
      </c>
      <c r="AI78" s="334">
        <v>1316.979</v>
      </c>
      <c r="AJ78" s="336">
        <v>1370</v>
      </c>
      <c r="AK78" s="334">
        <v>1318.018</v>
      </c>
      <c r="AL78" s="336">
        <v>1390</v>
      </c>
      <c r="AM78" s="334">
        <v>1317.6079999999999</v>
      </c>
      <c r="AN78" s="336">
        <v>1390</v>
      </c>
      <c r="AO78" s="334">
        <v>1317.921</v>
      </c>
      <c r="AP78" s="336">
        <v>1380</v>
      </c>
      <c r="AQ78" s="334">
        <v>1316.027</v>
      </c>
      <c r="AR78" s="336">
        <v>1390</v>
      </c>
      <c r="AS78" s="334">
        <v>1315.9590000000001</v>
      </c>
      <c r="AT78" s="336">
        <v>1390</v>
      </c>
      <c r="AU78" s="334">
        <v>1314.7280000000001</v>
      </c>
      <c r="AV78" s="336">
        <v>1390</v>
      </c>
      <c r="AW78" s="334">
        <v>1313.874</v>
      </c>
      <c r="AX78" s="336">
        <v>1380</v>
      </c>
      <c r="AY78" s="334">
        <v>1238.4100000000001</v>
      </c>
      <c r="AZ78" s="336">
        <v>1390</v>
      </c>
      <c r="BA78" s="337">
        <v>1239.2809999999999</v>
      </c>
      <c r="BB78" s="336">
        <v>1370</v>
      </c>
      <c r="BC78" s="334">
        <v>361.33199999999999</v>
      </c>
      <c r="BD78" s="336">
        <v>1370</v>
      </c>
      <c r="BE78" s="334">
        <v>376.81</v>
      </c>
    </row>
    <row r="79" spans="3:57">
      <c r="C79" s="379">
        <v>32</v>
      </c>
      <c r="D79" s="673">
        <v>1.0003960000000001</v>
      </c>
      <c r="E79" s="673"/>
      <c r="V79" s="346">
        <v>1400</v>
      </c>
      <c r="W79" s="333">
        <v>752.20299999999997</v>
      </c>
      <c r="X79" s="346">
        <v>1410</v>
      </c>
      <c r="Y79" s="334">
        <v>746.48699999999997</v>
      </c>
      <c r="Z79" s="335">
        <v>1400</v>
      </c>
      <c r="AA79" s="334">
        <v>1555.7650000000001</v>
      </c>
      <c r="AB79" s="336">
        <v>1400</v>
      </c>
      <c r="AC79" s="334">
        <v>1553.7760000000001</v>
      </c>
      <c r="AD79" s="336">
        <v>1400</v>
      </c>
      <c r="AE79" s="334">
        <v>1316.104</v>
      </c>
      <c r="AF79" s="336">
        <v>1400</v>
      </c>
      <c r="AG79" s="334">
        <v>1315.819</v>
      </c>
      <c r="AH79" s="336">
        <v>1400</v>
      </c>
      <c r="AI79" s="334">
        <v>1315.83</v>
      </c>
      <c r="AJ79" s="336">
        <v>1380</v>
      </c>
      <c r="AK79" s="334">
        <v>1316.87</v>
      </c>
      <c r="AL79" s="336">
        <v>1400</v>
      </c>
      <c r="AM79" s="334">
        <v>1316.46</v>
      </c>
      <c r="AN79" s="336">
        <v>1400</v>
      </c>
      <c r="AO79" s="334">
        <v>1316.7739999999999</v>
      </c>
      <c r="AP79" s="336">
        <v>1390</v>
      </c>
      <c r="AQ79" s="334">
        <v>1314.883</v>
      </c>
      <c r="AR79" s="336">
        <v>1400</v>
      </c>
      <c r="AS79" s="334">
        <v>1314.8140000000001</v>
      </c>
      <c r="AT79" s="336">
        <v>1400</v>
      </c>
      <c r="AU79" s="334">
        <v>1313.5820000000001</v>
      </c>
      <c r="AV79" s="336">
        <v>1400</v>
      </c>
      <c r="AW79" s="334">
        <v>1312.73</v>
      </c>
      <c r="AX79" s="336">
        <v>1390</v>
      </c>
      <c r="AY79" s="334">
        <v>1237.2639999999999</v>
      </c>
      <c r="AZ79" s="336">
        <v>1400</v>
      </c>
      <c r="BA79" s="337">
        <v>1238.1379999999999</v>
      </c>
      <c r="BB79" s="336">
        <v>1380</v>
      </c>
      <c r="BC79" s="334">
        <v>360.96</v>
      </c>
      <c r="BD79" s="336">
        <v>1380</v>
      </c>
      <c r="BE79" s="334">
        <v>376.42399999999998</v>
      </c>
    </row>
    <row r="80" spans="3:57">
      <c r="C80" s="379">
        <v>33</v>
      </c>
      <c r="D80" s="673">
        <v>1.000429</v>
      </c>
      <c r="E80" s="673"/>
      <c r="V80" s="346">
        <v>1410</v>
      </c>
      <c r="W80" s="333">
        <v>751.45</v>
      </c>
      <c r="X80" s="346">
        <v>1420</v>
      </c>
      <c r="Y80" s="334">
        <v>745.74199999999996</v>
      </c>
      <c r="Z80" s="335">
        <v>1410</v>
      </c>
      <c r="AA80" s="334">
        <v>1554.337</v>
      </c>
      <c r="AB80" s="336">
        <v>1410</v>
      </c>
      <c r="AC80" s="334">
        <v>1552.3530000000001</v>
      </c>
      <c r="AD80" s="336">
        <v>1410</v>
      </c>
      <c r="AE80" s="334">
        <v>1314.954</v>
      </c>
      <c r="AF80" s="336">
        <v>1410</v>
      </c>
      <c r="AG80" s="334">
        <v>1314.67</v>
      </c>
      <c r="AH80" s="336">
        <v>1410</v>
      </c>
      <c r="AI80" s="334">
        <v>1314.681</v>
      </c>
      <c r="AJ80" s="336">
        <v>1390</v>
      </c>
      <c r="AK80" s="334">
        <v>1315.722</v>
      </c>
      <c r="AL80" s="336">
        <v>1410</v>
      </c>
      <c r="AM80" s="334">
        <v>1315.3119999999999</v>
      </c>
      <c r="AN80" s="336">
        <v>1410</v>
      </c>
      <c r="AO80" s="334">
        <v>1315.627</v>
      </c>
      <c r="AP80" s="336">
        <v>1400</v>
      </c>
      <c r="AQ80" s="334">
        <v>1313.7380000000001</v>
      </c>
      <c r="AR80" s="336">
        <v>1410</v>
      </c>
      <c r="AS80" s="334">
        <v>1313.6690000000001</v>
      </c>
      <c r="AT80" s="336">
        <v>1410</v>
      </c>
      <c r="AU80" s="334">
        <v>1312.4359999999999</v>
      </c>
      <c r="AV80" s="336">
        <v>1410</v>
      </c>
      <c r="AW80" s="334">
        <v>1311.587</v>
      </c>
      <c r="AX80" s="336">
        <v>1400</v>
      </c>
      <c r="AY80" s="334">
        <v>1236.1179999999999</v>
      </c>
      <c r="AZ80" s="336">
        <v>1410</v>
      </c>
      <c r="BA80" s="337">
        <v>1236.9929999999999</v>
      </c>
      <c r="BB80" s="336">
        <v>1390</v>
      </c>
      <c r="BC80" s="334">
        <v>360.58800000000002</v>
      </c>
      <c r="BD80" s="336">
        <v>1390</v>
      </c>
      <c r="BE80" s="334">
        <v>376.03899999999999</v>
      </c>
    </row>
    <row r="81" spans="3:57">
      <c r="C81" s="379">
        <v>34</v>
      </c>
      <c r="D81" s="673">
        <v>1.000462</v>
      </c>
      <c r="E81" s="673"/>
      <c r="V81" s="346">
        <v>1420</v>
      </c>
      <c r="W81" s="333">
        <v>750.697</v>
      </c>
      <c r="X81" s="346">
        <v>1430</v>
      </c>
      <c r="Y81" s="334">
        <v>744.99699999999996</v>
      </c>
      <c r="Z81" s="335">
        <v>1420</v>
      </c>
      <c r="AA81" s="334">
        <v>1552.9079999999999</v>
      </c>
      <c r="AB81" s="336">
        <v>1420</v>
      </c>
      <c r="AC81" s="334">
        <v>1550.9290000000001</v>
      </c>
      <c r="AD81" s="336">
        <v>1420</v>
      </c>
      <c r="AE81" s="334">
        <v>1313.8050000000001</v>
      </c>
      <c r="AF81" s="336">
        <v>1420</v>
      </c>
      <c r="AG81" s="334">
        <v>1313.5219999999999</v>
      </c>
      <c r="AH81" s="336">
        <v>1420</v>
      </c>
      <c r="AI81" s="334">
        <v>1313.5319999999999</v>
      </c>
      <c r="AJ81" s="336">
        <v>1400</v>
      </c>
      <c r="AK81" s="334">
        <v>1314.5730000000001</v>
      </c>
      <c r="AL81" s="336">
        <v>1420</v>
      </c>
      <c r="AM81" s="334">
        <v>1314.164</v>
      </c>
      <c r="AN81" s="336">
        <v>1420</v>
      </c>
      <c r="AO81" s="334">
        <v>1314.48</v>
      </c>
      <c r="AP81" s="336">
        <v>1410</v>
      </c>
      <c r="AQ81" s="334">
        <v>1312.5930000000001</v>
      </c>
      <c r="AR81" s="336">
        <v>1420</v>
      </c>
      <c r="AS81" s="334">
        <v>1312.5239999999999</v>
      </c>
      <c r="AT81" s="336">
        <v>1420</v>
      </c>
      <c r="AU81" s="334">
        <v>1311.289</v>
      </c>
      <c r="AV81" s="336">
        <v>1420</v>
      </c>
      <c r="AW81" s="334">
        <v>1310.443</v>
      </c>
      <c r="AX81" s="336">
        <v>1410</v>
      </c>
      <c r="AY81" s="334">
        <v>1234.972</v>
      </c>
      <c r="AZ81" s="336">
        <v>1420</v>
      </c>
      <c r="BA81" s="337">
        <v>1235.8489999999999</v>
      </c>
      <c r="BB81" s="336">
        <v>1400</v>
      </c>
      <c r="BC81" s="334">
        <v>360.21600000000001</v>
      </c>
      <c r="BD81" s="336">
        <v>1400</v>
      </c>
      <c r="BE81" s="334">
        <v>375.65300000000002</v>
      </c>
    </row>
    <row r="82" spans="3:57">
      <c r="C82" s="379">
        <v>35</v>
      </c>
      <c r="D82" s="673">
        <v>1.0004949999999999</v>
      </c>
      <c r="E82" s="673"/>
      <c r="V82" s="346">
        <v>1430</v>
      </c>
      <c r="W82" s="333">
        <v>749.94399999999996</v>
      </c>
      <c r="X82" s="346">
        <v>1440</v>
      </c>
      <c r="Y82" s="334">
        <v>744.25099999999998</v>
      </c>
      <c r="Z82" s="335">
        <v>1430</v>
      </c>
      <c r="AA82" s="334">
        <v>1551.479</v>
      </c>
      <c r="AB82" s="336">
        <v>1430</v>
      </c>
      <c r="AC82" s="334">
        <v>1549.5039999999999</v>
      </c>
      <c r="AD82" s="336">
        <v>1430</v>
      </c>
      <c r="AE82" s="334">
        <v>1312.655</v>
      </c>
      <c r="AF82" s="336">
        <v>1430</v>
      </c>
      <c r="AG82" s="334">
        <v>1312.373</v>
      </c>
      <c r="AH82" s="336">
        <v>1430</v>
      </c>
      <c r="AI82" s="334">
        <v>1312.383</v>
      </c>
      <c r="AJ82" s="336">
        <v>1410</v>
      </c>
      <c r="AK82" s="334">
        <v>1313.425</v>
      </c>
      <c r="AL82" s="336">
        <v>1430</v>
      </c>
      <c r="AM82" s="334">
        <v>1313.0150000000001</v>
      </c>
      <c r="AN82" s="336">
        <v>1430</v>
      </c>
      <c r="AO82" s="334">
        <v>1313.3320000000001</v>
      </c>
      <c r="AP82" s="336">
        <v>1420</v>
      </c>
      <c r="AQ82" s="334">
        <v>1311.4480000000001</v>
      </c>
      <c r="AR82" s="336">
        <v>1430</v>
      </c>
      <c r="AS82" s="334">
        <v>1311.3779999999999</v>
      </c>
      <c r="AT82" s="336">
        <v>1430</v>
      </c>
      <c r="AU82" s="334">
        <v>1310.1420000000001</v>
      </c>
      <c r="AV82" s="336">
        <v>1430</v>
      </c>
      <c r="AW82" s="334">
        <v>1309.299</v>
      </c>
      <c r="AX82" s="336">
        <v>1420</v>
      </c>
      <c r="AY82" s="334">
        <v>1233.825</v>
      </c>
      <c r="AZ82" s="336">
        <v>1430</v>
      </c>
      <c r="BA82" s="337">
        <v>1234.7049999999999</v>
      </c>
      <c r="BB82" s="336">
        <v>1410</v>
      </c>
      <c r="BC82" s="334">
        <v>359.84399999999999</v>
      </c>
      <c r="BD82" s="336">
        <v>1410</v>
      </c>
      <c r="BE82" s="334">
        <v>375.267</v>
      </c>
    </row>
    <row r="83" spans="3:57">
      <c r="C83" s="379">
        <v>36</v>
      </c>
      <c r="D83" s="673">
        <v>1.0005280000000001</v>
      </c>
      <c r="E83" s="673"/>
      <c r="V83" s="346">
        <v>1440</v>
      </c>
      <c r="W83" s="333">
        <v>749.19100000000003</v>
      </c>
      <c r="X83" s="346">
        <v>1450</v>
      </c>
      <c r="Y83" s="334">
        <v>743.50599999999997</v>
      </c>
      <c r="Z83" s="335">
        <v>1440</v>
      </c>
      <c r="AA83" s="334">
        <v>1550.05</v>
      </c>
      <c r="AB83" s="336">
        <v>1440</v>
      </c>
      <c r="AC83" s="334">
        <v>1548.08</v>
      </c>
      <c r="AD83" s="336">
        <v>1440</v>
      </c>
      <c r="AE83" s="334">
        <v>1311.5050000000001</v>
      </c>
      <c r="AF83" s="336">
        <v>1440</v>
      </c>
      <c r="AG83" s="334">
        <v>1311.2239999999999</v>
      </c>
      <c r="AH83" s="336">
        <v>1440</v>
      </c>
      <c r="AI83" s="334">
        <v>1311.2339999999999</v>
      </c>
      <c r="AJ83" s="336">
        <v>1420</v>
      </c>
      <c r="AK83" s="334">
        <v>1312.2760000000001</v>
      </c>
      <c r="AL83" s="336">
        <v>1440</v>
      </c>
      <c r="AM83" s="334">
        <v>1311.867</v>
      </c>
      <c r="AN83" s="336">
        <v>1440</v>
      </c>
      <c r="AO83" s="334">
        <v>1312.1849999999999</v>
      </c>
      <c r="AP83" s="336">
        <v>1430</v>
      </c>
      <c r="AQ83" s="334">
        <v>1310.3019999999999</v>
      </c>
      <c r="AR83" s="336">
        <v>1440</v>
      </c>
      <c r="AS83" s="334">
        <v>1310.2329999999999</v>
      </c>
      <c r="AT83" s="336">
        <v>1440</v>
      </c>
      <c r="AU83" s="334">
        <v>1308.9949999999999</v>
      </c>
      <c r="AV83" s="336">
        <v>1440</v>
      </c>
      <c r="AW83" s="334">
        <v>1308.155</v>
      </c>
      <c r="AX83" s="336">
        <v>1430</v>
      </c>
      <c r="AY83" s="334">
        <v>1232.6790000000001</v>
      </c>
      <c r="AZ83" s="336">
        <v>1440</v>
      </c>
      <c r="BA83" s="337">
        <v>1233.56</v>
      </c>
      <c r="BB83" s="336">
        <v>1420</v>
      </c>
      <c r="BC83" s="334">
        <v>359.47199999999998</v>
      </c>
      <c r="BD83" s="336">
        <v>1420</v>
      </c>
      <c r="BE83" s="334">
        <v>374.88099999999997</v>
      </c>
    </row>
    <row r="84" spans="3:57">
      <c r="C84" s="379">
        <v>37</v>
      </c>
      <c r="D84" s="673">
        <v>1.000561</v>
      </c>
      <c r="E84" s="673"/>
      <c r="V84" s="346">
        <v>1450</v>
      </c>
      <c r="W84" s="333">
        <v>748.43799999999999</v>
      </c>
      <c r="X84" s="346">
        <v>1460</v>
      </c>
      <c r="Y84" s="334">
        <v>742.76</v>
      </c>
      <c r="Z84" s="335">
        <v>1450</v>
      </c>
      <c r="AA84" s="334">
        <v>1548.6210000000001</v>
      </c>
      <c r="AB84" s="336">
        <v>1450</v>
      </c>
      <c r="AC84" s="334">
        <v>1546.655</v>
      </c>
      <c r="AD84" s="336">
        <v>1450</v>
      </c>
      <c r="AE84" s="334">
        <v>1310.355</v>
      </c>
      <c r="AF84" s="336">
        <v>1450</v>
      </c>
      <c r="AG84" s="334">
        <v>1310.075</v>
      </c>
      <c r="AH84" s="336">
        <v>1450</v>
      </c>
      <c r="AI84" s="334">
        <v>1310.0840000000001</v>
      </c>
      <c r="AJ84" s="336">
        <v>1430</v>
      </c>
      <c r="AK84" s="334">
        <v>1311.127</v>
      </c>
      <c r="AL84" s="336">
        <v>1450</v>
      </c>
      <c r="AM84" s="334">
        <v>1310.7180000000001</v>
      </c>
      <c r="AN84" s="336">
        <v>1450</v>
      </c>
      <c r="AO84" s="334">
        <v>1311.037</v>
      </c>
      <c r="AP84" s="336">
        <v>1440</v>
      </c>
      <c r="AQ84" s="334">
        <v>1309.1559999999999</v>
      </c>
      <c r="AR84" s="336">
        <v>1450</v>
      </c>
      <c r="AS84" s="334">
        <v>1309.087</v>
      </c>
      <c r="AT84" s="336">
        <v>1450</v>
      </c>
      <c r="AU84" s="334">
        <v>1307.847</v>
      </c>
      <c r="AV84" s="336">
        <v>1450</v>
      </c>
      <c r="AW84" s="334">
        <v>1307.01</v>
      </c>
      <c r="AX84" s="336">
        <v>1440</v>
      </c>
      <c r="AY84" s="334">
        <v>1231.5319999999999</v>
      </c>
      <c r="AZ84" s="336">
        <v>1450</v>
      </c>
      <c r="BA84" s="337">
        <v>1232.415</v>
      </c>
      <c r="BB84" s="336">
        <v>1430</v>
      </c>
      <c r="BC84" s="334">
        <v>359.1</v>
      </c>
      <c r="BD84" s="336">
        <v>1430</v>
      </c>
      <c r="BE84" s="334">
        <v>374.495</v>
      </c>
    </row>
    <row r="85" spans="3:57">
      <c r="C85" s="379">
        <v>38</v>
      </c>
      <c r="D85" s="673">
        <v>1.000594</v>
      </c>
      <c r="E85" s="673"/>
      <c r="V85" s="346">
        <v>1460</v>
      </c>
      <c r="W85" s="333">
        <v>747.68399999999997</v>
      </c>
      <c r="X85" s="346">
        <v>1470</v>
      </c>
      <c r="Y85" s="334">
        <v>742.01400000000001</v>
      </c>
      <c r="Z85" s="335">
        <v>1460</v>
      </c>
      <c r="AA85" s="334">
        <v>1547.191</v>
      </c>
      <c r="AB85" s="336">
        <v>1460</v>
      </c>
      <c r="AC85" s="334">
        <v>1545.23</v>
      </c>
      <c r="AD85" s="336">
        <v>1460</v>
      </c>
      <c r="AE85" s="334">
        <v>1309.204</v>
      </c>
      <c r="AF85" s="336">
        <v>1460</v>
      </c>
      <c r="AG85" s="334">
        <v>1308.9259999999999</v>
      </c>
      <c r="AH85" s="336">
        <v>1460</v>
      </c>
      <c r="AI85" s="334">
        <v>1308.934</v>
      </c>
      <c r="AJ85" s="336">
        <v>1440</v>
      </c>
      <c r="AK85" s="334">
        <v>1309.9780000000001</v>
      </c>
      <c r="AL85" s="336">
        <v>1460</v>
      </c>
      <c r="AM85" s="334">
        <v>1309.568</v>
      </c>
      <c r="AN85" s="336">
        <v>1460</v>
      </c>
      <c r="AO85" s="334">
        <v>1309.8879999999999</v>
      </c>
      <c r="AP85" s="336">
        <v>1450</v>
      </c>
      <c r="AQ85" s="334">
        <v>1308.01</v>
      </c>
      <c r="AR85" s="336">
        <v>1460</v>
      </c>
      <c r="AS85" s="334">
        <v>1307.94</v>
      </c>
      <c r="AT85" s="336">
        <v>1460</v>
      </c>
      <c r="AU85" s="334">
        <v>1306.7</v>
      </c>
      <c r="AV85" s="336">
        <v>1460</v>
      </c>
      <c r="AW85" s="334">
        <v>1305.865</v>
      </c>
      <c r="AX85" s="336">
        <v>1450</v>
      </c>
      <c r="AY85" s="334">
        <v>1230.385</v>
      </c>
      <c r="AZ85" s="336">
        <v>1460</v>
      </c>
      <c r="BA85" s="337">
        <v>1231.27</v>
      </c>
      <c r="BB85" s="336">
        <v>1440</v>
      </c>
      <c r="BC85" s="334">
        <v>358.72800000000001</v>
      </c>
      <c r="BD85" s="336">
        <v>1440</v>
      </c>
      <c r="BE85" s="334">
        <v>374.10899999999998</v>
      </c>
    </row>
    <row r="86" spans="3:57">
      <c r="C86" s="379">
        <v>39</v>
      </c>
      <c r="D86" s="673">
        <v>1.0006269999999999</v>
      </c>
      <c r="E86" s="673"/>
      <c r="V86" s="346">
        <v>1470</v>
      </c>
      <c r="W86" s="333">
        <v>746.93</v>
      </c>
      <c r="X86" s="346">
        <v>1480</v>
      </c>
      <c r="Y86" s="334">
        <v>741.26800000000003</v>
      </c>
      <c r="Z86" s="335">
        <v>1470</v>
      </c>
      <c r="AA86" s="334">
        <v>1545.761</v>
      </c>
      <c r="AB86" s="336">
        <v>1470</v>
      </c>
      <c r="AC86" s="334">
        <v>1543.8050000000001</v>
      </c>
      <c r="AD86" s="336">
        <v>1470</v>
      </c>
      <c r="AE86" s="334">
        <v>1308.0530000000001</v>
      </c>
      <c r="AF86" s="336">
        <v>1470</v>
      </c>
      <c r="AG86" s="334">
        <v>1307.7760000000001</v>
      </c>
      <c r="AH86" s="336">
        <v>1470</v>
      </c>
      <c r="AI86" s="334">
        <v>1307.7840000000001</v>
      </c>
      <c r="AJ86" s="336">
        <v>1450</v>
      </c>
      <c r="AK86" s="334">
        <v>1308.828</v>
      </c>
      <c r="AL86" s="336">
        <v>1470</v>
      </c>
      <c r="AM86" s="334">
        <v>1308.4190000000001</v>
      </c>
      <c r="AN86" s="336">
        <v>1470</v>
      </c>
      <c r="AO86" s="334">
        <v>1308.74</v>
      </c>
      <c r="AP86" s="336">
        <v>1460</v>
      </c>
      <c r="AQ86" s="334">
        <v>1306.864</v>
      </c>
      <c r="AR86" s="336">
        <v>1470</v>
      </c>
      <c r="AS86" s="334">
        <v>1306.7940000000001</v>
      </c>
      <c r="AT86" s="336">
        <v>1470</v>
      </c>
      <c r="AU86" s="334">
        <v>1305.5519999999999</v>
      </c>
      <c r="AV86" s="336">
        <v>1470</v>
      </c>
      <c r="AW86" s="334">
        <v>1304.72</v>
      </c>
      <c r="AX86" s="336">
        <v>1460</v>
      </c>
      <c r="AY86" s="334">
        <v>1229.2370000000001</v>
      </c>
      <c r="AZ86" s="336">
        <v>1470</v>
      </c>
      <c r="BA86" s="337">
        <v>1230.124</v>
      </c>
      <c r="BB86" s="336">
        <v>1450</v>
      </c>
      <c r="BC86" s="334">
        <v>358.35599999999999</v>
      </c>
      <c r="BD86" s="336">
        <v>1450</v>
      </c>
      <c r="BE86" s="334">
        <v>373.72300000000001</v>
      </c>
    </row>
    <row r="87" spans="3:57">
      <c r="C87" s="379">
        <v>40</v>
      </c>
      <c r="D87" s="673">
        <v>1.0006600000000001</v>
      </c>
      <c r="E87" s="673"/>
      <c r="V87" s="346">
        <v>1480</v>
      </c>
      <c r="W87" s="333">
        <v>746.17600000000004</v>
      </c>
      <c r="X87" s="346">
        <v>1490</v>
      </c>
      <c r="Y87" s="334">
        <v>740.52099999999996</v>
      </c>
      <c r="Z87" s="335">
        <v>1480</v>
      </c>
      <c r="AA87" s="334">
        <v>1544.33</v>
      </c>
      <c r="AB87" s="336">
        <v>1480</v>
      </c>
      <c r="AC87" s="334">
        <v>1542.3789999999999</v>
      </c>
      <c r="AD87" s="336">
        <v>1480</v>
      </c>
      <c r="AE87" s="334">
        <v>1306.902</v>
      </c>
      <c r="AF87" s="336">
        <v>1480</v>
      </c>
      <c r="AG87" s="334">
        <v>1306.626</v>
      </c>
      <c r="AH87" s="336">
        <v>1480</v>
      </c>
      <c r="AI87" s="334">
        <v>1306.634</v>
      </c>
      <c r="AJ87" s="336">
        <v>1460</v>
      </c>
      <c r="AK87" s="334">
        <v>1307.6780000000001</v>
      </c>
      <c r="AL87" s="336">
        <v>1480</v>
      </c>
      <c r="AM87" s="334">
        <v>1307.269</v>
      </c>
      <c r="AN87" s="336">
        <v>1480</v>
      </c>
      <c r="AO87" s="334">
        <v>1307.5909999999999</v>
      </c>
      <c r="AP87" s="336">
        <v>1470</v>
      </c>
      <c r="AQ87" s="334">
        <v>1305.7180000000001</v>
      </c>
      <c r="AR87" s="336">
        <v>1480</v>
      </c>
      <c r="AS87" s="334">
        <v>1305.6469999999999</v>
      </c>
      <c r="AT87" s="336">
        <v>1480</v>
      </c>
      <c r="AU87" s="334">
        <v>1304.404</v>
      </c>
      <c r="AV87" s="336">
        <v>1480</v>
      </c>
      <c r="AW87" s="334">
        <v>1303.575</v>
      </c>
      <c r="AX87" s="336">
        <v>1470</v>
      </c>
      <c r="AY87" s="334">
        <v>1228.0899999999999</v>
      </c>
      <c r="AZ87" s="336">
        <v>1480</v>
      </c>
      <c r="BA87" s="337">
        <v>1228.9780000000001</v>
      </c>
      <c r="BB87" s="336">
        <v>1460</v>
      </c>
      <c r="BC87" s="334">
        <v>357.983</v>
      </c>
      <c r="BD87" s="336">
        <v>1460</v>
      </c>
      <c r="BE87" s="334">
        <v>373.33699999999999</v>
      </c>
    </row>
    <row r="88" spans="3:57">
      <c r="C88" s="379">
        <v>41</v>
      </c>
      <c r="D88" s="673">
        <v>1.0006930000000001</v>
      </c>
      <c r="E88" s="673"/>
      <c r="V88" s="346">
        <v>1490</v>
      </c>
      <c r="W88" s="333">
        <v>745.42200000000003</v>
      </c>
      <c r="X88" s="346">
        <v>1500</v>
      </c>
      <c r="Y88" s="334">
        <v>739.77499999999998</v>
      </c>
      <c r="Z88" s="335">
        <v>1490</v>
      </c>
      <c r="AA88" s="334">
        <v>1542.9</v>
      </c>
      <c r="AB88" s="336">
        <v>1490</v>
      </c>
      <c r="AC88" s="334">
        <v>1540.953</v>
      </c>
      <c r="AD88" s="336">
        <v>1490</v>
      </c>
      <c r="AE88" s="334">
        <v>1305.751</v>
      </c>
      <c r="AF88" s="336">
        <v>1490</v>
      </c>
      <c r="AG88" s="334">
        <v>1305.4760000000001</v>
      </c>
      <c r="AH88" s="336">
        <v>1490</v>
      </c>
      <c r="AI88" s="334">
        <v>1305.4829999999999</v>
      </c>
      <c r="AJ88" s="336">
        <v>1470</v>
      </c>
      <c r="AK88" s="334">
        <v>1306.528</v>
      </c>
      <c r="AL88" s="336">
        <v>1490</v>
      </c>
      <c r="AM88" s="334">
        <v>1306.1189999999999</v>
      </c>
      <c r="AN88" s="336">
        <v>1490</v>
      </c>
      <c r="AO88" s="334">
        <v>1306.442</v>
      </c>
      <c r="AP88" s="336">
        <v>1480</v>
      </c>
      <c r="AQ88" s="334">
        <v>1304.5709999999999</v>
      </c>
      <c r="AR88" s="336">
        <v>1490</v>
      </c>
      <c r="AS88" s="334">
        <v>1304.5</v>
      </c>
      <c r="AT88" s="336">
        <v>1490</v>
      </c>
      <c r="AU88" s="334">
        <v>1303.2550000000001</v>
      </c>
      <c r="AV88" s="336">
        <v>1490</v>
      </c>
      <c r="AW88" s="334">
        <v>1302.43</v>
      </c>
      <c r="AX88" s="336">
        <v>1480</v>
      </c>
      <c r="AY88" s="334">
        <v>1226.942</v>
      </c>
      <c r="AZ88" s="336">
        <v>1490</v>
      </c>
      <c r="BA88" s="337">
        <v>1227.8320000000001</v>
      </c>
      <c r="BB88" s="336">
        <v>1470</v>
      </c>
      <c r="BC88" s="334">
        <v>357.61099999999999</v>
      </c>
      <c r="BD88" s="336">
        <v>1470</v>
      </c>
      <c r="BE88" s="334">
        <v>372.95</v>
      </c>
    </row>
    <row r="89" spans="3:57">
      <c r="C89" s="379">
        <v>42</v>
      </c>
      <c r="D89" s="673">
        <v>1.000726</v>
      </c>
      <c r="E89" s="673"/>
      <c r="V89" s="346">
        <v>1500</v>
      </c>
      <c r="W89" s="333">
        <v>744.66800000000001</v>
      </c>
      <c r="X89" s="346">
        <v>1510</v>
      </c>
      <c r="Y89" s="334">
        <v>739.02800000000002</v>
      </c>
      <c r="Z89" s="335">
        <v>1500</v>
      </c>
      <c r="AA89" s="334">
        <v>1541.4690000000001</v>
      </c>
      <c r="AB89" s="336">
        <v>1500</v>
      </c>
      <c r="AC89" s="334">
        <v>1539.527</v>
      </c>
      <c r="AD89" s="336">
        <v>1500</v>
      </c>
      <c r="AE89" s="334">
        <v>1304.5999999999999</v>
      </c>
      <c r="AF89" s="336">
        <v>1500</v>
      </c>
      <c r="AG89" s="334">
        <v>1304.326</v>
      </c>
      <c r="AH89" s="336">
        <v>1500</v>
      </c>
      <c r="AI89" s="334">
        <v>1304.3320000000001</v>
      </c>
      <c r="AJ89" s="336">
        <v>1480</v>
      </c>
      <c r="AK89" s="334">
        <v>1305.3779999999999</v>
      </c>
      <c r="AL89" s="336">
        <v>1500</v>
      </c>
      <c r="AM89" s="334">
        <v>1304.9690000000001</v>
      </c>
      <c r="AN89" s="336">
        <v>1500</v>
      </c>
      <c r="AO89" s="334">
        <v>1305.2929999999999</v>
      </c>
      <c r="AP89" s="336">
        <v>1490</v>
      </c>
      <c r="AQ89" s="334">
        <v>1303.424</v>
      </c>
      <c r="AR89" s="336">
        <v>1500</v>
      </c>
      <c r="AS89" s="334">
        <v>1303.3530000000001</v>
      </c>
      <c r="AT89" s="336">
        <v>1500</v>
      </c>
      <c r="AU89" s="334">
        <v>1302.107</v>
      </c>
      <c r="AV89" s="336">
        <v>1500</v>
      </c>
      <c r="AW89" s="334">
        <v>1301.2840000000001</v>
      </c>
      <c r="AX89" s="336">
        <v>1490</v>
      </c>
      <c r="AY89" s="334">
        <v>1225.7940000000001</v>
      </c>
      <c r="AZ89" s="336">
        <v>1500</v>
      </c>
      <c r="BA89" s="337">
        <v>1226.6859999999999</v>
      </c>
      <c r="BB89" s="336">
        <v>1480</v>
      </c>
      <c r="BC89" s="334">
        <v>357.238</v>
      </c>
      <c r="BD89" s="336">
        <v>1480</v>
      </c>
      <c r="BE89" s="334">
        <v>372.56400000000002</v>
      </c>
    </row>
    <row r="90" spans="3:57">
      <c r="C90" s="379">
        <v>43</v>
      </c>
      <c r="D90" s="673">
        <v>1.000759</v>
      </c>
      <c r="E90" s="673"/>
      <c r="V90" s="346">
        <v>1510</v>
      </c>
      <c r="W90" s="333">
        <v>743.91300000000001</v>
      </c>
      <c r="X90" s="346">
        <v>1520</v>
      </c>
      <c r="Y90" s="334">
        <v>738.28099999999995</v>
      </c>
      <c r="Z90" s="335">
        <v>1510</v>
      </c>
      <c r="AA90" s="334">
        <v>1540.037</v>
      </c>
      <c r="AB90" s="336">
        <v>1510</v>
      </c>
      <c r="AC90" s="334">
        <v>1538.1</v>
      </c>
      <c r="AD90" s="336">
        <v>1510</v>
      </c>
      <c r="AE90" s="334">
        <v>1303.4480000000001</v>
      </c>
      <c r="AF90" s="336">
        <v>1510</v>
      </c>
      <c r="AG90" s="334">
        <v>1303.175</v>
      </c>
      <c r="AH90" s="336">
        <v>1510</v>
      </c>
      <c r="AI90" s="334">
        <v>1303.181</v>
      </c>
      <c r="AJ90" s="336">
        <v>1490</v>
      </c>
      <c r="AK90" s="334">
        <v>1304.2270000000001</v>
      </c>
      <c r="AL90" s="336">
        <v>1510</v>
      </c>
      <c r="AM90" s="334">
        <v>1303.818</v>
      </c>
      <c r="AN90" s="336">
        <v>1510</v>
      </c>
      <c r="AO90" s="334">
        <v>1304.143</v>
      </c>
      <c r="AP90" s="336">
        <v>1500</v>
      </c>
      <c r="AQ90" s="334">
        <v>1302.277</v>
      </c>
      <c r="AR90" s="336">
        <v>1510</v>
      </c>
      <c r="AS90" s="334">
        <v>1302.2049999999999</v>
      </c>
      <c r="AT90" s="336">
        <v>1510</v>
      </c>
      <c r="AU90" s="334">
        <v>1300.9580000000001</v>
      </c>
      <c r="AV90" s="336">
        <v>1510</v>
      </c>
      <c r="AW90" s="334">
        <v>1300.1379999999999</v>
      </c>
      <c r="AX90" s="336">
        <v>1500</v>
      </c>
      <c r="AY90" s="334">
        <v>1224.646</v>
      </c>
      <c r="AZ90" s="336">
        <v>1510</v>
      </c>
      <c r="BA90" s="337">
        <v>1225.54</v>
      </c>
      <c r="BB90" s="336">
        <v>1490</v>
      </c>
      <c r="BC90" s="334">
        <v>356.86500000000001</v>
      </c>
      <c r="BD90" s="336">
        <v>1490</v>
      </c>
      <c r="BE90" s="334">
        <v>372.17700000000002</v>
      </c>
    </row>
    <row r="91" spans="3:57">
      <c r="C91" s="379">
        <v>44</v>
      </c>
      <c r="D91" s="673">
        <v>1.0007919999999999</v>
      </c>
      <c r="E91" s="673"/>
      <c r="V91" s="346">
        <v>1520</v>
      </c>
      <c r="W91" s="333">
        <v>743.15800000000002</v>
      </c>
      <c r="X91" s="346">
        <v>1530</v>
      </c>
      <c r="Y91" s="334">
        <v>737.53300000000002</v>
      </c>
      <c r="Z91" s="335">
        <v>1520</v>
      </c>
      <c r="AA91" s="334">
        <v>1538.606</v>
      </c>
      <c r="AB91" s="336">
        <v>1520</v>
      </c>
      <c r="AC91" s="334">
        <v>1536.673</v>
      </c>
      <c r="AD91" s="336">
        <v>1520</v>
      </c>
      <c r="AE91" s="334">
        <v>1302.296</v>
      </c>
      <c r="AF91" s="336">
        <v>1520</v>
      </c>
      <c r="AG91" s="334">
        <v>1302.0239999999999</v>
      </c>
      <c r="AH91" s="336">
        <v>1520</v>
      </c>
      <c r="AI91" s="334">
        <v>1302.03</v>
      </c>
      <c r="AJ91" s="336">
        <v>1500</v>
      </c>
      <c r="AK91" s="334">
        <v>1303.076</v>
      </c>
      <c r="AL91" s="336">
        <v>1520</v>
      </c>
      <c r="AM91" s="334">
        <v>1302.6669999999999</v>
      </c>
      <c r="AN91" s="336">
        <v>1520</v>
      </c>
      <c r="AO91" s="334">
        <v>1302.9929999999999</v>
      </c>
      <c r="AP91" s="336">
        <v>1510</v>
      </c>
      <c r="AQ91" s="334">
        <v>1301.1300000000001</v>
      </c>
      <c r="AR91" s="336">
        <v>1520</v>
      </c>
      <c r="AS91" s="334">
        <v>1301.058</v>
      </c>
      <c r="AT91" s="336">
        <v>1520</v>
      </c>
      <c r="AU91" s="334">
        <v>1299.809</v>
      </c>
      <c r="AV91" s="336">
        <v>1520</v>
      </c>
      <c r="AW91" s="334">
        <v>1298.992</v>
      </c>
      <c r="AX91" s="336">
        <v>1510</v>
      </c>
      <c r="AY91" s="334">
        <v>1223.4970000000001</v>
      </c>
      <c r="AZ91" s="336">
        <v>1520</v>
      </c>
      <c r="BA91" s="337">
        <v>1224.393</v>
      </c>
      <c r="BB91" s="336">
        <v>1500</v>
      </c>
      <c r="BC91" s="334">
        <v>356.49200000000002</v>
      </c>
      <c r="BD91" s="336">
        <v>1500</v>
      </c>
      <c r="BE91" s="334">
        <v>371.79</v>
      </c>
    </row>
    <row r="92" spans="3:57">
      <c r="C92" s="379">
        <v>45</v>
      </c>
      <c r="D92" s="673">
        <v>1.0008250000000001</v>
      </c>
      <c r="E92" s="673"/>
      <c r="V92" s="346">
        <v>1530</v>
      </c>
      <c r="W92" s="333">
        <v>742.40300000000002</v>
      </c>
      <c r="X92" s="346">
        <v>1540</v>
      </c>
      <c r="Y92" s="334">
        <v>736.78599999999994</v>
      </c>
      <c r="Z92" s="335">
        <v>1530</v>
      </c>
      <c r="AA92" s="334">
        <v>1537.174</v>
      </c>
      <c r="AB92" s="336">
        <v>1530</v>
      </c>
      <c r="AC92" s="334">
        <v>1535.2460000000001</v>
      </c>
      <c r="AD92" s="336">
        <v>1530</v>
      </c>
      <c r="AE92" s="334">
        <v>1301.144</v>
      </c>
      <c r="AF92" s="336">
        <v>1530</v>
      </c>
      <c r="AG92" s="334">
        <v>1300.873</v>
      </c>
      <c r="AH92" s="336">
        <v>1530</v>
      </c>
      <c r="AI92" s="334">
        <v>1300.8779999999999</v>
      </c>
      <c r="AJ92" s="336">
        <v>1510</v>
      </c>
      <c r="AK92" s="334">
        <v>1301.925</v>
      </c>
      <c r="AL92" s="336">
        <v>1530</v>
      </c>
      <c r="AM92" s="334">
        <v>1301.5160000000001</v>
      </c>
      <c r="AN92" s="336">
        <v>1530</v>
      </c>
      <c r="AO92" s="334">
        <v>1301.8430000000001</v>
      </c>
      <c r="AP92" s="336">
        <v>1520</v>
      </c>
      <c r="AQ92" s="334">
        <v>1299.982</v>
      </c>
      <c r="AR92" s="336">
        <v>1530</v>
      </c>
      <c r="AS92" s="334">
        <v>1299.9100000000001</v>
      </c>
      <c r="AT92" s="336">
        <v>1530</v>
      </c>
      <c r="AU92" s="334">
        <v>1298.6600000000001</v>
      </c>
      <c r="AV92" s="336">
        <v>1530</v>
      </c>
      <c r="AW92" s="334">
        <v>1297.845</v>
      </c>
      <c r="AX92" s="336">
        <v>1520</v>
      </c>
      <c r="AY92" s="334">
        <v>1222.348</v>
      </c>
      <c r="AZ92" s="336">
        <v>1530</v>
      </c>
      <c r="BA92" s="337">
        <v>1223.2460000000001</v>
      </c>
      <c r="BB92" s="336">
        <v>1510</v>
      </c>
      <c r="BC92" s="334">
        <v>356.12</v>
      </c>
      <c r="BD92" s="336">
        <v>1510</v>
      </c>
      <c r="BE92" s="334">
        <v>371.404</v>
      </c>
    </row>
    <row r="93" spans="3:57">
      <c r="C93" s="379">
        <v>46</v>
      </c>
      <c r="D93" s="673">
        <v>1.000858</v>
      </c>
      <c r="E93" s="673"/>
      <c r="V93" s="346">
        <v>1540</v>
      </c>
      <c r="W93" s="333">
        <v>741.64800000000002</v>
      </c>
      <c r="X93" s="346">
        <v>1550</v>
      </c>
      <c r="Y93" s="334">
        <v>736.03800000000001</v>
      </c>
      <c r="Z93" s="335">
        <v>1540</v>
      </c>
      <c r="AA93" s="334">
        <v>1535.742</v>
      </c>
      <c r="AB93" s="336">
        <v>1540</v>
      </c>
      <c r="AC93" s="334">
        <v>1533.819</v>
      </c>
      <c r="AD93" s="336">
        <v>1540</v>
      </c>
      <c r="AE93" s="334">
        <v>1299.992</v>
      </c>
      <c r="AF93" s="336">
        <v>1540</v>
      </c>
      <c r="AG93" s="334">
        <v>1299.722</v>
      </c>
      <c r="AH93" s="336">
        <v>1540</v>
      </c>
      <c r="AI93" s="334">
        <v>1299.7260000000001</v>
      </c>
      <c r="AJ93" s="336">
        <v>1520</v>
      </c>
      <c r="AK93" s="334">
        <v>1300.7739999999999</v>
      </c>
      <c r="AL93" s="336">
        <v>1540</v>
      </c>
      <c r="AM93" s="334">
        <v>1300.365</v>
      </c>
      <c r="AN93" s="336">
        <v>1540</v>
      </c>
      <c r="AO93" s="334">
        <v>1300.693</v>
      </c>
      <c r="AP93" s="336">
        <v>1530</v>
      </c>
      <c r="AQ93" s="334">
        <v>1298.8340000000001</v>
      </c>
      <c r="AR93" s="336">
        <v>1540</v>
      </c>
      <c r="AS93" s="334">
        <v>1298.761</v>
      </c>
      <c r="AT93" s="336">
        <v>1540</v>
      </c>
      <c r="AU93" s="334">
        <v>1297.51</v>
      </c>
      <c r="AV93" s="336">
        <v>1540</v>
      </c>
      <c r="AW93" s="334">
        <v>1296.6980000000001</v>
      </c>
      <c r="AX93" s="336">
        <v>1530</v>
      </c>
      <c r="AY93" s="334">
        <v>1221.1990000000001</v>
      </c>
      <c r="AZ93" s="336">
        <v>1540</v>
      </c>
      <c r="BA93" s="337">
        <v>1222.0989999999999</v>
      </c>
      <c r="BB93" s="336">
        <v>1520</v>
      </c>
      <c r="BC93" s="334">
        <v>355.74700000000001</v>
      </c>
      <c r="BD93" s="336">
        <v>1520</v>
      </c>
      <c r="BE93" s="334">
        <v>371.017</v>
      </c>
    </row>
    <row r="94" spans="3:57">
      <c r="C94" s="379">
        <v>47</v>
      </c>
      <c r="D94" s="673">
        <v>1.000891</v>
      </c>
      <c r="E94" s="673"/>
      <c r="V94" s="346">
        <v>1550</v>
      </c>
      <c r="W94" s="333">
        <v>740.89300000000003</v>
      </c>
      <c r="X94" s="346">
        <v>1560</v>
      </c>
      <c r="Y94" s="334">
        <v>735.29</v>
      </c>
      <c r="Z94" s="335">
        <v>1550</v>
      </c>
      <c r="AA94" s="334">
        <v>1534.309</v>
      </c>
      <c r="AB94" s="336">
        <v>1550</v>
      </c>
      <c r="AC94" s="334">
        <v>1532.3910000000001</v>
      </c>
      <c r="AD94" s="336">
        <v>1550</v>
      </c>
      <c r="AE94" s="334">
        <v>1298.8389999999999</v>
      </c>
      <c r="AF94" s="336">
        <v>1550</v>
      </c>
      <c r="AG94" s="334">
        <v>1298.57</v>
      </c>
      <c r="AH94" s="336">
        <v>1550</v>
      </c>
      <c r="AI94" s="334">
        <v>1298.5740000000001</v>
      </c>
      <c r="AJ94" s="336">
        <v>1530</v>
      </c>
      <c r="AK94" s="334">
        <v>1299.623</v>
      </c>
      <c r="AL94" s="336">
        <v>1550</v>
      </c>
      <c r="AM94" s="334">
        <v>1299.2139999999999</v>
      </c>
      <c r="AN94" s="336">
        <v>1550</v>
      </c>
      <c r="AO94" s="334">
        <v>1299.5429999999999</v>
      </c>
      <c r="AP94" s="336">
        <v>1540</v>
      </c>
      <c r="AQ94" s="334">
        <v>1297.6859999999999</v>
      </c>
      <c r="AR94" s="336">
        <v>1550</v>
      </c>
      <c r="AS94" s="334">
        <v>1297.6130000000001</v>
      </c>
      <c r="AT94" s="336">
        <v>1550</v>
      </c>
      <c r="AU94" s="334">
        <v>1296.3599999999999</v>
      </c>
      <c r="AV94" s="336">
        <v>1550</v>
      </c>
      <c r="AW94" s="334">
        <v>1295.5509999999999</v>
      </c>
      <c r="AX94" s="336">
        <v>1540</v>
      </c>
      <c r="AY94" s="334">
        <v>1220.05</v>
      </c>
      <c r="AZ94" s="336">
        <v>1550</v>
      </c>
      <c r="BA94" s="337">
        <v>1220.951</v>
      </c>
      <c r="BB94" s="336">
        <v>1530</v>
      </c>
      <c r="BC94" s="334">
        <v>355.37299999999999</v>
      </c>
      <c r="BD94" s="336">
        <v>1530</v>
      </c>
      <c r="BE94" s="334">
        <v>370.63</v>
      </c>
    </row>
    <row r="95" spans="3:57">
      <c r="C95" s="379">
        <v>48</v>
      </c>
      <c r="D95" s="673">
        <v>1.0009239999999999</v>
      </c>
      <c r="E95" s="673"/>
      <c r="V95" s="346">
        <v>1560</v>
      </c>
      <c r="W95" s="333">
        <v>740.13699999999994</v>
      </c>
      <c r="X95" s="346">
        <v>1570</v>
      </c>
      <c r="Y95" s="334">
        <v>734.54200000000003</v>
      </c>
      <c r="Z95" s="335">
        <v>1560</v>
      </c>
      <c r="AA95" s="334">
        <v>1532.877</v>
      </c>
      <c r="AB95" s="336">
        <v>1560</v>
      </c>
      <c r="AC95" s="334">
        <v>1530.963</v>
      </c>
      <c r="AD95" s="336">
        <v>1560</v>
      </c>
      <c r="AE95" s="334">
        <v>1297.6859999999999</v>
      </c>
      <c r="AF95" s="336">
        <v>1560</v>
      </c>
      <c r="AG95" s="334">
        <v>1297.4179999999999</v>
      </c>
      <c r="AH95" s="336">
        <v>1560</v>
      </c>
      <c r="AI95" s="334">
        <v>1297.422</v>
      </c>
      <c r="AJ95" s="336">
        <v>1540</v>
      </c>
      <c r="AK95" s="334">
        <v>1298.471</v>
      </c>
      <c r="AL95" s="336">
        <v>1560</v>
      </c>
      <c r="AM95" s="334">
        <v>1298.0619999999999</v>
      </c>
      <c r="AN95" s="336">
        <v>1560</v>
      </c>
      <c r="AO95" s="334">
        <v>1298.3920000000001</v>
      </c>
      <c r="AP95" s="336">
        <v>1550</v>
      </c>
      <c r="AQ95" s="334">
        <v>1296.538</v>
      </c>
      <c r="AR95" s="336">
        <v>1560</v>
      </c>
      <c r="AS95" s="334">
        <v>1296.4639999999999</v>
      </c>
      <c r="AT95" s="336">
        <v>1560</v>
      </c>
      <c r="AU95" s="334">
        <v>1295.21</v>
      </c>
      <c r="AV95" s="336">
        <v>1560</v>
      </c>
      <c r="AW95" s="334">
        <v>1294.404</v>
      </c>
      <c r="AX95" s="336">
        <v>1550</v>
      </c>
      <c r="AY95" s="334">
        <v>1218.9010000000001</v>
      </c>
      <c r="AZ95" s="336">
        <v>1560</v>
      </c>
      <c r="BA95" s="337">
        <v>1219.8040000000001</v>
      </c>
      <c r="BB95" s="336">
        <v>1540</v>
      </c>
      <c r="BC95" s="334">
        <v>355</v>
      </c>
      <c r="BD95" s="336">
        <v>1540</v>
      </c>
      <c r="BE95" s="334">
        <v>370.24299999999999</v>
      </c>
    </row>
    <row r="96" spans="3:57">
      <c r="C96" s="379">
        <v>49</v>
      </c>
      <c r="D96" s="673">
        <v>1.0009570000000001</v>
      </c>
      <c r="E96" s="673"/>
      <c r="V96" s="346">
        <v>1570</v>
      </c>
      <c r="W96" s="333">
        <v>739.38099999999997</v>
      </c>
      <c r="X96" s="346">
        <v>1580</v>
      </c>
      <c r="Y96" s="334">
        <v>733.79399999999998</v>
      </c>
      <c r="Z96" s="335">
        <v>1570</v>
      </c>
      <c r="AA96" s="334">
        <v>1531.444</v>
      </c>
      <c r="AB96" s="336">
        <v>1570</v>
      </c>
      <c r="AC96" s="334">
        <v>1529.5350000000001</v>
      </c>
      <c r="AD96" s="336">
        <v>1570</v>
      </c>
      <c r="AE96" s="334">
        <v>1296.5329999999999</v>
      </c>
      <c r="AF96" s="336">
        <v>1570</v>
      </c>
      <c r="AG96" s="334">
        <v>1296.2660000000001</v>
      </c>
      <c r="AH96" s="336">
        <v>1570</v>
      </c>
      <c r="AI96" s="334">
        <v>1296.269</v>
      </c>
      <c r="AJ96" s="336">
        <v>1550</v>
      </c>
      <c r="AK96" s="334">
        <v>1297.319</v>
      </c>
      <c r="AL96" s="336">
        <v>1570</v>
      </c>
      <c r="AM96" s="334">
        <v>1296.9100000000001</v>
      </c>
      <c r="AN96" s="336">
        <v>1570</v>
      </c>
      <c r="AO96" s="334">
        <v>1297.241</v>
      </c>
      <c r="AP96" s="336">
        <v>1560</v>
      </c>
      <c r="AQ96" s="334">
        <v>1295.3889999999999</v>
      </c>
      <c r="AR96" s="336">
        <v>1570</v>
      </c>
      <c r="AS96" s="334">
        <v>1295.3150000000001</v>
      </c>
      <c r="AT96" s="336">
        <v>1570</v>
      </c>
      <c r="AU96" s="334">
        <v>1294.06</v>
      </c>
      <c r="AV96" s="336">
        <v>1570</v>
      </c>
      <c r="AW96" s="334">
        <v>1293.2570000000001</v>
      </c>
      <c r="AX96" s="336">
        <v>1560</v>
      </c>
      <c r="AY96" s="334">
        <v>1217.751</v>
      </c>
      <c r="AZ96" s="336">
        <v>1570</v>
      </c>
      <c r="BA96" s="337">
        <v>1218.6559999999999</v>
      </c>
      <c r="BB96" s="336">
        <v>1550</v>
      </c>
      <c r="BC96" s="334">
        <v>354.62700000000001</v>
      </c>
      <c r="BD96" s="336">
        <v>1550</v>
      </c>
      <c r="BE96" s="334">
        <v>369.85599999999999</v>
      </c>
    </row>
    <row r="97" spans="3:57">
      <c r="C97" s="379">
        <v>50</v>
      </c>
      <c r="D97" s="673">
        <v>1.00099</v>
      </c>
      <c r="E97" s="673"/>
      <c r="V97" s="346">
        <v>1580</v>
      </c>
      <c r="W97" s="333">
        <v>738.625</v>
      </c>
      <c r="X97" s="346">
        <v>1590</v>
      </c>
      <c r="Y97" s="334">
        <v>733.04499999999996</v>
      </c>
      <c r="Z97" s="335">
        <v>1580</v>
      </c>
      <c r="AA97" s="334">
        <v>1530.011</v>
      </c>
      <c r="AB97" s="336">
        <v>1580</v>
      </c>
      <c r="AC97" s="334">
        <v>1528.106</v>
      </c>
      <c r="AD97" s="336">
        <v>1580</v>
      </c>
      <c r="AE97" s="334">
        <v>1295.3800000000001</v>
      </c>
      <c r="AF97" s="336">
        <v>1580</v>
      </c>
      <c r="AG97" s="334">
        <v>1295.114</v>
      </c>
      <c r="AH97" s="336">
        <v>1580</v>
      </c>
      <c r="AI97" s="334">
        <v>1295.116</v>
      </c>
      <c r="AJ97" s="336">
        <v>1560</v>
      </c>
      <c r="AK97" s="334">
        <v>1296.1669999999999</v>
      </c>
      <c r="AL97" s="336">
        <v>1580</v>
      </c>
      <c r="AM97" s="334">
        <v>1295.758</v>
      </c>
      <c r="AN97" s="336">
        <v>1580</v>
      </c>
      <c r="AO97" s="334">
        <v>1296.0899999999999</v>
      </c>
      <c r="AP97" s="336">
        <v>1570</v>
      </c>
      <c r="AQ97" s="334">
        <v>1294.24</v>
      </c>
      <c r="AR97" s="336">
        <v>1580</v>
      </c>
      <c r="AS97" s="334">
        <v>1294.1659999999999</v>
      </c>
      <c r="AT97" s="336">
        <v>1580</v>
      </c>
      <c r="AU97" s="334">
        <v>1292.9090000000001</v>
      </c>
      <c r="AV97" s="336">
        <v>1580</v>
      </c>
      <c r="AW97" s="334">
        <v>1292.1089999999999</v>
      </c>
      <c r="AX97" s="336">
        <v>1570</v>
      </c>
      <c r="AY97" s="334">
        <v>1216.6010000000001</v>
      </c>
      <c r="AZ97" s="336">
        <v>1580</v>
      </c>
      <c r="BA97" s="337">
        <v>1217.508</v>
      </c>
      <c r="BB97" s="336">
        <v>1560</v>
      </c>
      <c r="BC97" s="334">
        <v>354.25400000000002</v>
      </c>
      <c r="BD97" s="336">
        <v>1560</v>
      </c>
      <c r="BE97" s="334">
        <v>369.46899999999999</v>
      </c>
    </row>
    <row r="98" spans="3:57">
      <c r="C98" s="379">
        <v>51</v>
      </c>
      <c r="D98" s="673">
        <v>1.001023</v>
      </c>
      <c r="E98" s="673"/>
      <c r="V98" s="346">
        <v>1590</v>
      </c>
      <c r="W98" s="333">
        <v>737.86900000000003</v>
      </c>
      <c r="X98" s="346">
        <v>1600</v>
      </c>
      <c r="Y98" s="334">
        <v>732.29700000000003</v>
      </c>
      <c r="Z98" s="335">
        <v>1590</v>
      </c>
      <c r="AA98" s="334">
        <v>1528.577</v>
      </c>
      <c r="AB98" s="336">
        <v>1590</v>
      </c>
      <c r="AC98" s="334">
        <v>1526.6769999999999</v>
      </c>
      <c r="AD98" s="336">
        <v>1590</v>
      </c>
      <c r="AE98" s="334">
        <v>1294.2260000000001</v>
      </c>
      <c r="AF98" s="336">
        <v>1590</v>
      </c>
      <c r="AG98" s="334">
        <v>1293.961</v>
      </c>
      <c r="AH98" s="336">
        <v>1590</v>
      </c>
      <c r="AI98" s="334">
        <v>1293.963</v>
      </c>
      <c r="AJ98" s="336">
        <v>1570</v>
      </c>
      <c r="AK98" s="334">
        <v>1295.0139999999999</v>
      </c>
      <c r="AL98" s="336">
        <v>1590</v>
      </c>
      <c r="AM98" s="334">
        <v>1294.605</v>
      </c>
      <c r="AN98" s="336">
        <v>1590</v>
      </c>
      <c r="AO98" s="368">
        <v>1294.9380000000001</v>
      </c>
      <c r="AP98" s="336">
        <v>1580</v>
      </c>
      <c r="AQ98" s="334">
        <v>1293.0909999999999</v>
      </c>
      <c r="AR98" s="336">
        <v>1590</v>
      </c>
      <c r="AS98" s="334">
        <v>1293.0170000000001</v>
      </c>
      <c r="AT98" s="336">
        <v>1590</v>
      </c>
      <c r="AU98" s="334">
        <v>1291.759</v>
      </c>
      <c r="AV98" s="336">
        <v>1590</v>
      </c>
      <c r="AW98" s="334">
        <v>1290.961</v>
      </c>
      <c r="AX98" s="336">
        <v>1580</v>
      </c>
      <c r="AY98" s="334">
        <v>1215.451</v>
      </c>
      <c r="AZ98" s="336">
        <v>1590</v>
      </c>
      <c r="BA98" s="337">
        <v>1216.3589999999999</v>
      </c>
      <c r="BB98" s="336">
        <v>1570</v>
      </c>
      <c r="BC98" s="334">
        <v>353.88</v>
      </c>
      <c r="BD98" s="336">
        <v>1570</v>
      </c>
      <c r="BE98" s="334">
        <v>369.08100000000002</v>
      </c>
    </row>
    <row r="99" spans="3:57">
      <c r="C99" s="379">
        <v>52</v>
      </c>
      <c r="D99" s="673">
        <v>1.0010559999999999</v>
      </c>
      <c r="E99" s="673"/>
      <c r="V99" s="346">
        <v>1600</v>
      </c>
      <c r="W99" s="333">
        <v>737.11199999999997</v>
      </c>
      <c r="X99" s="346">
        <v>1610</v>
      </c>
      <c r="Y99" s="334">
        <v>731.548</v>
      </c>
      <c r="Z99" s="335">
        <v>1600</v>
      </c>
      <c r="AA99" s="334">
        <v>1527.143</v>
      </c>
      <c r="AB99" s="336">
        <v>1600</v>
      </c>
      <c r="AC99" s="334">
        <v>1525.248</v>
      </c>
      <c r="AD99" s="336">
        <v>1600</v>
      </c>
      <c r="AE99" s="334">
        <v>1293.0719999999999</v>
      </c>
      <c r="AF99" s="336">
        <v>1600</v>
      </c>
      <c r="AG99" s="334">
        <v>1292.808</v>
      </c>
      <c r="AH99" s="336">
        <v>1600</v>
      </c>
      <c r="AI99" s="334">
        <v>1292.81</v>
      </c>
      <c r="AJ99" s="336">
        <v>1580</v>
      </c>
      <c r="AK99" s="334">
        <v>1293.8620000000001</v>
      </c>
      <c r="AL99" s="336">
        <v>1600</v>
      </c>
      <c r="AM99" s="334">
        <v>1293.453</v>
      </c>
      <c r="AN99" s="336">
        <v>1600</v>
      </c>
      <c r="AO99" s="368">
        <v>1293.787</v>
      </c>
      <c r="AP99" s="336">
        <v>1590</v>
      </c>
      <c r="AQ99" s="334">
        <v>1291.942</v>
      </c>
      <c r="AR99" s="336">
        <v>1600</v>
      </c>
      <c r="AS99" s="334">
        <v>1291.867</v>
      </c>
      <c r="AT99" s="336">
        <v>1600</v>
      </c>
      <c r="AU99" s="334">
        <v>1290.6079999999999</v>
      </c>
      <c r="AV99" s="336">
        <v>1600</v>
      </c>
      <c r="AW99" s="334">
        <v>1289.8130000000001</v>
      </c>
      <c r="AX99" s="336">
        <v>1590</v>
      </c>
      <c r="AY99" s="334">
        <v>1214.3</v>
      </c>
      <c r="AZ99" s="336">
        <v>1600</v>
      </c>
      <c r="BA99" s="337">
        <v>1215.211</v>
      </c>
      <c r="BB99" s="336">
        <v>1580</v>
      </c>
      <c r="BC99" s="334">
        <v>353.50700000000001</v>
      </c>
      <c r="BD99" s="336">
        <v>1580</v>
      </c>
      <c r="BE99" s="334">
        <v>368.69400000000002</v>
      </c>
    </row>
    <row r="100" spans="3:57">
      <c r="C100" s="379">
        <v>53</v>
      </c>
      <c r="D100" s="673">
        <v>1.0010889999999999</v>
      </c>
      <c r="E100" s="673"/>
      <c r="V100" s="346">
        <v>1610</v>
      </c>
      <c r="W100" s="333">
        <v>736.35599999999999</v>
      </c>
      <c r="X100" s="346">
        <v>1620</v>
      </c>
      <c r="Y100" s="334">
        <v>730.79899999999998</v>
      </c>
      <c r="Z100" s="335">
        <v>1610</v>
      </c>
      <c r="AA100" s="334">
        <v>1525.7090000000001</v>
      </c>
      <c r="AB100" s="336">
        <v>1610</v>
      </c>
      <c r="AC100" s="334">
        <v>1523.818</v>
      </c>
      <c r="AD100" s="336">
        <v>1610</v>
      </c>
      <c r="AE100" s="334">
        <v>1291.9179999999999</v>
      </c>
      <c r="AF100" s="336">
        <v>1610</v>
      </c>
      <c r="AG100" s="334">
        <v>1291.655</v>
      </c>
      <c r="AH100" s="336">
        <v>1610</v>
      </c>
      <c r="AI100" s="334">
        <v>1291.6569999999999</v>
      </c>
      <c r="AJ100" s="336">
        <v>1590</v>
      </c>
      <c r="AK100" s="334">
        <v>1292.7090000000001</v>
      </c>
      <c r="AL100" s="336">
        <v>1610</v>
      </c>
      <c r="AM100" s="334">
        <v>1292.3</v>
      </c>
      <c r="AN100" s="336">
        <v>1610</v>
      </c>
      <c r="AO100" s="334">
        <v>1292.635</v>
      </c>
      <c r="AP100" s="336">
        <v>1600</v>
      </c>
      <c r="AQ100" s="334">
        <v>1290.7919999999999</v>
      </c>
      <c r="AR100" s="336">
        <v>1610</v>
      </c>
      <c r="AS100" s="334">
        <v>1290.7170000000001</v>
      </c>
      <c r="AT100" s="336">
        <v>1610</v>
      </c>
      <c r="AU100" s="334">
        <v>1289.4559999999999</v>
      </c>
      <c r="AV100" s="336">
        <v>1610</v>
      </c>
      <c r="AW100" s="334">
        <v>1288.664</v>
      </c>
      <c r="AX100" s="336">
        <v>1600</v>
      </c>
      <c r="AY100" s="334">
        <v>1213.1489999999999</v>
      </c>
      <c r="AZ100" s="336">
        <v>1610</v>
      </c>
      <c r="BA100" s="337">
        <v>1214.0619999999999</v>
      </c>
      <c r="BB100" s="336">
        <v>1590</v>
      </c>
      <c r="BC100" s="334">
        <v>353.13299999999998</v>
      </c>
      <c r="BD100" s="336">
        <v>1590</v>
      </c>
      <c r="BE100" s="334">
        <v>368.30599999999998</v>
      </c>
    </row>
    <row r="101" spans="3:57">
      <c r="C101" s="379">
        <v>54</v>
      </c>
      <c r="D101" s="673">
        <v>1.0011220000000001</v>
      </c>
      <c r="E101" s="673"/>
      <c r="V101" s="346">
        <v>1620</v>
      </c>
      <c r="W101" s="333">
        <v>735.59900000000005</v>
      </c>
      <c r="X101" s="346">
        <v>1630</v>
      </c>
      <c r="Y101" s="334">
        <v>730.04899999999998</v>
      </c>
      <c r="Z101" s="335">
        <v>1620</v>
      </c>
      <c r="AA101" s="334">
        <v>1524.2750000000001</v>
      </c>
      <c r="AB101" s="336">
        <v>1620</v>
      </c>
      <c r="AC101" s="334">
        <v>1522.3889999999999</v>
      </c>
      <c r="AD101" s="336">
        <v>1620</v>
      </c>
      <c r="AE101" s="334">
        <v>1290.7639999999999</v>
      </c>
      <c r="AF101" s="336">
        <v>1620</v>
      </c>
      <c r="AG101" s="334">
        <v>1290.502</v>
      </c>
      <c r="AH101" s="336">
        <v>1620</v>
      </c>
      <c r="AI101" s="334">
        <v>1290.5029999999999</v>
      </c>
      <c r="AJ101" s="336">
        <v>1600</v>
      </c>
      <c r="AK101" s="334">
        <v>1291.556</v>
      </c>
      <c r="AL101" s="336">
        <v>1620</v>
      </c>
      <c r="AM101" s="334">
        <v>1291.1469999999999</v>
      </c>
      <c r="AN101" s="336">
        <v>1620</v>
      </c>
      <c r="AO101" s="334">
        <v>1291.482</v>
      </c>
      <c r="AP101" s="336">
        <v>1610</v>
      </c>
      <c r="AQ101" s="334">
        <v>1289.6420000000001</v>
      </c>
      <c r="AR101" s="336">
        <v>1620</v>
      </c>
      <c r="AS101" s="334">
        <v>1289.567</v>
      </c>
      <c r="AT101" s="336">
        <v>1620</v>
      </c>
      <c r="AU101" s="334">
        <v>1288.3050000000001</v>
      </c>
      <c r="AV101" s="336">
        <v>1620</v>
      </c>
      <c r="AW101" s="334">
        <v>1287.5160000000001</v>
      </c>
      <c r="AX101" s="336">
        <v>1610</v>
      </c>
      <c r="AY101" s="334">
        <v>1211.998</v>
      </c>
      <c r="AZ101" s="336">
        <v>1620</v>
      </c>
      <c r="BA101" s="337">
        <v>1212.913</v>
      </c>
      <c r="BB101" s="336">
        <v>1600</v>
      </c>
      <c r="BC101" s="334">
        <v>352.75900000000001</v>
      </c>
      <c r="BD101" s="336">
        <v>1600</v>
      </c>
      <c r="BE101" s="334">
        <v>367.91899999999998</v>
      </c>
    </row>
    <row r="102" spans="3:57">
      <c r="C102" s="379">
        <v>55</v>
      </c>
      <c r="D102" s="673">
        <v>1.001155</v>
      </c>
      <c r="E102" s="673"/>
      <c r="V102" s="346">
        <v>1630</v>
      </c>
      <c r="W102" s="333">
        <v>734.84199999999998</v>
      </c>
      <c r="X102" s="346">
        <v>1640</v>
      </c>
      <c r="Y102" s="334">
        <v>729.3</v>
      </c>
      <c r="Z102" s="335">
        <v>1630</v>
      </c>
      <c r="AA102" s="334">
        <v>1522.84</v>
      </c>
      <c r="AB102" s="336">
        <v>1630</v>
      </c>
      <c r="AC102" s="334">
        <v>1520.9590000000001</v>
      </c>
      <c r="AD102" s="336">
        <v>1630</v>
      </c>
      <c r="AE102" s="334">
        <v>1289.6089999999999</v>
      </c>
      <c r="AF102" s="336">
        <v>1630</v>
      </c>
      <c r="AG102" s="334">
        <v>1289.348</v>
      </c>
      <c r="AH102" s="336">
        <v>1630</v>
      </c>
      <c r="AI102" s="334">
        <v>1289.3489999999999</v>
      </c>
      <c r="AJ102" s="336">
        <v>1610</v>
      </c>
      <c r="AK102" s="334">
        <v>1290.402</v>
      </c>
      <c r="AL102" s="336">
        <v>1630</v>
      </c>
      <c r="AM102" s="334">
        <v>1289.9929999999999</v>
      </c>
      <c r="AN102" s="336">
        <v>1630</v>
      </c>
      <c r="AO102" s="334">
        <v>1290.33</v>
      </c>
      <c r="AP102" s="336">
        <v>1620</v>
      </c>
      <c r="AQ102" s="334">
        <v>1288.492</v>
      </c>
      <c r="AR102" s="336">
        <v>1630</v>
      </c>
      <c r="AS102" s="334">
        <v>1288.4159999999999</v>
      </c>
      <c r="AT102" s="336">
        <v>1630</v>
      </c>
      <c r="AU102" s="334">
        <v>1287.153</v>
      </c>
      <c r="AV102" s="336">
        <v>1630</v>
      </c>
      <c r="AW102" s="334">
        <v>1286.367</v>
      </c>
      <c r="AX102" s="336">
        <v>1620</v>
      </c>
      <c r="AY102" s="334">
        <v>1210.847</v>
      </c>
      <c r="AZ102" s="336">
        <v>1630</v>
      </c>
      <c r="BA102" s="337">
        <v>1211.7629999999999</v>
      </c>
      <c r="BB102" s="336">
        <v>1610</v>
      </c>
      <c r="BC102" s="334">
        <v>352.38600000000002</v>
      </c>
      <c r="BD102" s="336">
        <v>1610</v>
      </c>
      <c r="BE102" s="334">
        <v>367.53100000000001</v>
      </c>
    </row>
    <row r="103" spans="3:57">
      <c r="C103" s="379">
        <v>56</v>
      </c>
      <c r="D103" s="673">
        <v>1.001188</v>
      </c>
      <c r="E103" s="673"/>
      <c r="V103" s="346">
        <v>1640</v>
      </c>
      <c r="W103" s="333">
        <v>734.08500000000004</v>
      </c>
      <c r="X103" s="346">
        <v>1650</v>
      </c>
      <c r="Y103" s="334">
        <v>728.55</v>
      </c>
      <c r="Z103" s="335">
        <v>1640</v>
      </c>
      <c r="AA103" s="334">
        <v>1521.405</v>
      </c>
      <c r="AB103" s="336">
        <v>1640</v>
      </c>
      <c r="AC103" s="334">
        <v>1519.528</v>
      </c>
      <c r="AD103" s="336">
        <v>1640</v>
      </c>
      <c r="AE103" s="334">
        <v>1288.4549999999999</v>
      </c>
      <c r="AF103" s="336">
        <v>1640</v>
      </c>
      <c r="AG103" s="334">
        <v>1288.194</v>
      </c>
      <c r="AH103" s="336">
        <v>1640</v>
      </c>
      <c r="AI103" s="334">
        <v>1288.1949999999999</v>
      </c>
      <c r="AJ103" s="336">
        <v>1620</v>
      </c>
      <c r="AK103" s="334">
        <v>1289.249</v>
      </c>
      <c r="AL103" s="336">
        <v>1640</v>
      </c>
      <c r="AM103" s="334">
        <v>1288.8399999999999</v>
      </c>
      <c r="AN103" s="336">
        <v>1640</v>
      </c>
      <c r="AO103" s="334">
        <v>1289.1769999999999</v>
      </c>
      <c r="AP103" s="336">
        <v>1630</v>
      </c>
      <c r="AQ103" s="334">
        <v>1287.3420000000001</v>
      </c>
      <c r="AR103" s="336">
        <v>1640</v>
      </c>
      <c r="AS103" s="334">
        <v>1287.2660000000001</v>
      </c>
      <c r="AT103" s="336">
        <v>1640</v>
      </c>
      <c r="AU103" s="334">
        <v>1286.001</v>
      </c>
      <c r="AV103" s="336">
        <v>1640</v>
      </c>
      <c r="AW103" s="334">
        <v>1285.2180000000001</v>
      </c>
      <c r="AX103" s="336">
        <v>1630</v>
      </c>
      <c r="AY103" s="334">
        <v>1209.6959999999999</v>
      </c>
      <c r="AZ103" s="336">
        <v>1640</v>
      </c>
      <c r="BA103" s="337">
        <v>1210.614</v>
      </c>
      <c r="BB103" s="336">
        <v>1620</v>
      </c>
      <c r="BC103" s="334">
        <v>352.012</v>
      </c>
      <c r="BD103" s="336">
        <v>1620</v>
      </c>
      <c r="BE103" s="334">
        <v>367.14299999999997</v>
      </c>
    </row>
    <row r="104" spans="3:57">
      <c r="C104" s="379">
        <v>57</v>
      </c>
      <c r="D104" s="673">
        <v>1.0012209999999999</v>
      </c>
      <c r="E104" s="673"/>
      <c r="V104" s="346">
        <v>1650</v>
      </c>
      <c r="W104" s="333">
        <v>733.327</v>
      </c>
      <c r="X104" s="346">
        <v>1660</v>
      </c>
      <c r="Y104" s="334">
        <v>727.8</v>
      </c>
      <c r="Z104" s="335">
        <v>1650</v>
      </c>
      <c r="AA104" s="334">
        <v>1519.97</v>
      </c>
      <c r="AB104" s="336">
        <v>1650</v>
      </c>
      <c r="AC104" s="334">
        <v>1518.097</v>
      </c>
      <c r="AD104" s="336">
        <v>1650</v>
      </c>
      <c r="AE104" s="334">
        <v>1287.3</v>
      </c>
      <c r="AF104" s="336">
        <v>1650</v>
      </c>
      <c r="AG104" s="334">
        <v>1287.04</v>
      </c>
      <c r="AH104" s="336">
        <v>1650</v>
      </c>
      <c r="AI104" s="334">
        <v>1287.04</v>
      </c>
      <c r="AJ104" s="336">
        <v>1630</v>
      </c>
      <c r="AK104" s="334">
        <v>1288.095</v>
      </c>
      <c r="AL104" s="336">
        <v>1650</v>
      </c>
      <c r="AM104" s="334">
        <v>1287.6859999999999</v>
      </c>
      <c r="AN104" s="336">
        <v>1650</v>
      </c>
      <c r="AO104" s="334">
        <v>1288.0239999999999</v>
      </c>
      <c r="AP104" s="336">
        <v>1640</v>
      </c>
      <c r="AQ104" s="334">
        <v>1286.191</v>
      </c>
      <c r="AR104" s="336">
        <v>1650</v>
      </c>
      <c r="AS104" s="334">
        <v>1286.115</v>
      </c>
      <c r="AT104" s="336">
        <v>1650</v>
      </c>
      <c r="AU104" s="334">
        <v>1284.8489999999999</v>
      </c>
      <c r="AV104" s="336">
        <v>1650</v>
      </c>
      <c r="AW104" s="334">
        <v>1284.068</v>
      </c>
      <c r="AX104" s="336">
        <v>1640</v>
      </c>
      <c r="AY104" s="334">
        <v>1208.5440000000001</v>
      </c>
      <c r="AZ104" s="336">
        <v>1650</v>
      </c>
      <c r="BA104" s="337">
        <v>1209.4639999999999</v>
      </c>
      <c r="BB104" s="336">
        <v>1630</v>
      </c>
      <c r="BC104" s="334">
        <v>351.63799999999998</v>
      </c>
      <c r="BD104" s="336">
        <v>1630</v>
      </c>
      <c r="BE104" s="334">
        <v>366.75599999999997</v>
      </c>
    </row>
    <row r="105" spans="3:57">
      <c r="C105" s="379">
        <v>58</v>
      </c>
      <c r="D105" s="673">
        <v>1.001255</v>
      </c>
      <c r="E105" s="673"/>
      <c r="V105" s="346">
        <v>1660</v>
      </c>
      <c r="W105" s="333">
        <v>732.57</v>
      </c>
      <c r="X105" s="346">
        <v>1670</v>
      </c>
      <c r="Y105" s="334">
        <v>727.05</v>
      </c>
      <c r="Z105" s="335">
        <v>1660</v>
      </c>
      <c r="AA105" s="334">
        <v>1518.5340000000001</v>
      </c>
      <c r="AB105" s="336">
        <v>1660</v>
      </c>
      <c r="AC105" s="334">
        <v>1516.6669999999999</v>
      </c>
      <c r="AD105" s="336">
        <v>1660</v>
      </c>
      <c r="AE105" s="334">
        <v>1286.145</v>
      </c>
      <c r="AF105" s="336">
        <v>1660</v>
      </c>
      <c r="AG105" s="334">
        <v>1285.886</v>
      </c>
      <c r="AH105" s="336">
        <v>1660</v>
      </c>
      <c r="AI105" s="334">
        <v>1285.886</v>
      </c>
      <c r="AJ105" s="336">
        <v>1640</v>
      </c>
      <c r="AK105" s="334">
        <v>1286.941</v>
      </c>
      <c r="AL105" s="336">
        <v>1660</v>
      </c>
      <c r="AM105" s="334">
        <v>1286.5319999999999</v>
      </c>
      <c r="AN105" s="336">
        <v>1660</v>
      </c>
      <c r="AO105" s="334">
        <v>1286.8710000000001</v>
      </c>
      <c r="AP105" s="336">
        <v>1650</v>
      </c>
      <c r="AQ105" s="334">
        <v>1285.04</v>
      </c>
      <c r="AR105" s="336">
        <v>1660</v>
      </c>
      <c r="AS105" s="334">
        <v>1284.9639999999999</v>
      </c>
      <c r="AT105" s="336">
        <v>1660</v>
      </c>
      <c r="AU105" s="334">
        <v>1283.6969999999999</v>
      </c>
      <c r="AV105" s="336">
        <v>1660</v>
      </c>
      <c r="AW105" s="334">
        <v>1282.9190000000001</v>
      </c>
      <c r="AX105" s="336">
        <v>1650</v>
      </c>
      <c r="AY105" s="334">
        <v>1207.3920000000001</v>
      </c>
      <c r="AZ105" s="336">
        <v>1660</v>
      </c>
      <c r="BA105" s="337">
        <v>1208.3140000000001</v>
      </c>
      <c r="BB105" s="336">
        <v>1640</v>
      </c>
      <c r="BC105" s="334">
        <v>351.26400000000001</v>
      </c>
      <c r="BD105" s="336">
        <v>1640</v>
      </c>
      <c r="BE105" s="334">
        <v>366.36799999999999</v>
      </c>
    </row>
    <row r="106" spans="3:57">
      <c r="C106" s="379">
        <v>59</v>
      </c>
      <c r="D106" s="673">
        <v>1.001288</v>
      </c>
      <c r="E106" s="673"/>
      <c r="V106" s="346">
        <v>1670</v>
      </c>
      <c r="W106" s="333">
        <v>731.81200000000001</v>
      </c>
      <c r="X106" s="346">
        <v>1680</v>
      </c>
      <c r="Y106" s="334">
        <v>726.29899999999998</v>
      </c>
      <c r="Z106" s="335">
        <v>1670</v>
      </c>
      <c r="AA106" s="334">
        <v>1517.098</v>
      </c>
      <c r="AB106" s="336">
        <v>1670</v>
      </c>
      <c r="AC106" s="334">
        <v>1515.2349999999999</v>
      </c>
      <c r="AD106" s="336">
        <v>1670</v>
      </c>
      <c r="AE106" s="334">
        <v>1284.989</v>
      </c>
      <c r="AF106" s="336">
        <v>1670</v>
      </c>
      <c r="AG106" s="334">
        <v>1284.731</v>
      </c>
      <c r="AH106" s="336">
        <v>1670</v>
      </c>
      <c r="AI106" s="334">
        <v>1284.731</v>
      </c>
      <c r="AJ106" s="336">
        <v>1650</v>
      </c>
      <c r="AK106" s="334">
        <v>1285.7860000000001</v>
      </c>
      <c r="AL106" s="336">
        <v>1670</v>
      </c>
      <c r="AM106" s="334">
        <v>1285.377</v>
      </c>
      <c r="AN106" s="336">
        <v>1670</v>
      </c>
      <c r="AO106" s="334">
        <v>1285.7180000000001</v>
      </c>
      <c r="AP106" s="336">
        <v>1660</v>
      </c>
      <c r="AQ106" s="334">
        <v>1283.8889999999999</v>
      </c>
      <c r="AR106" s="336">
        <v>1670</v>
      </c>
      <c r="AS106" s="334">
        <v>1283.8119999999999</v>
      </c>
      <c r="AT106" s="336">
        <v>1670</v>
      </c>
      <c r="AU106" s="334">
        <v>1282.5440000000001</v>
      </c>
      <c r="AV106" s="336">
        <v>1670</v>
      </c>
      <c r="AW106" s="334">
        <v>1281.769</v>
      </c>
      <c r="AX106" s="336">
        <v>1660</v>
      </c>
      <c r="AY106" s="334">
        <v>1206.24</v>
      </c>
      <c r="AZ106" s="336">
        <v>1670</v>
      </c>
      <c r="BA106" s="337">
        <v>1207.163</v>
      </c>
      <c r="BB106" s="336">
        <v>1650</v>
      </c>
      <c r="BC106" s="334">
        <v>350.88900000000001</v>
      </c>
      <c r="BD106" s="336">
        <v>1650</v>
      </c>
      <c r="BE106" s="334">
        <v>365.98</v>
      </c>
    </row>
    <row r="107" spans="3:57">
      <c r="C107" s="379">
        <v>60</v>
      </c>
      <c r="D107" s="673">
        <v>1.0013209999999999</v>
      </c>
      <c r="E107" s="673"/>
      <c r="V107" s="346">
        <v>1680</v>
      </c>
      <c r="W107" s="333">
        <v>731.05399999999997</v>
      </c>
      <c r="X107" s="346">
        <v>1690</v>
      </c>
      <c r="Y107" s="334">
        <v>725.54899999999998</v>
      </c>
      <c r="Z107" s="335">
        <v>1680</v>
      </c>
      <c r="AA107" s="334">
        <v>1515.662</v>
      </c>
      <c r="AB107" s="336">
        <v>1680</v>
      </c>
      <c r="AC107" s="334">
        <v>1513.8040000000001</v>
      </c>
      <c r="AD107" s="336">
        <v>1680</v>
      </c>
      <c r="AE107" s="334">
        <v>1283.8330000000001</v>
      </c>
      <c r="AF107" s="336">
        <v>1680</v>
      </c>
      <c r="AG107" s="334">
        <v>1283.577</v>
      </c>
      <c r="AH107" s="336">
        <v>1680</v>
      </c>
      <c r="AI107" s="334">
        <v>1283.575</v>
      </c>
      <c r="AJ107" s="336">
        <v>1660</v>
      </c>
      <c r="AK107" s="334">
        <v>1284.6320000000001</v>
      </c>
      <c r="AL107" s="336">
        <v>1680</v>
      </c>
      <c r="AM107" s="334">
        <v>1284.223</v>
      </c>
      <c r="AN107" s="336">
        <v>1680</v>
      </c>
      <c r="AO107" s="334">
        <v>1284.5640000000001</v>
      </c>
      <c r="AP107" s="336">
        <v>1670</v>
      </c>
      <c r="AQ107" s="334">
        <v>1282.7380000000001</v>
      </c>
      <c r="AR107" s="336">
        <v>1680</v>
      </c>
      <c r="AS107" s="334">
        <v>1282.6610000000001</v>
      </c>
      <c r="AT107" s="336">
        <v>1680</v>
      </c>
      <c r="AU107" s="334">
        <v>1281.3910000000001</v>
      </c>
      <c r="AV107" s="336">
        <v>1680</v>
      </c>
      <c r="AW107" s="334">
        <v>1280.6189999999999</v>
      </c>
      <c r="AX107" s="336">
        <v>1670</v>
      </c>
      <c r="AY107" s="334">
        <v>1205.088</v>
      </c>
      <c r="AZ107" s="336">
        <v>1680</v>
      </c>
      <c r="BA107" s="337">
        <v>1206.0129999999999</v>
      </c>
      <c r="BB107" s="336">
        <v>1660</v>
      </c>
      <c r="BC107" s="334">
        <v>350.51499999999999</v>
      </c>
      <c r="BD107" s="336">
        <v>1660</v>
      </c>
      <c r="BE107" s="334">
        <v>365.59100000000001</v>
      </c>
    </row>
    <row r="108" spans="3:57">
      <c r="C108" s="379">
        <v>61</v>
      </c>
      <c r="D108" s="673">
        <v>1.0013540000000001</v>
      </c>
      <c r="E108" s="673"/>
      <c r="V108" s="346">
        <v>1690</v>
      </c>
      <c r="W108" s="333">
        <v>730.29499999999996</v>
      </c>
      <c r="X108" s="346">
        <v>1700</v>
      </c>
      <c r="Y108" s="334">
        <v>724.798</v>
      </c>
      <c r="Z108" s="335">
        <v>1690</v>
      </c>
      <c r="AA108" s="334">
        <v>1514.2249999999999</v>
      </c>
      <c r="AB108" s="336">
        <v>1690</v>
      </c>
      <c r="AC108" s="334">
        <v>1512.3720000000001</v>
      </c>
      <c r="AD108" s="336">
        <v>1690</v>
      </c>
      <c r="AE108" s="334">
        <v>1282.6769999999999</v>
      </c>
      <c r="AF108" s="336">
        <v>1690</v>
      </c>
      <c r="AG108" s="334">
        <v>1282.422</v>
      </c>
      <c r="AH108" s="336">
        <v>1690</v>
      </c>
      <c r="AI108" s="334">
        <v>1282.42</v>
      </c>
      <c r="AJ108" s="336">
        <v>1670</v>
      </c>
      <c r="AK108" s="334">
        <v>1283.4770000000001</v>
      </c>
      <c r="AL108" s="336">
        <v>1690</v>
      </c>
      <c r="AM108" s="334">
        <v>1283.068</v>
      </c>
      <c r="AN108" s="336">
        <v>1690</v>
      </c>
      <c r="AO108" s="334">
        <v>1283.4100000000001</v>
      </c>
      <c r="AP108" s="336">
        <v>1680</v>
      </c>
      <c r="AQ108" s="334">
        <v>1281.586</v>
      </c>
      <c r="AR108" s="336">
        <v>1690</v>
      </c>
      <c r="AS108" s="334">
        <v>1281.509</v>
      </c>
      <c r="AT108" s="336">
        <v>1690</v>
      </c>
      <c r="AU108" s="334">
        <v>1280.2380000000001</v>
      </c>
      <c r="AV108" s="336">
        <v>1690</v>
      </c>
      <c r="AW108" s="334">
        <v>1279.4680000000001</v>
      </c>
      <c r="AX108" s="336">
        <v>1680</v>
      </c>
      <c r="AY108" s="334">
        <v>1203.9349999999999</v>
      </c>
      <c r="AZ108" s="336">
        <v>1690</v>
      </c>
      <c r="BA108" s="337">
        <v>1204.8620000000001</v>
      </c>
      <c r="BB108" s="336">
        <v>1670</v>
      </c>
      <c r="BC108" s="334">
        <v>350.14100000000002</v>
      </c>
      <c r="BD108" s="336">
        <v>1670</v>
      </c>
      <c r="BE108" s="334">
        <v>365.20299999999997</v>
      </c>
    </row>
    <row r="109" spans="3:57">
      <c r="C109" s="379">
        <v>62</v>
      </c>
      <c r="D109" s="673">
        <v>1.001387</v>
      </c>
      <c r="E109" s="673"/>
      <c r="V109" s="346">
        <v>1700</v>
      </c>
      <c r="W109" s="333">
        <v>729.53700000000003</v>
      </c>
      <c r="X109" s="346">
        <v>1710</v>
      </c>
      <c r="Y109" s="334">
        <v>724.04700000000003</v>
      </c>
      <c r="Z109" s="335">
        <v>1700</v>
      </c>
      <c r="AA109" s="334">
        <v>1512.789</v>
      </c>
      <c r="AB109" s="336">
        <v>1700</v>
      </c>
      <c r="AC109" s="334">
        <v>1510.94</v>
      </c>
      <c r="AD109" s="336">
        <v>1700</v>
      </c>
      <c r="AE109" s="334">
        <v>1281.521</v>
      </c>
      <c r="AF109" s="336">
        <v>1700</v>
      </c>
      <c r="AG109" s="334">
        <v>1281.2660000000001</v>
      </c>
      <c r="AH109" s="336">
        <v>1700</v>
      </c>
      <c r="AI109" s="334">
        <v>1281.2639999999999</v>
      </c>
      <c r="AJ109" s="336">
        <v>1680</v>
      </c>
      <c r="AK109" s="334">
        <v>1282.3219999999999</v>
      </c>
      <c r="AL109" s="336">
        <v>1700</v>
      </c>
      <c r="AM109" s="334">
        <v>1281.913</v>
      </c>
      <c r="AN109" s="336">
        <v>1700</v>
      </c>
      <c r="AO109" s="334">
        <v>1282.2560000000001</v>
      </c>
      <c r="AP109" s="336">
        <v>1690</v>
      </c>
      <c r="AQ109" s="334">
        <v>1280.4349999999999</v>
      </c>
      <c r="AR109" s="336">
        <v>1700</v>
      </c>
      <c r="AS109" s="334">
        <v>1280.357</v>
      </c>
      <c r="AT109" s="336">
        <v>1700</v>
      </c>
      <c r="AU109" s="334">
        <v>1279.0840000000001</v>
      </c>
      <c r="AV109" s="336">
        <v>1700</v>
      </c>
      <c r="AW109" s="334">
        <v>1278.318</v>
      </c>
      <c r="AX109" s="336">
        <v>1690</v>
      </c>
      <c r="AY109" s="334">
        <v>1202.7819999999999</v>
      </c>
      <c r="AZ109" s="336">
        <v>1700</v>
      </c>
      <c r="BA109" s="337">
        <v>1203.711</v>
      </c>
      <c r="BB109" s="336">
        <v>1680</v>
      </c>
      <c r="BC109" s="334">
        <v>349.76600000000002</v>
      </c>
      <c r="BD109" s="336">
        <v>1680</v>
      </c>
      <c r="BE109" s="334">
        <v>364.815</v>
      </c>
    </row>
    <row r="110" spans="3:57">
      <c r="C110" s="379">
        <v>63</v>
      </c>
      <c r="D110" s="673">
        <v>1.00142</v>
      </c>
      <c r="E110" s="673"/>
      <c r="V110" s="346">
        <v>1710</v>
      </c>
      <c r="W110" s="333">
        <v>728.77800000000002</v>
      </c>
      <c r="X110" s="346">
        <v>1720</v>
      </c>
      <c r="Y110" s="334">
        <v>723.29499999999996</v>
      </c>
      <c r="Z110" s="335">
        <v>1710</v>
      </c>
      <c r="AA110" s="334">
        <v>1511.3520000000001</v>
      </c>
      <c r="AB110" s="336">
        <v>1710</v>
      </c>
      <c r="AC110" s="334">
        <v>1509.5070000000001</v>
      </c>
      <c r="AD110" s="336">
        <v>1710</v>
      </c>
      <c r="AE110" s="334">
        <v>1280.365</v>
      </c>
      <c r="AF110" s="336">
        <v>1710</v>
      </c>
      <c r="AG110" s="334">
        <v>1280.1110000000001</v>
      </c>
      <c r="AH110" s="336">
        <v>1710</v>
      </c>
      <c r="AI110" s="334">
        <v>1280.1079999999999</v>
      </c>
      <c r="AJ110" s="336">
        <v>1690</v>
      </c>
      <c r="AK110" s="334">
        <v>1281.1659999999999</v>
      </c>
      <c r="AL110" s="336">
        <v>1710</v>
      </c>
      <c r="AM110" s="334">
        <v>1280.7570000000001</v>
      </c>
      <c r="AN110" s="336">
        <v>1710</v>
      </c>
      <c r="AO110" s="334">
        <v>1281.1020000000001</v>
      </c>
      <c r="AP110" s="336">
        <v>1700</v>
      </c>
      <c r="AQ110" s="334">
        <v>1279.2819999999999</v>
      </c>
      <c r="AR110" s="336">
        <v>1710</v>
      </c>
      <c r="AS110" s="334">
        <v>1279.204</v>
      </c>
      <c r="AT110" s="336">
        <v>1710</v>
      </c>
      <c r="AU110" s="334">
        <v>1277.931</v>
      </c>
      <c r="AV110" s="336">
        <v>1710</v>
      </c>
      <c r="AW110" s="334">
        <v>1277.1669999999999</v>
      </c>
      <c r="AX110" s="336">
        <v>1700</v>
      </c>
      <c r="AY110" s="334">
        <v>1201.6289999999999</v>
      </c>
      <c r="AZ110" s="336">
        <v>1710</v>
      </c>
      <c r="BA110" s="337">
        <v>1202.559</v>
      </c>
      <c r="BB110" s="336">
        <v>1690</v>
      </c>
      <c r="BC110" s="334">
        <v>349.392</v>
      </c>
      <c r="BD110" s="336">
        <v>1690</v>
      </c>
      <c r="BE110" s="334">
        <v>364.42599999999999</v>
      </c>
    </row>
    <row r="111" spans="3:57">
      <c r="C111" s="379">
        <v>64</v>
      </c>
      <c r="D111" s="673">
        <v>1.0014529999999999</v>
      </c>
      <c r="E111" s="673"/>
      <c r="V111" s="346">
        <v>1720</v>
      </c>
      <c r="W111" s="333">
        <v>728.01900000000001</v>
      </c>
      <c r="X111" s="346">
        <v>1730</v>
      </c>
      <c r="Y111" s="334">
        <v>722.54399999999998</v>
      </c>
      <c r="Z111" s="335">
        <v>1720</v>
      </c>
      <c r="AA111" s="334">
        <v>1509.914</v>
      </c>
      <c r="AB111" s="336">
        <v>1720</v>
      </c>
      <c r="AC111" s="334">
        <v>1508.0740000000001</v>
      </c>
      <c r="AD111" s="336">
        <v>1720</v>
      </c>
      <c r="AE111" s="334">
        <v>1279.2080000000001</v>
      </c>
      <c r="AF111" s="336">
        <v>1720</v>
      </c>
      <c r="AG111" s="334">
        <v>1278.9549999999999</v>
      </c>
      <c r="AH111" s="336">
        <v>1720</v>
      </c>
      <c r="AI111" s="334">
        <v>1278.952</v>
      </c>
      <c r="AJ111" s="336">
        <v>1700</v>
      </c>
      <c r="AK111" s="334">
        <v>1280.011</v>
      </c>
      <c r="AL111" s="336">
        <v>1720</v>
      </c>
      <c r="AM111" s="334">
        <v>1279.6020000000001</v>
      </c>
      <c r="AN111" s="336">
        <v>1720</v>
      </c>
      <c r="AO111" s="334">
        <v>1279.9469999999999</v>
      </c>
      <c r="AP111" s="336">
        <v>1710</v>
      </c>
      <c r="AQ111" s="334">
        <v>1278.1300000000001</v>
      </c>
      <c r="AR111" s="336">
        <v>1720</v>
      </c>
      <c r="AS111" s="334">
        <v>1278.0519999999999</v>
      </c>
      <c r="AT111" s="336">
        <v>1720</v>
      </c>
      <c r="AU111" s="334">
        <v>1276.777</v>
      </c>
      <c r="AV111" s="336">
        <v>1720</v>
      </c>
      <c r="AW111" s="334">
        <v>1276.0160000000001</v>
      </c>
      <c r="AX111" s="336">
        <v>1710</v>
      </c>
      <c r="AY111" s="334">
        <v>1200.4760000000001</v>
      </c>
      <c r="AZ111" s="336">
        <v>1720</v>
      </c>
      <c r="BA111" s="337">
        <v>1201.4079999999999</v>
      </c>
      <c r="BB111" s="336">
        <v>1700</v>
      </c>
      <c r="BC111" s="334">
        <v>349.017</v>
      </c>
      <c r="BD111" s="336">
        <v>1700</v>
      </c>
      <c r="BE111" s="334">
        <v>364.03800000000001</v>
      </c>
    </row>
    <row r="112" spans="3:57">
      <c r="C112" s="379">
        <v>65</v>
      </c>
      <c r="D112" s="673">
        <v>1.0014860000000001</v>
      </c>
      <c r="E112" s="673"/>
      <c r="V112" s="346">
        <v>1730</v>
      </c>
      <c r="W112" s="333">
        <v>727.26</v>
      </c>
      <c r="X112" s="346">
        <v>1740</v>
      </c>
      <c r="Y112" s="334">
        <v>721.79200000000003</v>
      </c>
      <c r="Z112" s="335">
        <v>1730</v>
      </c>
      <c r="AA112" s="334">
        <v>1508.4770000000001</v>
      </c>
      <c r="AB112" s="336">
        <v>1730</v>
      </c>
      <c r="AC112" s="334">
        <v>1506.6410000000001</v>
      </c>
      <c r="AD112" s="336">
        <v>1730</v>
      </c>
      <c r="AE112" s="334">
        <v>1278.0509999999999</v>
      </c>
      <c r="AF112" s="336">
        <v>1730</v>
      </c>
      <c r="AG112" s="334">
        <v>1277.799</v>
      </c>
      <c r="AH112" s="336">
        <v>1730</v>
      </c>
      <c r="AI112" s="334">
        <v>1277.796</v>
      </c>
      <c r="AJ112" s="336">
        <v>1710</v>
      </c>
      <c r="AK112" s="334">
        <v>1278.855</v>
      </c>
      <c r="AL112" s="336">
        <v>1730</v>
      </c>
      <c r="AM112" s="334">
        <v>1278.4459999999999</v>
      </c>
      <c r="AN112" s="336">
        <v>1730</v>
      </c>
      <c r="AO112" s="334">
        <v>1278.7919999999999</v>
      </c>
      <c r="AP112" s="336">
        <v>1720</v>
      </c>
      <c r="AQ112" s="334">
        <v>1276.9780000000001</v>
      </c>
      <c r="AR112" s="336">
        <v>1730</v>
      </c>
      <c r="AS112" s="334">
        <v>1276.8989999999999</v>
      </c>
      <c r="AT112" s="336">
        <v>1730</v>
      </c>
      <c r="AU112" s="334">
        <v>1275.623</v>
      </c>
      <c r="AV112" s="336">
        <v>1730</v>
      </c>
      <c r="AW112" s="334">
        <v>1274.864</v>
      </c>
      <c r="AX112" s="336">
        <v>1720</v>
      </c>
      <c r="AY112" s="334">
        <v>1199.3219999999999</v>
      </c>
      <c r="AZ112" s="336">
        <v>1730</v>
      </c>
      <c r="BA112" s="337">
        <v>1200.2560000000001</v>
      </c>
      <c r="BB112" s="336">
        <v>1710</v>
      </c>
      <c r="BC112" s="334">
        <v>348.64299999999997</v>
      </c>
      <c r="BD112" s="336">
        <v>1710</v>
      </c>
      <c r="BE112" s="334">
        <v>363.649</v>
      </c>
    </row>
    <row r="113" spans="3:57">
      <c r="C113" s="379">
        <v>66</v>
      </c>
      <c r="D113" s="673">
        <v>1.001519</v>
      </c>
      <c r="E113" s="673"/>
      <c r="V113" s="346">
        <v>1740</v>
      </c>
      <c r="W113" s="333">
        <v>726.50099999999998</v>
      </c>
      <c r="X113" s="346">
        <v>1750</v>
      </c>
      <c r="Y113" s="334">
        <v>721.04</v>
      </c>
      <c r="Z113" s="335">
        <v>1740</v>
      </c>
      <c r="AA113" s="334">
        <v>1507.039</v>
      </c>
      <c r="AB113" s="336">
        <v>1740</v>
      </c>
      <c r="AC113" s="334">
        <v>1505.2080000000001</v>
      </c>
      <c r="AD113" s="336">
        <v>1740</v>
      </c>
      <c r="AE113" s="334">
        <v>1276.894</v>
      </c>
      <c r="AF113" s="336">
        <v>1740</v>
      </c>
      <c r="AG113" s="334">
        <v>1276.643</v>
      </c>
      <c r="AH113" s="336">
        <v>1740</v>
      </c>
      <c r="AI113" s="334">
        <v>1276.6389999999999</v>
      </c>
      <c r="AJ113" s="336">
        <v>1720</v>
      </c>
      <c r="AK113" s="334">
        <v>1277.6990000000001</v>
      </c>
      <c r="AL113" s="336">
        <v>1740</v>
      </c>
      <c r="AM113" s="334">
        <v>1277.29</v>
      </c>
      <c r="AN113" s="336">
        <v>1740</v>
      </c>
      <c r="AO113" s="334">
        <v>1277.6369999999999</v>
      </c>
      <c r="AP113" s="336">
        <v>1730</v>
      </c>
      <c r="AQ113" s="334">
        <v>1275.825</v>
      </c>
      <c r="AR113" s="336">
        <v>1740</v>
      </c>
      <c r="AS113" s="334">
        <v>1275.7460000000001</v>
      </c>
      <c r="AT113" s="336">
        <v>1740</v>
      </c>
      <c r="AU113" s="334">
        <v>1274.4680000000001</v>
      </c>
      <c r="AV113" s="336">
        <v>1740</v>
      </c>
      <c r="AW113" s="334">
        <v>1273.713</v>
      </c>
      <c r="AX113" s="336">
        <v>1730</v>
      </c>
      <c r="AY113" s="334">
        <v>1198.1679999999999</v>
      </c>
      <c r="AZ113" s="336">
        <v>1740</v>
      </c>
      <c r="BA113" s="337">
        <v>1199.104</v>
      </c>
      <c r="BB113" s="336">
        <v>1720</v>
      </c>
      <c r="BC113" s="334">
        <v>348.26799999999997</v>
      </c>
      <c r="BD113" s="336">
        <v>1720</v>
      </c>
      <c r="BE113" s="334">
        <v>363.26100000000002</v>
      </c>
    </row>
    <row r="114" spans="3:57">
      <c r="C114" s="379">
        <v>67</v>
      </c>
      <c r="D114" s="673">
        <v>1.001552</v>
      </c>
      <c r="E114" s="673"/>
      <c r="V114" s="346">
        <v>1750</v>
      </c>
      <c r="W114" s="333">
        <v>725.74199999999996</v>
      </c>
      <c r="X114" s="346">
        <v>1760</v>
      </c>
      <c r="Y114" s="334">
        <v>720.28800000000001</v>
      </c>
      <c r="Z114" s="335">
        <v>1750</v>
      </c>
      <c r="AA114" s="334">
        <v>1505.6010000000001</v>
      </c>
      <c r="AB114" s="336">
        <v>1750</v>
      </c>
      <c r="AC114" s="334">
        <v>1503.7739999999999</v>
      </c>
      <c r="AD114" s="336">
        <v>1750</v>
      </c>
      <c r="AE114" s="334">
        <v>1275.7370000000001</v>
      </c>
      <c r="AF114" s="336">
        <v>1750</v>
      </c>
      <c r="AG114" s="334">
        <v>1275.4860000000001</v>
      </c>
      <c r="AH114" s="336">
        <v>1750</v>
      </c>
      <c r="AI114" s="334">
        <v>1275.482</v>
      </c>
      <c r="AJ114" s="336">
        <v>1730</v>
      </c>
      <c r="AK114" s="334">
        <v>1276.5429999999999</v>
      </c>
      <c r="AL114" s="336">
        <v>1750</v>
      </c>
      <c r="AM114" s="334">
        <v>1276.134</v>
      </c>
      <c r="AN114" s="336">
        <v>1750</v>
      </c>
      <c r="AO114" s="334">
        <v>1276.482</v>
      </c>
      <c r="AP114" s="336">
        <v>1740</v>
      </c>
      <c r="AQ114" s="334">
        <v>1274.672</v>
      </c>
      <c r="AR114" s="336">
        <v>1750</v>
      </c>
      <c r="AS114" s="334">
        <v>1274.5920000000001</v>
      </c>
      <c r="AT114" s="336">
        <v>1750</v>
      </c>
      <c r="AU114" s="334">
        <v>1273.3140000000001</v>
      </c>
      <c r="AV114" s="336">
        <v>1750</v>
      </c>
      <c r="AW114" s="334">
        <v>1272.5609999999999</v>
      </c>
      <c r="AX114" s="336">
        <v>1740</v>
      </c>
      <c r="AY114" s="334">
        <v>1197.0139999999999</v>
      </c>
      <c r="AZ114" s="336">
        <v>1750</v>
      </c>
      <c r="BA114" s="337">
        <v>1197.952</v>
      </c>
      <c r="BB114" s="336">
        <v>1730</v>
      </c>
      <c r="BC114" s="334">
        <v>347.89299999999997</v>
      </c>
      <c r="BD114" s="336">
        <v>1730</v>
      </c>
      <c r="BE114" s="334">
        <v>362.87200000000001</v>
      </c>
    </row>
    <row r="115" spans="3:57">
      <c r="C115" s="379">
        <v>68</v>
      </c>
      <c r="D115" s="673">
        <v>1.0015849999999999</v>
      </c>
      <c r="E115" s="673"/>
      <c r="V115" s="346">
        <v>1760</v>
      </c>
      <c r="W115" s="333">
        <v>724.98199999999997</v>
      </c>
      <c r="X115" s="346">
        <v>1770</v>
      </c>
      <c r="Y115" s="334">
        <v>719.53599999999994</v>
      </c>
      <c r="Z115" s="335">
        <v>1760</v>
      </c>
      <c r="AA115" s="334">
        <v>1504.162</v>
      </c>
      <c r="AB115" s="336">
        <v>1760</v>
      </c>
      <c r="AC115" s="334">
        <v>1502.3409999999999</v>
      </c>
      <c r="AD115" s="336">
        <v>1760</v>
      </c>
      <c r="AE115" s="334">
        <v>1274.579</v>
      </c>
      <c r="AF115" s="336">
        <v>1760</v>
      </c>
      <c r="AG115" s="334">
        <v>1274.329</v>
      </c>
      <c r="AH115" s="336">
        <v>1760</v>
      </c>
      <c r="AI115" s="334">
        <v>1274.325</v>
      </c>
      <c r="AJ115" s="336">
        <v>1740</v>
      </c>
      <c r="AK115" s="334">
        <v>1275.386</v>
      </c>
      <c r="AL115" s="336">
        <v>1760</v>
      </c>
      <c r="AM115" s="334">
        <v>1274.9770000000001</v>
      </c>
      <c r="AN115" s="336">
        <v>1760</v>
      </c>
      <c r="AO115" s="334">
        <v>1275.327</v>
      </c>
      <c r="AP115" s="336">
        <v>1750</v>
      </c>
      <c r="AQ115" s="334">
        <v>1273.519</v>
      </c>
      <c r="AR115" s="336">
        <v>1760</v>
      </c>
      <c r="AS115" s="334">
        <v>1273.4390000000001</v>
      </c>
      <c r="AT115" s="336">
        <v>1760</v>
      </c>
      <c r="AU115" s="334">
        <v>1272.1590000000001</v>
      </c>
      <c r="AV115" s="336">
        <v>1760</v>
      </c>
      <c r="AW115" s="334">
        <v>1271.4090000000001</v>
      </c>
      <c r="AX115" s="336">
        <v>1750</v>
      </c>
      <c r="AY115" s="334">
        <v>1195.8599999999999</v>
      </c>
      <c r="AZ115" s="336">
        <v>1760</v>
      </c>
      <c r="BA115" s="337">
        <v>1196.799</v>
      </c>
      <c r="BB115" s="336">
        <v>1740</v>
      </c>
      <c r="BC115" s="334">
        <v>347.51799999999997</v>
      </c>
      <c r="BD115" s="336">
        <v>1740</v>
      </c>
      <c r="BE115" s="334">
        <v>362.483</v>
      </c>
    </row>
    <row r="116" spans="3:57">
      <c r="C116" s="379">
        <v>69</v>
      </c>
      <c r="D116" s="673">
        <v>1.0016179999999999</v>
      </c>
      <c r="E116" s="673"/>
      <c r="V116" s="346">
        <v>1770</v>
      </c>
      <c r="W116" s="333">
        <v>724.22199999999998</v>
      </c>
      <c r="X116" s="346">
        <v>1780</v>
      </c>
      <c r="Y116" s="334">
        <v>718.78300000000002</v>
      </c>
      <c r="Z116" s="335">
        <v>1770</v>
      </c>
      <c r="AA116" s="334">
        <v>1502.723</v>
      </c>
      <c r="AB116" s="336">
        <v>1770</v>
      </c>
      <c r="AC116" s="334">
        <v>1500.9059999999999</v>
      </c>
      <c r="AD116" s="336">
        <v>1770</v>
      </c>
      <c r="AE116" s="334">
        <v>1273.421</v>
      </c>
      <c r="AF116" s="336">
        <v>1770</v>
      </c>
      <c r="AG116" s="334">
        <v>1273.172</v>
      </c>
      <c r="AH116" s="336">
        <v>1770</v>
      </c>
      <c r="AI116" s="334">
        <v>1273.1679999999999</v>
      </c>
      <c r="AJ116" s="336">
        <v>1750</v>
      </c>
      <c r="AK116" s="334">
        <v>1274.229</v>
      </c>
      <c r="AL116" s="336">
        <v>1770</v>
      </c>
      <c r="AM116" s="334">
        <v>1273.82</v>
      </c>
      <c r="AN116" s="336">
        <v>1770</v>
      </c>
      <c r="AO116" s="334">
        <v>1274.171</v>
      </c>
      <c r="AP116" s="336">
        <v>1760</v>
      </c>
      <c r="AQ116" s="334">
        <v>1272.365</v>
      </c>
      <c r="AR116" s="336">
        <v>1770</v>
      </c>
      <c r="AS116" s="334">
        <v>1272.2850000000001</v>
      </c>
      <c r="AT116" s="336">
        <v>1770</v>
      </c>
      <c r="AU116" s="334">
        <v>1271.0039999999999</v>
      </c>
      <c r="AV116" s="336">
        <v>1770</v>
      </c>
      <c r="AW116" s="334">
        <v>1270.2560000000001</v>
      </c>
      <c r="AX116" s="336">
        <v>1760</v>
      </c>
      <c r="AY116" s="334">
        <v>1194.7049999999999</v>
      </c>
      <c r="AZ116" s="336">
        <v>1770</v>
      </c>
      <c r="BA116" s="337">
        <v>1195.646</v>
      </c>
      <c r="BB116" s="336">
        <v>1750</v>
      </c>
      <c r="BC116" s="334">
        <v>347.14299999999997</v>
      </c>
      <c r="BD116" s="336">
        <v>1750</v>
      </c>
      <c r="BE116" s="334">
        <v>362.09399999999999</v>
      </c>
    </row>
    <row r="117" spans="3:57">
      <c r="C117" s="379">
        <v>70</v>
      </c>
      <c r="D117" s="673">
        <v>1.0016510000000001</v>
      </c>
      <c r="E117" s="673"/>
      <c r="V117" s="346">
        <v>1780</v>
      </c>
      <c r="W117" s="333">
        <v>723.46199999999999</v>
      </c>
      <c r="X117" s="346">
        <v>1790</v>
      </c>
      <c r="Y117" s="334">
        <v>718.03099999999995</v>
      </c>
      <c r="Z117" s="335">
        <v>1780</v>
      </c>
      <c r="AA117" s="334">
        <v>1501.2840000000001</v>
      </c>
      <c r="AB117" s="336">
        <v>1780</v>
      </c>
      <c r="AC117" s="334">
        <v>1499.472</v>
      </c>
      <c r="AD117" s="336">
        <v>1780</v>
      </c>
      <c r="AE117" s="334">
        <v>1272.2629999999999</v>
      </c>
      <c r="AF117" s="336">
        <v>1780</v>
      </c>
      <c r="AG117" s="334">
        <v>1272.0150000000001</v>
      </c>
      <c r="AH117" s="336">
        <v>1780</v>
      </c>
      <c r="AI117" s="334">
        <v>1272.01</v>
      </c>
      <c r="AJ117" s="336">
        <v>1760</v>
      </c>
      <c r="AK117" s="334">
        <v>1273.0719999999999</v>
      </c>
      <c r="AL117" s="336">
        <v>1780</v>
      </c>
      <c r="AM117" s="334">
        <v>1272.664</v>
      </c>
      <c r="AN117" s="336">
        <v>1780</v>
      </c>
      <c r="AO117" s="334">
        <v>1273.0150000000001</v>
      </c>
      <c r="AP117" s="336">
        <v>1770</v>
      </c>
      <c r="AQ117" s="334">
        <v>1271.211</v>
      </c>
      <c r="AR117" s="336">
        <v>1780</v>
      </c>
      <c r="AS117" s="334">
        <v>1271.1310000000001</v>
      </c>
      <c r="AT117" s="336">
        <v>1780</v>
      </c>
      <c r="AU117" s="334">
        <v>1269.848</v>
      </c>
      <c r="AV117" s="336">
        <v>1780</v>
      </c>
      <c r="AW117" s="334">
        <v>1269.104</v>
      </c>
      <c r="AX117" s="336">
        <v>1770</v>
      </c>
      <c r="AY117" s="334">
        <v>1193.5509999999999</v>
      </c>
      <c r="AZ117" s="336">
        <v>1780</v>
      </c>
      <c r="BA117" s="337">
        <v>1194.4929999999999</v>
      </c>
      <c r="BB117" s="336">
        <v>1760</v>
      </c>
      <c r="BC117" s="334">
        <v>346.76799999999997</v>
      </c>
      <c r="BD117" s="336">
        <v>1760</v>
      </c>
      <c r="BE117" s="334">
        <v>361.70499999999998</v>
      </c>
    </row>
    <row r="118" spans="3:57">
      <c r="C118" s="379">
        <v>71</v>
      </c>
      <c r="D118" s="673">
        <v>1.001684</v>
      </c>
      <c r="E118" s="673"/>
      <c r="V118" s="346">
        <v>1790</v>
      </c>
      <c r="W118" s="333">
        <v>722.702</v>
      </c>
      <c r="X118" s="346">
        <v>1800</v>
      </c>
      <c r="Y118" s="334">
        <v>717.27800000000002</v>
      </c>
      <c r="Z118" s="335">
        <v>1790</v>
      </c>
      <c r="AA118" s="334">
        <v>1499.845</v>
      </c>
      <c r="AB118" s="336">
        <v>1790</v>
      </c>
      <c r="AC118" s="334">
        <v>1498.037</v>
      </c>
      <c r="AD118" s="336">
        <v>1790</v>
      </c>
      <c r="AE118" s="334">
        <v>1271.105</v>
      </c>
      <c r="AF118" s="336">
        <v>1790</v>
      </c>
      <c r="AG118" s="334">
        <v>1270.8579999999999</v>
      </c>
      <c r="AH118" s="336">
        <v>1790</v>
      </c>
      <c r="AI118" s="334">
        <v>1270.8530000000001</v>
      </c>
      <c r="AJ118" s="336">
        <v>1770</v>
      </c>
      <c r="AK118" s="334">
        <v>1271.915</v>
      </c>
      <c r="AL118" s="336">
        <v>1790</v>
      </c>
      <c r="AM118" s="334">
        <v>1271.5060000000001</v>
      </c>
      <c r="AN118" s="336">
        <v>1790</v>
      </c>
      <c r="AO118" s="334">
        <v>1271.8579999999999</v>
      </c>
      <c r="AP118" s="336">
        <v>1780</v>
      </c>
      <c r="AQ118" s="334">
        <v>1270.057</v>
      </c>
      <c r="AR118" s="336">
        <v>1790</v>
      </c>
      <c r="AS118" s="334">
        <v>1269.9760000000001</v>
      </c>
      <c r="AT118" s="336">
        <v>1790</v>
      </c>
      <c r="AU118" s="334">
        <v>1268.693</v>
      </c>
      <c r="AV118" s="336">
        <v>1790</v>
      </c>
      <c r="AW118" s="352">
        <v>1267.951</v>
      </c>
      <c r="AX118" s="336">
        <v>1780</v>
      </c>
      <c r="AY118" s="334">
        <v>1192.396</v>
      </c>
      <c r="AZ118" s="336">
        <v>1790</v>
      </c>
      <c r="BA118" s="337">
        <v>1193.3399999999999</v>
      </c>
      <c r="BB118" s="336">
        <v>1770</v>
      </c>
      <c r="BC118" s="334">
        <v>346.392</v>
      </c>
      <c r="BD118" s="336">
        <v>1770</v>
      </c>
      <c r="BE118" s="334">
        <v>361.31599999999997</v>
      </c>
    </row>
    <row r="119" spans="3:57">
      <c r="C119" s="379">
        <v>72</v>
      </c>
      <c r="D119" s="673">
        <v>1.001717</v>
      </c>
      <c r="E119" s="673"/>
      <c r="V119" s="346">
        <v>1800</v>
      </c>
      <c r="W119" s="333">
        <v>721.94200000000001</v>
      </c>
      <c r="X119" s="346">
        <v>1810</v>
      </c>
      <c r="Y119" s="334">
        <v>716.52499999999998</v>
      </c>
      <c r="Z119" s="335">
        <v>1800</v>
      </c>
      <c r="AA119" s="334">
        <v>1498.405</v>
      </c>
      <c r="AB119" s="336">
        <v>1800</v>
      </c>
      <c r="AC119" s="334">
        <v>1496.6020000000001</v>
      </c>
      <c r="AD119" s="336">
        <v>1800</v>
      </c>
      <c r="AE119" s="334">
        <v>1269.9469999999999</v>
      </c>
      <c r="AF119" s="336">
        <v>1800</v>
      </c>
      <c r="AG119" s="334">
        <v>1269.7</v>
      </c>
      <c r="AH119" s="336">
        <v>1800</v>
      </c>
      <c r="AI119" s="334">
        <v>1269.6949999999999</v>
      </c>
      <c r="AJ119" s="336">
        <v>1780</v>
      </c>
      <c r="AK119" s="334">
        <v>1270.758</v>
      </c>
      <c r="AL119" s="336">
        <v>1800</v>
      </c>
      <c r="AM119" s="334">
        <v>1270.3489999999999</v>
      </c>
      <c r="AN119" s="336">
        <v>1800</v>
      </c>
      <c r="AO119" s="334">
        <v>1270.702</v>
      </c>
      <c r="AP119" s="336">
        <v>1790</v>
      </c>
      <c r="AQ119" s="334">
        <v>1268.903</v>
      </c>
      <c r="AR119" s="336">
        <v>1800</v>
      </c>
      <c r="AS119" s="334">
        <v>1268.8219999999999</v>
      </c>
      <c r="AT119" s="336">
        <v>1800</v>
      </c>
      <c r="AU119" s="334">
        <v>1267.537</v>
      </c>
      <c r="AV119" s="336">
        <v>1800</v>
      </c>
      <c r="AW119" s="352">
        <v>1266.798</v>
      </c>
      <c r="AX119" s="336">
        <v>1790</v>
      </c>
      <c r="AY119" s="334">
        <v>1191.24</v>
      </c>
      <c r="AZ119" s="336">
        <v>1800</v>
      </c>
      <c r="BA119" s="337">
        <v>1192.1869999999999</v>
      </c>
      <c r="BB119" s="336">
        <v>1780</v>
      </c>
      <c r="BC119" s="334">
        <v>346.017</v>
      </c>
      <c r="BD119" s="336">
        <v>1780</v>
      </c>
      <c r="BE119" s="334">
        <v>360.92700000000002</v>
      </c>
    </row>
    <row r="120" spans="3:57">
      <c r="C120" s="379">
        <v>73</v>
      </c>
      <c r="D120" s="673">
        <v>1.0017499999999999</v>
      </c>
      <c r="E120" s="673"/>
      <c r="V120" s="346">
        <v>1810</v>
      </c>
      <c r="W120" s="333">
        <v>721.18100000000004</v>
      </c>
      <c r="X120" s="346">
        <v>1820</v>
      </c>
      <c r="Y120" s="334">
        <v>715.77099999999996</v>
      </c>
      <c r="Z120" s="335">
        <v>1810</v>
      </c>
      <c r="AA120" s="334">
        <v>1496.9659999999999</v>
      </c>
      <c r="AB120" s="336">
        <v>1810</v>
      </c>
      <c r="AC120" s="334">
        <v>1495.1659999999999</v>
      </c>
      <c r="AD120" s="336">
        <v>1810</v>
      </c>
      <c r="AE120" s="334">
        <v>1268.788</v>
      </c>
      <c r="AF120" s="336">
        <v>1810</v>
      </c>
      <c r="AG120" s="334">
        <v>1268.5419999999999</v>
      </c>
      <c r="AH120" s="336">
        <v>1810</v>
      </c>
      <c r="AI120" s="334">
        <v>1268.5360000000001</v>
      </c>
      <c r="AJ120" s="336">
        <v>1790</v>
      </c>
      <c r="AK120" s="334">
        <v>1269.5999999999999</v>
      </c>
      <c r="AL120" s="336">
        <v>1810</v>
      </c>
      <c r="AM120" s="334">
        <v>1269.191</v>
      </c>
      <c r="AN120" s="336">
        <v>1810</v>
      </c>
      <c r="AO120" s="334">
        <v>1269.5450000000001</v>
      </c>
      <c r="AP120" s="336">
        <v>1800</v>
      </c>
      <c r="AQ120" s="334">
        <v>1267.749</v>
      </c>
      <c r="AR120" s="336">
        <v>1810</v>
      </c>
      <c r="AS120" s="334">
        <v>1267.6669999999999</v>
      </c>
      <c r="AT120" s="336">
        <v>1810</v>
      </c>
      <c r="AU120" s="334">
        <v>1266.3810000000001</v>
      </c>
      <c r="AV120" s="336">
        <v>1810</v>
      </c>
      <c r="AW120" s="334">
        <v>1265.644</v>
      </c>
      <c r="AX120" s="336">
        <v>1800</v>
      </c>
      <c r="AY120" s="334">
        <v>1190.085</v>
      </c>
      <c r="AZ120" s="336">
        <v>1810</v>
      </c>
      <c r="BA120" s="337">
        <v>1191.0329999999999</v>
      </c>
      <c r="BB120" s="336">
        <v>1790</v>
      </c>
      <c r="BC120" s="334">
        <v>345.642</v>
      </c>
      <c r="BD120" s="336">
        <v>1790</v>
      </c>
      <c r="BE120" s="334">
        <v>360.53699999999998</v>
      </c>
    </row>
    <row r="121" spans="3:57">
      <c r="C121" s="379">
        <v>74</v>
      </c>
      <c r="D121" s="673">
        <v>1.0017830000000001</v>
      </c>
      <c r="E121" s="673"/>
      <c r="V121" s="346">
        <v>1820</v>
      </c>
      <c r="W121" s="333">
        <v>720.42</v>
      </c>
      <c r="X121" s="346">
        <v>1830</v>
      </c>
      <c r="Y121" s="334">
        <v>715.01800000000003</v>
      </c>
      <c r="Z121" s="335">
        <v>1820</v>
      </c>
      <c r="AA121" s="334">
        <v>1495.5250000000001</v>
      </c>
      <c r="AB121" s="336">
        <v>1820</v>
      </c>
      <c r="AC121" s="334">
        <v>1493.731</v>
      </c>
      <c r="AD121" s="336">
        <v>1820</v>
      </c>
      <c r="AE121" s="334">
        <v>1267.6289999999999</v>
      </c>
      <c r="AF121" s="336">
        <v>1820</v>
      </c>
      <c r="AG121" s="334">
        <v>1267.384</v>
      </c>
      <c r="AH121" s="336">
        <v>1820</v>
      </c>
      <c r="AI121" s="334">
        <v>1267.3779999999999</v>
      </c>
      <c r="AJ121" s="336">
        <v>1800</v>
      </c>
      <c r="AK121" s="334">
        <v>1268.442</v>
      </c>
      <c r="AL121" s="336">
        <v>1820</v>
      </c>
      <c r="AM121" s="352">
        <v>1268.0329999999999</v>
      </c>
      <c r="AN121" s="336">
        <v>1820</v>
      </c>
      <c r="AO121" s="334">
        <v>1268.3879999999999</v>
      </c>
      <c r="AP121" s="336">
        <v>1810</v>
      </c>
      <c r="AQ121" s="334">
        <v>1266.5940000000001</v>
      </c>
      <c r="AR121" s="336">
        <v>1820</v>
      </c>
      <c r="AS121" s="334">
        <v>1266.5119999999999</v>
      </c>
      <c r="AT121" s="336">
        <v>1820</v>
      </c>
      <c r="AU121" s="334">
        <v>1265.2249999999999</v>
      </c>
      <c r="AV121" s="336">
        <v>1820</v>
      </c>
      <c r="AW121" s="334">
        <v>1264.491</v>
      </c>
      <c r="AX121" s="336">
        <v>1810</v>
      </c>
      <c r="AY121" s="334">
        <v>1188.9290000000001</v>
      </c>
      <c r="AZ121" s="336">
        <v>1820</v>
      </c>
      <c r="BA121" s="337">
        <v>1189.8789999999999</v>
      </c>
      <c r="BB121" s="336">
        <v>1800</v>
      </c>
      <c r="BC121" s="334">
        <v>345.26600000000002</v>
      </c>
      <c r="BD121" s="336">
        <v>1800</v>
      </c>
      <c r="BE121" s="334">
        <v>360.14800000000002</v>
      </c>
    </row>
    <row r="122" spans="3:57">
      <c r="C122" s="379">
        <v>75</v>
      </c>
      <c r="D122" s="673">
        <v>1.001816</v>
      </c>
      <c r="E122" s="673"/>
      <c r="V122" s="346">
        <v>1830</v>
      </c>
      <c r="W122" s="333">
        <v>719.65899999999999</v>
      </c>
      <c r="X122" s="346">
        <v>1840</v>
      </c>
      <c r="Y122" s="334">
        <v>714.26400000000001</v>
      </c>
      <c r="Z122" s="335">
        <v>1830</v>
      </c>
      <c r="AA122" s="334">
        <v>1494.085</v>
      </c>
      <c r="AB122" s="336">
        <v>1830</v>
      </c>
      <c r="AC122" s="334">
        <v>1492.2950000000001</v>
      </c>
      <c r="AD122" s="336">
        <v>1830</v>
      </c>
      <c r="AE122" s="334">
        <v>1266.47</v>
      </c>
      <c r="AF122" s="336">
        <v>1830</v>
      </c>
      <c r="AG122" s="334">
        <v>1266.2249999999999</v>
      </c>
      <c r="AH122" s="336">
        <v>1830</v>
      </c>
      <c r="AI122" s="334">
        <v>1266.2190000000001</v>
      </c>
      <c r="AJ122" s="336">
        <v>1810</v>
      </c>
      <c r="AK122" s="334">
        <v>1267.2840000000001</v>
      </c>
      <c r="AL122" s="336">
        <v>1830</v>
      </c>
      <c r="AM122" s="352">
        <v>1266.875</v>
      </c>
      <c r="AN122" s="336">
        <v>1830</v>
      </c>
      <c r="AO122" s="334">
        <v>1267.231</v>
      </c>
      <c r="AP122" s="336">
        <v>1820</v>
      </c>
      <c r="AQ122" s="334">
        <v>1265.4390000000001</v>
      </c>
      <c r="AR122" s="336">
        <v>1830</v>
      </c>
      <c r="AS122" s="334">
        <v>1265.357</v>
      </c>
      <c r="AT122" s="336">
        <v>1830</v>
      </c>
      <c r="AU122" s="334">
        <v>1264.068</v>
      </c>
      <c r="AV122" s="336">
        <v>1830</v>
      </c>
      <c r="AW122" s="334">
        <v>1263.337</v>
      </c>
      <c r="AX122" s="336">
        <v>1820</v>
      </c>
      <c r="AY122" s="334">
        <v>1187.7729999999999</v>
      </c>
      <c r="AZ122" s="336">
        <v>1830</v>
      </c>
      <c r="BA122" s="337">
        <v>1188.7249999999999</v>
      </c>
      <c r="BB122" s="336">
        <v>1810</v>
      </c>
      <c r="BC122" s="334">
        <v>344.89</v>
      </c>
      <c r="BD122" s="336">
        <v>1810</v>
      </c>
      <c r="BE122" s="334">
        <v>359.75799999999998</v>
      </c>
    </row>
    <row r="123" spans="3:57">
      <c r="C123" s="379">
        <v>76</v>
      </c>
      <c r="D123" s="673">
        <v>1.001849</v>
      </c>
      <c r="E123" s="673"/>
      <c r="V123" s="346">
        <v>1840</v>
      </c>
      <c r="W123" s="333">
        <v>718.89800000000002</v>
      </c>
      <c r="X123" s="346">
        <v>1850</v>
      </c>
      <c r="Y123" s="334">
        <v>713.51</v>
      </c>
      <c r="Z123" s="335">
        <v>1840</v>
      </c>
      <c r="AA123" s="334">
        <v>1492.644</v>
      </c>
      <c r="AB123" s="336">
        <v>1840</v>
      </c>
      <c r="AC123" s="334">
        <v>1490.8589999999999</v>
      </c>
      <c r="AD123" s="336">
        <v>1840</v>
      </c>
      <c r="AE123" s="334">
        <v>1265.31</v>
      </c>
      <c r="AF123" s="336">
        <v>1840</v>
      </c>
      <c r="AG123" s="334">
        <v>1265.067</v>
      </c>
      <c r="AH123" s="336">
        <v>1840</v>
      </c>
      <c r="AI123" s="334">
        <v>1265.06</v>
      </c>
      <c r="AJ123" s="336">
        <v>1820</v>
      </c>
      <c r="AK123" s="334">
        <v>1266.125</v>
      </c>
      <c r="AL123" s="336">
        <v>1840</v>
      </c>
      <c r="AM123" s="334">
        <v>1265.7159999999999</v>
      </c>
      <c r="AN123" s="336">
        <v>1840</v>
      </c>
      <c r="AO123" s="334">
        <v>1266.0730000000001</v>
      </c>
      <c r="AP123" s="336">
        <v>1830</v>
      </c>
      <c r="AQ123" s="334">
        <v>1264.2840000000001</v>
      </c>
      <c r="AR123" s="336">
        <v>1840</v>
      </c>
      <c r="AS123" s="334">
        <v>1264.201</v>
      </c>
      <c r="AT123" s="336">
        <v>1840</v>
      </c>
      <c r="AU123" s="334">
        <v>1262.9110000000001</v>
      </c>
      <c r="AV123" s="336">
        <v>1840</v>
      </c>
      <c r="AW123" s="334">
        <v>1262.183</v>
      </c>
      <c r="AX123" s="336">
        <v>1830</v>
      </c>
      <c r="AY123" s="334">
        <v>1186.617</v>
      </c>
      <c r="AZ123" s="336">
        <v>1840</v>
      </c>
      <c r="BA123" s="337">
        <v>1187.57</v>
      </c>
      <c r="BB123" s="336">
        <v>1820</v>
      </c>
      <c r="BC123" s="334">
        <v>344.51499999999999</v>
      </c>
      <c r="BD123" s="336">
        <v>1820</v>
      </c>
      <c r="BE123" s="334">
        <v>359.36900000000003</v>
      </c>
    </row>
    <row r="124" spans="3:57">
      <c r="C124" s="379">
        <v>77</v>
      </c>
      <c r="D124" s="673">
        <v>1.0018819999999999</v>
      </c>
      <c r="E124" s="673"/>
      <c r="V124" s="346">
        <v>1850</v>
      </c>
      <c r="W124" s="333">
        <v>718.13599999999997</v>
      </c>
      <c r="X124" s="346">
        <v>1860</v>
      </c>
      <c r="Y124" s="334">
        <v>712.75599999999997</v>
      </c>
      <c r="Z124" s="335">
        <v>1850</v>
      </c>
      <c r="AA124" s="334">
        <v>1491.203</v>
      </c>
      <c r="AB124" s="336">
        <v>1850</v>
      </c>
      <c r="AC124" s="334">
        <v>1489.422</v>
      </c>
      <c r="AD124" s="336">
        <v>1850</v>
      </c>
      <c r="AE124" s="334">
        <v>1264.1500000000001</v>
      </c>
      <c r="AF124" s="336">
        <v>1850</v>
      </c>
      <c r="AG124" s="334">
        <v>1263.9079999999999</v>
      </c>
      <c r="AH124" s="336">
        <v>1850</v>
      </c>
      <c r="AI124" s="334">
        <v>1263.9010000000001</v>
      </c>
      <c r="AJ124" s="336">
        <v>1830</v>
      </c>
      <c r="AK124" s="334">
        <v>1264.9670000000001</v>
      </c>
      <c r="AL124" s="336">
        <v>1850</v>
      </c>
      <c r="AM124" s="334">
        <v>1264.558</v>
      </c>
      <c r="AN124" s="336">
        <v>1850</v>
      </c>
      <c r="AO124" s="334">
        <v>1264.9159999999999</v>
      </c>
      <c r="AP124" s="336">
        <v>1840</v>
      </c>
      <c r="AQ124" s="334">
        <v>1263.1279999999999</v>
      </c>
      <c r="AR124" s="336">
        <v>1850</v>
      </c>
      <c r="AS124" s="334">
        <v>1263.0450000000001</v>
      </c>
      <c r="AT124" s="336">
        <v>1850</v>
      </c>
      <c r="AU124" s="334">
        <v>1261.7539999999999</v>
      </c>
      <c r="AV124" s="336">
        <v>1850</v>
      </c>
      <c r="AW124" s="334">
        <v>1261.029</v>
      </c>
      <c r="AX124" s="336">
        <v>1840</v>
      </c>
      <c r="AY124" s="334">
        <v>1185.46</v>
      </c>
      <c r="AZ124" s="336">
        <v>1850</v>
      </c>
      <c r="BA124" s="337">
        <v>1186.415</v>
      </c>
      <c r="BB124" s="336">
        <v>1830</v>
      </c>
      <c r="BC124" s="334">
        <v>344.13900000000001</v>
      </c>
      <c r="BD124" s="336">
        <v>1830</v>
      </c>
      <c r="BE124" s="334">
        <v>358.97899999999998</v>
      </c>
    </row>
    <row r="125" spans="3:57">
      <c r="C125" s="379">
        <v>78</v>
      </c>
      <c r="D125" s="673">
        <v>1.0019149999999999</v>
      </c>
      <c r="E125" s="673"/>
      <c r="V125" s="346">
        <v>1860</v>
      </c>
      <c r="W125" s="333">
        <v>717.375</v>
      </c>
      <c r="X125" s="346">
        <v>1870</v>
      </c>
      <c r="Y125" s="334">
        <v>712.00099999999998</v>
      </c>
      <c r="Z125" s="335">
        <v>1860</v>
      </c>
      <c r="AA125" s="334">
        <v>1489.7619999999999</v>
      </c>
      <c r="AB125" s="336">
        <v>1860</v>
      </c>
      <c r="AC125" s="334">
        <v>1487.9849999999999</v>
      </c>
      <c r="AD125" s="336">
        <v>1860</v>
      </c>
      <c r="AE125" s="334">
        <v>1262.99</v>
      </c>
      <c r="AF125" s="336">
        <v>1860</v>
      </c>
      <c r="AG125" s="334">
        <v>1262.748</v>
      </c>
      <c r="AH125" s="336">
        <v>1860</v>
      </c>
      <c r="AI125" s="334">
        <v>1262.741</v>
      </c>
      <c r="AJ125" s="336">
        <v>1840</v>
      </c>
      <c r="AK125" s="334">
        <v>1263.808</v>
      </c>
      <c r="AL125" s="336">
        <v>1860</v>
      </c>
      <c r="AM125" s="334">
        <v>1263.3989999999999</v>
      </c>
      <c r="AN125" s="336">
        <v>1860</v>
      </c>
      <c r="AO125" s="334">
        <v>1263.758</v>
      </c>
      <c r="AP125" s="336">
        <v>1850</v>
      </c>
      <c r="AQ125" s="334">
        <v>1261.973</v>
      </c>
      <c r="AR125" s="336">
        <v>1860</v>
      </c>
      <c r="AS125" s="334">
        <v>1261.8889999999999</v>
      </c>
      <c r="AT125" s="336">
        <v>1860</v>
      </c>
      <c r="AU125" s="334">
        <v>1260.597</v>
      </c>
      <c r="AV125" s="336">
        <v>1860</v>
      </c>
      <c r="AW125" s="334">
        <v>1259.874</v>
      </c>
      <c r="AX125" s="336">
        <v>1850</v>
      </c>
      <c r="AY125" s="334">
        <v>1184.3040000000001</v>
      </c>
      <c r="AZ125" s="336">
        <v>1860</v>
      </c>
      <c r="BA125" s="337">
        <v>1185.26</v>
      </c>
      <c r="BB125" s="336">
        <v>1840</v>
      </c>
      <c r="BC125" s="334">
        <v>343.76299999999998</v>
      </c>
      <c r="BD125" s="336">
        <v>1840</v>
      </c>
      <c r="BE125" s="334">
        <v>358.589</v>
      </c>
    </row>
    <row r="126" spans="3:57">
      <c r="C126" s="379">
        <v>79</v>
      </c>
      <c r="D126" s="673">
        <v>1.0019480000000001</v>
      </c>
      <c r="E126" s="673"/>
      <c r="V126" s="346">
        <v>1870</v>
      </c>
      <c r="W126" s="333">
        <v>716.61300000000006</v>
      </c>
      <c r="X126" s="346">
        <v>1880</v>
      </c>
      <c r="Y126" s="334">
        <v>711.24699999999996</v>
      </c>
      <c r="Z126" s="335">
        <v>1870</v>
      </c>
      <c r="AA126" s="334">
        <v>1488.32</v>
      </c>
      <c r="AB126" s="336">
        <v>1870</v>
      </c>
      <c r="AC126" s="334">
        <v>1486.548</v>
      </c>
      <c r="AD126" s="336">
        <v>1870</v>
      </c>
      <c r="AE126" s="334">
        <v>1261.83</v>
      </c>
      <c r="AF126" s="336">
        <v>1870</v>
      </c>
      <c r="AG126" s="334">
        <v>1261.5889999999999</v>
      </c>
      <c r="AH126" s="336">
        <v>1870</v>
      </c>
      <c r="AI126" s="334">
        <v>1261.5820000000001</v>
      </c>
      <c r="AJ126" s="336">
        <v>1850</v>
      </c>
      <c r="AK126" s="334">
        <v>1262.6489999999999</v>
      </c>
      <c r="AL126" s="336">
        <v>1870</v>
      </c>
      <c r="AM126" s="334">
        <v>1262.24</v>
      </c>
      <c r="AN126" s="336">
        <v>1870</v>
      </c>
      <c r="AO126" s="334">
        <v>1262.5989999999999</v>
      </c>
      <c r="AP126" s="336">
        <v>1860</v>
      </c>
      <c r="AQ126" s="334">
        <v>1260.817</v>
      </c>
      <c r="AR126" s="336">
        <v>1870</v>
      </c>
      <c r="AS126" s="334">
        <v>1260.7329999999999</v>
      </c>
      <c r="AT126" s="336">
        <v>1870</v>
      </c>
      <c r="AU126" s="334">
        <v>1259.44</v>
      </c>
      <c r="AV126" s="336">
        <v>1870</v>
      </c>
      <c r="AW126" s="334">
        <v>1258.7190000000001</v>
      </c>
      <c r="AX126" s="336">
        <v>1860</v>
      </c>
      <c r="AY126" s="334">
        <v>1183.1469999999999</v>
      </c>
      <c r="AZ126" s="336">
        <v>1870</v>
      </c>
      <c r="BA126" s="337">
        <v>1184.105</v>
      </c>
      <c r="BB126" s="336">
        <v>1850</v>
      </c>
      <c r="BC126" s="334">
        <v>343.387</v>
      </c>
      <c r="BD126" s="336">
        <v>1850</v>
      </c>
      <c r="BE126" s="334">
        <v>358.2</v>
      </c>
    </row>
    <row r="127" spans="3:57">
      <c r="C127" s="379">
        <v>80</v>
      </c>
      <c r="D127" s="673">
        <v>1.001981</v>
      </c>
      <c r="E127" s="673"/>
      <c r="V127" s="346">
        <v>1880</v>
      </c>
      <c r="W127" s="333">
        <v>715.851</v>
      </c>
      <c r="X127" s="346">
        <v>1890</v>
      </c>
      <c r="Y127" s="334">
        <v>710.49199999999996</v>
      </c>
      <c r="Z127" s="335">
        <v>1880</v>
      </c>
      <c r="AA127" s="334">
        <v>1486.8779999999999</v>
      </c>
      <c r="AB127" s="336">
        <v>1880</v>
      </c>
      <c r="AC127" s="334">
        <v>1485.11</v>
      </c>
      <c r="AD127" s="336">
        <v>1880</v>
      </c>
      <c r="AE127" s="334">
        <v>1260.67</v>
      </c>
      <c r="AF127" s="336">
        <v>1880</v>
      </c>
      <c r="AG127" s="334">
        <v>1260.4290000000001</v>
      </c>
      <c r="AH127" s="336">
        <v>1880</v>
      </c>
      <c r="AI127" s="334">
        <v>1260.422</v>
      </c>
      <c r="AJ127" s="336">
        <v>1860</v>
      </c>
      <c r="AK127" s="334">
        <v>1261.489</v>
      </c>
      <c r="AL127" s="336">
        <v>1880</v>
      </c>
      <c r="AM127" s="334">
        <v>1261.08</v>
      </c>
      <c r="AN127" s="336">
        <v>1880</v>
      </c>
      <c r="AO127" s="334">
        <v>1261.441</v>
      </c>
      <c r="AP127" s="336">
        <v>1870</v>
      </c>
      <c r="AQ127" s="334">
        <v>1259.6610000000001</v>
      </c>
      <c r="AR127" s="336">
        <v>1880</v>
      </c>
      <c r="AS127" s="334">
        <v>1259.576</v>
      </c>
      <c r="AT127" s="336">
        <v>1880</v>
      </c>
      <c r="AU127" s="334">
        <v>1258.2819999999999</v>
      </c>
      <c r="AV127" s="336">
        <v>1880</v>
      </c>
      <c r="AW127" s="334">
        <v>1257.5640000000001</v>
      </c>
      <c r="AX127" s="336">
        <v>1870</v>
      </c>
      <c r="AY127" s="334">
        <v>1181.989</v>
      </c>
      <c r="AZ127" s="336">
        <v>1880</v>
      </c>
      <c r="BA127" s="337">
        <v>1182.95</v>
      </c>
      <c r="BB127" s="336">
        <v>1860</v>
      </c>
      <c r="BC127" s="334">
        <v>343.01100000000002</v>
      </c>
      <c r="BD127" s="336">
        <v>1860</v>
      </c>
      <c r="BE127" s="334">
        <v>357.81</v>
      </c>
    </row>
    <row r="128" spans="3:57">
      <c r="C128" s="379">
        <v>81</v>
      </c>
      <c r="D128" s="673">
        <v>1.002014</v>
      </c>
      <c r="E128" s="673"/>
      <c r="V128" s="346">
        <v>1890</v>
      </c>
      <c r="W128" s="333">
        <v>715.08900000000006</v>
      </c>
      <c r="X128" s="346">
        <v>1900</v>
      </c>
      <c r="Y128" s="334">
        <v>709.73699999999997</v>
      </c>
      <c r="Z128" s="335">
        <v>1890</v>
      </c>
      <c r="AA128" s="334">
        <v>1485.4359999999999</v>
      </c>
      <c r="AB128" s="336">
        <v>1890</v>
      </c>
      <c r="AC128" s="334">
        <v>1483.673</v>
      </c>
      <c r="AD128" s="336">
        <v>1890</v>
      </c>
      <c r="AE128" s="334">
        <v>1259.509</v>
      </c>
      <c r="AF128" s="336">
        <v>1890</v>
      </c>
      <c r="AG128" s="334">
        <v>1259.269</v>
      </c>
      <c r="AH128" s="336">
        <v>1890</v>
      </c>
      <c r="AI128" s="334">
        <v>1259.261</v>
      </c>
      <c r="AJ128" s="336">
        <v>1870</v>
      </c>
      <c r="AK128" s="334">
        <v>1260.33</v>
      </c>
      <c r="AL128" s="336">
        <v>1890</v>
      </c>
      <c r="AM128" s="334">
        <v>1259.921</v>
      </c>
      <c r="AN128" s="336">
        <v>1890</v>
      </c>
      <c r="AO128" s="334">
        <v>1260.2819999999999</v>
      </c>
      <c r="AP128" s="336">
        <v>1880</v>
      </c>
      <c r="AQ128" s="334">
        <v>1258.5039999999999</v>
      </c>
      <c r="AR128" s="336">
        <v>1890</v>
      </c>
      <c r="AS128" s="334">
        <v>1258.42</v>
      </c>
      <c r="AT128" s="336">
        <v>1890</v>
      </c>
      <c r="AU128" s="334">
        <v>1257.124</v>
      </c>
      <c r="AV128" s="336">
        <v>1890</v>
      </c>
      <c r="AW128" s="334">
        <v>1256.4090000000001</v>
      </c>
      <c r="AX128" s="336">
        <v>1880</v>
      </c>
      <c r="AY128" s="334">
        <v>1180.8320000000001</v>
      </c>
      <c r="AZ128" s="336">
        <v>1890</v>
      </c>
      <c r="BA128" s="337">
        <v>1181.7940000000001</v>
      </c>
      <c r="BB128" s="336">
        <v>1870</v>
      </c>
      <c r="BC128" s="334">
        <v>342.63499999999999</v>
      </c>
      <c r="BD128" s="336">
        <v>1870</v>
      </c>
      <c r="BE128" s="334">
        <v>357.42</v>
      </c>
    </row>
    <row r="129" spans="3:57">
      <c r="C129" s="379">
        <v>82</v>
      </c>
      <c r="D129" s="673">
        <v>1.0020469999999999</v>
      </c>
      <c r="E129" s="673"/>
      <c r="V129" s="346">
        <v>1900</v>
      </c>
      <c r="W129" s="333">
        <v>714.327</v>
      </c>
      <c r="X129" s="346">
        <v>1910</v>
      </c>
      <c r="Y129" s="334">
        <v>708.98199999999997</v>
      </c>
      <c r="Z129" s="335">
        <v>1900</v>
      </c>
      <c r="AA129" s="334">
        <v>1483.9929999999999</v>
      </c>
      <c r="AB129" s="336">
        <v>1900</v>
      </c>
      <c r="AC129" s="334">
        <v>1482.2349999999999</v>
      </c>
      <c r="AD129" s="336">
        <v>1900</v>
      </c>
      <c r="AE129" s="334">
        <v>1258.348</v>
      </c>
      <c r="AF129" s="336">
        <v>1900</v>
      </c>
      <c r="AG129" s="334">
        <v>1258.1089999999999</v>
      </c>
      <c r="AH129" s="336">
        <v>1900</v>
      </c>
      <c r="AI129" s="334">
        <v>1258.1010000000001</v>
      </c>
      <c r="AJ129" s="336">
        <v>1880</v>
      </c>
      <c r="AK129" s="334">
        <v>1259.17</v>
      </c>
      <c r="AL129" s="336">
        <v>1900</v>
      </c>
      <c r="AM129" s="334">
        <v>1258.761</v>
      </c>
      <c r="AN129" s="336">
        <v>1900</v>
      </c>
      <c r="AO129" s="334">
        <v>1259.123</v>
      </c>
      <c r="AP129" s="336">
        <v>1890</v>
      </c>
      <c r="AQ129" s="334">
        <v>1257.348</v>
      </c>
      <c r="AR129" s="336">
        <v>1900</v>
      </c>
      <c r="AS129" s="334">
        <v>1257.2619999999999</v>
      </c>
      <c r="AT129" s="336">
        <v>1900</v>
      </c>
      <c r="AU129" s="334">
        <v>1255.9659999999999</v>
      </c>
      <c r="AV129" s="336">
        <v>1900</v>
      </c>
      <c r="AW129" s="334">
        <v>1255.2539999999999</v>
      </c>
      <c r="AX129" s="336">
        <v>1890</v>
      </c>
      <c r="AY129" s="334">
        <v>1179.674</v>
      </c>
      <c r="AZ129" s="336">
        <v>1900</v>
      </c>
      <c r="BA129" s="337">
        <v>1180.6379999999999</v>
      </c>
      <c r="BB129" s="336">
        <v>1880</v>
      </c>
      <c r="BC129" s="334">
        <v>342.25799999999998</v>
      </c>
      <c r="BD129" s="336">
        <v>1880</v>
      </c>
      <c r="BE129" s="334">
        <v>357.029</v>
      </c>
    </row>
    <row r="130" spans="3:57">
      <c r="C130" s="379">
        <v>83</v>
      </c>
      <c r="D130" s="673">
        <v>1.0020800000000001</v>
      </c>
      <c r="E130" s="673"/>
      <c r="V130" s="346">
        <v>1910</v>
      </c>
      <c r="W130" s="333">
        <v>713.56399999999996</v>
      </c>
      <c r="X130" s="346">
        <v>1920</v>
      </c>
      <c r="Y130" s="334">
        <v>708.226</v>
      </c>
      <c r="Z130" s="335">
        <v>1910</v>
      </c>
      <c r="AA130" s="334">
        <v>1482.5509999999999</v>
      </c>
      <c r="AB130" s="336">
        <v>1910</v>
      </c>
      <c r="AC130" s="334">
        <v>1480.796</v>
      </c>
      <c r="AD130" s="336">
        <v>1910</v>
      </c>
      <c r="AE130" s="334">
        <v>1257.1869999999999</v>
      </c>
      <c r="AF130" s="336">
        <v>1910</v>
      </c>
      <c r="AG130" s="334">
        <v>1256.9490000000001</v>
      </c>
      <c r="AH130" s="336">
        <v>1910</v>
      </c>
      <c r="AI130" s="334">
        <v>1256.94</v>
      </c>
      <c r="AJ130" s="336">
        <v>1890</v>
      </c>
      <c r="AK130" s="334">
        <v>1258.01</v>
      </c>
      <c r="AL130" s="336">
        <v>1910</v>
      </c>
      <c r="AM130" s="334">
        <v>1257.6010000000001</v>
      </c>
      <c r="AN130" s="336">
        <v>1910</v>
      </c>
      <c r="AO130" s="334">
        <v>1257.9639999999999</v>
      </c>
      <c r="AP130" s="336">
        <v>1900</v>
      </c>
      <c r="AQ130" s="334">
        <v>1256.191</v>
      </c>
      <c r="AR130" s="336">
        <v>1910</v>
      </c>
      <c r="AS130" s="334">
        <v>1256.105</v>
      </c>
      <c r="AT130" s="336">
        <v>1910</v>
      </c>
      <c r="AU130" s="334">
        <v>1254.807</v>
      </c>
      <c r="AV130" s="336">
        <v>1910</v>
      </c>
      <c r="AW130" s="334">
        <v>1254.098</v>
      </c>
      <c r="AX130" s="336">
        <v>1900</v>
      </c>
      <c r="AY130" s="334">
        <v>1178.5160000000001</v>
      </c>
      <c r="AZ130" s="336">
        <v>1910</v>
      </c>
      <c r="BA130" s="337">
        <v>1179.482</v>
      </c>
      <c r="BB130" s="336">
        <v>1890</v>
      </c>
      <c r="BC130" s="334">
        <v>341.88200000000001</v>
      </c>
      <c r="BD130" s="336">
        <v>1890</v>
      </c>
      <c r="BE130" s="334">
        <v>356.63900000000001</v>
      </c>
    </row>
    <row r="131" spans="3:57">
      <c r="C131" s="379">
        <v>84</v>
      </c>
      <c r="D131" s="673">
        <v>1.002113</v>
      </c>
      <c r="E131" s="673"/>
      <c r="V131" s="346">
        <v>1920</v>
      </c>
      <c r="W131" s="333">
        <v>712.80100000000004</v>
      </c>
      <c r="X131" s="346">
        <v>1930</v>
      </c>
      <c r="Y131" s="334">
        <v>707.471</v>
      </c>
      <c r="Z131" s="335">
        <v>1920</v>
      </c>
      <c r="AA131" s="334">
        <v>1481.107</v>
      </c>
      <c r="AB131" s="336">
        <v>1920</v>
      </c>
      <c r="AC131" s="334">
        <v>1479.3579999999999</v>
      </c>
      <c r="AD131" s="336">
        <v>1920</v>
      </c>
      <c r="AE131" s="334">
        <v>1256.0260000000001</v>
      </c>
      <c r="AF131" s="336">
        <v>1920</v>
      </c>
      <c r="AG131" s="334">
        <v>1255.788</v>
      </c>
      <c r="AH131" s="336">
        <v>1920</v>
      </c>
      <c r="AI131" s="334">
        <v>1255.779</v>
      </c>
      <c r="AJ131" s="336">
        <v>1900</v>
      </c>
      <c r="AK131" s="334">
        <v>1256.8489999999999</v>
      </c>
      <c r="AL131" s="336">
        <v>1920</v>
      </c>
      <c r="AM131" s="334">
        <v>1256.44</v>
      </c>
      <c r="AN131" s="336">
        <v>1920</v>
      </c>
      <c r="AO131" s="334">
        <v>1256.8050000000001</v>
      </c>
      <c r="AP131" s="336">
        <v>1910</v>
      </c>
      <c r="AQ131" s="334">
        <v>1255.0340000000001</v>
      </c>
      <c r="AR131" s="336">
        <v>1920</v>
      </c>
      <c r="AS131" s="334">
        <v>1254.9480000000001</v>
      </c>
      <c r="AT131" s="336">
        <v>1920</v>
      </c>
      <c r="AU131" s="334">
        <v>1253.6479999999999</v>
      </c>
      <c r="AV131" s="336">
        <v>1920</v>
      </c>
      <c r="AW131" s="334">
        <v>1252.942</v>
      </c>
      <c r="AX131" s="336">
        <v>1910</v>
      </c>
      <c r="AY131" s="334">
        <v>1177.3579999999999</v>
      </c>
      <c r="AZ131" s="336">
        <v>1920</v>
      </c>
      <c r="BA131" s="337">
        <v>1178.326</v>
      </c>
      <c r="BB131" s="336">
        <v>1900</v>
      </c>
      <c r="BC131" s="334">
        <v>341.50599999999997</v>
      </c>
      <c r="BD131" s="336">
        <v>1900</v>
      </c>
      <c r="BE131" s="334">
        <v>356.24900000000002</v>
      </c>
    </row>
    <row r="132" spans="3:57">
      <c r="C132" s="379">
        <v>85</v>
      </c>
      <c r="D132" s="673">
        <v>1.0021469999999999</v>
      </c>
      <c r="E132" s="673"/>
      <c r="V132" s="346">
        <v>1930</v>
      </c>
      <c r="W132" s="333">
        <v>712.03800000000001</v>
      </c>
      <c r="X132" s="346">
        <v>1940</v>
      </c>
      <c r="Y132" s="334">
        <v>706.71500000000003</v>
      </c>
      <c r="Z132" s="335">
        <v>1930</v>
      </c>
      <c r="AA132" s="334">
        <v>1479.664</v>
      </c>
      <c r="AB132" s="336">
        <v>1930</v>
      </c>
      <c r="AC132" s="334">
        <v>1477.9190000000001</v>
      </c>
      <c r="AD132" s="336">
        <v>1930</v>
      </c>
      <c r="AE132" s="334">
        <v>1254.864</v>
      </c>
      <c r="AF132" s="336">
        <v>1930</v>
      </c>
      <c r="AG132" s="334">
        <v>1254.627</v>
      </c>
      <c r="AH132" s="336">
        <v>1930</v>
      </c>
      <c r="AI132" s="334">
        <v>1254.6179999999999</v>
      </c>
      <c r="AJ132" s="336">
        <v>1910</v>
      </c>
      <c r="AK132" s="334">
        <v>1255.6890000000001</v>
      </c>
      <c r="AL132" s="336">
        <v>1930</v>
      </c>
      <c r="AM132" s="334">
        <v>1255.28</v>
      </c>
      <c r="AN132" s="336">
        <v>1930</v>
      </c>
      <c r="AO132" s="334">
        <v>1255.645</v>
      </c>
      <c r="AP132" s="336">
        <v>1920</v>
      </c>
      <c r="AQ132" s="334">
        <v>1253.876</v>
      </c>
      <c r="AR132" s="336">
        <v>1930</v>
      </c>
      <c r="AS132" s="334">
        <v>1253.79</v>
      </c>
      <c r="AT132" s="336">
        <v>1930</v>
      </c>
      <c r="AU132" s="334">
        <v>1252.49</v>
      </c>
      <c r="AV132" s="336">
        <v>1930</v>
      </c>
      <c r="AW132" s="334">
        <v>1251.7860000000001</v>
      </c>
      <c r="AX132" s="336">
        <v>1920</v>
      </c>
      <c r="AY132" s="334">
        <v>1176.2</v>
      </c>
      <c r="AZ132" s="336">
        <v>1930</v>
      </c>
      <c r="BA132" s="337">
        <v>1177.1690000000001</v>
      </c>
      <c r="BB132" s="336">
        <v>1910</v>
      </c>
      <c r="BC132" s="334">
        <v>341.12900000000002</v>
      </c>
      <c r="BD132" s="336">
        <v>1910</v>
      </c>
      <c r="BE132" s="334">
        <v>355.858</v>
      </c>
    </row>
    <row r="133" spans="3:57">
      <c r="C133" s="379">
        <v>86</v>
      </c>
      <c r="D133" s="673">
        <v>1.0021800000000001</v>
      </c>
      <c r="E133" s="673"/>
      <c r="V133" s="346">
        <v>1940</v>
      </c>
      <c r="W133" s="333">
        <v>711.27499999999998</v>
      </c>
      <c r="X133" s="346">
        <v>1950</v>
      </c>
      <c r="Y133" s="334">
        <v>705.95899999999995</v>
      </c>
      <c r="Z133" s="335">
        <v>1940</v>
      </c>
      <c r="AA133" s="334">
        <v>1478.22</v>
      </c>
      <c r="AB133" s="336">
        <v>1940</v>
      </c>
      <c r="AC133" s="334">
        <v>1476.479</v>
      </c>
      <c r="AD133" s="336">
        <v>1940</v>
      </c>
      <c r="AE133" s="334">
        <v>1253.702</v>
      </c>
      <c r="AF133" s="336">
        <v>1940</v>
      </c>
      <c r="AG133" s="334">
        <v>1253.4659999999999</v>
      </c>
      <c r="AH133" s="336">
        <v>1940</v>
      </c>
      <c r="AI133" s="334">
        <v>1253.4570000000001</v>
      </c>
      <c r="AJ133" s="336">
        <v>1920</v>
      </c>
      <c r="AK133" s="334">
        <v>1254.528</v>
      </c>
      <c r="AL133" s="336">
        <v>1940</v>
      </c>
      <c r="AM133" s="334">
        <v>1254.1189999999999</v>
      </c>
      <c r="AN133" s="336">
        <v>1940</v>
      </c>
      <c r="AO133" s="334">
        <v>1254.4849999999999</v>
      </c>
      <c r="AP133" s="336">
        <v>1930</v>
      </c>
      <c r="AQ133" s="334">
        <v>1252.7180000000001</v>
      </c>
      <c r="AR133" s="336">
        <v>1940</v>
      </c>
      <c r="AS133" s="334">
        <v>1252.6320000000001</v>
      </c>
      <c r="AT133" s="336">
        <v>1940</v>
      </c>
      <c r="AU133" s="334">
        <v>1251.33</v>
      </c>
      <c r="AV133" s="336">
        <v>1940</v>
      </c>
      <c r="AW133" s="334">
        <v>1250.6289999999999</v>
      </c>
      <c r="AX133" s="336">
        <v>1930</v>
      </c>
      <c r="AY133" s="334">
        <v>1175.0409999999999</v>
      </c>
      <c r="AZ133" s="336">
        <v>1940</v>
      </c>
      <c r="BA133" s="337">
        <v>1176.0119999999999</v>
      </c>
      <c r="BB133" s="336">
        <v>1920</v>
      </c>
      <c r="BC133" s="334">
        <v>340.75299999999999</v>
      </c>
      <c r="BD133" s="336">
        <v>1920</v>
      </c>
      <c r="BE133" s="334">
        <v>355.46800000000002</v>
      </c>
    </row>
    <row r="134" spans="3:57">
      <c r="C134" s="379">
        <v>87</v>
      </c>
      <c r="D134" s="673">
        <v>1.002213</v>
      </c>
      <c r="E134" s="673"/>
      <c r="V134" s="346">
        <v>1950</v>
      </c>
      <c r="W134" s="333">
        <v>710.51199999999994</v>
      </c>
      <c r="X134" s="346">
        <v>1960</v>
      </c>
      <c r="Y134" s="334">
        <v>705.20299999999997</v>
      </c>
      <c r="Z134" s="335">
        <v>1950</v>
      </c>
      <c r="AA134" s="334">
        <v>1476.7760000000001</v>
      </c>
      <c r="AB134" s="336">
        <v>1950</v>
      </c>
      <c r="AC134" s="334">
        <v>1475.04</v>
      </c>
      <c r="AD134" s="336">
        <v>1950</v>
      </c>
      <c r="AE134" s="334">
        <v>1252.54</v>
      </c>
      <c r="AF134" s="336">
        <v>1950</v>
      </c>
      <c r="AG134" s="334">
        <v>1252.3050000000001</v>
      </c>
      <c r="AH134" s="336">
        <v>1950</v>
      </c>
      <c r="AI134" s="334">
        <v>1252.2950000000001</v>
      </c>
      <c r="AJ134" s="336">
        <v>1930</v>
      </c>
      <c r="AK134" s="334">
        <v>1253.367</v>
      </c>
      <c r="AL134" s="336">
        <v>1950</v>
      </c>
      <c r="AM134" s="334">
        <v>1252.9580000000001</v>
      </c>
      <c r="AN134" s="336">
        <v>1950</v>
      </c>
      <c r="AO134" s="334">
        <v>1253.325</v>
      </c>
      <c r="AP134" s="336">
        <v>1940</v>
      </c>
      <c r="AQ134" s="334">
        <v>1251.5609999999999</v>
      </c>
      <c r="AR134" s="336">
        <v>1950</v>
      </c>
      <c r="AS134" s="334">
        <v>1251.4739999999999</v>
      </c>
      <c r="AT134" s="336">
        <v>1950</v>
      </c>
      <c r="AU134" s="334">
        <v>1250.171</v>
      </c>
      <c r="AV134" s="336">
        <v>1950</v>
      </c>
      <c r="AW134" s="334">
        <v>1249.472</v>
      </c>
      <c r="AX134" s="336">
        <v>1940</v>
      </c>
      <c r="AY134" s="334">
        <v>1173.8820000000001</v>
      </c>
      <c r="AZ134" s="336">
        <v>1950</v>
      </c>
      <c r="BA134" s="337">
        <v>1174.855</v>
      </c>
      <c r="BB134" s="336">
        <v>1930</v>
      </c>
      <c r="BC134" s="334">
        <v>340.37599999999998</v>
      </c>
      <c r="BD134" s="336">
        <v>1930</v>
      </c>
      <c r="BE134" s="334">
        <v>355.077</v>
      </c>
    </row>
    <row r="135" spans="3:57">
      <c r="C135" s="379">
        <v>88</v>
      </c>
      <c r="D135" s="673">
        <v>1.002246</v>
      </c>
      <c r="E135" s="673"/>
      <c r="V135" s="346">
        <v>1960</v>
      </c>
      <c r="W135" s="333">
        <v>709.74800000000005</v>
      </c>
      <c r="X135" s="346">
        <v>1970</v>
      </c>
      <c r="Y135" s="334">
        <v>704.44600000000003</v>
      </c>
      <c r="Z135" s="335">
        <v>1960</v>
      </c>
      <c r="AA135" s="334">
        <v>1475.3320000000001</v>
      </c>
      <c r="AB135" s="336">
        <v>1960</v>
      </c>
      <c r="AC135" s="334">
        <v>1473.6</v>
      </c>
      <c r="AD135" s="336">
        <v>1960</v>
      </c>
      <c r="AE135" s="334">
        <v>1251.3779999999999</v>
      </c>
      <c r="AF135" s="336">
        <v>1960</v>
      </c>
      <c r="AG135" s="334">
        <v>1251.143</v>
      </c>
      <c r="AH135" s="336">
        <v>1960</v>
      </c>
      <c r="AI135" s="334">
        <v>1251.133</v>
      </c>
      <c r="AJ135" s="336">
        <v>1940</v>
      </c>
      <c r="AK135" s="334">
        <v>1252.2049999999999</v>
      </c>
      <c r="AL135" s="336">
        <v>1960</v>
      </c>
      <c r="AM135" s="334">
        <v>1251.797</v>
      </c>
      <c r="AN135" s="336">
        <v>1960</v>
      </c>
      <c r="AO135" s="334">
        <v>1252.164</v>
      </c>
      <c r="AP135" s="336">
        <v>1950</v>
      </c>
      <c r="AQ135" s="334">
        <v>1250.402</v>
      </c>
      <c r="AR135" s="336">
        <v>1960</v>
      </c>
      <c r="AS135" s="334">
        <v>1250.3150000000001</v>
      </c>
      <c r="AT135" s="336">
        <v>1960</v>
      </c>
      <c r="AU135" s="334">
        <v>1249.011</v>
      </c>
      <c r="AV135" s="336">
        <v>1960</v>
      </c>
      <c r="AW135" s="334">
        <v>1248.3150000000001</v>
      </c>
      <c r="AX135" s="336">
        <v>1950</v>
      </c>
      <c r="AY135" s="334">
        <v>1172.723</v>
      </c>
      <c r="AZ135" s="336">
        <v>1960</v>
      </c>
      <c r="BA135" s="337">
        <v>1173.6969999999999</v>
      </c>
      <c r="BB135" s="336">
        <v>1940</v>
      </c>
      <c r="BC135" s="334">
        <v>339.99900000000002</v>
      </c>
      <c r="BD135" s="336">
        <v>1940</v>
      </c>
      <c r="BE135" s="334">
        <v>354.68700000000001</v>
      </c>
    </row>
    <row r="136" spans="3:57">
      <c r="C136" s="379">
        <v>89</v>
      </c>
      <c r="D136" s="673">
        <v>1.0022789999999999</v>
      </c>
      <c r="E136" s="673"/>
      <c r="V136" s="346">
        <v>1970</v>
      </c>
      <c r="W136" s="333">
        <v>708.98400000000004</v>
      </c>
      <c r="X136" s="346">
        <v>1980</v>
      </c>
      <c r="Y136" s="334">
        <v>703.69</v>
      </c>
      <c r="Z136" s="335">
        <v>1970</v>
      </c>
      <c r="AA136" s="334">
        <v>1473.8879999999999</v>
      </c>
      <c r="AB136" s="336">
        <v>1970</v>
      </c>
      <c r="AC136" s="334">
        <v>1472.16</v>
      </c>
      <c r="AD136" s="336">
        <v>1970</v>
      </c>
      <c r="AE136" s="334">
        <v>1250.2149999999999</v>
      </c>
      <c r="AF136" s="336">
        <v>1970</v>
      </c>
      <c r="AG136" s="334">
        <v>1249.981</v>
      </c>
      <c r="AH136" s="336">
        <v>1970</v>
      </c>
      <c r="AI136" s="334">
        <v>1249.971</v>
      </c>
      <c r="AJ136" s="336">
        <v>1950</v>
      </c>
      <c r="AK136" s="334">
        <v>1251.0440000000001</v>
      </c>
      <c r="AL136" s="336">
        <v>1970</v>
      </c>
      <c r="AM136" s="334">
        <v>1250.635</v>
      </c>
      <c r="AN136" s="336">
        <v>1970</v>
      </c>
      <c r="AO136" s="334">
        <v>1251.0039999999999</v>
      </c>
      <c r="AP136" s="336">
        <v>1960</v>
      </c>
      <c r="AQ136" s="334">
        <v>1249.2439999999999</v>
      </c>
      <c r="AR136" s="336">
        <v>1970</v>
      </c>
      <c r="AS136" s="334">
        <v>1249.1559999999999</v>
      </c>
      <c r="AT136" s="336">
        <v>1970</v>
      </c>
      <c r="AU136" s="334">
        <v>1247.8510000000001</v>
      </c>
      <c r="AV136" s="336">
        <v>1970</v>
      </c>
      <c r="AW136" s="334">
        <v>1247.1579999999999</v>
      </c>
      <c r="AX136" s="336">
        <v>1960</v>
      </c>
      <c r="AY136" s="334">
        <v>1171.5640000000001</v>
      </c>
      <c r="AZ136" s="336">
        <v>1970</v>
      </c>
      <c r="BA136" s="337">
        <v>1172.54</v>
      </c>
      <c r="BB136" s="336">
        <v>1950</v>
      </c>
      <c r="BC136" s="334">
        <v>339.62200000000001</v>
      </c>
      <c r="BD136" s="336">
        <v>1950</v>
      </c>
      <c r="BE136" s="334">
        <v>354.29599999999999</v>
      </c>
    </row>
    <row r="137" spans="3:57">
      <c r="C137" s="379">
        <v>90</v>
      </c>
      <c r="D137" s="673">
        <v>1.0023120000000001</v>
      </c>
      <c r="E137" s="673"/>
      <c r="V137" s="346">
        <v>1980</v>
      </c>
      <c r="W137" s="333">
        <v>708.22</v>
      </c>
      <c r="X137" s="346">
        <v>1990</v>
      </c>
      <c r="Y137" s="334">
        <v>702.93299999999999</v>
      </c>
      <c r="Z137" s="335">
        <v>1980</v>
      </c>
      <c r="AA137" s="334">
        <v>1472.443</v>
      </c>
      <c r="AB137" s="336">
        <v>1980</v>
      </c>
      <c r="AC137" s="334">
        <v>1470.7190000000001</v>
      </c>
      <c r="AD137" s="336">
        <v>1980</v>
      </c>
      <c r="AE137" s="334">
        <v>1249.0530000000001</v>
      </c>
      <c r="AF137" s="336">
        <v>1980</v>
      </c>
      <c r="AG137" s="334">
        <v>1248.819</v>
      </c>
      <c r="AH137" s="336">
        <v>1980</v>
      </c>
      <c r="AI137" s="334">
        <v>1248.809</v>
      </c>
      <c r="AJ137" s="336">
        <v>1960</v>
      </c>
      <c r="AK137" s="334">
        <v>1249.8820000000001</v>
      </c>
      <c r="AL137" s="336">
        <v>1980</v>
      </c>
      <c r="AM137" s="334">
        <v>1249.473</v>
      </c>
      <c r="AN137" s="336">
        <v>1980</v>
      </c>
      <c r="AO137" s="334">
        <v>1249.8430000000001</v>
      </c>
      <c r="AP137" s="336">
        <v>1970</v>
      </c>
      <c r="AQ137" s="334">
        <v>1248.085</v>
      </c>
      <c r="AR137" s="336">
        <v>1980</v>
      </c>
      <c r="AS137" s="334">
        <v>1247.9970000000001</v>
      </c>
      <c r="AT137" s="336">
        <v>1980</v>
      </c>
      <c r="AU137" s="334">
        <v>1246.691</v>
      </c>
      <c r="AV137" s="336">
        <v>1980</v>
      </c>
      <c r="AW137" s="334">
        <v>1246.001</v>
      </c>
      <c r="AX137" s="336">
        <v>1970</v>
      </c>
      <c r="AY137" s="334">
        <v>1170.404</v>
      </c>
      <c r="AZ137" s="336">
        <v>1980</v>
      </c>
      <c r="BA137" s="337">
        <v>1171.3820000000001</v>
      </c>
      <c r="BB137" s="336">
        <v>1960</v>
      </c>
      <c r="BC137" s="334">
        <v>339.245</v>
      </c>
      <c r="BD137" s="336">
        <v>1960</v>
      </c>
      <c r="BE137" s="334">
        <v>353.90499999999997</v>
      </c>
    </row>
    <row r="138" spans="3:57">
      <c r="C138" s="379">
        <v>91</v>
      </c>
      <c r="D138" s="673">
        <v>1.002345</v>
      </c>
      <c r="E138" s="673"/>
      <c r="V138" s="346">
        <v>1990</v>
      </c>
      <c r="W138" s="333">
        <v>707.45600000000002</v>
      </c>
      <c r="X138" s="346">
        <v>2000</v>
      </c>
      <c r="Y138" s="334">
        <v>702.17600000000004</v>
      </c>
      <c r="Z138" s="335">
        <v>1990</v>
      </c>
      <c r="AA138" s="334">
        <v>1470.998</v>
      </c>
      <c r="AB138" s="336">
        <v>1990</v>
      </c>
      <c r="AC138" s="334">
        <v>1469.279</v>
      </c>
      <c r="AD138" s="336">
        <v>1990</v>
      </c>
      <c r="AE138" s="334">
        <v>1247.8900000000001</v>
      </c>
      <c r="AF138" s="336">
        <v>1990</v>
      </c>
      <c r="AG138" s="334">
        <v>1247.6569999999999</v>
      </c>
      <c r="AH138" s="336">
        <v>1990</v>
      </c>
      <c r="AI138" s="334">
        <v>1247.646</v>
      </c>
      <c r="AJ138" s="336">
        <v>1970</v>
      </c>
      <c r="AK138" s="334">
        <v>1248.72</v>
      </c>
      <c r="AL138" s="336">
        <v>1990</v>
      </c>
      <c r="AM138" s="334">
        <v>1248.3109999999999</v>
      </c>
      <c r="AN138" s="336">
        <v>1990</v>
      </c>
      <c r="AO138" s="334">
        <v>1248.682</v>
      </c>
      <c r="AP138" s="336">
        <v>1980</v>
      </c>
      <c r="AQ138" s="334">
        <v>1246.9269999999999</v>
      </c>
      <c r="AR138" s="336">
        <v>1990</v>
      </c>
      <c r="AS138" s="334">
        <v>1246.838</v>
      </c>
      <c r="AT138" s="336">
        <v>1990</v>
      </c>
      <c r="AU138" s="334">
        <v>1245.5309999999999</v>
      </c>
      <c r="AV138" s="336">
        <v>1990</v>
      </c>
      <c r="AW138" s="334">
        <v>1244.8430000000001</v>
      </c>
      <c r="AX138" s="336">
        <v>1980</v>
      </c>
      <c r="AY138" s="334">
        <v>1169.2439999999999</v>
      </c>
      <c r="AZ138" s="336">
        <v>1990</v>
      </c>
      <c r="BA138" s="337">
        <v>1170.2239999999999</v>
      </c>
      <c r="BB138" s="336">
        <v>1970</v>
      </c>
      <c r="BC138" s="334">
        <v>338.86799999999999</v>
      </c>
      <c r="BD138" s="336">
        <v>1970</v>
      </c>
      <c r="BE138" s="334">
        <v>353.51400000000001</v>
      </c>
    </row>
    <row r="139" spans="3:57">
      <c r="C139" s="379">
        <v>92</v>
      </c>
      <c r="D139" s="673">
        <v>1.002378</v>
      </c>
      <c r="E139" s="673"/>
      <c r="V139" s="346">
        <v>2000</v>
      </c>
      <c r="W139" s="333">
        <v>706.69200000000001</v>
      </c>
      <c r="X139" s="346">
        <v>2010</v>
      </c>
      <c r="Y139" s="334">
        <v>701.41800000000001</v>
      </c>
      <c r="Z139" s="335">
        <v>2000</v>
      </c>
      <c r="AA139" s="334">
        <v>1469.5519999999999</v>
      </c>
      <c r="AB139" s="336">
        <v>2000</v>
      </c>
      <c r="AC139" s="334">
        <v>1467.837</v>
      </c>
      <c r="AD139" s="336">
        <v>2000</v>
      </c>
      <c r="AE139" s="334">
        <v>1246.7260000000001</v>
      </c>
      <c r="AF139" s="336">
        <v>2000</v>
      </c>
      <c r="AG139" s="334">
        <v>1246.4939999999999</v>
      </c>
      <c r="AH139" s="336">
        <v>2000</v>
      </c>
      <c r="AI139" s="334">
        <v>1246.4839999999999</v>
      </c>
      <c r="AJ139" s="336">
        <v>1980</v>
      </c>
      <c r="AK139" s="334">
        <v>1247.558</v>
      </c>
      <c r="AL139" s="336">
        <v>2000</v>
      </c>
      <c r="AM139" s="334">
        <v>1247.1489999999999</v>
      </c>
      <c r="AN139" s="336">
        <v>2000</v>
      </c>
      <c r="AO139" s="334">
        <v>1247.52</v>
      </c>
      <c r="AP139" s="336">
        <v>1990</v>
      </c>
      <c r="AQ139" s="334">
        <v>1245.768</v>
      </c>
      <c r="AR139" s="336">
        <v>2000</v>
      </c>
      <c r="AS139" s="334">
        <v>1245.6790000000001</v>
      </c>
      <c r="AT139" s="336">
        <v>2000</v>
      </c>
      <c r="AU139" s="334">
        <v>1244.3699999999999</v>
      </c>
      <c r="AV139" s="336">
        <v>2000</v>
      </c>
      <c r="AW139" s="334">
        <v>1243.6849999999999</v>
      </c>
      <c r="AX139" s="336">
        <v>1990</v>
      </c>
      <c r="AY139" s="334">
        <v>1168.0840000000001</v>
      </c>
      <c r="AZ139" s="336">
        <v>2000</v>
      </c>
      <c r="BA139" s="337">
        <v>1169.0650000000001</v>
      </c>
      <c r="BB139" s="336">
        <v>1980</v>
      </c>
      <c r="BC139" s="334">
        <v>338.49099999999999</v>
      </c>
      <c r="BD139" s="336">
        <v>1980</v>
      </c>
      <c r="BE139" s="334">
        <v>353.12299999999999</v>
      </c>
    </row>
    <row r="140" spans="3:57">
      <c r="C140" s="379">
        <v>93</v>
      </c>
      <c r="D140" s="673">
        <v>1.0024109999999999</v>
      </c>
      <c r="E140" s="673"/>
      <c r="V140" s="346">
        <v>2010</v>
      </c>
      <c r="W140" s="333">
        <v>705.92700000000002</v>
      </c>
      <c r="X140" s="346">
        <v>2020</v>
      </c>
      <c r="Y140" s="334">
        <v>700.66099999999994</v>
      </c>
      <c r="Z140" s="335">
        <v>2010</v>
      </c>
      <c r="AA140" s="334">
        <v>1468.106</v>
      </c>
      <c r="AB140" s="336">
        <v>2010</v>
      </c>
      <c r="AC140" s="334">
        <v>1466.396</v>
      </c>
      <c r="AD140" s="336">
        <v>2010</v>
      </c>
      <c r="AE140" s="334">
        <v>1245.5630000000001</v>
      </c>
      <c r="AF140" s="336">
        <v>2010</v>
      </c>
      <c r="AG140" s="334">
        <v>1245.3309999999999</v>
      </c>
      <c r="AH140" s="336">
        <v>2010</v>
      </c>
      <c r="AI140" s="334">
        <v>1245.32</v>
      </c>
      <c r="AJ140" s="336">
        <v>1990</v>
      </c>
      <c r="AK140" s="334">
        <v>1246.395</v>
      </c>
      <c r="AL140" s="336">
        <v>2010</v>
      </c>
      <c r="AM140" s="334">
        <v>1245.9860000000001</v>
      </c>
      <c r="AN140" s="336">
        <v>2010</v>
      </c>
      <c r="AO140" s="334">
        <v>1246.3589999999999</v>
      </c>
      <c r="AP140" s="336">
        <v>2000</v>
      </c>
      <c r="AQ140" s="334">
        <v>1244.6079999999999</v>
      </c>
      <c r="AR140" s="336">
        <v>2010</v>
      </c>
      <c r="AS140" s="334">
        <v>1244.519</v>
      </c>
      <c r="AT140" s="336">
        <v>2010</v>
      </c>
      <c r="AU140" s="334">
        <v>1243.2090000000001</v>
      </c>
      <c r="AV140" s="336">
        <v>2010</v>
      </c>
      <c r="AW140" s="334">
        <v>1242.527</v>
      </c>
      <c r="AX140" s="336">
        <v>2000</v>
      </c>
      <c r="AY140" s="334">
        <v>1166.924</v>
      </c>
      <c r="AZ140" s="336">
        <v>2010</v>
      </c>
      <c r="BA140" s="337">
        <v>1167.9069999999999</v>
      </c>
      <c r="BB140" s="336">
        <v>1990</v>
      </c>
      <c r="BC140" s="334">
        <v>338.11399999999998</v>
      </c>
      <c r="BD140" s="336">
        <v>1990</v>
      </c>
      <c r="BE140" s="334">
        <v>352.73200000000003</v>
      </c>
    </row>
    <row r="141" spans="3:57">
      <c r="C141" s="379">
        <v>94</v>
      </c>
      <c r="D141" s="673">
        <v>1.0024439999999999</v>
      </c>
      <c r="E141" s="673"/>
      <c r="V141" s="346">
        <v>2020</v>
      </c>
      <c r="W141" s="333">
        <v>705.16300000000001</v>
      </c>
      <c r="X141" s="346">
        <v>2030</v>
      </c>
      <c r="Y141" s="334">
        <v>699.90300000000002</v>
      </c>
      <c r="Z141" s="335">
        <v>2020</v>
      </c>
      <c r="AA141" s="334">
        <v>1466.66</v>
      </c>
      <c r="AB141" s="336">
        <v>2020</v>
      </c>
      <c r="AC141" s="334">
        <v>1464.9549999999999</v>
      </c>
      <c r="AD141" s="336">
        <v>2020</v>
      </c>
      <c r="AE141" s="334">
        <v>1244.3989999999999</v>
      </c>
      <c r="AF141" s="336">
        <v>2020</v>
      </c>
      <c r="AG141" s="334">
        <v>1244.1679999999999</v>
      </c>
      <c r="AH141" s="336">
        <v>2020</v>
      </c>
      <c r="AI141" s="334">
        <v>1244.1569999999999</v>
      </c>
      <c r="AJ141" s="336">
        <v>2000</v>
      </c>
      <c r="AK141" s="334">
        <v>1245.2329999999999</v>
      </c>
      <c r="AL141" s="336">
        <v>2020</v>
      </c>
      <c r="AM141" s="334">
        <v>1244.8240000000001</v>
      </c>
      <c r="AN141" s="336">
        <v>2020</v>
      </c>
      <c r="AO141" s="334">
        <v>1245.1969999999999</v>
      </c>
      <c r="AP141" s="336">
        <v>2010</v>
      </c>
      <c r="AQ141" s="334">
        <v>1243.4490000000001</v>
      </c>
      <c r="AR141" s="336">
        <v>2020</v>
      </c>
      <c r="AS141" s="334">
        <v>1243.3589999999999</v>
      </c>
      <c r="AT141" s="336">
        <v>2020</v>
      </c>
      <c r="AU141" s="334">
        <v>1242.048</v>
      </c>
      <c r="AV141" s="336">
        <v>2020</v>
      </c>
      <c r="AW141" s="334">
        <v>1241.3679999999999</v>
      </c>
      <c r="AX141" s="336">
        <v>2010</v>
      </c>
      <c r="AY141" s="334">
        <v>1165.7629999999999</v>
      </c>
      <c r="AZ141" s="336">
        <v>2020</v>
      </c>
      <c r="BA141" s="337">
        <v>1166.748</v>
      </c>
      <c r="BB141" s="336">
        <v>2000</v>
      </c>
      <c r="BC141" s="334">
        <v>337.73599999999999</v>
      </c>
      <c r="BD141" s="336">
        <v>2000</v>
      </c>
      <c r="BE141" s="334">
        <v>352.34</v>
      </c>
    </row>
    <row r="142" spans="3:57">
      <c r="C142" s="379">
        <v>95</v>
      </c>
      <c r="D142" s="673">
        <v>1.0024770000000001</v>
      </c>
      <c r="E142" s="673"/>
      <c r="V142" s="346">
        <v>2030</v>
      </c>
      <c r="W142" s="333">
        <v>704.39800000000002</v>
      </c>
      <c r="X142" s="346">
        <v>2040</v>
      </c>
      <c r="Y142" s="334">
        <v>699.14599999999996</v>
      </c>
      <c r="Z142" s="335">
        <v>2030</v>
      </c>
      <c r="AA142" s="334">
        <v>1465.2139999999999</v>
      </c>
      <c r="AB142" s="336">
        <v>2030</v>
      </c>
      <c r="AC142" s="334">
        <v>1463.5129999999999</v>
      </c>
      <c r="AD142" s="336">
        <v>2030</v>
      </c>
      <c r="AE142" s="334">
        <v>1243.2349999999999</v>
      </c>
      <c r="AF142" s="336">
        <v>2030</v>
      </c>
      <c r="AG142" s="334">
        <v>1243.0050000000001</v>
      </c>
      <c r="AH142" s="336">
        <v>2030</v>
      </c>
      <c r="AI142" s="334">
        <v>1242.9939999999999</v>
      </c>
      <c r="AJ142" s="336">
        <v>2010</v>
      </c>
      <c r="AK142" s="334">
        <v>1244.07</v>
      </c>
      <c r="AL142" s="336">
        <v>2030</v>
      </c>
      <c r="AM142" s="334">
        <v>1243.6610000000001</v>
      </c>
      <c r="AN142" s="336">
        <v>2030</v>
      </c>
      <c r="AO142" s="334">
        <v>1244.0350000000001</v>
      </c>
      <c r="AP142" s="336">
        <v>2020</v>
      </c>
      <c r="AQ142" s="334">
        <v>1242.289</v>
      </c>
      <c r="AR142" s="336">
        <v>2030</v>
      </c>
      <c r="AS142" s="334">
        <v>1242.1990000000001</v>
      </c>
      <c r="AT142" s="336">
        <v>2030</v>
      </c>
      <c r="AU142" s="334">
        <v>1240.8869999999999</v>
      </c>
      <c r="AV142" s="336">
        <v>2030</v>
      </c>
      <c r="AW142" s="334">
        <v>1240.21</v>
      </c>
      <c r="AX142" s="336">
        <v>2020</v>
      </c>
      <c r="AY142" s="334">
        <v>1164.6030000000001</v>
      </c>
      <c r="AZ142" s="336">
        <v>2030</v>
      </c>
      <c r="BA142" s="337">
        <v>1165.5889999999999</v>
      </c>
      <c r="BB142" s="336">
        <v>2010</v>
      </c>
      <c r="BC142" s="334">
        <v>337.35899999999998</v>
      </c>
      <c r="BD142" s="336">
        <v>2010</v>
      </c>
      <c r="BE142" s="334">
        <v>351.94900000000001</v>
      </c>
    </row>
    <row r="143" spans="3:57">
      <c r="C143" s="379">
        <v>96</v>
      </c>
      <c r="D143" s="673">
        <v>1.00251</v>
      </c>
      <c r="E143" s="673"/>
      <c r="V143" s="346">
        <v>2040</v>
      </c>
      <c r="W143" s="333">
        <v>703.63300000000004</v>
      </c>
      <c r="X143" s="346">
        <v>2050</v>
      </c>
      <c r="Y143" s="334">
        <v>698.38699999999994</v>
      </c>
      <c r="Z143" s="335">
        <v>2040</v>
      </c>
      <c r="AA143" s="334">
        <v>1463.7670000000001</v>
      </c>
      <c r="AB143" s="336">
        <v>2040</v>
      </c>
      <c r="AC143" s="334">
        <v>1462.07</v>
      </c>
      <c r="AD143" s="336">
        <v>2040</v>
      </c>
      <c r="AE143" s="334">
        <v>1242.0709999999999</v>
      </c>
      <c r="AF143" s="336">
        <v>2040</v>
      </c>
      <c r="AG143" s="334">
        <v>1241.8409999999999</v>
      </c>
      <c r="AH143" s="336">
        <v>2040</v>
      </c>
      <c r="AI143" s="334">
        <v>1241.83</v>
      </c>
      <c r="AJ143" s="336">
        <v>2020</v>
      </c>
      <c r="AK143" s="334">
        <v>1242.9059999999999</v>
      </c>
      <c r="AL143" s="336">
        <v>2040</v>
      </c>
      <c r="AM143" s="334">
        <v>1242.4970000000001</v>
      </c>
      <c r="AN143" s="336">
        <v>2040</v>
      </c>
      <c r="AO143" s="334">
        <v>1242.8720000000001</v>
      </c>
      <c r="AP143" s="336">
        <v>2030</v>
      </c>
      <c r="AQ143" s="334">
        <v>1241.1289999999999</v>
      </c>
      <c r="AR143" s="336">
        <v>2040</v>
      </c>
      <c r="AS143" s="334">
        <v>1241.038</v>
      </c>
      <c r="AT143" s="336">
        <v>2040</v>
      </c>
      <c r="AU143" s="334">
        <v>1239.7249999999999</v>
      </c>
      <c r="AV143" s="336">
        <v>2040</v>
      </c>
      <c r="AW143" s="334">
        <v>1239.0509999999999</v>
      </c>
      <c r="AX143" s="336">
        <v>2030</v>
      </c>
      <c r="AY143" s="334">
        <v>1163.442</v>
      </c>
      <c r="AZ143" s="336">
        <v>2040</v>
      </c>
      <c r="BA143" s="337">
        <v>1164.4290000000001</v>
      </c>
      <c r="BB143" s="336">
        <v>2020</v>
      </c>
      <c r="BC143" s="334">
        <v>336.98099999999999</v>
      </c>
      <c r="BD143" s="336">
        <v>2020</v>
      </c>
      <c r="BE143" s="334">
        <v>351.55799999999999</v>
      </c>
    </row>
    <row r="144" spans="3:57">
      <c r="C144" s="379">
        <v>97</v>
      </c>
      <c r="D144" s="673">
        <v>1.002543</v>
      </c>
      <c r="E144" s="673"/>
      <c r="V144" s="346">
        <v>2050</v>
      </c>
      <c r="W144" s="333">
        <v>702.86699999999996</v>
      </c>
      <c r="X144" s="346">
        <v>2060</v>
      </c>
      <c r="Y144" s="334">
        <v>697.62900000000002</v>
      </c>
      <c r="Z144" s="335">
        <v>2050</v>
      </c>
      <c r="AA144" s="334">
        <v>1462.3209999999999</v>
      </c>
      <c r="AB144" s="336">
        <v>2050</v>
      </c>
      <c r="AC144" s="334">
        <v>1460.6279999999999</v>
      </c>
      <c r="AD144" s="336">
        <v>2050</v>
      </c>
      <c r="AE144" s="334">
        <v>1240.9059999999999</v>
      </c>
      <c r="AF144" s="336">
        <v>2050</v>
      </c>
      <c r="AG144" s="334">
        <v>1240.6769999999999</v>
      </c>
      <c r="AH144" s="336">
        <v>2050</v>
      </c>
      <c r="AI144" s="334">
        <v>1240.6659999999999</v>
      </c>
      <c r="AJ144" s="336">
        <v>2030</v>
      </c>
      <c r="AK144" s="334">
        <v>1241.7429999999999</v>
      </c>
      <c r="AL144" s="336">
        <v>2050</v>
      </c>
      <c r="AM144" s="334">
        <v>1241.3340000000001</v>
      </c>
      <c r="AN144" s="336">
        <v>2050</v>
      </c>
      <c r="AO144" s="334">
        <v>1241.71</v>
      </c>
      <c r="AP144" s="336">
        <v>2040</v>
      </c>
      <c r="AQ144" s="334">
        <v>1239.9680000000001</v>
      </c>
      <c r="AR144" s="336">
        <v>2050</v>
      </c>
      <c r="AS144" s="334">
        <v>1239.8779999999999</v>
      </c>
      <c r="AT144" s="336">
        <v>2050</v>
      </c>
      <c r="AU144" s="334">
        <v>1238.5640000000001</v>
      </c>
      <c r="AV144" s="336">
        <v>2050</v>
      </c>
      <c r="AW144" s="334">
        <v>1237.8910000000001</v>
      </c>
      <c r="AX144" s="336">
        <v>2040</v>
      </c>
      <c r="AY144" s="334">
        <v>1162.28</v>
      </c>
      <c r="AZ144" s="336">
        <v>2050</v>
      </c>
      <c r="BA144" s="337">
        <v>1163.27</v>
      </c>
      <c r="BB144" s="336">
        <v>2030</v>
      </c>
      <c r="BC144" s="334">
        <v>336.60399999999998</v>
      </c>
      <c r="BD144" s="336">
        <v>2030</v>
      </c>
      <c r="BE144" s="334">
        <v>351.166</v>
      </c>
    </row>
    <row r="145" spans="3:57">
      <c r="C145" s="379">
        <v>98</v>
      </c>
      <c r="D145" s="673">
        <v>1.0025759999999999</v>
      </c>
      <c r="E145" s="673"/>
      <c r="V145" s="346">
        <v>2060</v>
      </c>
      <c r="W145" s="333">
        <v>702.10199999999998</v>
      </c>
      <c r="X145" s="346">
        <v>2070</v>
      </c>
      <c r="Y145" s="334">
        <v>696.87099999999998</v>
      </c>
      <c r="Z145" s="335">
        <v>2060</v>
      </c>
      <c r="AA145" s="334">
        <v>1460.873</v>
      </c>
      <c r="AB145" s="336">
        <v>2060</v>
      </c>
      <c r="AC145" s="334">
        <v>1459.1849999999999</v>
      </c>
      <c r="AD145" s="336">
        <v>2060</v>
      </c>
      <c r="AE145" s="334">
        <v>1239.742</v>
      </c>
      <c r="AF145" s="336">
        <v>2060</v>
      </c>
      <c r="AG145" s="334">
        <v>1239.5129999999999</v>
      </c>
      <c r="AH145" s="336">
        <v>2060</v>
      </c>
      <c r="AI145" s="334">
        <v>1239.502</v>
      </c>
      <c r="AJ145" s="336">
        <v>2040</v>
      </c>
      <c r="AK145" s="334">
        <v>1240.579</v>
      </c>
      <c r="AL145" s="336">
        <v>2060</v>
      </c>
      <c r="AM145" s="334">
        <v>1240.17</v>
      </c>
      <c r="AN145" s="336">
        <v>2060</v>
      </c>
      <c r="AO145" s="334">
        <v>1240.547</v>
      </c>
      <c r="AP145" s="336">
        <v>2050</v>
      </c>
      <c r="AQ145" s="334">
        <v>1238.808</v>
      </c>
      <c r="AR145" s="336">
        <v>2060</v>
      </c>
      <c r="AS145" s="334">
        <v>1238.7170000000001</v>
      </c>
      <c r="AT145" s="336">
        <v>2060</v>
      </c>
      <c r="AU145" s="334">
        <v>1237.402</v>
      </c>
      <c r="AV145" s="336">
        <v>2060</v>
      </c>
      <c r="AW145" s="334">
        <v>1236.732</v>
      </c>
      <c r="AX145" s="336">
        <v>2050</v>
      </c>
      <c r="AY145" s="334">
        <v>1161.1189999999999</v>
      </c>
      <c r="AZ145" s="336">
        <v>2060</v>
      </c>
      <c r="BA145" s="337">
        <v>1162.1099999999999</v>
      </c>
      <c r="BB145" s="336">
        <v>2040</v>
      </c>
      <c r="BC145" s="334">
        <v>336.226</v>
      </c>
      <c r="BD145" s="336">
        <v>2040</v>
      </c>
      <c r="BE145" s="334">
        <v>350.77499999999998</v>
      </c>
    </row>
    <row r="146" spans="3:57">
      <c r="C146" s="379">
        <v>99</v>
      </c>
      <c r="D146" s="673">
        <v>1.0026090000000001</v>
      </c>
      <c r="E146" s="673"/>
      <c r="V146" s="346">
        <v>2070</v>
      </c>
      <c r="W146" s="333">
        <v>701.33600000000001</v>
      </c>
      <c r="X146" s="346">
        <v>2080</v>
      </c>
      <c r="Y146" s="334">
        <v>696.11199999999997</v>
      </c>
      <c r="Z146" s="335">
        <v>2070</v>
      </c>
      <c r="AA146" s="334">
        <v>1459.4259999999999</v>
      </c>
      <c r="AB146" s="336">
        <v>2070</v>
      </c>
      <c r="AC146" s="334">
        <v>1457.742</v>
      </c>
      <c r="AD146" s="336">
        <v>2070</v>
      </c>
      <c r="AE146" s="334">
        <v>1238.577</v>
      </c>
      <c r="AF146" s="336">
        <v>2070</v>
      </c>
      <c r="AG146" s="334">
        <v>1238.3489999999999</v>
      </c>
      <c r="AH146" s="336">
        <v>2070</v>
      </c>
      <c r="AI146" s="334">
        <v>1238.337</v>
      </c>
      <c r="AJ146" s="336">
        <v>2050</v>
      </c>
      <c r="AK146" s="334">
        <v>1239.415</v>
      </c>
      <c r="AL146" s="336">
        <v>2070</v>
      </c>
      <c r="AM146" s="334">
        <v>1239.0060000000001</v>
      </c>
      <c r="AN146" s="336">
        <v>2070</v>
      </c>
      <c r="AO146" s="334">
        <v>1239.384</v>
      </c>
      <c r="AP146" s="336">
        <v>2060</v>
      </c>
      <c r="AQ146" s="334">
        <v>1237.6469999999999</v>
      </c>
      <c r="AR146" s="336">
        <v>2070</v>
      </c>
      <c r="AS146" s="334">
        <v>1237.556</v>
      </c>
      <c r="AT146" s="336">
        <v>2070</v>
      </c>
      <c r="AU146" s="334">
        <v>1236.239</v>
      </c>
      <c r="AV146" s="336">
        <v>2070</v>
      </c>
      <c r="AW146" s="334">
        <v>1235.5719999999999</v>
      </c>
      <c r="AX146" s="336">
        <v>2060</v>
      </c>
      <c r="AY146" s="334">
        <v>1159.9570000000001</v>
      </c>
      <c r="AZ146" s="336">
        <v>2070</v>
      </c>
      <c r="BA146" s="337">
        <v>1160.95</v>
      </c>
      <c r="BB146" s="336">
        <v>2050</v>
      </c>
      <c r="BC146" s="334">
        <v>335.84800000000001</v>
      </c>
      <c r="BD146" s="336">
        <v>2050</v>
      </c>
      <c r="BE146" s="334">
        <v>350.38299999999998</v>
      </c>
    </row>
    <row r="147" spans="3:57">
      <c r="C147" s="379">
        <v>100</v>
      </c>
      <c r="D147" s="673">
        <v>1.002642</v>
      </c>
      <c r="E147" s="673"/>
      <c r="V147" s="346">
        <v>2080</v>
      </c>
      <c r="W147" s="333">
        <v>700.57</v>
      </c>
      <c r="X147" s="346">
        <v>2090</v>
      </c>
      <c r="Y147" s="334">
        <v>695.35299999999995</v>
      </c>
      <c r="Z147" s="335">
        <v>2080</v>
      </c>
      <c r="AA147" s="334">
        <v>1457.9780000000001</v>
      </c>
      <c r="AB147" s="336">
        <v>2080</v>
      </c>
      <c r="AC147" s="334">
        <v>1456.298</v>
      </c>
      <c r="AD147" s="336">
        <v>2080</v>
      </c>
      <c r="AE147" s="334">
        <v>1237.412</v>
      </c>
      <c r="AF147" s="336">
        <v>2080</v>
      </c>
      <c r="AG147" s="334">
        <v>1237.184</v>
      </c>
      <c r="AH147" s="336">
        <v>2080</v>
      </c>
      <c r="AI147" s="334">
        <v>1237.172</v>
      </c>
      <c r="AJ147" s="336">
        <v>2060</v>
      </c>
      <c r="AK147" s="334">
        <v>1238.251</v>
      </c>
      <c r="AL147" s="336">
        <v>2080</v>
      </c>
      <c r="AM147" s="334">
        <v>1237.8420000000001</v>
      </c>
      <c r="AN147" s="336">
        <v>2080</v>
      </c>
      <c r="AO147" s="334">
        <v>1238.221</v>
      </c>
      <c r="AP147" s="336">
        <v>2070</v>
      </c>
      <c r="AQ147" s="334">
        <v>1236.4860000000001</v>
      </c>
      <c r="AR147" s="336">
        <v>2080</v>
      </c>
      <c r="AS147" s="334">
        <v>1236.394</v>
      </c>
      <c r="AT147" s="336">
        <v>2080</v>
      </c>
      <c r="AU147" s="334">
        <v>1235.077</v>
      </c>
      <c r="AV147" s="336">
        <v>2080</v>
      </c>
      <c r="AW147" s="334">
        <v>1234.412</v>
      </c>
      <c r="AX147" s="336">
        <v>2070</v>
      </c>
      <c r="AY147" s="334">
        <v>1158.7950000000001</v>
      </c>
      <c r="AZ147" s="336">
        <v>2080</v>
      </c>
      <c r="BA147" s="337">
        <v>1159.79</v>
      </c>
      <c r="BB147" s="336">
        <v>2060</v>
      </c>
      <c r="BC147" s="334">
        <v>335.47</v>
      </c>
      <c r="BD147" s="336">
        <v>2060</v>
      </c>
      <c r="BE147" s="334">
        <v>349.99099999999999</v>
      </c>
    </row>
    <row r="148" spans="3:57">
      <c r="V148" s="346">
        <v>2090</v>
      </c>
      <c r="W148" s="333">
        <v>699.80399999999997</v>
      </c>
      <c r="X148" s="346">
        <v>2100</v>
      </c>
      <c r="Y148" s="334">
        <v>694.59400000000005</v>
      </c>
      <c r="Z148" s="335">
        <v>2090</v>
      </c>
      <c r="AA148" s="334">
        <v>1456.53</v>
      </c>
      <c r="AB148" s="336">
        <v>2090</v>
      </c>
      <c r="AC148" s="334">
        <v>1454.855</v>
      </c>
      <c r="AD148" s="336">
        <v>2090</v>
      </c>
      <c r="AE148" s="334">
        <v>1236.2460000000001</v>
      </c>
      <c r="AF148" s="336">
        <v>2090</v>
      </c>
      <c r="AG148" s="334">
        <v>1236.019</v>
      </c>
      <c r="AH148" s="336">
        <v>2090</v>
      </c>
      <c r="AI148" s="334">
        <v>1236.0070000000001</v>
      </c>
      <c r="AJ148" s="336">
        <v>2070</v>
      </c>
      <c r="AK148" s="334">
        <v>1237.087</v>
      </c>
      <c r="AL148" s="336">
        <v>2090</v>
      </c>
      <c r="AM148" s="334">
        <v>1236.6780000000001</v>
      </c>
      <c r="AN148" s="336">
        <v>2090</v>
      </c>
      <c r="AO148" s="334">
        <v>1237.057</v>
      </c>
      <c r="AP148" s="336">
        <v>2080</v>
      </c>
      <c r="AQ148" s="334">
        <v>1235.325</v>
      </c>
      <c r="AR148" s="336">
        <v>2090</v>
      </c>
      <c r="AS148" s="334">
        <v>1235.2329999999999</v>
      </c>
      <c r="AT148" s="336">
        <v>2090</v>
      </c>
      <c r="AU148" s="334">
        <v>1233.914</v>
      </c>
      <c r="AV148" s="336">
        <v>2090</v>
      </c>
      <c r="AW148" s="334">
        <v>1233.252</v>
      </c>
      <c r="AX148" s="336">
        <v>2080</v>
      </c>
      <c r="AY148" s="334">
        <v>1157.633</v>
      </c>
      <c r="AZ148" s="336">
        <v>2090</v>
      </c>
      <c r="BA148" s="337">
        <v>1158.6289999999999</v>
      </c>
      <c r="BB148" s="336">
        <v>2070</v>
      </c>
      <c r="BC148" s="334">
        <v>335.09199999999998</v>
      </c>
      <c r="BD148" s="336">
        <v>2070</v>
      </c>
      <c r="BE148" s="334">
        <v>349.59899999999999</v>
      </c>
    </row>
    <row r="149" spans="3:57">
      <c r="V149" s="346">
        <v>2100</v>
      </c>
      <c r="W149" s="333">
        <v>699.03800000000001</v>
      </c>
      <c r="X149" s="346">
        <v>2110</v>
      </c>
      <c r="Y149" s="334">
        <v>693.83500000000004</v>
      </c>
      <c r="Z149" s="335">
        <v>2100</v>
      </c>
      <c r="AA149" s="334">
        <v>1455.0820000000001</v>
      </c>
      <c r="AB149" s="336">
        <v>2100</v>
      </c>
      <c r="AC149" s="334">
        <v>1453.4110000000001</v>
      </c>
      <c r="AD149" s="336">
        <v>2100</v>
      </c>
      <c r="AE149" s="334">
        <v>1235.0809999999999</v>
      </c>
      <c r="AF149" s="336">
        <v>2100</v>
      </c>
      <c r="AG149" s="334">
        <v>1234.854</v>
      </c>
      <c r="AH149" s="336">
        <v>2100</v>
      </c>
      <c r="AI149" s="334">
        <v>1234.8420000000001</v>
      </c>
      <c r="AJ149" s="336">
        <v>2080</v>
      </c>
      <c r="AK149" s="334">
        <v>1235.922</v>
      </c>
      <c r="AL149" s="336">
        <v>2100</v>
      </c>
      <c r="AM149" s="334">
        <v>1235.5129999999999</v>
      </c>
      <c r="AN149" s="336">
        <v>2100</v>
      </c>
      <c r="AO149" s="334">
        <v>1235.893</v>
      </c>
      <c r="AP149" s="336">
        <v>2090</v>
      </c>
      <c r="AQ149" s="334">
        <v>1234.163</v>
      </c>
      <c r="AR149" s="336">
        <v>2100</v>
      </c>
      <c r="AS149" s="334">
        <v>1234.0709999999999</v>
      </c>
      <c r="AT149" s="336">
        <v>2100</v>
      </c>
      <c r="AU149" s="334">
        <v>1232.751</v>
      </c>
      <c r="AV149" s="336">
        <v>2100</v>
      </c>
      <c r="AW149" s="334">
        <v>1232.0920000000001</v>
      </c>
      <c r="AX149" s="336">
        <v>2090</v>
      </c>
      <c r="AY149" s="334">
        <v>1156.47</v>
      </c>
      <c r="AZ149" s="336">
        <v>2100</v>
      </c>
      <c r="BA149" s="337">
        <v>1157.4680000000001</v>
      </c>
      <c r="BB149" s="336">
        <v>2080</v>
      </c>
      <c r="BC149" s="334">
        <v>334.714</v>
      </c>
      <c r="BD149" s="336">
        <v>2080</v>
      </c>
      <c r="BE149" s="334">
        <v>349.20699999999999</v>
      </c>
    </row>
    <row r="150" spans="3:57">
      <c r="V150" s="346">
        <v>2110</v>
      </c>
      <c r="W150" s="333">
        <v>698.27200000000005</v>
      </c>
      <c r="X150" s="346">
        <v>2120</v>
      </c>
      <c r="Y150" s="334">
        <v>693.07500000000005</v>
      </c>
      <c r="Z150" s="335">
        <v>2110</v>
      </c>
      <c r="AA150" s="334">
        <v>1453.633</v>
      </c>
      <c r="AB150" s="336">
        <v>2110</v>
      </c>
      <c r="AC150" s="334">
        <v>1451.9659999999999</v>
      </c>
      <c r="AD150" s="336">
        <v>2110</v>
      </c>
      <c r="AE150" s="334">
        <v>1233.915</v>
      </c>
      <c r="AF150" s="336">
        <v>2110</v>
      </c>
      <c r="AG150" s="334">
        <v>1233.6890000000001</v>
      </c>
      <c r="AH150" s="336">
        <v>2110</v>
      </c>
      <c r="AI150" s="334">
        <v>1233.6769999999999</v>
      </c>
      <c r="AJ150" s="336">
        <v>2090</v>
      </c>
      <c r="AK150" s="334">
        <v>1234.7570000000001</v>
      </c>
      <c r="AL150" s="336">
        <v>2110</v>
      </c>
      <c r="AM150" s="334">
        <v>1234.348</v>
      </c>
      <c r="AN150" s="336">
        <v>2110</v>
      </c>
      <c r="AO150" s="334">
        <v>1234.729</v>
      </c>
      <c r="AP150" s="336">
        <v>2100</v>
      </c>
      <c r="AQ150" s="334">
        <v>1233.002</v>
      </c>
      <c r="AR150" s="336">
        <v>2110</v>
      </c>
      <c r="AS150" s="334">
        <v>1232.9079999999999</v>
      </c>
      <c r="AT150" s="336">
        <v>2110</v>
      </c>
      <c r="AU150" s="334">
        <v>1231.588</v>
      </c>
      <c r="AV150" s="336">
        <v>2110</v>
      </c>
      <c r="AW150" s="334">
        <v>1230.931</v>
      </c>
      <c r="AX150" s="336">
        <v>2100</v>
      </c>
      <c r="AY150" s="334">
        <v>1155.307</v>
      </c>
      <c r="AZ150" s="336">
        <v>2110</v>
      </c>
      <c r="BA150" s="337">
        <v>1156.307</v>
      </c>
      <c r="BB150" s="336">
        <v>2090</v>
      </c>
      <c r="BC150" s="334">
        <v>334.33600000000001</v>
      </c>
      <c r="BD150" s="336">
        <v>2090</v>
      </c>
      <c r="BE150" s="334">
        <v>348.815</v>
      </c>
    </row>
    <row r="151" spans="3:57">
      <c r="V151" s="346">
        <v>2120</v>
      </c>
      <c r="W151" s="333">
        <v>697.505</v>
      </c>
      <c r="X151" s="346">
        <v>2130</v>
      </c>
      <c r="Y151" s="334">
        <v>692.31600000000003</v>
      </c>
      <c r="Z151" s="335">
        <v>2120</v>
      </c>
      <c r="AA151" s="334">
        <v>1452.184</v>
      </c>
      <c r="AB151" s="336">
        <v>2120</v>
      </c>
      <c r="AC151" s="334">
        <v>1450.5219999999999</v>
      </c>
      <c r="AD151" s="336">
        <v>2120</v>
      </c>
      <c r="AE151" s="334">
        <v>1232.749</v>
      </c>
      <c r="AF151" s="336">
        <v>2120</v>
      </c>
      <c r="AG151" s="334">
        <v>1232.5229999999999</v>
      </c>
      <c r="AH151" s="336">
        <v>2120</v>
      </c>
      <c r="AI151" s="334">
        <v>1232.511</v>
      </c>
      <c r="AJ151" s="336">
        <v>2100</v>
      </c>
      <c r="AK151" s="334">
        <v>1233.5920000000001</v>
      </c>
      <c r="AL151" s="336">
        <v>2120</v>
      </c>
      <c r="AM151" s="334">
        <v>1233.183</v>
      </c>
      <c r="AN151" s="336">
        <v>2120</v>
      </c>
      <c r="AO151" s="334">
        <v>1233.5650000000001</v>
      </c>
      <c r="AP151" s="336">
        <v>2110</v>
      </c>
      <c r="AQ151" s="334">
        <v>1231.8389999999999</v>
      </c>
      <c r="AR151" s="336">
        <v>2120</v>
      </c>
      <c r="AS151" s="334">
        <v>1231.7460000000001</v>
      </c>
      <c r="AT151" s="336">
        <v>2120</v>
      </c>
      <c r="AU151" s="334">
        <v>1230.424</v>
      </c>
      <c r="AV151" s="336">
        <v>2120</v>
      </c>
      <c r="AW151" s="334">
        <v>1229.77</v>
      </c>
      <c r="AX151" s="336">
        <v>2110</v>
      </c>
      <c r="AY151" s="334">
        <v>1154.144</v>
      </c>
      <c r="AZ151" s="336">
        <v>2120</v>
      </c>
      <c r="BA151" s="337">
        <v>1155.146</v>
      </c>
      <c r="BB151" s="336">
        <v>2100</v>
      </c>
      <c r="BC151" s="334">
        <v>333.95800000000003</v>
      </c>
      <c r="BD151" s="336">
        <v>2100</v>
      </c>
      <c r="BE151" s="334">
        <v>348.423</v>
      </c>
    </row>
    <row r="152" spans="3:57">
      <c r="V152" s="346">
        <v>2130</v>
      </c>
      <c r="W152" s="333">
        <v>696.73800000000006</v>
      </c>
      <c r="X152" s="346">
        <v>2140</v>
      </c>
      <c r="Y152" s="334">
        <v>691.55600000000004</v>
      </c>
      <c r="Z152" s="335">
        <v>2130</v>
      </c>
      <c r="AA152" s="334">
        <v>1450.7349999999999</v>
      </c>
      <c r="AB152" s="336">
        <v>2130</v>
      </c>
      <c r="AC152" s="334">
        <v>1449.077</v>
      </c>
      <c r="AD152" s="336">
        <v>2130</v>
      </c>
      <c r="AE152" s="334">
        <v>1231.5820000000001</v>
      </c>
      <c r="AF152" s="336">
        <v>2130</v>
      </c>
      <c r="AG152" s="334">
        <v>1231.357</v>
      </c>
      <c r="AH152" s="336">
        <v>2130</v>
      </c>
      <c r="AI152" s="334">
        <v>1231.345</v>
      </c>
      <c r="AJ152" s="336">
        <v>2110</v>
      </c>
      <c r="AK152" s="334">
        <v>1232.4269999999999</v>
      </c>
      <c r="AL152" s="336">
        <v>2130</v>
      </c>
      <c r="AM152" s="334">
        <v>1232.0170000000001</v>
      </c>
      <c r="AN152" s="336">
        <v>2130</v>
      </c>
      <c r="AO152" s="334">
        <v>1232.4000000000001</v>
      </c>
      <c r="AP152" s="336">
        <v>2120</v>
      </c>
      <c r="AQ152" s="334">
        <v>1230.6769999999999</v>
      </c>
      <c r="AR152" s="336">
        <v>2130</v>
      </c>
      <c r="AS152" s="334">
        <v>1230.5830000000001</v>
      </c>
      <c r="AT152" s="336">
        <v>2130</v>
      </c>
      <c r="AU152" s="334">
        <v>1229.261</v>
      </c>
      <c r="AV152" s="336">
        <v>2130</v>
      </c>
      <c r="AW152" s="334">
        <v>1228.6089999999999</v>
      </c>
      <c r="AX152" s="336">
        <v>2120</v>
      </c>
      <c r="AY152" s="334">
        <v>1152.981</v>
      </c>
      <c r="AZ152" s="336">
        <v>2130</v>
      </c>
      <c r="BA152" s="337">
        <v>1153.9839999999999</v>
      </c>
      <c r="BB152" s="336">
        <v>2110</v>
      </c>
      <c r="BC152" s="334">
        <v>333.57900000000001</v>
      </c>
      <c r="BD152" s="336">
        <v>2110</v>
      </c>
      <c r="BE152" s="334">
        <v>348.03100000000001</v>
      </c>
    </row>
    <row r="153" spans="3:57">
      <c r="V153" s="346">
        <v>2140</v>
      </c>
      <c r="W153" s="333">
        <v>695.971</v>
      </c>
      <c r="X153" s="346">
        <v>2150</v>
      </c>
      <c r="Y153" s="334">
        <v>690.79600000000005</v>
      </c>
      <c r="Z153" s="335">
        <v>2140</v>
      </c>
      <c r="AA153" s="334">
        <v>1449.2850000000001</v>
      </c>
      <c r="AB153" s="336">
        <v>2140</v>
      </c>
      <c r="AC153" s="334">
        <v>1447.6320000000001</v>
      </c>
      <c r="AD153" s="336">
        <v>2140</v>
      </c>
      <c r="AE153" s="334">
        <v>1230.4159999999999</v>
      </c>
      <c r="AF153" s="336">
        <v>2140</v>
      </c>
      <c r="AG153" s="334">
        <v>1230.191</v>
      </c>
      <c r="AH153" s="336">
        <v>2140</v>
      </c>
      <c r="AI153" s="334">
        <v>1230.1790000000001</v>
      </c>
      <c r="AJ153" s="336">
        <v>2120</v>
      </c>
      <c r="AK153" s="334">
        <v>1231.261</v>
      </c>
      <c r="AL153" s="336">
        <v>2140</v>
      </c>
      <c r="AM153" s="334">
        <v>1230.8520000000001</v>
      </c>
      <c r="AN153" s="336">
        <v>2140</v>
      </c>
      <c r="AO153" s="334">
        <v>1231.2360000000001</v>
      </c>
      <c r="AP153" s="336">
        <v>2130</v>
      </c>
      <c r="AQ153" s="334">
        <v>1229.5150000000001</v>
      </c>
      <c r="AR153" s="336">
        <v>2140</v>
      </c>
      <c r="AS153" s="334">
        <v>1229.42</v>
      </c>
      <c r="AT153" s="336">
        <v>2140</v>
      </c>
      <c r="AU153" s="334">
        <v>1228.097</v>
      </c>
      <c r="AV153" s="336">
        <v>2140</v>
      </c>
      <c r="AW153" s="334">
        <v>1227.4480000000001</v>
      </c>
      <c r="AX153" s="336">
        <v>2130</v>
      </c>
      <c r="AY153" s="334">
        <v>1151.818</v>
      </c>
      <c r="AZ153" s="336">
        <v>2140</v>
      </c>
      <c r="BA153" s="337">
        <v>1152.8230000000001</v>
      </c>
      <c r="BB153" s="336">
        <v>2120</v>
      </c>
      <c r="BC153" s="334">
        <v>333.20100000000002</v>
      </c>
      <c r="BD153" s="336">
        <v>2120</v>
      </c>
      <c r="BE153" s="334">
        <v>347.63799999999998</v>
      </c>
    </row>
    <row r="154" spans="3:57">
      <c r="V154" s="346">
        <v>2150</v>
      </c>
      <c r="W154" s="333">
        <v>695.20399999999995</v>
      </c>
      <c r="X154" s="346">
        <v>2160</v>
      </c>
      <c r="Y154" s="334">
        <v>690.03599999999994</v>
      </c>
      <c r="Z154" s="335">
        <v>2150</v>
      </c>
      <c r="AA154" s="334">
        <v>1447.836</v>
      </c>
      <c r="AB154" s="336">
        <v>2150</v>
      </c>
      <c r="AC154" s="334">
        <v>1446.1859999999999</v>
      </c>
      <c r="AD154" s="336">
        <v>2150</v>
      </c>
      <c r="AE154" s="334">
        <v>1229.249</v>
      </c>
      <c r="AF154" s="336">
        <v>2150</v>
      </c>
      <c r="AG154" s="334">
        <v>1229.0250000000001</v>
      </c>
      <c r="AH154" s="336">
        <v>2150</v>
      </c>
      <c r="AI154" s="334">
        <v>1229.0119999999999</v>
      </c>
      <c r="AJ154" s="336">
        <v>2130</v>
      </c>
      <c r="AK154" s="334">
        <v>1230.095</v>
      </c>
      <c r="AL154" s="336">
        <v>2150</v>
      </c>
      <c r="AM154" s="334">
        <v>1229.6859999999999</v>
      </c>
      <c r="AN154" s="336">
        <v>2150</v>
      </c>
      <c r="AO154" s="334">
        <v>1230.0709999999999</v>
      </c>
      <c r="AP154" s="336">
        <v>2140</v>
      </c>
      <c r="AQ154" s="334">
        <v>1228.3520000000001</v>
      </c>
      <c r="AR154" s="336">
        <v>2150</v>
      </c>
      <c r="AS154" s="334">
        <v>1228.2570000000001</v>
      </c>
      <c r="AT154" s="336">
        <v>2150</v>
      </c>
      <c r="AU154" s="334">
        <v>1226.932</v>
      </c>
      <c r="AV154" s="336">
        <v>2150</v>
      </c>
      <c r="AW154" s="334">
        <v>1226.2860000000001</v>
      </c>
      <c r="AX154" s="336">
        <v>2140</v>
      </c>
      <c r="AY154" s="334">
        <v>1150.654</v>
      </c>
      <c r="AZ154" s="336">
        <v>2150</v>
      </c>
      <c r="BA154" s="337">
        <v>1151.6610000000001</v>
      </c>
      <c r="BB154" s="336">
        <v>2130</v>
      </c>
      <c r="BC154" s="334">
        <v>332.822</v>
      </c>
      <c r="BD154" s="336">
        <v>2130</v>
      </c>
      <c r="BE154" s="334">
        <v>347.24599999999998</v>
      </c>
    </row>
    <row r="155" spans="3:57">
      <c r="V155" s="346">
        <v>2160</v>
      </c>
      <c r="W155" s="333">
        <v>694.43600000000004</v>
      </c>
      <c r="X155" s="346">
        <v>2170</v>
      </c>
      <c r="Y155" s="334">
        <v>689.27499999999998</v>
      </c>
      <c r="Z155" s="335">
        <v>2160</v>
      </c>
      <c r="AA155" s="334">
        <v>1446.385</v>
      </c>
      <c r="AB155" s="336">
        <v>2160</v>
      </c>
      <c r="AC155" s="334">
        <v>1444.74</v>
      </c>
      <c r="AD155" s="336">
        <v>2160</v>
      </c>
      <c r="AE155" s="334">
        <v>1228.0820000000001</v>
      </c>
      <c r="AF155" s="336">
        <v>2160</v>
      </c>
      <c r="AG155" s="334">
        <v>1227.8589999999999</v>
      </c>
      <c r="AH155" s="336">
        <v>2160</v>
      </c>
      <c r="AI155" s="334">
        <v>1227.846</v>
      </c>
      <c r="AJ155" s="336">
        <v>2140</v>
      </c>
      <c r="AK155" s="334">
        <v>1228.9290000000001</v>
      </c>
      <c r="AL155" s="336">
        <v>2160</v>
      </c>
      <c r="AM155" s="334">
        <v>1228.52</v>
      </c>
      <c r="AN155" s="336">
        <v>2160</v>
      </c>
      <c r="AO155" s="334">
        <v>1228.905</v>
      </c>
      <c r="AP155" s="336">
        <v>2150</v>
      </c>
      <c r="AQ155" s="334">
        <v>1227.1890000000001</v>
      </c>
      <c r="AR155" s="336">
        <v>2160</v>
      </c>
      <c r="AS155" s="334">
        <v>1227.0940000000001</v>
      </c>
      <c r="AT155" s="336">
        <v>2160</v>
      </c>
      <c r="AU155" s="334">
        <v>1225.768</v>
      </c>
      <c r="AV155" s="336">
        <v>2160</v>
      </c>
      <c r="AW155" s="334">
        <v>1225.124</v>
      </c>
      <c r="AX155" s="336">
        <v>2150</v>
      </c>
      <c r="AY155" s="334">
        <v>1149.49</v>
      </c>
      <c r="AZ155" s="336">
        <v>2160</v>
      </c>
      <c r="BA155" s="337">
        <v>1150.498</v>
      </c>
      <c r="BB155" s="336">
        <v>2140</v>
      </c>
      <c r="BC155" s="334">
        <v>332.44400000000002</v>
      </c>
      <c r="BD155" s="336">
        <v>2140</v>
      </c>
      <c r="BE155" s="334">
        <v>346.85300000000001</v>
      </c>
    </row>
    <row r="156" spans="3:57">
      <c r="V156" s="346">
        <v>2170</v>
      </c>
      <c r="W156" s="333">
        <v>693.66899999999998</v>
      </c>
      <c r="X156" s="346">
        <v>2180</v>
      </c>
      <c r="Y156" s="334">
        <v>688.51400000000001</v>
      </c>
      <c r="Z156" s="335">
        <v>2170</v>
      </c>
      <c r="AA156" s="334">
        <v>1444.9349999999999</v>
      </c>
      <c r="AB156" s="336">
        <v>2170</v>
      </c>
      <c r="AC156" s="334">
        <v>1443.2940000000001</v>
      </c>
      <c r="AD156" s="336">
        <v>2170</v>
      </c>
      <c r="AE156" s="334">
        <v>1226.915</v>
      </c>
      <c r="AF156" s="336">
        <v>2170</v>
      </c>
      <c r="AG156" s="334">
        <v>1226.692</v>
      </c>
      <c r="AH156" s="336">
        <v>2170</v>
      </c>
      <c r="AI156" s="334">
        <v>1226.6790000000001</v>
      </c>
      <c r="AJ156" s="336">
        <v>2150</v>
      </c>
      <c r="AK156" s="334">
        <v>1227.7629999999999</v>
      </c>
      <c r="AL156" s="336">
        <v>2170</v>
      </c>
      <c r="AM156" s="334">
        <v>1227.3530000000001</v>
      </c>
      <c r="AN156" s="336">
        <v>2170</v>
      </c>
      <c r="AO156" s="334">
        <v>1227.74</v>
      </c>
      <c r="AP156" s="336">
        <v>2160</v>
      </c>
      <c r="AQ156" s="334">
        <v>1226.0260000000001</v>
      </c>
      <c r="AR156" s="336">
        <v>2170</v>
      </c>
      <c r="AS156" s="334">
        <v>1225.93</v>
      </c>
      <c r="AT156" s="336">
        <v>2170</v>
      </c>
      <c r="AU156" s="334">
        <v>1224.6030000000001</v>
      </c>
      <c r="AV156" s="336">
        <v>2170</v>
      </c>
      <c r="AW156" s="334">
        <v>1223.962</v>
      </c>
      <c r="AX156" s="336">
        <v>2160</v>
      </c>
      <c r="AY156" s="334">
        <v>1148.326</v>
      </c>
      <c r="AZ156" s="336">
        <v>2170</v>
      </c>
      <c r="BA156" s="337">
        <v>1149.336</v>
      </c>
      <c r="BB156" s="336">
        <v>2150</v>
      </c>
      <c r="BC156" s="334">
        <v>332.065</v>
      </c>
      <c r="BD156" s="336">
        <v>2150</v>
      </c>
      <c r="BE156" s="334">
        <v>346.46100000000001</v>
      </c>
    </row>
    <row r="157" spans="3:57">
      <c r="V157" s="346">
        <v>2180</v>
      </c>
      <c r="W157" s="333">
        <v>692.90099999999995</v>
      </c>
      <c r="X157" s="346">
        <v>2190</v>
      </c>
      <c r="Y157" s="334">
        <v>687.75400000000002</v>
      </c>
      <c r="Z157" s="335">
        <v>2180</v>
      </c>
      <c r="AA157" s="334">
        <v>1443.4839999999999</v>
      </c>
      <c r="AB157" s="336">
        <v>2180</v>
      </c>
      <c r="AC157" s="334">
        <v>1441.848</v>
      </c>
      <c r="AD157" s="336">
        <v>2180</v>
      </c>
      <c r="AE157" s="334">
        <v>1225.7470000000001</v>
      </c>
      <c r="AF157" s="336">
        <v>2180</v>
      </c>
      <c r="AG157" s="334">
        <v>1225.5250000000001</v>
      </c>
      <c r="AH157" s="336">
        <v>2180</v>
      </c>
      <c r="AI157" s="334">
        <v>1225.5119999999999</v>
      </c>
      <c r="AJ157" s="336">
        <v>2160</v>
      </c>
      <c r="AK157" s="334">
        <v>1226.596</v>
      </c>
      <c r="AL157" s="336">
        <v>2180</v>
      </c>
      <c r="AM157" s="334">
        <v>1226.1869999999999</v>
      </c>
      <c r="AN157" s="336">
        <v>2180</v>
      </c>
      <c r="AO157" s="334">
        <v>1226.5740000000001</v>
      </c>
      <c r="AP157" s="336">
        <v>2170</v>
      </c>
      <c r="AQ157" s="334">
        <v>1224.8620000000001</v>
      </c>
      <c r="AR157" s="336">
        <v>2180</v>
      </c>
      <c r="AS157" s="334">
        <v>1224.7660000000001</v>
      </c>
      <c r="AT157" s="336">
        <v>2180</v>
      </c>
      <c r="AU157" s="334">
        <v>1223.4380000000001</v>
      </c>
      <c r="AV157" s="336">
        <v>2180</v>
      </c>
      <c r="AW157" s="334">
        <v>1222.8</v>
      </c>
      <c r="AX157" s="336">
        <v>2170</v>
      </c>
      <c r="AY157" s="334">
        <v>1147.162</v>
      </c>
      <c r="AZ157" s="336">
        <v>2180</v>
      </c>
      <c r="BA157" s="337">
        <v>1148.173</v>
      </c>
      <c r="BB157" s="336">
        <v>2160</v>
      </c>
      <c r="BC157" s="334">
        <v>331.68599999999998</v>
      </c>
      <c r="BD157" s="336">
        <v>2160</v>
      </c>
      <c r="BE157" s="334">
        <v>346.06799999999998</v>
      </c>
    </row>
    <row r="158" spans="3:57">
      <c r="V158" s="346">
        <v>2190</v>
      </c>
      <c r="W158" s="333">
        <v>692.13300000000004</v>
      </c>
      <c r="X158" s="346">
        <v>2200</v>
      </c>
      <c r="Y158" s="334">
        <v>686.99300000000005</v>
      </c>
      <c r="Z158" s="335">
        <v>2190</v>
      </c>
      <c r="AA158" s="334">
        <v>1442.0329999999999</v>
      </c>
      <c r="AB158" s="336">
        <v>2190</v>
      </c>
      <c r="AC158" s="334">
        <v>1440.4010000000001</v>
      </c>
      <c r="AD158" s="336">
        <v>2190</v>
      </c>
      <c r="AE158" s="334">
        <v>1224.58</v>
      </c>
      <c r="AF158" s="336">
        <v>2190</v>
      </c>
      <c r="AG158" s="334">
        <v>1224.357</v>
      </c>
      <c r="AH158" s="336">
        <v>2190</v>
      </c>
      <c r="AI158" s="334">
        <v>1224.3440000000001</v>
      </c>
      <c r="AJ158" s="336">
        <v>2170</v>
      </c>
      <c r="AK158" s="334">
        <v>1225.4290000000001</v>
      </c>
      <c r="AL158" s="336">
        <v>2190</v>
      </c>
      <c r="AM158" s="334">
        <v>1225.02</v>
      </c>
      <c r="AN158" s="336">
        <v>2190</v>
      </c>
      <c r="AO158" s="334">
        <v>1225.4079999999999</v>
      </c>
      <c r="AP158" s="336">
        <v>2180</v>
      </c>
      <c r="AQ158" s="334">
        <v>1223.6990000000001</v>
      </c>
      <c r="AR158" s="336">
        <v>2190</v>
      </c>
      <c r="AS158" s="334">
        <v>1223.6020000000001</v>
      </c>
      <c r="AT158" s="336">
        <v>2190</v>
      </c>
      <c r="AU158" s="334">
        <v>1222.2729999999999</v>
      </c>
      <c r="AV158" s="336">
        <v>2190</v>
      </c>
      <c r="AW158" s="334">
        <v>1221.6369999999999</v>
      </c>
      <c r="AX158" s="336">
        <v>2180</v>
      </c>
      <c r="AY158" s="334">
        <v>1145.9970000000001</v>
      </c>
      <c r="AZ158" s="336">
        <v>2190</v>
      </c>
      <c r="BA158" s="337">
        <v>1147.01</v>
      </c>
      <c r="BB158" s="336">
        <v>2170</v>
      </c>
      <c r="BC158" s="334">
        <v>331.30700000000002</v>
      </c>
      <c r="BD158" s="336">
        <v>2170</v>
      </c>
      <c r="BE158" s="334">
        <v>345.67500000000001</v>
      </c>
    </row>
    <row r="159" spans="3:57">
      <c r="V159" s="346">
        <v>2200</v>
      </c>
      <c r="W159" s="333">
        <v>691.36500000000001</v>
      </c>
      <c r="X159" s="346">
        <v>2210</v>
      </c>
      <c r="Y159" s="334">
        <v>686.23099999999999</v>
      </c>
      <c r="Z159" s="335">
        <v>2200</v>
      </c>
      <c r="AA159" s="334">
        <v>1440.5820000000001</v>
      </c>
      <c r="AB159" s="336">
        <v>2200</v>
      </c>
      <c r="AC159" s="334">
        <v>1438.954</v>
      </c>
      <c r="AD159" s="336">
        <v>2200</v>
      </c>
      <c r="AE159" s="334">
        <v>1223.4110000000001</v>
      </c>
      <c r="AF159" s="336">
        <v>2200</v>
      </c>
      <c r="AG159" s="334">
        <v>1223.19</v>
      </c>
      <c r="AH159" s="336">
        <v>2200</v>
      </c>
      <c r="AI159" s="334">
        <v>1223.1769999999999</v>
      </c>
      <c r="AJ159" s="336">
        <v>2180</v>
      </c>
      <c r="AK159" s="334">
        <v>1224.2619999999999</v>
      </c>
      <c r="AL159" s="336">
        <v>2200</v>
      </c>
      <c r="AM159" s="334">
        <v>1223.8530000000001</v>
      </c>
      <c r="AN159" s="336">
        <v>2200</v>
      </c>
      <c r="AO159" s="334">
        <v>1224.242</v>
      </c>
      <c r="AP159" s="336">
        <v>2190</v>
      </c>
      <c r="AQ159" s="334">
        <v>1222.5350000000001</v>
      </c>
      <c r="AR159" s="336">
        <v>2200</v>
      </c>
      <c r="AS159" s="334">
        <v>1222.4380000000001</v>
      </c>
      <c r="AT159" s="336">
        <v>2200</v>
      </c>
      <c r="AU159" s="334">
        <v>1221.1079999999999</v>
      </c>
      <c r="AV159" s="336">
        <v>2200</v>
      </c>
      <c r="AW159" s="334">
        <v>1220.4739999999999</v>
      </c>
      <c r="AX159" s="336">
        <v>2190</v>
      </c>
      <c r="AY159" s="334">
        <v>1144.8320000000001</v>
      </c>
      <c r="AZ159" s="336">
        <v>2200</v>
      </c>
      <c r="BA159" s="337">
        <v>1145.847</v>
      </c>
      <c r="BB159" s="336">
        <v>2180</v>
      </c>
      <c r="BC159" s="334">
        <v>330.928</v>
      </c>
      <c r="BD159" s="336">
        <v>2180</v>
      </c>
      <c r="BE159" s="334">
        <v>345.28199999999998</v>
      </c>
    </row>
    <row r="160" spans="3:57">
      <c r="V160" s="346">
        <v>2210</v>
      </c>
      <c r="W160" s="333">
        <v>690.59699999999998</v>
      </c>
      <c r="X160" s="346">
        <v>2220</v>
      </c>
      <c r="Y160" s="334">
        <v>685.47</v>
      </c>
      <c r="Z160" s="335">
        <v>2210</v>
      </c>
      <c r="AA160" s="334">
        <v>1439.1310000000001</v>
      </c>
      <c r="AB160" s="336">
        <v>2210</v>
      </c>
      <c r="AC160" s="334">
        <v>1437.5070000000001</v>
      </c>
      <c r="AD160" s="336">
        <v>2210</v>
      </c>
      <c r="AE160" s="334">
        <v>1222.2429999999999</v>
      </c>
      <c r="AF160" s="336">
        <v>2210</v>
      </c>
      <c r="AG160" s="334">
        <v>1222.0219999999999</v>
      </c>
      <c r="AH160" s="336">
        <v>2210</v>
      </c>
      <c r="AI160" s="334">
        <v>1222.009</v>
      </c>
      <c r="AJ160" s="336">
        <v>2190</v>
      </c>
      <c r="AK160" s="334">
        <v>1223.095</v>
      </c>
      <c r="AL160" s="336">
        <v>2210</v>
      </c>
      <c r="AM160" s="334">
        <v>1222.6859999999999</v>
      </c>
      <c r="AN160" s="336">
        <v>2210</v>
      </c>
      <c r="AO160" s="334">
        <v>1223.075</v>
      </c>
      <c r="AP160" s="336">
        <v>2200</v>
      </c>
      <c r="AQ160" s="334">
        <v>1221.3699999999999</v>
      </c>
      <c r="AR160" s="336">
        <v>2210</v>
      </c>
      <c r="AS160" s="334">
        <v>1221.2729999999999</v>
      </c>
      <c r="AT160" s="336">
        <v>2210</v>
      </c>
      <c r="AU160" s="334">
        <v>1219.942</v>
      </c>
      <c r="AV160" s="336">
        <v>2210</v>
      </c>
      <c r="AW160" s="334">
        <v>1219.3109999999999</v>
      </c>
      <c r="AX160" s="336">
        <v>2200</v>
      </c>
      <c r="AY160" s="334">
        <v>1143.6669999999999</v>
      </c>
      <c r="AZ160" s="336">
        <v>2210</v>
      </c>
      <c r="BA160" s="337">
        <v>1144.684</v>
      </c>
      <c r="BB160" s="336">
        <v>2190</v>
      </c>
      <c r="BC160" s="334">
        <v>330.54899999999998</v>
      </c>
      <c r="BD160" s="336">
        <v>2190</v>
      </c>
      <c r="BE160" s="334">
        <v>344.88900000000001</v>
      </c>
    </row>
    <row r="161" spans="22:57">
      <c r="V161" s="346">
        <v>2220</v>
      </c>
      <c r="W161" s="333">
        <v>689.82799999999997</v>
      </c>
      <c r="X161" s="346">
        <v>2230</v>
      </c>
      <c r="Y161" s="334">
        <v>684.70799999999997</v>
      </c>
      <c r="Z161" s="335">
        <v>2220</v>
      </c>
      <c r="AA161" s="334">
        <v>1437.6790000000001</v>
      </c>
      <c r="AB161" s="336">
        <v>2220</v>
      </c>
      <c r="AC161" s="334">
        <v>1436.059</v>
      </c>
      <c r="AD161" s="336">
        <v>2220</v>
      </c>
      <c r="AE161" s="334">
        <v>1221.075</v>
      </c>
      <c r="AF161" s="336">
        <v>2220</v>
      </c>
      <c r="AG161" s="334">
        <v>1220.854</v>
      </c>
      <c r="AH161" s="336">
        <v>2220</v>
      </c>
      <c r="AI161" s="334">
        <v>1220.8409999999999</v>
      </c>
      <c r="AJ161" s="336">
        <v>2200</v>
      </c>
      <c r="AK161" s="334">
        <v>1221.9269999999999</v>
      </c>
      <c r="AL161" s="336">
        <v>2220</v>
      </c>
      <c r="AM161" s="334">
        <v>1221.518</v>
      </c>
      <c r="AN161" s="336">
        <v>2220</v>
      </c>
      <c r="AO161" s="334">
        <v>1221.9090000000001</v>
      </c>
      <c r="AP161" s="336">
        <v>2210</v>
      </c>
      <c r="AQ161" s="334">
        <v>1220.2059999999999</v>
      </c>
      <c r="AR161" s="336">
        <v>2220</v>
      </c>
      <c r="AS161" s="334">
        <v>1220.1079999999999</v>
      </c>
      <c r="AT161" s="336">
        <v>2220</v>
      </c>
      <c r="AU161" s="334">
        <v>1218.7760000000001</v>
      </c>
      <c r="AV161" s="336">
        <v>2220</v>
      </c>
      <c r="AW161" s="334">
        <v>1218.1479999999999</v>
      </c>
      <c r="AX161" s="336">
        <v>2210</v>
      </c>
      <c r="AY161" s="334">
        <v>1142.502</v>
      </c>
      <c r="AZ161" s="336">
        <v>2220</v>
      </c>
      <c r="BA161" s="337">
        <v>1143.52</v>
      </c>
      <c r="BB161" s="336">
        <v>2200</v>
      </c>
      <c r="BC161" s="334">
        <v>330.17</v>
      </c>
      <c r="BD161" s="336">
        <v>2200</v>
      </c>
      <c r="BE161" s="334">
        <v>344.49599999999998</v>
      </c>
    </row>
    <row r="162" spans="22:57">
      <c r="V162" s="346">
        <v>2230</v>
      </c>
      <c r="W162" s="333">
        <v>689.05899999999997</v>
      </c>
      <c r="X162" s="346">
        <v>2240</v>
      </c>
      <c r="Y162" s="334">
        <v>683.94600000000003</v>
      </c>
      <c r="Z162" s="335">
        <v>2230</v>
      </c>
      <c r="AA162" s="334">
        <v>1436.2270000000001</v>
      </c>
      <c r="AB162" s="336">
        <v>2230</v>
      </c>
      <c r="AC162" s="334">
        <v>1434.6110000000001</v>
      </c>
      <c r="AD162" s="336">
        <v>2230</v>
      </c>
      <c r="AE162" s="334">
        <v>1219.9059999999999</v>
      </c>
      <c r="AF162" s="336">
        <v>2230</v>
      </c>
      <c r="AG162" s="334">
        <v>1219.6859999999999</v>
      </c>
      <c r="AH162" s="336">
        <v>2230</v>
      </c>
      <c r="AI162" s="334">
        <v>1219.673</v>
      </c>
      <c r="AJ162" s="336">
        <v>2210</v>
      </c>
      <c r="AK162" s="334">
        <v>1220.76</v>
      </c>
      <c r="AL162" s="336">
        <v>2230</v>
      </c>
      <c r="AM162" s="334">
        <v>1220.3499999999999</v>
      </c>
      <c r="AN162" s="336">
        <v>2230</v>
      </c>
      <c r="AO162" s="334">
        <v>1220.742</v>
      </c>
      <c r="AP162" s="336">
        <v>2220</v>
      </c>
      <c r="AQ162" s="334">
        <v>1219.0409999999999</v>
      </c>
      <c r="AR162" s="336">
        <v>2230</v>
      </c>
      <c r="AS162" s="334">
        <v>1218.943</v>
      </c>
      <c r="AT162" s="336">
        <v>2230</v>
      </c>
      <c r="AU162" s="334">
        <v>1217.6099999999999</v>
      </c>
      <c r="AV162" s="336">
        <v>2230</v>
      </c>
      <c r="AW162" s="334">
        <v>1216.9839999999999</v>
      </c>
      <c r="AX162" s="336">
        <v>2220</v>
      </c>
      <c r="AY162" s="334">
        <v>1141.336</v>
      </c>
      <c r="AZ162" s="336">
        <v>2230</v>
      </c>
      <c r="BA162" s="337">
        <v>1142.356</v>
      </c>
      <c r="BB162" s="336">
        <v>2210</v>
      </c>
      <c r="BC162" s="334">
        <v>329.791</v>
      </c>
      <c r="BD162" s="336">
        <v>2210</v>
      </c>
      <c r="BE162" s="334">
        <v>344.10300000000001</v>
      </c>
    </row>
    <row r="163" spans="22:57">
      <c r="V163" s="346">
        <v>2240</v>
      </c>
      <c r="W163" s="333">
        <v>688.29</v>
      </c>
      <c r="X163" s="346">
        <v>2250</v>
      </c>
      <c r="Y163" s="334">
        <v>683.18399999999997</v>
      </c>
      <c r="Z163" s="335">
        <v>2240</v>
      </c>
      <c r="AA163" s="334">
        <v>1434.7739999999999</v>
      </c>
      <c r="AB163" s="336">
        <v>2240</v>
      </c>
      <c r="AC163" s="334">
        <v>1433.163</v>
      </c>
      <c r="AD163" s="336">
        <v>2240</v>
      </c>
      <c r="AE163" s="334">
        <v>1218.7370000000001</v>
      </c>
      <c r="AF163" s="336">
        <v>2240</v>
      </c>
      <c r="AG163" s="334">
        <v>1218.5170000000001</v>
      </c>
      <c r="AH163" s="336">
        <v>2240</v>
      </c>
      <c r="AI163" s="334">
        <v>1218.5039999999999</v>
      </c>
      <c r="AJ163" s="336">
        <v>2220</v>
      </c>
      <c r="AK163" s="334">
        <v>1219.5920000000001</v>
      </c>
      <c r="AL163" s="336">
        <v>2240</v>
      </c>
      <c r="AM163" s="334">
        <v>1219.182</v>
      </c>
      <c r="AN163" s="336">
        <v>2240</v>
      </c>
      <c r="AO163" s="334">
        <v>1219.575</v>
      </c>
      <c r="AP163" s="336">
        <v>2230</v>
      </c>
      <c r="AQ163" s="334">
        <v>1217.876</v>
      </c>
      <c r="AR163" s="336">
        <v>2240</v>
      </c>
      <c r="AS163" s="334">
        <v>1217.778</v>
      </c>
      <c r="AT163" s="336">
        <v>2240</v>
      </c>
      <c r="AU163" s="334">
        <v>1216.443</v>
      </c>
      <c r="AV163" s="336">
        <v>2240</v>
      </c>
      <c r="AW163" s="334">
        <v>1215.8209999999999</v>
      </c>
      <c r="AX163" s="336">
        <v>2230</v>
      </c>
      <c r="AY163" s="334">
        <v>1140.17</v>
      </c>
      <c r="AZ163" s="336">
        <v>2240</v>
      </c>
      <c r="BA163" s="337">
        <v>1141.192</v>
      </c>
      <c r="BB163" s="336">
        <v>2220</v>
      </c>
      <c r="BC163" s="334">
        <v>329.411</v>
      </c>
      <c r="BD163" s="336">
        <v>2220</v>
      </c>
      <c r="BE163" s="334">
        <v>343.71</v>
      </c>
    </row>
    <row r="164" spans="22:57">
      <c r="V164" s="346">
        <v>2250</v>
      </c>
      <c r="W164" s="333">
        <v>687.52099999999996</v>
      </c>
      <c r="X164" s="346">
        <v>2260</v>
      </c>
      <c r="Y164" s="334">
        <v>682.42200000000003</v>
      </c>
      <c r="Z164" s="335">
        <v>2250</v>
      </c>
      <c r="AA164" s="334">
        <v>1433.3209999999999</v>
      </c>
      <c r="AB164" s="336">
        <v>2250</v>
      </c>
      <c r="AC164" s="334">
        <v>1431.7149999999999</v>
      </c>
      <c r="AD164" s="336">
        <v>2250</v>
      </c>
      <c r="AE164" s="334">
        <v>1217.568</v>
      </c>
      <c r="AF164" s="336">
        <v>2250</v>
      </c>
      <c r="AG164" s="334">
        <v>1217.3489999999999</v>
      </c>
      <c r="AH164" s="336">
        <v>2250</v>
      </c>
      <c r="AI164" s="334">
        <v>1217.335</v>
      </c>
      <c r="AJ164" s="336">
        <v>2230</v>
      </c>
      <c r="AK164" s="334">
        <v>1218.423</v>
      </c>
      <c r="AL164" s="336">
        <v>2250</v>
      </c>
      <c r="AM164" s="334">
        <v>1218.0139999999999</v>
      </c>
      <c r="AN164" s="336">
        <v>2250</v>
      </c>
      <c r="AO164" s="334">
        <v>1218.4069999999999</v>
      </c>
      <c r="AP164" s="336">
        <v>2240</v>
      </c>
      <c r="AQ164" s="334">
        <v>1216.711</v>
      </c>
      <c r="AR164" s="336">
        <v>2250</v>
      </c>
      <c r="AS164" s="334">
        <v>1216.6120000000001</v>
      </c>
      <c r="AT164" s="336">
        <v>2250</v>
      </c>
      <c r="AU164" s="334">
        <v>1215.277</v>
      </c>
      <c r="AV164" s="336">
        <v>2250</v>
      </c>
      <c r="AW164" s="334">
        <v>1214.6569999999999</v>
      </c>
      <c r="AX164" s="336">
        <v>2240</v>
      </c>
      <c r="AY164" s="334">
        <v>1139.0039999999999</v>
      </c>
      <c r="AZ164" s="336">
        <v>2250</v>
      </c>
      <c r="BA164" s="337">
        <v>1140.027</v>
      </c>
      <c r="BB164" s="336">
        <v>2230</v>
      </c>
      <c r="BC164" s="334">
        <v>329.03199999999998</v>
      </c>
      <c r="BD164" s="336">
        <v>2230</v>
      </c>
      <c r="BE164" s="334">
        <v>343.31599999999997</v>
      </c>
    </row>
    <row r="165" spans="22:57">
      <c r="V165" s="346">
        <v>2260</v>
      </c>
      <c r="W165" s="333">
        <v>686.75199999999995</v>
      </c>
      <c r="X165" s="346">
        <v>2270</v>
      </c>
      <c r="Y165" s="334">
        <v>681.66</v>
      </c>
      <c r="Z165" s="335">
        <v>2260</v>
      </c>
      <c r="AA165" s="334">
        <v>1431.8679999999999</v>
      </c>
      <c r="AB165" s="336">
        <v>2260</v>
      </c>
      <c r="AC165" s="334">
        <v>1430.2660000000001</v>
      </c>
      <c r="AD165" s="336">
        <v>2260</v>
      </c>
      <c r="AE165" s="334">
        <v>1216.3989999999999</v>
      </c>
      <c r="AF165" s="336">
        <v>2260</v>
      </c>
      <c r="AG165" s="334">
        <v>1216.18</v>
      </c>
      <c r="AH165" s="336">
        <v>2260</v>
      </c>
      <c r="AI165" s="334">
        <v>1216.1659999999999</v>
      </c>
      <c r="AJ165" s="336">
        <v>2240</v>
      </c>
      <c r="AK165" s="334">
        <v>1217.2550000000001</v>
      </c>
      <c r="AL165" s="336">
        <v>2260</v>
      </c>
      <c r="AM165" s="334">
        <v>1216.845</v>
      </c>
      <c r="AN165" s="336">
        <v>2260</v>
      </c>
      <c r="AO165" s="334">
        <v>1217.239</v>
      </c>
      <c r="AP165" s="336">
        <v>2250</v>
      </c>
      <c r="AQ165" s="334">
        <v>1215.546</v>
      </c>
      <c r="AR165" s="336">
        <v>2260</v>
      </c>
      <c r="AS165" s="334">
        <v>1215.4469999999999</v>
      </c>
      <c r="AT165" s="336">
        <v>2260</v>
      </c>
      <c r="AU165" s="334">
        <v>1214.1099999999999</v>
      </c>
      <c r="AV165" s="336">
        <v>2260</v>
      </c>
      <c r="AW165" s="334">
        <v>1213.492</v>
      </c>
      <c r="AX165" s="336">
        <v>2250</v>
      </c>
      <c r="AY165" s="334">
        <v>1137.838</v>
      </c>
      <c r="AZ165" s="336">
        <v>2260</v>
      </c>
      <c r="BA165" s="337">
        <v>1138.8630000000001</v>
      </c>
      <c r="BB165" s="336">
        <v>2240</v>
      </c>
      <c r="BC165" s="334">
        <v>328.65199999999999</v>
      </c>
      <c r="BD165" s="336">
        <v>2240</v>
      </c>
      <c r="BE165" s="334">
        <v>342.923</v>
      </c>
    </row>
    <row r="166" spans="22:57">
      <c r="V166" s="346">
        <v>2270</v>
      </c>
      <c r="W166" s="333">
        <v>685.98199999999997</v>
      </c>
      <c r="X166" s="346">
        <v>2280</v>
      </c>
      <c r="Y166" s="334">
        <v>680.89700000000005</v>
      </c>
      <c r="Z166" s="335">
        <v>2270</v>
      </c>
      <c r="AA166" s="334">
        <v>1430.415</v>
      </c>
      <c r="AB166" s="336">
        <v>2270</v>
      </c>
      <c r="AC166" s="334">
        <v>1428.817</v>
      </c>
      <c r="AD166" s="336">
        <v>2270</v>
      </c>
      <c r="AE166" s="334">
        <v>1215.229</v>
      </c>
      <c r="AF166" s="336">
        <v>2270</v>
      </c>
      <c r="AG166" s="334">
        <v>1215.01</v>
      </c>
      <c r="AH166" s="336">
        <v>2270</v>
      </c>
      <c r="AI166" s="334">
        <v>1214.9970000000001</v>
      </c>
      <c r="AJ166" s="336">
        <v>2250</v>
      </c>
      <c r="AK166" s="334">
        <v>1216.086</v>
      </c>
      <c r="AL166" s="336">
        <v>2270</v>
      </c>
      <c r="AM166" s="334">
        <v>1215.6769999999999</v>
      </c>
      <c r="AN166" s="336">
        <v>2270</v>
      </c>
      <c r="AO166" s="334">
        <v>1216.0719999999999</v>
      </c>
      <c r="AP166" s="336">
        <v>2260</v>
      </c>
      <c r="AQ166" s="334">
        <v>1214.3800000000001</v>
      </c>
      <c r="AR166" s="336">
        <v>2270</v>
      </c>
      <c r="AS166" s="334">
        <v>1214.2809999999999</v>
      </c>
      <c r="AT166" s="336">
        <v>2270</v>
      </c>
      <c r="AU166" s="334">
        <v>1212.943</v>
      </c>
      <c r="AV166" s="336">
        <v>2270</v>
      </c>
      <c r="AW166" s="334">
        <v>1212.328</v>
      </c>
      <c r="AX166" s="336">
        <v>2260</v>
      </c>
      <c r="AY166" s="334">
        <v>1136.671</v>
      </c>
      <c r="AZ166" s="336">
        <v>2270</v>
      </c>
      <c r="BA166" s="337">
        <v>1137.6980000000001</v>
      </c>
      <c r="BB166" s="336">
        <v>2250</v>
      </c>
      <c r="BC166" s="334">
        <v>328.27300000000002</v>
      </c>
      <c r="BD166" s="336">
        <v>2250</v>
      </c>
      <c r="BE166" s="334">
        <v>342.529</v>
      </c>
    </row>
    <row r="167" spans="22:57">
      <c r="V167" s="346">
        <v>2280</v>
      </c>
      <c r="W167" s="333">
        <v>685.21299999999997</v>
      </c>
      <c r="X167" s="346">
        <v>2290</v>
      </c>
      <c r="Y167" s="334">
        <v>680.13400000000001</v>
      </c>
      <c r="Z167" s="335">
        <v>2280</v>
      </c>
      <c r="AA167" s="334">
        <v>1428.961</v>
      </c>
      <c r="AB167" s="336">
        <v>2280</v>
      </c>
      <c r="AC167" s="334">
        <v>1427.367</v>
      </c>
      <c r="AD167" s="336">
        <v>2280</v>
      </c>
      <c r="AE167" s="334">
        <v>1214.059</v>
      </c>
      <c r="AF167" s="336">
        <v>2280</v>
      </c>
      <c r="AG167" s="334">
        <v>1213.8409999999999</v>
      </c>
      <c r="AH167" s="336">
        <v>2280</v>
      </c>
      <c r="AI167" s="334">
        <v>1213.827</v>
      </c>
      <c r="AJ167" s="336">
        <v>2260</v>
      </c>
      <c r="AK167" s="334">
        <v>1214.9169999999999</v>
      </c>
      <c r="AL167" s="336">
        <v>2280</v>
      </c>
      <c r="AM167" s="334">
        <v>1214.508</v>
      </c>
      <c r="AN167" s="336">
        <v>2280</v>
      </c>
      <c r="AO167" s="334">
        <v>1214.903</v>
      </c>
      <c r="AP167" s="336">
        <v>2270</v>
      </c>
      <c r="AQ167" s="334">
        <v>1213.2139999999999</v>
      </c>
      <c r="AR167" s="336">
        <v>2280</v>
      </c>
      <c r="AS167" s="334">
        <v>1213.114</v>
      </c>
      <c r="AT167" s="336">
        <v>2280</v>
      </c>
      <c r="AU167" s="334">
        <v>1211.7760000000001</v>
      </c>
      <c r="AV167" s="336">
        <v>2280</v>
      </c>
      <c r="AW167" s="334">
        <v>1211.163</v>
      </c>
      <c r="AX167" s="336">
        <v>2270</v>
      </c>
      <c r="AY167" s="334">
        <v>1135.5039999999999</v>
      </c>
      <c r="AZ167" s="336">
        <v>2280</v>
      </c>
      <c r="BA167" s="337">
        <v>1136.5329999999999</v>
      </c>
      <c r="BB167" s="336">
        <v>2260</v>
      </c>
      <c r="BC167" s="334">
        <v>327.89299999999997</v>
      </c>
      <c r="BD167" s="336">
        <v>2260</v>
      </c>
      <c r="BE167" s="334">
        <v>342.13600000000002</v>
      </c>
    </row>
    <row r="168" spans="22:57">
      <c r="V168" s="346">
        <v>2290</v>
      </c>
      <c r="W168" s="333">
        <v>684.44299999999998</v>
      </c>
      <c r="X168" s="346">
        <v>2300</v>
      </c>
      <c r="Y168" s="334">
        <v>679.37099999999998</v>
      </c>
      <c r="Z168" s="335">
        <v>2290</v>
      </c>
      <c r="AA168" s="334">
        <v>1427.508</v>
      </c>
      <c r="AB168" s="336">
        <v>2290</v>
      </c>
      <c r="AC168" s="334">
        <v>1425.9179999999999</v>
      </c>
      <c r="AD168" s="336">
        <v>2290</v>
      </c>
      <c r="AE168" s="334">
        <v>1212.8889999999999</v>
      </c>
      <c r="AF168" s="336">
        <v>2290</v>
      </c>
      <c r="AG168" s="334">
        <v>1212.671</v>
      </c>
      <c r="AH168" s="336">
        <v>2290</v>
      </c>
      <c r="AI168" s="334">
        <v>1212.6579999999999</v>
      </c>
      <c r="AJ168" s="336">
        <v>2270</v>
      </c>
      <c r="AK168" s="334">
        <v>1213.748</v>
      </c>
      <c r="AL168" s="336">
        <v>2290</v>
      </c>
      <c r="AM168" s="334">
        <v>1213.338</v>
      </c>
      <c r="AN168" s="336">
        <v>2290</v>
      </c>
      <c r="AO168" s="334">
        <v>1213.7349999999999</v>
      </c>
      <c r="AP168" s="336">
        <v>2280</v>
      </c>
      <c r="AQ168" s="334">
        <v>1212.048</v>
      </c>
      <c r="AR168" s="336">
        <v>2290</v>
      </c>
      <c r="AS168" s="334">
        <v>1211.9480000000001</v>
      </c>
      <c r="AT168" s="336">
        <v>2290</v>
      </c>
      <c r="AU168" s="334">
        <v>1210.6079999999999</v>
      </c>
      <c r="AV168" s="336">
        <v>2290</v>
      </c>
      <c r="AW168" s="334">
        <v>1209.998</v>
      </c>
      <c r="AX168" s="336">
        <v>2280</v>
      </c>
      <c r="AY168" s="334">
        <v>1134.337</v>
      </c>
      <c r="AZ168" s="336">
        <v>2290</v>
      </c>
      <c r="BA168" s="337">
        <v>1135.367</v>
      </c>
      <c r="BB168" s="336">
        <v>2270</v>
      </c>
      <c r="BC168" s="334">
        <v>327.51299999999998</v>
      </c>
      <c r="BD168" s="336">
        <v>2270</v>
      </c>
      <c r="BE168" s="334">
        <v>341.74200000000002</v>
      </c>
    </row>
    <row r="169" spans="22:57">
      <c r="V169" s="346">
        <v>2300</v>
      </c>
      <c r="W169" s="333">
        <v>683.673</v>
      </c>
      <c r="X169" s="346">
        <v>2310</v>
      </c>
      <c r="Y169" s="334">
        <v>678.60799999999995</v>
      </c>
      <c r="Z169" s="335">
        <v>2300</v>
      </c>
      <c r="AA169" s="334">
        <v>1426.0530000000001</v>
      </c>
      <c r="AB169" s="336">
        <v>2300</v>
      </c>
      <c r="AC169" s="334">
        <v>1424.4680000000001</v>
      </c>
      <c r="AD169" s="336">
        <v>2300</v>
      </c>
      <c r="AE169" s="334">
        <v>1211.7190000000001</v>
      </c>
      <c r="AF169" s="336">
        <v>2300</v>
      </c>
      <c r="AG169" s="334">
        <v>1211.501</v>
      </c>
      <c r="AH169" s="336">
        <v>2300</v>
      </c>
      <c r="AI169" s="334">
        <v>1211.4880000000001</v>
      </c>
      <c r="AJ169" s="336">
        <v>2280</v>
      </c>
      <c r="AK169" s="334">
        <v>1212.579</v>
      </c>
      <c r="AL169" s="336">
        <v>2300</v>
      </c>
      <c r="AM169" s="334">
        <v>1212.1690000000001</v>
      </c>
      <c r="AN169" s="336">
        <v>2300</v>
      </c>
      <c r="AO169" s="334">
        <v>1212.566</v>
      </c>
      <c r="AP169" s="336">
        <v>2290</v>
      </c>
      <c r="AQ169" s="334">
        <v>1210.8820000000001</v>
      </c>
      <c r="AR169" s="336">
        <v>2300</v>
      </c>
      <c r="AS169" s="334">
        <v>1210.7809999999999</v>
      </c>
      <c r="AT169" s="336">
        <v>2300</v>
      </c>
      <c r="AU169" s="334">
        <v>1209.44</v>
      </c>
      <c r="AV169" s="336">
        <v>2300</v>
      </c>
      <c r="AW169" s="334">
        <v>1208.8330000000001</v>
      </c>
      <c r="AX169" s="336">
        <v>2290</v>
      </c>
      <c r="AY169" s="334">
        <v>1133.17</v>
      </c>
      <c r="AZ169" s="336">
        <v>2300</v>
      </c>
      <c r="BA169" s="337">
        <v>1134.201</v>
      </c>
      <c r="BB169" s="336">
        <v>2280</v>
      </c>
      <c r="BC169" s="334">
        <v>327.13299999999998</v>
      </c>
      <c r="BD169" s="336">
        <v>2280</v>
      </c>
      <c r="BE169" s="334">
        <v>341.34800000000001</v>
      </c>
    </row>
    <row r="170" spans="22:57">
      <c r="V170" s="346">
        <v>2310</v>
      </c>
      <c r="W170" s="333">
        <v>682.90300000000002</v>
      </c>
      <c r="X170" s="346">
        <v>2320</v>
      </c>
      <c r="Y170" s="334">
        <v>677.84400000000005</v>
      </c>
      <c r="Z170" s="335">
        <v>2310</v>
      </c>
      <c r="AA170" s="334">
        <v>1424.5989999999999</v>
      </c>
      <c r="AB170" s="336">
        <v>2310</v>
      </c>
      <c r="AC170" s="334">
        <v>1423.0170000000001</v>
      </c>
      <c r="AD170" s="336">
        <v>2310</v>
      </c>
      <c r="AE170" s="334">
        <v>1210.548</v>
      </c>
      <c r="AF170" s="336">
        <v>2310</v>
      </c>
      <c r="AG170" s="334">
        <v>1210.3309999999999</v>
      </c>
      <c r="AH170" s="336">
        <v>2310</v>
      </c>
      <c r="AI170" s="334">
        <v>1210.317</v>
      </c>
      <c r="AJ170" s="336">
        <v>2290</v>
      </c>
      <c r="AK170" s="334">
        <v>1211.4090000000001</v>
      </c>
      <c r="AL170" s="336">
        <v>2310</v>
      </c>
      <c r="AM170" s="334">
        <v>1210.999</v>
      </c>
      <c r="AN170" s="336">
        <v>2310</v>
      </c>
      <c r="AO170" s="334">
        <v>1211.3969999999999</v>
      </c>
      <c r="AP170" s="336">
        <v>2300</v>
      </c>
      <c r="AQ170" s="334">
        <v>1209.7149999999999</v>
      </c>
      <c r="AR170" s="336">
        <v>2310</v>
      </c>
      <c r="AS170" s="334">
        <v>1209.614</v>
      </c>
      <c r="AT170" s="336">
        <v>2310</v>
      </c>
      <c r="AU170" s="334">
        <v>1208.2719999999999</v>
      </c>
      <c r="AV170" s="336">
        <v>2310</v>
      </c>
      <c r="AW170" s="334">
        <v>1207.6669999999999</v>
      </c>
      <c r="AX170" s="336">
        <v>2300</v>
      </c>
      <c r="AY170" s="334">
        <v>1132.0029999999999</v>
      </c>
      <c r="AZ170" s="336">
        <v>2310</v>
      </c>
      <c r="BA170" s="337">
        <v>1133.0360000000001</v>
      </c>
      <c r="BB170" s="336">
        <v>2290</v>
      </c>
      <c r="BC170" s="334">
        <v>326.75299999999999</v>
      </c>
      <c r="BD170" s="336">
        <v>2290</v>
      </c>
      <c r="BE170" s="334">
        <v>340.95400000000001</v>
      </c>
    </row>
    <row r="171" spans="22:57">
      <c r="V171" s="346">
        <v>2320</v>
      </c>
      <c r="W171" s="333">
        <v>682.13300000000004</v>
      </c>
      <c r="X171" s="346">
        <v>2330</v>
      </c>
      <c r="Y171" s="334">
        <v>677.08299999999997</v>
      </c>
      <c r="Z171" s="335">
        <v>2320</v>
      </c>
      <c r="AA171" s="334">
        <v>1423.144</v>
      </c>
      <c r="AB171" s="336">
        <v>2320</v>
      </c>
      <c r="AC171" s="334">
        <v>1421.567</v>
      </c>
      <c r="AD171" s="336">
        <v>2320</v>
      </c>
      <c r="AE171" s="334">
        <v>1209.377</v>
      </c>
      <c r="AF171" s="336">
        <v>2320</v>
      </c>
      <c r="AG171" s="334">
        <v>1209.162</v>
      </c>
      <c r="AH171" s="336">
        <v>2320</v>
      </c>
      <c r="AI171" s="334">
        <v>1209.1489999999999</v>
      </c>
      <c r="AJ171" s="336">
        <v>2300</v>
      </c>
      <c r="AK171" s="334">
        <v>1210.239</v>
      </c>
      <c r="AL171" s="336">
        <v>2320</v>
      </c>
      <c r="AM171" s="334">
        <v>1209.829</v>
      </c>
      <c r="AN171" s="336">
        <v>2320</v>
      </c>
      <c r="AO171" s="334">
        <v>1210.2280000000001</v>
      </c>
      <c r="AP171" s="336">
        <v>2310</v>
      </c>
      <c r="AQ171" s="334">
        <v>1208.548</v>
      </c>
      <c r="AR171" s="336">
        <v>2320</v>
      </c>
      <c r="AS171" s="334">
        <v>1208.4469999999999</v>
      </c>
      <c r="AT171" s="336">
        <v>2320</v>
      </c>
      <c r="AU171" s="334">
        <v>1207.104</v>
      </c>
      <c r="AV171" s="336">
        <v>2320</v>
      </c>
      <c r="AW171" s="334">
        <v>1206.501</v>
      </c>
      <c r="AX171" s="336">
        <v>2310</v>
      </c>
      <c r="AY171" s="334">
        <v>1130.837</v>
      </c>
      <c r="AZ171" s="336">
        <v>2320</v>
      </c>
      <c r="BA171" s="337">
        <v>1131.8689999999999</v>
      </c>
      <c r="BB171" s="336">
        <v>2300</v>
      </c>
      <c r="BC171" s="334">
        <v>326.37299999999999</v>
      </c>
      <c r="BD171" s="336">
        <v>2300</v>
      </c>
      <c r="BE171" s="334">
        <v>340.56</v>
      </c>
    </row>
    <row r="172" spans="22:57">
      <c r="V172" s="346">
        <v>2330</v>
      </c>
      <c r="W172" s="333">
        <v>681.36500000000001</v>
      </c>
      <c r="X172" s="346">
        <v>2340</v>
      </c>
      <c r="Y172" s="334">
        <v>676.322</v>
      </c>
      <c r="Z172" s="335">
        <v>2330</v>
      </c>
      <c r="AA172" s="334">
        <v>1421.691</v>
      </c>
      <c r="AB172" s="336">
        <v>2330</v>
      </c>
      <c r="AC172" s="334">
        <v>1420.117</v>
      </c>
      <c r="AD172" s="336">
        <v>2330</v>
      </c>
      <c r="AE172" s="334">
        <v>1208.2070000000001</v>
      </c>
      <c r="AF172" s="336">
        <v>2330</v>
      </c>
      <c r="AG172" s="334">
        <v>1207.9939999999999</v>
      </c>
      <c r="AH172" s="336">
        <v>2330</v>
      </c>
      <c r="AI172" s="334">
        <v>1207.981</v>
      </c>
      <c r="AJ172" s="336">
        <v>2310</v>
      </c>
      <c r="AK172" s="334">
        <v>1209.0709999999999</v>
      </c>
      <c r="AL172" s="336">
        <v>2330</v>
      </c>
      <c r="AM172" s="334">
        <v>1208.6610000000001</v>
      </c>
      <c r="AN172" s="336">
        <v>2330</v>
      </c>
      <c r="AO172" s="334">
        <v>1209.06</v>
      </c>
      <c r="AP172" s="336">
        <v>2320</v>
      </c>
      <c r="AQ172" s="334">
        <v>1207.3820000000001</v>
      </c>
      <c r="AR172" s="336">
        <v>2330</v>
      </c>
      <c r="AS172" s="334">
        <v>1207.2819999999999</v>
      </c>
      <c r="AT172" s="336">
        <v>2330</v>
      </c>
      <c r="AU172" s="334">
        <v>1205.9380000000001</v>
      </c>
      <c r="AV172" s="336">
        <v>2330</v>
      </c>
      <c r="AW172" s="334">
        <v>1205.336</v>
      </c>
      <c r="AX172" s="336">
        <v>2320</v>
      </c>
      <c r="AY172" s="334">
        <v>1129.672</v>
      </c>
      <c r="AZ172" s="336">
        <v>2330</v>
      </c>
      <c r="BA172" s="337">
        <v>1130.704</v>
      </c>
      <c r="BB172" s="336">
        <v>2310</v>
      </c>
      <c r="BC172" s="334">
        <v>325.99299999999999</v>
      </c>
      <c r="BD172" s="336">
        <v>2310</v>
      </c>
      <c r="BE172" s="334">
        <v>340.166</v>
      </c>
    </row>
    <row r="173" spans="22:57">
      <c r="V173" s="346">
        <v>2340</v>
      </c>
      <c r="W173" s="333">
        <v>680.59699999999998</v>
      </c>
      <c r="X173" s="346">
        <v>2350</v>
      </c>
      <c r="Y173" s="334">
        <v>675.56100000000004</v>
      </c>
      <c r="Z173" s="335">
        <v>2340</v>
      </c>
      <c r="AA173" s="334">
        <v>1420.239</v>
      </c>
      <c r="AB173" s="336">
        <v>2340</v>
      </c>
      <c r="AC173" s="334">
        <v>1418.6690000000001</v>
      </c>
      <c r="AD173" s="336">
        <v>2340</v>
      </c>
      <c r="AE173" s="334">
        <v>1207.038</v>
      </c>
      <c r="AF173" s="336">
        <v>2340</v>
      </c>
      <c r="AG173" s="334">
        <v>1206.826</v>
      </c>
      <c r="AH173" s="336">
        <v>2340</v>
      </c>
      <c r="AI173" s="334">
        <v>1206.8130000000001</v>
      </c>
      <c r="AJ173" s="336">
        <v>2320</v>
      </c>
      <c r="AK173" s="334">
        <v>1207.903</v>
      </c>
      <c r="AL173" s="336">
        <v>2340</v>
      </c>
      <c r="AM173" s="334">
        <v>1207.4939999999999</v>
      </c>
      <c r="AN173" s="336">
        <v>2340</v>
      </c>
      <c r="AO173" s="334">
        <v>1207.893</v>
      </c>
      <c r="AP173" s="336">
        <v>2330</v>
      </c>
      <c r="AQ173" s="334">
        <v>1206.2170000000001</v>
      </c>
      <c r="AR173" s="336">
        <v>2340</v>
      </c>
      <c r="AS173" s="334">
        <v>1206.117</v>
      </c>
      <c r="AT173" s="336">
        <v>2340</v>
      </c>
      <c r="AU173" s="334">
        <v>1204.7719999999999</v>
      </c>
      <c r="AV173" s="336">
        <v>2340</v>
      </c>
      <c r="AW173" s="334">
        <v>1204.172</v>
      </c>
      <c r="AX173" s="336">
        <v>2330</v>
      </c>
      <c r="AY173" s="334">
        <v>1128.5060000000001</v>
      </c>
      <c r="AZ173" s="336">
        <v>2340</v>
      </c>
      <c r="BA173" s="337">
        <v>1129.54</v>
      </c>
      <c r="BB173" s="336">
        <v>2320</v>
      </c>
      <c r="BC173" s="334">
        <v>325.613</v>
      </c>
      <c r="BD173" s="336">
        <v>2320</v>
      </c>
      <c r="BE173" s="334">
        <v>339.77199999999999</v>
      </c>
    </row>
    <row r="174" spans="22:57">
      <c r="V174" s="346">
        <v>2350</v>
      </c>
      <c r="W174" s="333">
        <v>679.82899999999995</v>
      </c>
      <c r="X174" s="346">
        <v>2360</v>
      </c>
      <c r="Y174" s="334">
        <v>674.79899999999998</v>
      </c>
      <c r="Z174" s="335">
        <v>2350</v>
      </c>
      <c r="AA174" s="334">
        <v>1418.7860000000001</v>
      </c>
      <c r="AB174" s="336">
        <v>2350</v>
      </c>
      <c r="AC174" s="334">
        <v>1417.221</v>
      </c>
      <c r="AD174" s="336">
        <v>2350</v>
      </c>
      <c r="AE174" s="334">
        <v>1205.8699999999999</v>
      </c>
      <c r="AF174" s="336">
        <v>2350</v>
      </c>
      <c r="AG174" s="334">
        <v>1205.6579999999999</v>
      </c>
      <c r="AH174" s="336">
        <v>2350</v>
      </c>
      <c r="AI174" s="334">
        <v>1205.645</v>
      </c>
      <c r="AJ174" s="336">
        <v>2330</v>
      </c>
      <c r="AK174" s="334">
        <v>1206.7360000000001</v>
      </c>
      <c r="AL174" s="336">
        <v>2350</v>
      </c>
      <c r="AM174" s="334">
        <v>1206.326</v>
      </c>
      <c r="AN174" s="336">
        <v>2350</v>
      </c>
      <c r="AO174" s="334">
        <v>1206.7270000000001</v>
      </c>
      <c r="AP174" s="336">
        <v>2340</v>
      </c>
      <c r="AQ174" s="334">
        <v>1205.0530000000001</v>
      </c>
      <c r="AR174" s="336">
        <v>2350</v>
      </c>
      <c r="AS174" s="334">
        <v>1204.952</v>
      </c>
      <c r="AT174" s="336">
        <v>2350</v>
      </c>
      <c r="AU174" s="334">
        <v>1203.606</v>
      </c>
      <c r="AV174" s="336">
        <v>2350</v>
      </c>
      <c r="AW174" s="334">
        <v>1203.009</v>
      </c>
      <c r="AX174" s="336">
        <v>2340</v>
      </c>
      <c r="AY174" s="334">
        <v>1127.3409999999999</v>
      </c>
      <c r="AZ174" s="336">
        <v>2350</v>
      </c>
      <c r="BA174" s="337">
        <v>1128.376</v>
      </c>
      <c r="BB174" s="336">
        <v>2330</v>
      </c>
      <c r="BC174" s="334">
        <v>325.23200000000003</v>
      </c>
      <c r="BD174" s="336">
        <v>2330</v>
      </c>
      <c r="BE174" s="334">
        <v>339.37799999999999</v>
      </c>
    </row>
    <row r="175" spans="22:57">
      <c r="V175" s="346">
        <v>2360</v>
      </c>
      <c r="W175" s="333">
        <v>679.06100000000004</v>
      </c>
      <c r="X175" s="346">
        <v>2370</v>
      </c>
      <c r="Y175" s="334">
        <v>674.03800000000001</v>
      </c>
      <c r="Z175" s="335">
        <v>2360</v>
      </c>
      <c r="AA175" s="334">
        <v>1417.3330000000001</v>
      </c>
      <c r="AB175" s="336">
        <v>2360</v>
      </c>
      <c r="AC175" s="334">
        <v>1415.7719999999999</v>
      </c>
      <c r="AD175" s="336">
        <v>2360</v>
      </c>
      <c r="AE175" s="334">
        <v>1204.701</v>
      </c>
      <c r="AF175" s="336">
        <v>2360</v>
      </c>
      <c r="AG175" s="334">
        <v>1204.49</v>
      </c>
      <c r="AH175" s="336">
        <v>2360</v>
      </c>
      <c r="AI175" s="334">
        <v>1204.4760000000001</v>
      </c>
      <c r="AJ175" s="336">
        <v>2340</v>
      </c>
      <c r="AK175" s="334">
        <v>1205.568</v>
      </c>
      <c r="AL175" s="336">
        <v>2360</v>
      </c>
      <c r="AM175" s="334">
        <v>1205.1579999999999</v>
      </c>
      <c r="AN175" s="336">
        <v>2360</v>
      </c>
      <c r="AO175" s="334">
        <v>1205.56</v>
      </c>
      <c r="AP175" s="336">
        <v>2350</v>
      </c>
      <c r="AQ175" s="334">
        <v>1203.8879999999999</v>
      </c>
      <c r="AR175" s="336">
        <v>2360</v>
      </c>
      <c r="AS175" s="334">
        <v>1203.787</v>
      </c>
      <c r="AT175" s="336">
        <v>2360</v>
      </c>
      <c r="AU175" s="334">
        <v>1202.44</v>
      </c>
      <c r="AV175" s="336">
        <v>2360</v>
      </c>
      <c r="AW175" s="334">
        <v>1201.845</v>
      </c>
      <c r="AX175" s="336">
        <v>2350</v>
      </c>
      <c r="AY175" s="334">
        <v>1126.175</v>
      </c>
      <c r="AZ175" s="336">
        <v>2360</v>
      </c>
      <c r="BA175" s="337">
        <v>1127.212</v>
      </c>
      <c r="BB175" s="336">
        <v>2340</v>
      </c>
      <c r="BC175" s="334">
        <v>324.85199999999998</v>
      </c>
      <c r="BD175" s="336">
        <v>2340</v>
      </c>
      <c r="BE175" s="334">
        <v>338.983</v>
      </c>
    </row>
    <row r="176" spans="22:57">
      <c r="V176" s="346">
        <v>2370</v>
      </c>
      <c r="W176" s="333">
        <v>678.29200000000003</v>
      </c>
      <c r="X176" s="346">
        <v>2380</v>
      </c>
      <c r="Y176" s="334">
        <v>673.27499999999998</v>
      </c>
      <c r="Z176" s="335">
        <v>2370</v>
      </c>
      <c r="AA176" s="334">
        <v>1415.88</v>
      </c>
      <c r="AB176" s="336">
        <v>2370</v>
      </c>
      <c r="AC176" s="334">
        <v>1414.3230000000001</v>
      </c>
      <c r="AD176" s="336">
        <v>2370</v>
      </c>
      <c r="AE176" s="334">
        <v>1203.5319999999999</v>
      </c>
      <c r="AF176" s="336">
        <v>2370</v>
      </c>
      <c r="AG176" s="334">
        <v>1203.32</v>
      </c>
      <c r="AH176" s="336">
        <v>2370</v>
      </c>
      <c r="AI176" s="334">
        <v>1203.306</v>
      </c>
      <c r="AJ176" s="336">
        <v>2350</v>
      </c>
      <c r="AK176" s="334">
        <v>1204.4000000000001</v>
      </c>
      <c r="AL176" s="336">
        <v>2370</v>
      </c>
      <c r="AM176" s="334">
        <v>1203.99</v>
      </c>
      <c r="AN176" s="336">
        <v>2370</v>
      </c>
      <c r="AO176" s="334">
        <v>1204.3920000000001</v>
      </c>
      <c r="AP176" s="336">
        <v>2360</v>
      </c>
      <c r="AQ176" s="334">
        <v>1202.723</v>
      </c>
      <c r="AR176" s="336">
        <v>2370</v>
      </c>
      <c r="AS176" s="334">
        <v>1202.6210000000001</v>
      </c>
      <c r="AT176" s="336">
        <v>2370</v>
      </c>
      <c r="AU176" s="334">
        <v>1201.2729999999999</v>
      </c>
      <c r="AV176" s="336">
        <v>2370</v>
      </c>
      <c r="AW176" s="334">
        <v>1200.681</v>
      </c>
      <c r="AX176" s="336">
        <v>2360</v>
      </c>
      <c r="AY176" s="334">
        <v>1125.0070000000001</v>
      </c>
      <c r="AZ176" s="336">
        <v>2370</v>
      </c>
      <c r="BA176" s="337">
        <v>1126.047</v>
      </c>
      <c r="BB176" s="336">
        <v>2350</v>
      </c>
      <c r="BC176" s="334">
        <v>324.471</v>
      </c>
      <c r="BD176" s="336">
        <v>2350</v>
      </c>
      <c r="BE176" s="334">
        <v>338.589</v>
      </c>
    </row>
    <row r="177" spans="20:57">
      <c r="V177" s="346">
        <v>2380</v>
      </c>
      <c r="W177" s="333">
        <v>677.52099999999996</v>
      </c>
      <c r="X177" s="346">
        <v>2390</v>
      </c>
      <c r="Y177" s="334">
        <v>672.51</v>
      </c>
      <c r="Z177" s="335">
        <v>2380</v>
      </c>
      <c r="AA177" s="334">
        <v>1414.424</v>
      </c>
      <c r="AB177" s="336">
        <v>2380</v>
      </c>
      <c r="AC177" s="334">
        <v>1412.8720000000001</v>
      </c>
      <c r="AD177" s="336">
        <v>2380</v>
      </c>
      <c r="AE177" s="334">
        <v>1202.3620000000001</v>
      </c>
      <c r="AF177" s="336">
        <v>2380</v>
      </c>
      <c r="AG177" s="334">
        <v>1202.1479999999999</v>
      </c>
      <c r="AH177" s="336">
        <v>2380</v>
      </c>
      <c r="AI177" s="334">
        <v>1202.134</v>
      </c>
      <c r="AJ177" s="336">
        <v>2360</v>
      </c>
      <c r="AK177" s="334">
        <v>1203.229</v>
      </c>
      <c r="AL177" s="336">
        <v>2380</v>
      </c>
      <c r="AM177" s="334">
        <v>1202.819</v>
      </c>
      <c r="AN177" s="336">
        <v>2380</v>
      </c>
      <c r="AO177" s="334">
        <v>1203.223</v>
      </c>
      <c r="AP177" s="336">
        <v>2370</v>
      </c>
      <c r="AQ177" s="334">
        <v>1201.556</v>
      </c>
      <c r="AR177" s="336">
        <v>2380</v>
      </c>
      <c r="AS177" s="334">
        <v>1201.453</v>
      </c>
      <c r="AT177" s="336">
        <v>2380</v>
      </c>
      <c r="AU177" s="334">
        <v>1200.104</v>
      </c>
      <c r="AV177" s="336">
        <v>2380</v>
      </c>
      <c r="AW177" s="334">
        <v>1199.5160000000001</v>
      </c>
      <c r="AX177" s="336">
        <v>2370</v>
      </c>
      <c r="AY177" s="334">
        <v>1123.838</v>
      </c>
      <c r="AZ177" s="336">
        <v>2380</v>
      </c>
      <c r="BA177" s="337">
        <v>1124.8820000000001</v>
      </c>
      <c r="BB177" s="336">
        <v>2360</v>
      </c>
      <c r="BC177" s="334">
        <v>324.09100000000001</v>
      </c>
      <c r="BD177" s="336">
        <v>2360</v>
      </c>
      <c r="BE177" s="334">
        <v>338.19400000000002</v>
      </c>
    </row>
    <row r="178" spans="20:57">
      <c r="V178" s="346">
        <v>2390</v>
      </c>
      <c r="W178" s="333">
        <v>676.74900000000002</v>
      </c>
      <c r="X178" s="346">
        <v>2400</v>
      </c>
      <c r="Y178" s="334">
        <v>671.745</v>
      </c>
      <c r="Z178" s="335">
        <v>2390</v>
      </c>
      <c r="AA178" s="334">
        <v>1412.9670000000001</v>
      </c>
      <c r="AB178" s="336">
        <v>2390</v>
      </c>
      <c r="AC178" s="334">
        <v>1411.4190000000001</v>
      </c>
      <c r="AD178" s="336">
        <v>2390</v>
      </c>
      <c r="AE178" s="334">
        <v>1201.19</v>
      </c>
      <c r="AF178" s="336">
        <v>2390</v>
      </c>
      <c r="AG178" s="334">
        <v>1200.9749999999999</v>
      </c>
      <c r="AH178" s="336">
        <v>2390</v>
      </c>
      <c r="AI178" s="334">
        <v>1200.962</v>
      </c>
      <c r="AJ178" s="336">
        <v>2370</v>
      </c>
      <c r="AK178" s="334">
        <v>1202.058</v>
      </c>
      <c r="AL178" s="336">
        <v>2390</v>
      </c>
      <c r="AM178" s="334">
        <v>1201.6479999999999</v>
      </c>
      <c r="AN178" s="336">
        <v>2390</v>
      </c>
      <c r="AO178" s="334">
        <v>1202.0530000000001</v>
      </c>
      <c r="AP178" s="336">
        <v>2380</v>
      </c>
      <c r="AQ178" s="334">
        <v>1200.3879999999999</v>
      </c>
      <c r="AR178" s="336">
        <v>2390</v>
      </c>
      <c r="AS178" s="334">
        <v>1200.2840000000001</v>
      </c>
      <c r="AT178" s="336">
        <v>2390</v>
      </c>
      <c r="AU178" s="334">
        <v>1198.934</v>
      </c>
      <c r="AV178" s="336">
        <v>2390</v>
      </c>
      <c r="AW178" s="334">
        <v>1198.3489999999999</v>
      </c>
      <c r="AX178" s="336">
        <v>2380</v>
      </c>
      <c r="AY178" s="334">
        <v>1122.6690000000001</v>
      </c>
      <c r="AZ178" s="336">
        <v>2390</v>
      </c>
      <c r="BA178" s="337">
        <v>1123.7149999999999</v>
      </c>
      <c r="BB178" s="336">
        <v>2370</v>
      </c>
      <c r="BC178" s="334">
        <v>323.70999999999998</v>
      </c>
      <c r="BD178" s="336">
        <v>2370</v>
      </c>
      <c r="BE178" s="334">
        <v>337.8</v>
      </c>
    </row>
    <row r="179" spans="20:57">
      <c r="V179" s="346">
        <v>2400</v>
      </c>
      <c r="W179" s="333">
        <v>675.97699999999998</v>
      </c>
      <c r="X179" s="346">
        <v>2410</v>
      </c>
      <c r="Y179" s="334">
        <v>670.98</v>
      </c>
      <c r="Z179" s="335">
        <v>2400</v>
      </c>
      <c r="AA179" s="334">
        <v>1411.51</v>
      </c>
      <c r="AB179" s="336">
        <v>2400</v>
      </c>
      <c r="AC179" s="334">
        <v>1409.9659999999999</v>
      </c>
      <c r="AD179" s="336">
        <v>2400</v>
      </c>
      <c r="AE179" s="334">
        <v>1200.0170000000001</v>
      </c>
      <c r="AF179" s="336">
        <v>2400</v>
      </c>
      <c r="AG179" s="334">
        <v>1199.8030000000001</v>
      </c>
      <c r="AH179" s="336">
        <v>2400</v>
      </c>
      <c r="AI179" s="334">
        <v>1199.79</v>
      </c>
      <c r="AJ179" s="336">
        <v>2380</v>
      </c>
      <c r="AK179" s="334">
        <v>1200.886</v>
      </c>
      <c r="AL179" s="336">
        <v>2400</v>
      </c>
      <c r="AM179" s="334">
        <v>1200.4760000000001</v>
      </c>
      <c r="AN179" s="336">
        <v>2400</v>
      </c>
      <c r="AO179" s="334">
        <v>1200.8820000000001</v>
      </c>
      <c r="AP179" s="336">
        <v>2390</v>
      </c>
      <c r="AQ179" s="334">
        <v>1199.2190000000001</v>
      </c>
      <c r="AR179" s="336">
        <v>2400</v>
      </c>
      <c r="AS179" s="334">
        <v>1199.114</v>
      </c>
      <c r="AT179" s="336">
        <v>2400</v>
      </c>
      <c r="AU179" s="334">
        <v>1197.7639999999999</v>
      </c>
      <c r="AV179" s="336">
        <v>2400</v>
      </c>
      <c r="AW179" s="334">
        <v>1197.181</v>
      </c>
      <c r="AX179" s="336">
        <v>2390</v>
      </c>
      <c r="AY179" s="334">
        <v>1121.499</v>
      </c>
      <c r="AZ179" s="336">
        <v>2400</v>
      </c>
      <c r="BA179" s="337">
        <v>1122.547</v>
      </c>
      <c r="BB179" s="336">
        <v>2380</v>
      </c>
      <c r="BC179" s="334">
        <v>323.32900000000001</v>
      </c>
      <c r="BD179" s="336">
        <v>2380</v>
      </c>
      <c r="BE179" s="334">
        <v>337.40499999999997</v>
      </c>
    </row>
    <row r="180" spans="20:57">
      <c r="V180" s="346">
        <v>2410</v>
      </c>
      <c r="W180" s="333">
        <v>675.20500000000004</v>
      </c>
      <c r="X180" s="346">
        <v>2420</v>
      </c>
      <c r="Y180" s="334">
        <v>670.21400000000006</v>
      </c>
      <c r="Z180" s="335">
        <v>2410</v>
      </c>
      <c r="AA180" s="334">
        <v>1410.0530000000001</v>
      </c>
      <c r="AB180" s="336">
        <v>2410</v>
      </c>
      <c r="AC180" s="334">
        <v>1408.5129999999999</v>
      </c>
      <c r="AD180" s="336">
        <v>2410</v>
      </c>
      <c r="AE180" s="334">
        <v>1198.8440000000001</v>
      </c>
      <c r="AF180" s="336">
        <v>2410</v>
      </c>
      <c r="AG180" s="334">
        <v>1198.6300000000001</v>
      </c>
      <c r="AH180" s="336">
        <v>2410</v>
      </c>
      <c r="AI180" s="334">
        <v>1198.617</v>
      </c>
      <c r="AJ180" s="336">
        <v>2390</v>
      </c>
      <c r="AK180" s="334">
        <v>1199.7139999999999</v>
      </c>
      <c r="AL180" s="336">
        <v>2410</v>
      </c>
      <c r="AM180" s="334">
        <v>1199.3040000000001</v>
      </c>
      <c r="AN180" s="336">
        <v>2410</v>
      </c>
      <c r="AO180" s="334">
        <v>1199.71</v>
      </c>
      <c r="AP180" s="336">
        <v>2400</v>
      </c>
      <c r="AQ180" s="334">
        <v>1198.05</v>
      </c>
      <c r="AR180" s="336">
        <v>2410</v>
      </c>
      <c r="AS180" s="334">
        <v>1197.9449999999999</v>
      </c>
      <c r="AT180" s="336">
        <v>2410</v>
      </c>
      <c r="AU180" s="334">
        <v>1196.5930000000001</v>
      </c>
      <c r="AV180" s="336">
        <v>2410</v>
      </c>
      <c r="AW180" s="334">
        <v>1196.0129999999999</v>
      </c>
      <c r="AX180" s="336">
        <v>2400</v>
      </c>
      <c r="AY180" s="334">
        <v>1120.329</v>
      </c>
      <c r="AZ180" s="336">
        <v>2410</v>
      </c>
      <c r="BA180" s="337">
        <v>1121.3779999999999</v>
      </c>
      <c r="BB180" s="336">
        <v>2390</v>
      </c>
      <c r="BC180" s="334">
        <v>322.94799999999998</v>
      </c>
      <c r="BD180" s="336">
        <v>2390</v>
      </c>
      <c r="BE180" s="334">
        <v>337.01</v>
      </c>
    </row>
    <row r="181" spans="20:57">
      <c r="V181" s="346">
        <v>2420</v>
      </c>
      <c r="W181" s="333">
        <v>674.43299999999999</v>
      </c>
      <c r="X181" s="346">
        <v>2430</v>
      </c>
      <c r="Y181" s="334">
        <v>669.44899999999996</v>
      </c>
      <c r="Z181" s="335">
        <v>2420</v>
      </c>
      <c r="AA181" s="334">
        <v>1408.595</v>
      </c>
      <c r="AB181" s="336">
        <v>2420</v>
      </c>
      <c r="AC181" s="334">
        <v>1407.059</v>
      </c>
      <c r="AD181" s="336">
        <v>2420</v>
      </c>
      <c r="AE181" s="334">
        <v>1197.671</v>
      </c>
      <c r="AF181" s="336">
        <v>2420</v>
      </c>
      <c r="AG181" s="334">
        <v>1197.4570000000001</v>
      </c>
      <c r="AH181" s="336">
        <v>2420</v>
      </c>
      <c r="AI181" s="334">
        <v>1197.444</v>
      </c>
      <c r="AJ181" s="336">
        <v>2400</v>
      </c>
      <c r="AK181" s="334">
        <v>1198.5419999999999</v>
      </c>
      <c r="AL181" s="336">
        <v>2420</v>
      </c>
      <c r="AM181" s="334">
        <v>1198.1310000000001</v>
      </c>
      <c r="AN181" s="336">
        <v>2420</v>
      </c>
      <c r="AO181" s="334">
        <v>1198.539</v>
      </c>
      <c r="AP181" s="336">
        <v>2410</v>
      </c>
      <c r="AQ181" s="334">
        <v>1196.8810000000001</v>
      </c>
      <c r="AR181" s="336">
        <v>2420</v>
      </c>
      <c r="AS181" s="334">
        <v>1196.7750000000001</v>
      </c>
      <c r="AT181" s="336">
        <v>2420</v>
      </c>
      <c r="AU181" s="334">
        <v>1195.423</v>
      </c>
      <c r="AV181" s="336">
        <v>2420</v>
      </c>
      <c r="AW181" s="334">
        <v>1194.845</v>
      </c>
      <c r="AX181" s="336">
        <v>2410</v>
      </c>
      <c r="AY181" s="334">
        <v>1119.1590000000001</v>
      </c>
      <c r="AZ181" s="336">
        <v>2420</v>
      </c>
      <c r="BA181" s="337">
        <v>1120.21</v>
      </c>
      <c r="BB181" s="336">
        <v>2400</v>
      </c>
      <c r="BC181" s="334">
        <v>322.56700000000001</v>
      </c>
      <c r="BD181" s="336">
        <v>2400</v>
      </c>
      <c r="BE181" s="334">
        <v>336.61500000000001</v>
      </c>
    </row>
    <row r="182" spans="20:57">
      <c r="V182" s="346">
        <v>2430</v>
      </c>
      <c r="W182" s="333">
        <v>673.66</v>
      </c>
      <c r="X182" s="346">
        <v>2440</v>
      </c>
      <c r="Y182" s="334">
        <v>668.68299999999999</v>
      </c>
      <c r="Z182" s="335">
        <v>2430</v>
      </c>
      <c r="AA182" s="334">
        <v>1407.1369999999999</v>
      </c>
      <c r="AB182" s="336">
        <v>2430</v>
      </c>
      <c r="AC182" s="334">
        <v>1405.605</v>
      </c>
      <c r="AD182" s="336">
        <v>2430</v>
      </c>
      <c r="AE182" s="334">
        <v>1196.498</v>
      </c>
      <c r="AF182" s="336">
        <v>2430</v>
      </c>
      <c r="AG182" s="334">
        <v>1196.2840000000001</v>
      </c>
      <c r="AH182" s="336">
        <v>2430</v>
      </c>
      <c r="AI182" s="334">
        <v>1196.271</v>
      </c>
      <c r="AJ182" s="336">
        <v>2410</v>
      </c>
      <c r="AK182" s="334">
        <v>1197.3689999999999</v>
      </c>
      <c r="AL182" s="336">
        <v>2430</v>
      </c>
      <c r="AM182" s="334">
        <v>1196.9590000000001</v>
      </c>
      <c r="AN182" s="336">
        <v>2430</v>
      </c>
      <c r="AO182" s="334">
        <v>1197.367</v>
      </c>
      <c r="AP182" s="336">
        <v>2420</v>
      </c>
      <c r="AQ182" s="334">
        <v>1195.711</v>
      </c>
      <c r="AR182" s="336">
        <v>2430</v>
      </c>
      <c r="AS182" s="334">
        <v>1195.605</v>
      </c>
      <c r="AT182" s="336">
        <v>2430</v>
      </c>
      <c r="AU182" s="334">
        <v>1194.252</v>
      </c>
      <c r="AV182" s="336">
        <v>2430</v>
      </c>
      <c r="AW182" s="334">
        <v>1193.6759999999999</v>
      </c>
      <c r="AX182" s="336">
        <v>2420</v>
      </c>
      <c r="AY182" s="334">
        <v>1117.9880000000001</v>
      </c>
      <c r="AZ182" s="336">
        <v>2430</v>
      </c>
      <c r="BA182" s="337">
        <v>1119.0409999999999</v>
      </c>
      <c r="BB182" s="336">
        <v>2410</v>
      </c>
      <c r="BC182" s="334">
        <v>322.18599999999998</v>
      </c>
      <c r="BD182" s="336">
        <v>2410</v>
      </c>
      <c r="BE182" s="334">
        <v>336.22</v>
      </c>
    </row>
    <row r="183" spans="20:57">
      <c r="V183" s="346">
        <v>2440</v>
      </c>
      <c r="W183" s="333">
        <v>672.88800000000003</v>
      </c>
      <c r="X183" s="346">
        <v>2450</v>
      </c>
      <c r="Y183" s="334">
        <v>667.91700000000003</v>
      </c>
      <c r="Z183" s="335">
        <v>2440</v>
      </c>
      <c r="AA183" s="334">
        <v>1405.6790000000001</v>
      </c>
      <c r="AB183" s="336">
        <v>2440</v>
      </c>
      <c r="AC183" s="334">
        <v>1404.1510000000001</v>
      </c>
      <c r="AD183" s="336">
        <v>2440</v>
      </c>
      <c r="AE183" s="334">
        <v>1195.3240000000001</v>
      </c>
      <c r="AF183" s="336">
        <v>2440</v>
      </c>
      <c r="AG183" s="334">
        <v>1195.1110000000001</v>
      </c>
      <c r="AH183" s="336">
        <v>2440</v>
      </c>
      <c r="AI183" s="334">
        <v>1195.098</v>
      </c>
      <c r="AJ183" s="336">
        <v>2420</v>
      </c>
      <c r="AK183" s="334">
        <v>1196.1959999999999</v>
      </c>
      <c r="AL183" s="336">
        <v>2440</v>
      </c>
      <c r="AM183" s="334">
        <v>1195.7860000000001</v>
      </c>
      <c r="AN183" s="336">
        <v>2440</v>
      </c>
      <c r="AO183" s="334">
        <v>1196.1949999999999</v>
      </c>
      <c r="AP183" s="336">
        <v>2430</v>
      </c>
      <c r="AQ183" s="334">
        <v>1194.5419999999999</v>
      </c>
      <c r="AR183" s="336">
        <v>2440</v>
      </c>
      <c r="AS183" s="334">
        <v>1194.4349999999999</v>
      </c>
      <c r="AT183" s="336">
        <v>2440</v>
      </c>
      <c r="AU183" s="334">
        <v>1193.08</v>
      </c>
      <c r="AV183" s="336">
        <v>2440</v>
      </c>
      <c r="AW183" s="334">
        <v>1192.508</v>
      </c>
      <c r="AX183" s="336">
        <v>2430</v>
      </c>
      <c r="AY183" s="334">
        <v>1116.818</v>
      </c>
      <c r="AZ183" s="336">
        <v>2440</v>
      </c>
      <c r="BA183" s="337">
        <v>1117.8720000000001</v>
      </c>
      <c r="BB183" s="336">
        <v>2420</v>
      </c>
      <c r="BC183" s="334">
        <v>321.80500000000001</v>
      </c>
      <c r="BD183" s="336">
        <v>2420</v>
      </c>
      <c r="BE183" s="334">
        <v>335.82499999999999</v>
      </c>
    </row>
    <row r="184" spans="20:57">
      <c r="V184" s="346">
        <v>2450</v>
      </c>
      <c r="W184" s="333">
        <v>672.11500000000001</v>
      </c>
      <c r="X184" s="346">
        <v>2460</v>
      </c>
      <c r="Y184" s="334">
        <v>667.15099999999995</v>
      </c>
      <c r="Z184" s="335">
        <v>2450</v>
      </c>
      <c r="AA184" s="334">
        <v>1404.22</v>
      </c>
      <c r="AB184" s="336">
        <v>2450</v>
      </c>
      <c r="AC184" s="334">
        <v>1402.6969999999999</v>
      </c>
      <c r="AD184" s="336">
        <v>2450</v>
      </c>
      <c r="AE184" s="334">
        <v>1194.1500000000001</v>
      </c>
      <c r="AF184" s="336">
        <v>2450</v>
      </c>
      <c r="AG184" s="334">
        <v>1193.9369999999999</v>
      </c>
      <c r="AH184" s="336">
        <v>2450</v>
      </c>
      <c r="AI184" s="334">
        <v>1193.924</v>
      </c>
      <c r="AJ184" s="336">
        <v>2430</v>
      </c>
      <c r="AK184" s="334">
        <v>1195.0229999999999</v>
      </c>
      <c r="AL184" s="336">
        <v>2450</v>
      </c>
      <c r="AM184" s="334">
        <v>1194.6130000000001</v>
      </c>
      <c r="AN184" s="336">
        <v>2450</v>
      </c>
      <c r="AO184" s="334">
        <v>1195.0229999999999</v>
      </c>
      <c r="AP184" s="336">
        <v>2440</v>
      </c>
      <c r="AQ184" s="334">
        <v>1193.3720000000001</v>
      </c>
      <c r="AR184" s="336">
        <v>2450</v>
      </c>
      <c r="AS184" s="334">
        <v>1193.2639999999999</v>
      </c>
      <c r="AT184" s="336">
        <v>2450</v>
      </c>
      <c r="AU184" s="334">
        <v>1191.9090000000001</v>
      </c>
      <c r="AV184" s="336">
        <v>2450</v>
      </c>
      <c r="AW184" s="334">
        <v>1191.3389999999999</v>
      </c>
      <c r="AX184" s="336">
        <v>2440</v>
      </c>
      <c r="AY184" s="334">
        <v>1115.6469999999999</v>
      </c>
      <c r="AZ184" s="336">
        <v>2450</v>
      </c>
      <c r="BA184" s="337">
        <v>1116.703</v>
      </c>
      <c r="BB184" s="336">
        <v>2430</v>
      </c>
      <c r="BC184" s="334">
        <v>321.42399999999998</v>
      </c>
      <c r="BD184" s="336">
        <v>2430</v>
      </c>
      <c r="BE184" s="334">
        <v>335.43</v>
      </c>
    </row>
    <row r="185" spans="20:57">
      <c r="T185" s="136"/>
      <c r="V185" s="346">
        <v>2460</v>
      </c>
      <c r="W185" s="333">
        <v>671.34199999999998</v>
      </c>
      <c r="X185" s="346">
        <v>2470</v>
      </c>
      <c r="Y185" s="334">
        <v>666.38400000000001</v>
      </c>
      <c r="Z185" s="335">
        <v>2460</v>
      </c>
      <c r="AA185" s="334">
        <v>1402.761</v>
      </c>
      <c r="AB185" s="336">
        <v>2460</v>
      </c>
      <c r="AC185" s="334">
        <v>1401.242</v>
      </c>
      <c r="AD185" s="336">
        <v>2460</v>
      </c>
      <c r="AE185" s="334">
        <v>1192.9760000000001</v>
      </c>
      <c r="AF185" s="336">
        <v>2460</v>
      </c>
      <c r="AG185" s="334">
        <v>1192.7629999999999</v>
      </c>
      <c r="AH185" s="336">
        <v>2460</v>
      </c>
      <c r="AI185" s="334">
        <v>1192.75</v>
      </c>
      <c r="AJ185" s="336">
        <v>2440</v>
      </c>
      <c r="AK185" s="334">
        <v>1193.8499999999999</v>
      </c>
      <c r="AL185" s="336">
        <v>2460</v>
      </c>
      <c r="AM185" s="334">
        <v>1193.44</v>
      </c>
      <c r="AN185" s="336">
        <v>2460</v>
      </c>
      <c r="AO185" s="334">
        <v>1193.8499999999999</v>
      </c>
      <c r="AP185" s="336">
        <v>2450</v>
      </c>
      <c r="AQ185" s="334">
        <v>1192.201</v>
      </c>
      <c r="AR185" s="336">
        <v>2460</v>
      </c>
      <c r="AS185" s="334">
        <v>1192.0940000000001</v>
      </c>
      <c r="AT185" s="336">
        <v>2460</v>
      </c>
      <c r="AU185" s="352">
        <v>1190.7370000000001</v>
      </c>
      <c r="AV185" s="336">
        <v>2460</v>
      </c>
      <c r="AW185" s="334">
        <v>1190.17</v>
      </c>
      <c r="AX185" s="336">
        <v>2450</v>
      </c>
      <c r="AY185" s="334">
        <v>1114.4760000000001</v>
      </c>
      <c r="AZ185" s="336">
        <v>2460</v>
      </c>
      <c r="BA185" s="337">
        <v>1115.5329999999999</v>
      </c>
      <c r="BB185" s="336">
        <v>2440</v>
      </c>
      <c r="BC185" s="334">
        <v>321.04199999999997</v>
      </c>
      <c r="BD185" s="336">
        <v>2440</v>
      </c>
      <c r="BE185" s="334">
        <v>335.03500000000003</v>
      </c>
    </row>
    <row r="186" spans="20:57">
      <c r="V186" s="346">
        <v>2470</v>
      </c>
      <c r="W186" s="333">
        <v>670.56799999999998</v>
      </c>
      <c r="X186" s="346">
        <v>2480</v>
      </c>
      <c r="Y186" s="334">
        <v>665.61800000000005</v>
      </c>
      <c r="Z186" s="335">
        <v>2470</v>
      </c>
      <c r="AA186" s="334">
        <v>1401.3019999999999</v>
      </c>
      <c r="AB186" s="336">
        <v>2470</v>
      </c>
      <c r="AC186" s="334">
        <v>1399.787</v>
      </c>
      <c r="AD186" s="336">
        <v>2470</v>
      </c>
      <c r="AE186" s="334">
        <v>1191.8019999999999</v>
      </c>
      <c r="AF186" s="336">
        <v>2470</v>
      </c>
      <c r="AG186" s="334">
        <v>1191.5889999999999</v>
      </c>
      <c r="AH186" s="336">
        <v>2470</v>
      </c>
      <c r="AI186" s="334">
        <v>1191.576</v>
      </c>
      <c r="AJ186" s="336">
        <v>2450</v>
      </c>
      <c r="AK186" s="334">
        <v>1192.6759999999999</v>
      </c>
      <c r="AL186" s="336">
        <v>2470</v>
      </c>
      <c r="AM186" s="334">
        <v>1192.2660000000001</v>
      </c>
      <c r="AN186" s="336">
        <v>2470</v>
      </c>
      <c r="AO186" s="334">
        <v>1192.6769999999999</v>
      </c>
      <c r="AP186" s="336">
        <v>2460</v>
      </c>
      <c r="AQ186" s="334">
        <v>1191.0309999999999</v>
      </c>
      <c r="AR186" s="336">
        <v>2470</v>
      </c>
      <c r="AS186" s="334">
        <v>1190.923</v>
      </c>
      <c r="AT186" s="336">
        <v>2470</v>
      </c>
      <c r="AU186" s="352">
        <v>1189.5650000000001</v>
      </c>
      <c r="AV186" s="336">
        <v>2470</v>
      </c>
      <c r="AW186" s="334">
        <v>1189</v>
      </c>
      <c r="AX186" s="336">
        <v>2460</v>
      </c>
      <c r="AY186" s="334">
        <v>1113.3040000000001</v>
      </c>
      <c r="AZ186" s="336">
        <v>2470</v>
      </c>
      <c r="BA186" s="337">
        <v>1114.3630000000001</v>
      </c>
      <c r="BB186" s="336">
        <v>2450</v>
      </c>
      <c r="BC186" s="334">
        <v>320.661</v>
      </c>
      <c r="BD186" s="336">
        <v>2450</v>
      </c>
      <c r="BE186" s="334">
        <v>334.63900000000001</v>
      </c>
    </row>
    <row r="187" spans="20:57">
      <c r="V187" s="346">
        <v>2480</v>
      </c>
      <c r="W187" s="333">
        <v>669.79499999999996</v>
      </c>
      <c r="X187" s="346">
        <v>2490</v>
      </c>
      <c r="Y187" s="334">
        <v>664.851</v>
      </c>
      <c r="Z187" s="335">
        <v>2480</v>
      </c>
      <c r="AA187" s="334">
        <v>1399.8430000000001</v>
      </c>
      <c r="AB187" s="336">
        <v>2480</v>
      </c>
      <c r="AC187" s="334">
        <v>1398.3309999999999</v>
      </c>
      <c r="AD187" s="336">
        <v>2480</v>
      </c>
      <c r="AE187" s="334">
        <v>1190.627</v>
      </c>
      <c r="AF187" s="336">
        <v>2480</v>
      </c>
      <c r="AG187" s="334">
        <v>1190.415</v>
      </c>
      <c r="AH187" s="336">
        <v>2480</v>
      </c>
      <c r="AI187" s="334">
        <v>1190.402</v>
      </c>
      <c r="AJ187" s="336">
        <v>2460</v>
      </c>
      <c r="AK187" s="334">
        <v>1191.5029999999999</v>
      </c>
      <c r="AL187" s="336">
        <v>2480</v>
      </c>
      <c r="AM187" s="334">
        <v>1191.0920000000001</v>
      </c>
      <c r="AN187" s="336">
        <v>2480</v>
      </c>
      <c r="AO187" s="334">
        <v>1191.5039999999999</v>
      </c>
      <c r="AP187" s="336">
        <v>2470</v>
      </c>
      <c r="AQ187" s="334">
        <v>1189.8599999999999</v>
      </c>
      <c r="AR187" s="336">
        <v>2480</v>
      </c>
      <c r="AS187" s="334">
        <v>1189.752</v>
      </c>
      <c r="AT187" s="336">
        <v>2480</v>
      </c>
      <c r="AU187" s="334">
        <v>1188.393</v>
      </c>
      <c r="AV187" s="336">
        <v>2480</v>
      </c>
      <c r="AW187" s="334">
        <v>1187.8309999999999</v>
      </c>
      <c r="AX187" s="336">
        <v>2470</v>
      </c>
      <c r="AY187" s="334">
        <v>1112.133</v>
      </c>
      <c r="AZ187" s="336">
        <v>2480</v>
      </c>
      <c r="BA187" s="337">
        <v>1113.193</v>
      </c>
      <c r="BB187" s="336">
        <v>2460</v>
      </c>
      <c r="BC187" s="334">
        <v>320.279</v>
      </c>
      <c r="BD187" s="336">
        <v>2460</v>
      </c>
      <c r="BE187" s="334">
        <v>334.24400000000003</v>
      </c>
    </row>
    <row r="188" spans="20:57">
      <c r="V188" s="346">
        <v>2490</v>
      </c>
      <c r="W188" s="333">
        <v>669.02200000000005</v>
      </c>
      <c r="X188" s="346">
        <v>2500</v>
      </c>
      <c r="Y188" s="334">
        <v>664.08399999999995</v>
      </c>
      <c r="Z188" s="335">
        <v>2490</v>
      </c>
      <c r="AA188" s="334">
        <v>1398.383</v>
      </c>
      <c r="AB188" s="336">
        <v>2490</v>
      </c>
      <c r="AC188" s="334">
        <v>1396.876</v>
      </c>
      <c r="AD188" s="336">
        <v>2490</v>
      </c>
      <c r="AE188" s="334">
        <v>1189.452</v>
      </c>
      <c r="AF188" s="336">
        <v>2490</v>
      </c>
      <c r="AG188" s="334">
        <v>1189.24</v>
      </c>
      <c r="AH188" s="336">
        <v>2490</v>
      </c>
      <c r="AI188" s="334">
        <v>1189.2270000000001</v>
      </c>
      <c r="AJ188" s="336">
        <v>2470</v>
      </c>
      <c r="AK188" s="334">
        <v>1190.329</v>
      </c>
      <c r="AL188" s="336">
        <v>2490</v>
      </c>
      <c r="AM188" s="334">
        <v>1189.9179999999999</v>
      </c>
      <c r="AN188" s="336">
        <v>2490</v>
      </c>
      <c r="AO188" s="334">
        <v>1190.3309999999999</v>
      </c>
      <c r="AP188" s="336">
        <v>2480</v>
      </c>
      <c r="AQ188" s="334">
        <v>1188.6890000000001</v>
      </c>
      <c r="AR188" s="336">
        <v>2490</v>
      </c>
      <c r="AS188" s="334">
        <v>1188.58</v>
      </c>
      <c r="AT188" s="336">
        <v>2490</v>
      </c>
      <c r="AU188" s="334">
        <v>1187.221</v>
      </c>
      <c r="AV188" s="336">
        <v>2490</v>
      </c>
      <c r="AW188" s="334">
        <v>1186.6610000000001</v>
      </c>
      <c r="AX188" s="336">
        <v>2480</v>
      </c>
      <c r="AY188" s="334">
        <v>1110.961</v>
      </c>
      <c r="AZ188" s="336">
        <v>2490</v>
      </c>
      <c r="BA188" s="337">
        <v>1112.0229999999999</v>
      </c>
      <c r="BB188" s="336">
        <v>2470</v>
      </c>
      <c r="BC188" s="334">
        <v>319.89800000000002</v>
      </c>
      <c r="BD188" s="336">
        <v>2470</v>
      </c>
      <c r="BE188" s="334">
        <v>333.84800000000001</v>
      </c>
    </row>
    <row r="189" spans="20:57">
      <c r="V189" s="346">
        <v>2500</v>
      </c>
      <c r="W189" s="333">
        <v>668.24800000000005</v>
      </c>
      <c r="X189" s="346">
        <v>2510</v>
      </c>
      <c r="Y189" s="334">
        <v>663.31700000000001</v>
      </c>
      <c r="Z189" s="335">
        <v>2500</v>
      </c>
      <c r="AA189" s="334">
        <v>1396.923</v>
      </c>
      <c r="AB189" s="336">
        <v>2500</v>
      </c>
      <c r="AC189" s="334">
        <v>1395.42</v>
      </c>
      <c r="AD189" s="336">
        <v>2500</v>
      </c>
      <c r="AE189" s="334">
        <v>1188.277</v>
      </c>
      <c r="AF189" s="336">
        <v>2500</v>
      </c>
      <c r="AG189" s="334">
        <v>1188.0650000000001</v>
      </c>
      <c r="AH189" s="336">
        <v>2500</v>
      </c>
      <c r="AI189" s="334">
        <v>1188.0519999999999</v>
      </c>
      <c r="AJ189" s="336">
        <v>2480</v>
      </c>
      <c r="AK189" s="334">
        <v>1189.154</v>
      </c>
      <c r="AL189" s="336">
        <v>2500</v>
      </c>
      <c r="AM189" s="334">
        <v>1188.7439999999999</v>
      </c>
      <c r="AN189" s="336">
        <v>2500</v>
      </c>
      <c r="AO189" s="334">
        <v>1189.1579999999999</v>
      </c>
      <c r="AP189" s="336">
        <v>2490</v>
      </c>
      <c r="AQ189" s="334">
        <v>1187.518</v>
      </c>
      <c r="AR189" s="336">
        <v>2500</v>
      </c>
      <c r="AS189" s="334">
        <v>1187.4079999999999</v>
      </c>
      <c r="AT189" s="336">
        <v>2500</v>
      </c>
      <c r="AU189" s="334">
        <v>1186.048</v>
      </c>
      <c r="AV189" s="336">
        <v>2500</v>
      </c>
      <c r="AW189" s="334">
        <v>1185.49</v>
      </c>
      <c r="AX189" s="336">
        <v>2490</v>
      </c>
      <c r="AY189" s="334">
        <v>1109.789</v>
      </c>
      <c r="AZ189" s="336">
        <v>2500</v>
      </c>
      <c r="BA189" s="337">
        <v>1110.8520000000001</v>
      </c>
      <c r="BB189" s="336">
        <v>2480</v>
      </c>
      <c r="BC189" s="334">
        <v>319.51600000000002</v>
      </c>
      <c r="BD189" s="336">
        <v>2480</v>
      </c>
      <c r="BE189" s="334">
        <v>333.45299999999997</v>
      </c>
    </row>
    <row r="190" spans="20:57">
      <c r="V190" s="346">
        <v>2510</v>
      </c>
      <c r="W190" s="333">
        <v>667.47400000000005</v>
      </c>
      <c r="X190" s="346">
        <v>2520</v>
      </c>
      <c r="Y190" s="334">
        <v>662.55</v>
      </c>
      <c r="Z190" s="335">
        <v>2510</v>
      </c>
      <c r="AA190" s="334">
        <v>1395.463</v>
      </c>
      <c r="AB190" s="336">
        <v>2510</v>
      </c>
      <c r="AC190" s="334">
        <v>1393.963</v>
      </c>
      <c r="AD190" s="336">
        <v>2510</v>
      </c>
      <c r="AE190" s="334">
        <v>1187.1020000000001</v>
      </c>
      <c r="AF190" s="336">
        <v>2510</v>
      </c>
      <c r="AG190" s="334">
        <v>1186.8900000000001</v>
      </c>
      <c r="AH190" s="336">
        <v>2510</v>
      </c>
      <c r="AI190" s="334">
        <v>1186.8779999999999</v>
      </c>
      <c r="AJ190" s="336">
        <v>2490</v>
      </c>
      <c r="AK190" s="334">
        <v>1187.98</v>
      </c>
      <c r="AL190" s="336">
        <v>2510</v>
      </c>
      <c r="AM190" s="334">
        <v>1187.569</v>
      </c>
      <c r="AN190" s="336">
        <v>2510</v>
      </c>
      <c r="AO190" s="334">
        <v>1187.9839999999999</v>
      </c>
      <c r="AP190" s="336">
        <v>2500</v>
      </c>
      <c r="AQ190" s="334">
        <v>1186.346</v>
      </c>
      <c r="AR190" s="336">
        <v>2510</v>
      </c>
      <c r="AS190" s="334">
        <v>1186.2360000000001</v>
      </c>
      <c r="AT190" s="336">
        <v>2510</v>
      </c>
      <c r="AU190" s="334">
        <v>1184.875</v>
      </c>
      <c r="AV190" s="336">
        <v>2510</v>
      </c>
      <c r="AW190" s="334">
        <v>1184.32</v>
      </c>
      <c r="AX190" s="336">
        <v>2500</v>
      </c>
      <c r="AY190" s="334">
        <v>1108.617</v>
      </c>
      <c r="AZ190" s="336">
        <v>2510</v>
      </c>
      <c r="BA190" s="337">
        <v>1109.682</v>
      </c>
      <c r="BB190" s="336">
        <v>2490</v>
      </c>
      <c r="BC190" s="334">
        <v>319.13400000000001</v>
      </c>
      <c r="BD190" s="336">
        <v>2490</v>
      </c>
      <c r="BE190" s="334">
        <v>333.05700000000002</v>
      </c>
    </row>
    <row r="191" spans="20:57">
      <c r="V191" s="346">
        <v>2520</v>
      </c>
      <c r="W191" s="333">
        <v>666.7</v>
      </c>
      <c r="X191" s="346">
        <v>2530</v>
      </c>
      <c r="Y191" s="334">
        <v>661.78200000000004</v>
      </c>
      <c r="Z191" s="335">
        <v>2520</v>
      </c>
      <c r="AA191" s="334">
        <v>1394.002</v>
      </c>
      <c r="AB191" s="336">
        <v>2520</v>
      </c>
      <c r="AC191" s="334">
        <v>1392.5070000000001</v>
      </c>
      <c r="AD191" s="336">
        <v>2520</v>
      </c>
      <c r="AE191" s="334">
        <v>1185.9259999999999</v>
      </c>
      <c r="AF191" s="336">
        <v>2520</v>
      </c>
      <c r="AG191" s="334">
        <v>1185.7149999999999</v>
      </c>
      <c r="AH191" s="336">
        <v>2520</v>
      </c>
      <c r="AI191" s="334">
        <v>1185.702</v>
      </c>
      <c r="AJ191" s="336">
        <v>2500</v>
      </c>
      <c r="AK191" s="334">
        <v>1186.8050000000001</v>
      </c>
      <c r="AL191" s="336">
        <v>2520</v>
      </c>
      <c r="AM191" s="334">
        <v>1186.395</v>
      </c>
      <c r="AN191" s="336">
        <v>2520</v>
      </c>
      <c r="AO191" s="334">
        <v>1186.81</v>
      </c>
      <c r="AP191" s="336">
        <v>2510</v>
      </c>
      <c r="AQ191" s="334">
        <v>1185.175</v>
      </c>
      <c r="AR191" s="336">
        <v>2520</v>
      </c>
      <c r="AS191" s="334">
        <v>1185.0640000000001</v>
      </c>
      <c r="AT191" s="336">
        <v>2520</v>
      </c>
      <c r="AU191" s="334">
        <v>1183.702</v>
      </c>
      <c r="AV191" s="336">
        <v>2520</v>
      </c>
      <c r="AW191" s="334">
        <v>1183.1489999999999</v>
      </c>
      <c r="AX191" s="336">
        <v>2510</v>
      </c>
      <c r="AY191" s="334">
        <v>1107.444</v>
      </c>
      <c r="AZ191" s="336">
        <v>2520</v>
      </c>
      <c r="BA191" s="337">
        <v>1108.511</v>
      </c>
      <c r="BB191" s="336">
        <v>2500</v>
      </c>
      <c r="BC191" s="334">
        <v>318.75200000000001</v>
      </c>
      <c r="BD191" s="336">
        <v>2500</v>
      </c>
      <c r="BE191" s="334">
        <v>332.661</v>
      </c>
    </row>
    <row r="192" spans="20:57">
      <c r="V192" s="346">
        <v>2530</v>
      </c>
      <c r="W192" s="333">
        <v>665.92499999999995</v>
      </c>
      <c r="X192" s="346">
        <v>2540</v>
      </c>
      <c r="Y192" s="334">
        <v>661.01400000000001</v>
      </c>
      <c r="Z192" s="335">
        <v>2530</v>
      </c>
      <c r="AA192" s="334">
        <v>1392.5409999999999</v>
      </c>
      <c r="AB192" s="336">
        <v>2530</v>
      </c>
      <c r="AC192" s="334">
        <v>1391.05</v>
      </c>
      <c r="AD192" s="336">
        <v>2530</v>
      </c>
      <c r="AE192" s="334">
        <v>1184.75</v>
      </c>
      <c r="AF192" s="336">
        <v>2530</v>
      </c>
      <c r="AG192" s="334">
        <v>1184.539</v>
      </c>
      <c r="AH192" s="336">
        <v>2530</v>
      </c>
      <c r="AI192" s="334">
        <v>1184.527</v>
      </c>
      <c r="AJ192" s="336">
        <v>2510</v>
      </c>
      <c r="AK192" s="334">
        <v>1185.6300000000001</v>
      </c>
      <c r="AL192" s="336">
        <v>2530</v>
      </c>
      <c r="AM192" s="334">
        <v>1185.22</v>
      </c>
      <c r="AN192" s="336">
        <v>2530</v>
      </c>
      <c r="AO192" s="334">
        <v>1185.636</v>
      </c>
      <c r="AP192" s="336">
        <v>2520</v>
      </c>
      <c r="AQ192" s="334">
        <v>1184.0029999999999</v>
      </c>
      <c r="AR192" s="336">
        <v>2530</v>
      </c>
      <c r="AS192" s="334">
        <v>1183.8920000000001</v>
      </c>
      <c r="AT192" s="336">
        <v>2530</v>
      </c>
      <c r="AU192" s="334">
        <v>1182.529</v>
      </c>
      <c r="AV192" s="336">
        <v>2530</v>
      </c>
      <c r="AW192" s="334">
        <v>1181.9780000000001</v>
      </c>
      <c r="AX192" s="336">
        <v>2520</v>
      </c>
      <c r="AY192" s="334">
        <v>1106.271</v>
      </c>
      <c r="AZ192" s="336">
        <v>2530</v>
      </c>
      <c r="BA192" s="337">
        <v>1107.3389999999999</v>
      </c>
      <c r="BB192" s="336">
        <v>2510</v>
      </c>
      <c r="BC192" s="334">
        <v>318.37</v>
      </c>
      <c r="BD192" s="336">
        <v>2510</v>
      </c>
      <c r="BE192" s="334">
        <v>332.26499999999999</v>
      </c>
    </row>
    <row r="193" spans="22:57">
      <c r="V193" s="346">
        <v>2540</v>
      </c>
      <c r="W193" s="333">
        <v>665.15099999999995</v>
      </c>
      <c r="X193" s="346">
        <v>2550</v>
      </c>
      <c r="Y193" s="334">
        <v>660.24699999999996</v>
      </c>
      <c r="Z193" s="335">
        <v>2540</v>
      </c>
      <c r="AA193" s="334">
        <v>1391.08</v>
      </c>
      <c r="AB193" s="336">
        <v>2540</v>
      </c>
      <c r="AC193" s="334">
        <v>1389.5930000000001</v>
      </c>
      <c r="AD193" s="336">
        <v>2540</v>
      </c>
      <c r="AE193" s="334">
        <v>1183.5740000000001</v>
      </c>
      <c r="AF193" s="336">
        <v>2540</v>
      </c>
      <c r="AG193" s="334">
        <v>1183.364</v>
      </c>
      <c r="AH193" s="336">
        <v>2540</v>
      </c>
      <c r="AI193" s="334">
        <v>1183.3510000000001</v>
      </c>
      <c r="AJ193" s="336">
        <v>2520</v>
      </c>
      <c r="AK193" s="334">
        <v>1184.4549999999999</v>
      </c>
      <c r="AL193" s="336">
        <v>2540</v>
      </c>
      <c r="AM193" s="334">
        <v>1184.0440000000001</v>
      </c>
      <c r="AN193" s="336">
        <v>2540</v>
      </c>
      <c r="AO193" s="334">
        <v>1184.461</v>
      </c>
      <c r="AP193" s="336">
        <v>2530</v>
      </c>
      <c r="AQ193" s="334">
        <v>1182.83</v>
      </c>
      <c r="AR193" s="336">
        <v>2540</v>
      </c>
      <c r="AS193" s="334">
        <v>1182.7190000000001</v>
      </c>
      <c r="AT193" s="336">
        <v>2540</v>
      </c>
      <c r="AU193" s="334">
        <v>1181.355</v>
      </c>
      <c r="AV193" s="336">
        <v>2540</v>
      </c>
      <c r="AW193" s="334">
        <v>1180.807</v>
      </c>
      <c r="AX193" s="336">
        <v>2530</v>
      </c>
      <c r="AY193" s="334">
        <v>1105.098</v>
      </c>
      <c r="AZ193" s="336">
        <v>2540</v>
      </c>
      <c r="BA193" s="337">
        <v>1106.1679999999999</v>
      </c>
      <c r="BB193" s="336">
        <v>2520</v>
      </c>
      <c r="BC193" s="334">
        <v>317.988</v>
      </c>
      <c r="BD193" s="336">
        <v>2520</v>
      </c>
      <c r="BE193" s="334">
        <v>331.86900000000003</v>
      </c>
    </row>
    <row r="194" spans="22:57">
      <c r="V194" s="346">
        <v>2550</v>
      </c>
      <c r="W194" s="333">
        <v>664.37599999999998</v>
      </c>
      <c r="X194" s="346">
        <v>2560</v>
      </c>
      <c r="Y194" s="334">
        <v>659.47799999999995</v>
      </c>
      <c r="Z194" s="335">
        <v>2550</v>
      </c>
      <c r="AA194" s="334">
        <v>1389.6179999999999</v>
      </c>
      <c r="AB194" s="336">
        <v>2550</v>
      </c>
      <c r="AC194" s="334">
        <v>1388.135</v>
      </c>
      <c r="AD194" s="336">
        <v>2550</v>
      </c>
      <c r="AE194" s="334">
        <v>1182.3979999999999</v>
      </c>
      <c r="AF194" s="336">
        <v>2550</v>
      </c>
      <c r="AG194" s="334">
        <v>1182.1869999999999</v>
      </c>
      <c r="AH194" s="336">
        <v>2550</v>
      </c>
      <c r="AI194" s="334">
        <v>1182.175</v>
      </c>
      <c r="AJ194" s="336">
        <v>2530</v>
      </c>
      <c r="AK194" s="334">
        <v>1183.28</v>
      </c>
      <c r="AL194" s="336">
        <v>2550</v>
      </c>
      <c r="AM194" s="334">
        <v>1182.8689999999999</v>
      </c>
      <c r="AN194" s="336">
        <v>2550</v>
      </c>
      <c r="AO194" s="334">
        <v>1183.2860000000001</v>
      </c>
      <c r="AP194" s="336">
        <v>2540</v>
      </c>
      <c r="AQ194" s="334">
        <v>1181.6579999999999</v>
      </c>
      <c r="AR194" s="336">
        <v>2550</v>
      </c>
      <c r="AS194" s="334">
        <v>1181.546</v>
      </c>
      <c r="AT194" s="336">
        <v>2550</v>
      </c>
      <c r="AU194" s="334">
        <v>1180.182</v>
      </c>
      <c r="AV194" s="336">
        <v>2550</v>
      </c>
      <c r="AW194" s="334">
        <v>1179.636</v>
      </c>
      <c r="AX194" s="336">
        <v>2540</v>
      </c>
      <c r="AY194" s="334">
        <v>1103.925</v>
      </c>
      <c r="AZ194" s="336">
        <v>2550</v>
      </c>
      <c r="BA194" s="337">
        <v>1104.9960000000001</v>
      </c>
      <c r="BB194" s="336">
        <v>2530</v>
      </c>
      <c r="BC194" s="334">
        <v>317.60599999999999</v>
      </c>
      <c r="BD194" s="336">
        <v>2530</v>
      </c>
      <c r="BE194" s="334">
        <v>331.47300000000001</v>
      </c>
    </row>
    <row r="195" spans="22:57">
      <c r="V195" s="346">
        <v>2560</v>
      </c>
      <c r="W195" s="333">
        <v>663.601</v>
      </c>
      <c r="X195" s="346">
        <v>2570</v>
      </c>
      <c r="Y195" s="334">
        <v>658.71</v>
      </c>
      <c r="Z195" s="335">
        <v>2560</v>
      </c>
      <c r="AA195" s="334">
        <v>1388.1559999999999</v>
      </c>
      <c r="AB195" s="336">
        <v>2560</v>
      </c>
      <c r="AC195" s="334">
        <v>1386.6769999999999</v>
      </c>
      <c r="AD195" s="336">
        <v>2560</v>
      </c>
      <c r="AE195" s="334">
        <v>1181.222</v>
      </c>
      <c r="AF195" s="336">
        <v>2560</v>
      </c>
      <c r="AG195" s="334">
        <v>1181.011</v>
      </c>
      <c r="AH195" s="336">
        <v>2560</v>
      </c>
      <c r="AI195" s="334">
        <v>1180.999</v>
      </c>
      <c r="AJ195" s="336">
        <v>2540</v>
      </c>
      <c r="AK195" s="334">
        <v>1182.104</v>
      </c>
      <c r="AL195" s="336">
        <v>2560</v>
      </c>
      <c r="AM195" s="334">
        <v>1181.693</v>
      </c>
      <c r="AN195" s="336">
        <v>2560</v>
      </c>
      <c r="AO195" s="334">
        <v>1182.1120000000001</v>
      </c>
      <c r="AP195" s="336">
        <v>2550</v>
      </c>
      <c r="AQ195" s="334">
        <v>1180.4849999999999</v>
      </c>
      <c r="AR195" s="336">
        <v>2560</v>
      </c>
      <c r="AS195" s="334">
        <v>1180.373</v>
      </c>
      <c r="AT195" s="336">
        <v>2560</v>
      </c>
      <c r="AU195" s="334">
        <v>1179.0070000000001</v>
      </c>
      <c r="AV195" s="336">
        <v>2560</v>
      </c>
      <c r="AW195" s="334">
        <v>1178.4639999999999</v>
      </c>
      <c r="AX195" s="336">
        <v>2550</v>
      </c>
      <c r="AY195" s="334">
        <v>1102.751</v>
      </c>
      <c r="AZ195" s="336">
        <v>2560</v>
      </c>
      <c r="BA195" s="337">
        <v>1103.8240000000001</v>
      </c>
      <c r="BB195" s="336">
        <v>2540</v>
      </c>
      <c r="BC195" s="334">
        <v>317.22399999999999</v>
      </c>
      <c r="BD195" s="336">
        <v>2540</v>
      </c>
      <c r="BE195" s="334">
        <v>331.077</v>
      </c>
    </row>
    <row r="196" spans="22:57">
      <c r="V196" s="346">
        <v>2570</v>
      </c>
      <c r="W196" s="333">
        <v>662.82600000000002</v>
      </c>
      <c r="X196" s="346">
        <v>2580</v>
      </c>
      <c r="Y196" s="334">
        <v>657.94200000000001</v>
      </c>
      <c r="Z196" s="335">
        <v>2570</v>
      </c>
      <c r="AA196" s="334">
        <v>1386.694</v>
      </c>
      <c r="AB196" s="336">
        <v>2570</v>
      </c>
      <c r="AC196" s="334">
        <v>1385.2190000000001</v>
      </c>
      <c r="AD196" s="336">
        <v>2570</v>
      </c>
      <c r="AE196" s="334">
        <v>1180.0450000000001</v>
      </c>
      <c r="AF196" s="336">
        <v>2570</v>
      </c>
      <c r="AG196" s="334">
        <v>1179.835</v>
      </c>
      <c r="AH196" s="336">
        <v>2570</v>
      </c>
      <c r="AI196" s="334">
        <v>1179.8219999999999</v>
      </c>
      <c r="AJ196" s="336">
        <v>2550</v>
      </c>
      <c r="AK196" s="334">
        <v>1180.9280000000001</v>
      </c>
      <c r="AL196" s="336">
        <v>2570</v>
      </c>
      <c r="AM196" s="334">
        <v>1180.5170000000001</v>
      </c>
      <c r="AN196" s="336">
        <v>2570</v>
      </c>
      <c r="AO196" s="334">
        <v>1180.9359999999999</v>
      </c>
      <c r="AP196" s="336">
        <v>2560</v>
      </c>
      <c r="AQ196" s="334">
        <v>1179.3119999999999</v>
      </c>
      <c r="AR196" s="336">
        <v>2570</v>
      </c>
      <c r="AS196" s="334">
        <v>1179.2</v>
      </c>
      <c r="AT196" s="336">
        <v>2570</v>
      </c>
      <c r="AU196" s="334">
        <v>1177.8330000000001</v>
      </c>
      <c r="AV196" s="336">
        <v>2570</v>
      </c>
      <c r="AW196" s="334">
        <v>1177.2919999999999</v>
      </c>
      <c r="AX196" s="336">
        <v>2560</v>
      </c>
      <c r="AY196" s="334">
        <v>1101.577</v>
      </c>
      <c r="AZ196" s="336">
        <v>2570</v>
      </c>
      <c r="BA196" s="337">
        <v>1102.652</v>
      </c>
      <c r="BB196" s="336">
        <v>2550</v>
      </c>
      <c r="BC196" s="334">
        <v>316.84100000000001</v>
      </c>
      <c r="BD196" s="336">
        <v>2550</v>
      </c>
      <c r="BE196" s="334">
        <v>330.68</v>
      </c>
    </row>
    <row r="197" spans="22:57">
      <c r="V197" s="346">
        <v>2580</v>
      </c>
      <c r="W197" s="333">
        <v>662.05100000000004</v>
      </c>
      <c r="X197" s="346">
        <v>2590</v>
      </c>
      <c r="Y197" s="334">
        <v>657.173</v>
      </c>
      <c r="Z197" s="335">
        <v>2580</v>
      </c>
      <c r="AA197" s="334">
        <v>1385.232</v>
      </c>
      <c r="AB197" s="336">
        <v>2580</v>
      </c>
      <c r="AC197" s="334">
        <v>1383.761</v>
      </c>
      <c r="AD197" s="336">
        <v>2580</v>
      </c>
      <c r="AE197" s="334">
        <v>1178.8679999999999</v>
      </c>
      <c r="AF197" s="336">
        <v>2580</v>
      </c>
      <c r="AG197" s="334">
        <v>1178.6579999999999</v>
      </c>
      <c r="AH197" s="336">
        <v>2580</v>
      </c>
      <c r="AI197" s="334">
        <v>1178.646</v>
      </c>
      <c r="AJ197" s="336">
        <v>2560</v>
      </c>
      <c r="AK197" s="334">
        <v>1179.752</v>
      </c>
      <c r="AL197" s="336">
        <v>2580</v>
      </c>
      <c r="AM197" s="334">
        <v>1179.3409999999999</v>
      </c>
      <c r="AN197" s="336">
        <v>2580</v>
      </c>
      <c r="AO197" s="334">
        <v>1179.761</v>
      </c>
      <c r="AP197" s="336">
        <v>2570</v>
      </c>
      <c r="AQ197" s="334">
        <v>1178.1389999999999</v>
      </c>
      <c r="AR197" s="336">
        <v>2580</v>
      </c>
      <c r="AS197" s="334">
        <v>1178.0260000000001</v>
      </c>
      <c r="AT197" s="336">
        <v>2580</v>
      </c>
      <c r="AU197" s="334">
        <v>1176.6590000000001</v>
      </c>
      <c r="AV197" s="336">
        <v>2580</v>
      </c>
      <c r="AW197" s="334">
        <v>1176.1199999999999</v>
      </c>
      <c r="AX197" s="336">
        <v>2570</v>
      </c>
      <c r="AY197" s="334">
        <v>1100.403</v>
      </c>
      <c r="AZ197" s="336">
        <v>2580</v>
      </c>
      <c r="BA197" s="337">
        <v>1101.48</v>
      </c>
      <c r="BB197" s="336">
        <v>2560</v>
      </c>
      <c r="BC197" s="334">
        <v>316.459</v>
      </c>
      <c r="BD197" s="336">
        <v>2560</v>
      </c>
      <c r="BE197" s="334">
        <v>330.28399999999999</v>
      </c>
    </row>
    <row r="198" spans="22:57">
      <c r="V198" s="346">
        <v>2590</v>
      </c>
      <c r="W198" s="333">
        <v>661.27599999999995</v>
      </c>
      <c r="X198" s="346">
        <v>2600</v>
      </c>
      <c r="Y198" s="334">
        <v>656.404</v>
      </c>
      <c r="Z198" s="335">
        <v>2590</v>
      </c>
      <c r="AA198" s="334">
        <v>1383.769</v>
      </c>
      <c r="AB198" s="336">
        <v>2590</v>
      </c>
      <c r="AC198" s="334">
        <v>1382.3019999999999</v>
      </c>
      <c r="AD198" s="336">
        <v>2590</v>
      </c>
      <c r="AE198" s="334">
        <v>1177.691</v>
      </c>
      <c r="AF198" s="336">
        <v>2590</v>
      </c>
      <c r="AG198" s="334">
        <v>1177.481</v>
      </c>
      <c r="AH198" s="336">
        <v>2590</v>
      </c>
      <c r="AI198" s="334">
        <v>1177.4690000000001</v>
      </c>
      <c r="AJ198" s="336">
        <v>2570</v>
      </c>
      <c r="AK198" s="334">
        <v>1178.575</v>
      </c>
      <c r="AL198" s="336">
        <v>2590</v>
      </c>
      <c r="AM198" s="334">
        <v>1178.164</v>
      </c>
      <c r="AN198" s="336">
        <v>2590</v>
      </c>
      <c r="AO198" s="334">
        <v>1178.585</v>
      </c>
      <c r="AP198" s="336">
        <v>2580</v>
      </c>
      <c r="AQ198" s="334">
        <v>1176.9659999999999</v>
      </c>
      <c r="AR198" s="336">
        <v>2590</v>
      </c>
      <c r="AS198" s="334">
        <v>1176.8520000000001</v>
      </c>
      <c r="AT198" s="336">
        <v>2590</v>
      </c>
      <c r="AU198" s="334">
        <v>1175.4839999999999</v>
      </c>
      <c r="AV198" s="336">
        <v>2590</v>
      </c>
      <c r="AW198" s="334">
        <v>1174.9480000000001</v>
      </c>
      <c r="AX198" s="336">
        <v>2580</v>
      </c>
      <c r="AY198" s="334">
        <v>1099.229</v>
      </c>
      <c r="AZ198" s="336">
        <v>2590</v>
      </c>
      <c r="BA198" s="337">
        <v>1100.307</v>
      </c>
      <c r="BB198" s="336">
        <v>2570</v>
      </c>
      <c r="BC198" s="334">
        <v>316.07600000000002</v>
      </c>
      <c r="BD198" s="336">
        <v>2570</v>
      </c>
      <c r="BE198" s="334">
        <v>329.88799999999998</v>
      </c>
    </row>
    <row r="199" spans="22:57">
      <c r="V199" s="346">
        <v>2600</v>
      </c>
      <c r="W199" s="333">
        <v>660.5</v>
      </c>
      <c r="X199" s="346">
        <v>2610</v>
      </c>
      <c r="Y199" s="334">
        <v>655.63499999999999</v>
      </c>
      <c r="Z199" s="335">
        <v>2600</v>
      </c>
      <c r="AA199" s="334">
        <v>1382.306</v>
      </c>
      <c r="AB199" s="336">
        <v>2600</v>
      </c>
      <c r="AC199" s="334">
        <v>1380.8430000000001</v>
      </c>
      <c r="AD199" s="336">
        <v>2600</v>
      </c>
      <c r="AE199" s="334">
        <v>1176.5129999999999</v>
      </c>
      <c r="AF199" s="336">
        <v>2600</v>
      </c>
      <c r="AG199" s="334">
        <v>1176.3030000000001</v>
      </c>
      <c r="AH199" s="336">
        <v>2600</v>
      </c>
      <c r="AI199" s="334">
        <v>1176.2919999999999</v>
      </c>
      <c r="AJ199" s="336">
        <v>2580</v>
      </c>
      <c r="AK199" s="334">
        <v>1177.3989999999999</v>
      </c>
      <c r="AL199" s="336">
        <v>2600</v>
      </c>
      <c r="AM199" s="334">
        <v>1176.9880000000001</v>
      </c>
      <c r="AN199" s="336">
        <v>2600</v>
      </c>
      <c r="AO199" s="334">
        <v>1177.4090000000001</v>
      </c>
      <c r="AP199" s="336">
        <v>2590</v>
      </c>
      <c r="AQ199" s="334">
        <v>1175.7919999999999</v>
      </c>
      <c r="AR199" s="336">
        <v>2600</v>
      </c>
      <c r="AS199" s="334">
        <v>1175.6780000000001</v>
      </c>
      <c r="AT199" s="336">
        <v>2600</v>
      </c>
      <c r="AU199" s="334">
        <v>1174.309</v>
      </c>
      <c r="AV199" s="336">
        <v>2600</v>
      </c>
      <c r="AW199" s="334">
        <v>1173.7750000000001</v>
      </c>
      <c r="AX199" s="336">
        <v>2590</v>
      </c>
      <c r="AY199" s="334">
        <v>1098.0550000000001</v>
      </c>
      <c r="AZ199" s="336">
        <v>2600</v>
      </c>
      <c r="BA199" s="337">
        <v>1099.134</v>
      </c>
      <c r="BB199" s="336">
        <v>2580</v>
      </c>
      <c r="BC199" s="334">
        <v>315.69400000000002</v>
      </c>
      <c r="BD199" s="336">
        <v>2580</v>
      </c>
      <c r="BE199" s="334">
        <v>329.49099999999999</v>
      </c>
    </row>
    <row r="200" spans="22:57">
      <c r="V200" s="346">
        <v>2610</v>
      </c>
      <c r="W200" s="333">
        <v>659.72400000000005</v>
      </c>
      <c r="X200" s="346">
        <v>2620</v>
      </c>
      <c r="Y200" s="334">
        <v>654.86599999999999</v>
      </c>
      <c r="Z200" s="335">
        <v>2610</v>
      </c>
      <c r="AA200" s="334">
        <v>1380.8430000000001</v>
      </c>
      <c r="AB200" s="336">
        <v>2610</v>
      </c>
      <c r="AC200" s="334">
        <v>1379.384</v>
      </c>
      <c r="AD200" s="336">
        <v>2610</v>
      </c>
      <c r="AE200" s="334">
        <v>1175.336</v>
      </c>
      <c r="AF200" s="336">
        <v>2610</v>
      </c>
      <c r="AG200" s="334">
        <v>1175.126</v>
      </c>
      <c r="AH200" s="336">
        <v>2610</v>
      </c>
      <c r="AI200" s="334">
        <v>1175.114</v>
      </c>
      <c r="AJ200" s="336">
        <v>2590</v>
      </c>
      <c r="AK200" s="334">
        <v>1176.222</v>
      </c>
      <c r="AL200" s="336">
        <v>2610</v>
      </c>
      <c r="AM200" s="334">
        <v>1175.8109999999999</v>
      </c>
      <c r="AN200" s="336">
        <v>2610</v>
      </c>
      <c r="AO200" s="334">
        <v>1176.2329999999999</v>
      </c>
      <c r="AP200" s="336">
        <v>2600</v>
      </c>
      <c r="AQ200" s="334">
        <v>1174.6179999999999</v>
      </c>
      <c r="AR200" s="336">
        <v>2610</v>
      </c>
      <c r="AS200" s="334">
        <v>1174.5029999999999</v>
      </c>
      <c r="AT200" s="336">
        <v>2610</v>
      </c>
      <c r="AU200" s="334">
        <v>1173.134</v>
      </c>
      <c r="AV200" s="336">
        <v>2610</v>
      </c>
      <c r="AW200" s="334">
        <v>1172.6020000000001</v>
      </c>
      <c r="AX200" s="336">
        <v>2600</v>
      </c>
      <c r="AY200" s="334">
        <v>1096.8800000000001</v>
      </c>
      <c r="AZ200" s="336">
        <v>2610</v>
      </c>
      <c r="BA200" s="337">
        <v>1097.961</v>
      </c>
      <c r="BB200" s="336">
        <v>2590</v>
      </c>
      <c r="BC200" s="334">
        <v>315.31099999999998</v>
      </c>
      <c r="BD200" s="336">
        <v>2590</v>
      </c>
      <c r="BE200" s="334">
        <v>329.09399999999999</v>
      </c>
    </row>
    <row r="201" spans="22:57">
      <c r="V201" s="346">
        <v>2620</v>
      </c>
      <c r="W201" s="333">
        <v>658.94799999999998</v>
      </c>
      <c r="X201" s="346">
        <v>2630</v>
      </c>
      <c r="Y201" s="334">
        <v>654.096</v>
      </c>
      <c r="Z201" s="335">
        <v>2620</v>
      </c>
      <c r="AA201" s="334">
        <v>1379.3789999999999</v>
      </c>
      <c r="AB201" s="336">
        <v>2620</v>
      </c>
      <c r="AC201" s="334">
        <v>1377.924</v>
      </c>
      <c r="AD201" s="336">
        <v>2620</v>
      </c>
      <c r="AE201" s="334">
        <v>1174.1579999999999</v>
      </c>
      <c r="AF201" s="336">
        <v>2620</v>
      </c>
      <c r="AG201" s="334">
        <v>1173.9480000000001</v>
      </c>
      <c r="AH201" s="336">
        <v>2620</v>
      </c>
      <c r="AI201" s="334">
        <v>1173.9359999999999</v>
      </c>
      <c r="AJ201" s="336">
        <v>2600</v>
      </c>
      <c r="AK201" s="334">
        <v>1175.0450000000001</v>
      </c>
      <c r="AL201" s="336">
        <v>2620</v>
      </c>
      <c r="AM201" s="334">
        <v>1174.634</v>
      </c>
      <c r="AN201" s="336">
        <v>2620</v>
      </c>
      <c r="AO201" s="334">
        <v>1175.057</v>
      </c>
      <c r="AP201" s="336">
        <v>2610</v>
      </c>
      <c r="AQ201" s="334">
        <v>1173.444</v>
      </c>
      <c r="AR201" s="336">
        <v>2620</v>
      </c>
      <c r="AS201" s="334">
        <v>1173.329</v>
      </c>
      <c r="AT201" s="336">
        <v>2620</v>
      </c>
      <c r="AU201" s="334">
        <v>1171.9580000000001</v>
      </c>
      <c r="AV201" s="336">
        <v>2620</v>
      </c>
      <c r="AW201" s="334">
        <v>1171.4290000000001</v>
      </c>
      <c r="AX201" s="336">
        <v>2610</v>
      </c>
      <c r="AY201" s="334">
        <v>1095.7049999999999</v>
      </c>
      <c r="AZ201" s="336">
        <v>2620</v>
      </c>
      <c r="BA201" s="337">
        <v>1096.787</v>
      </c>
      <c r="BB201" s="336">
        <v>2600</v>
      </c>
      <c r="BC201" s="334">
        <v>314.928</v>
      </c>
      <c r="BD201" s="336">
        <v>2600</v>
      </c>
      <c r="BE201" s="334">
        <v>328.69799999999998</v>
      </c>
    </row>
    <row r="202" spans="22:57">
      <c r="V202" s="346">
        <v>2630</v>
      </c>
      <c r="W202" s="333">
        <v>658.17200000000003</v>
      </c>
      <c r="X202" s="346">
        <v>2640</v>
      </c>
      <c r="Y202" s="334">
        <v>653.327</v>
      </c>
      <c r="Z202" s="335">
        <v>2630</v>
      </c>
      <c r="AA202" s="334">
        <v>1377.915</v>
      </c>
      <c r="AB202" s="336">
        <v>2630</v>
      </c>
      <c r="AC202" s="334">
        <v>1376.4639999999999</v>
      </c>
      <c r="AD202" s="336">
        <v>2630</v>
      </c>
      <c r="AE202" s="334">
        <v>1172.98</v>
      </c>
      <c r="AF202" s="336">
        <v>2630</v>
      </c>
      <c r="AG202" s="334">
        <v>1172.77</v>
      </c>
      <c r="AH202" s="336">
        <v>2630</v>
      </c>
      <c r="AI202" s="334">
        <v>1172.759</v>
      </c>
      <c r="AJ202" s="336">
        <v>2610</v>
      </c>
      <c r="AK202" s="334">
        <v>1173.867</v>
      </c>
      <c r="AL202" s="336">
        <v>2630</v>
      </c>
      <c r="AM202" s="334">
        <v>1173.4559999999999</v>
      </c>
      <c r="AN202" s="336">
        <v>2630</v>
      </c>
      <c r="AO202" s="334">
        <v>1173.8800000000001</v>
      </c>
      <c r="AP202" s="336">
        <v>2620</v>
      </c>
      <c r="AQ202" s="334">
        <v>1172.269</v>
      </c>
      <c r="AR202" s="336">
        <v>2630</v>
      </c>
      <c r="AS202" s="334">
        <v>1172.154</v>
      </c>
      <c r="AT202" s="336">
        <v>2630</v>
      </c>
      <c r="AU202" s="334">
        <v>1170.7819999999999</v>
      </c>
      <c r="AV202" s="336">
        <v>2630</v>
      </c>
      <c r="AW202" s="334">
        <v>1170.2560000000001</v>
      </c>
      <c r="AX202" s="336">
        <v>2620</v>
      </c>
      <c r="AY202" s="334">
        <v>1094.53</v>
      </c>
      <c r="AZ202" s="336">
        <v>2630</v>
      </c>
      <c r="BA202" s="337">
        <v>1095.614</v>
      </c>
      <c r="BB202" s="336">
        <v>2610</v>
      </c>
      <c r="BC202" s="334">
        <v>314.54500000000002</v>
      </c>
      <c r="BD202" s="336">
        <v>2610</v>
      </c>
      <c r="BE202" s="334">
        <v>328.30099999999999</v>
      </c>
    </row>
    <row r="203" spans="22:57">
      <c r="V203" s="346">
        <v>2640</v>
      </c>
      <c r="W203" s="333">
        <v>657.39599999999996</v>
      </c>
      <c r="X203" s="346">
        <v>2650</v>
      </c>
      <c r="Y203" s="334">
        <v>652.55700000000002</v>
      </c>
      <c r="Z203" s="335">
        <v>2640</v>
      </c>
      <c r="AA203" s="334">
        <v>1376.451</v>
      </c>
      <c r="AB203" s="336">
        <v>2640</v>
      </c>
      <c r="AC203" s="334">
        <v>1375.0039999999999</v>
      </c>
      <c r="AD203" s="336">
        <v>2640</v>
      </c>
      <c r="AE203" s="334">
        <v>1171.8009999999999</v>
      </c>
      <c r="AF203" s="336">
        <v>2640</v>
      </c>
      <c r="AG203" s="334">
        <v>1171.5920000000001</v>
      </c>
      <c r="AH203" s="336">
        <v>2640</v>
      </c>
      <c r="AI203" s="334">
        <v>1171.58</v>
      </c>
      <c r="AJ203" s="336">
        <v>2620</v>
      </c>
      <c r="AK203" s="334">
        <v>1172.69</v>
      </c>
      <c r="AL203" s="336">
        <v>2640</v>
      </c>
      <c r="AM203" s="334">
        <v>1172.279</v>
      </c>
      <c r="AN203" s="336">
        <v>2640</v>
      </c>
      <c r="AO203" s="334">
        <v>1172.703</v>
      </c>
      <c r="AP203" s="336">
        <v>2630</v>
      </c>
      <c r="AQ203" s="334">
        <v>1171.095</v>
      </c>
      <c r="AR203" s="336">
        <v>2640</v>
      </c>
      <c r="AS203" s="334">
        <v>1170.979</v>
      </c>
      <c r="AT203" s="336">
        <v>2640</v>
      </c>
      <c r="AU203" s="334">
        <v>1169.606</v>
      </c>
      <c r="AV203" s="336">
        <v>2640</v>
      </c>
      <c r="AW203" s="334">
        <v>1169.0820000000001</v>
      </c>
      <c r="AX203" s="336">
        <v>2630</v>
      </c>
      <c r="AY203" s="334">
        <v>1093.354</v>
      </c>
      <c r="AZ203" s="336">
        <v>2640</v>
      </c>
      <c r="BA203" s="337">
        <v>1094.44</v>
      </c>
      <c r="BB203" s="336">
        <v>2620</v>
      </c>
      <c r="BC203" s="334">
        <v>314.16199999999998</v>
      </c>
      <c r="BD203" s="336">
        <v>2620</v>
      </c>
      <c r="BE203" s="334">
        <v>327.904</v>
      </c>
    </row>
    <row r="204" spans="22:57">
      <c r="V204" s="346">
        <v>2650</v>
      </c>
      <c r="W204" s="333">
        <v>656.61900000000003</v>
      </c>
      <c r="X204" s="346">
        <v>2660</v>
      </c>
      <c r="Y204" s="334">
        <v>651.78700000000003</v>
      </c>
      <c r="Z204" s="335">
        <v>2650</v>
      </c>
      <c r="AA204" s="334">
        <v>1374.9860000000001</v>
      </c>
      <c r="AB204" s="336">
        <v>2650</v>
      </c>
      <c r="AC204" s="334">
        <v>1373.5429999999999</v>
      </c>
      <c r="AD204" s="336">
        <v>2650</v>
      </c>
      <c r="AE204" s="334">
        <v>1170.6220000000001</v>
      </c>
      <c r="AF204" s="336">
        <v>2650</v>
      </c>
      <c r="AG204" s="334">
        <v>1170.413</v>
      </c>
      <c r="AH204" s="336">
        <v>2650</v>
      </c>
      <c r="AI204" s="334">
        <v>1170.402</v>
      </c>
      <c r="AJ204" s="336">
        <v>2630</v>
      </c>
      <c r="AK204" s="334">
        <v>1171.5119999999999</v>
      </c>
      <c r="AL204" s="336">
        <v>2650</v>
      </c>
      <c r="AM204" s="334">
        <v>1171.1010000000001</v>
      </c>
      <c r="AN204" s="336">
        <v>2650</v>
      </c>
      <c r="AO204" s="334">
        <v>1171.5260000000001</v>
      </c>
      <c r="AP204" s="336">
        <v>2640</v>
      </c>
      <c r="AQ204" s="334">
        <v>1169.92</v>
      </c>
      <c r="AR204" s="336">
        <v>2650</v>
      </c>
      <c r="AS204" s="334">
        <v>1169.8030000000001</v>
      </c>
      <c r="AT204" s="336">
        <v>2650</v>
      </c>
      <c r="AU204" s="334">
        <v>1168.43</v>
      </c>
      <c r="AV204" s="336">
        <v>2650</v>
      </c>
      <c r="AW204" s="334">
        <v>1167.9079999999999</v>
      </c>
      <c r="AX204" s="336">
        <v>2640</v>
      </c>
      <c r="AY204" s="334">
        <v>1092.1780000000001</v>
      </c>
      <c r="AZ204" s="336">
        <v>2650</v>
      </c>
      <c r="BA204" s="337">
        <v>1093.2660000000001</v>
      </c>
      <c r="BB204" s="336">
        <v>2630</v>
      </c>
      <c r="BC204" s="334">
        <v>313.779</v>
      </c>
      <c r="BD204" s="336">
        <v>2630</v>
      </c>
      <c r="BE204" s="334">
        <v>327.50700000000001</v>
      </c>
    </row>
    <row r="205" spans="22:57">
      <c r="V205" s="346">
        <v>2660</v>
      </c>
      <c r="W205" s="333">
        <v>655.84299999999996</v>
      </c>
      <c r="X205" s="346">
        <v>2670</v>
      </c>
      <c r="Y205" s="334">
        <v>651.01700000000005</v>
      </c>
      <c r="Z205" s="335">
        <v>2660</v>
      </c>
      <c r="AA205" s="334">
        <v>1373.5219999999999</v>
      </c>
      <c r="AB205" s="336">
        <v>2660</v>
      </c>
      <c r="AC205" s="334">
        <v>1372.0830000000001</v>
      </c>
      <c r="AD205" s="336">
        <v>2660</v>
      </c>
      <c r="AE205" s="334">
        <v>1169.444</v>
      </c>
      <c r="AF205" s="336">
        <v>2660</v>
      </c>
      <c r="AG205" s="334">
        <v>1169.2339999999999</v>
      </c>
      <c r="AH205" s="336">
        <v>2660</v>
      </c>
      <c r="AI205" s="334">
        <v>1169.223</v>
      </c>
      <c r="AJ205" s="336">
        <v>2640</v>
      </c>
      <c r="AK205" s="334">
        <v>1170.3340000000001</v>
      </c>
      <c r="AL205" s="336">
        <v>2660</v>
      </c>
      <c r="AM205" s="334">
        <v>1169.923</v>
      </c>
      <c r="AN205" s="336">
        <v>2660</v>
      </c>
      <c r="AO205" s="334">
        <v>1170.3489999999999</v>
      </c>
      <c r="AP205" s="336">
        <v>2650</v>
      </c>
      <c r="AQ205" s="334">
        <v>1168.7439999999999</v>
      </c>
      <c r="AR205" s="336">
        <v>2660</v>
      </c>
      <c r="AS205" s="334">
        <v>1168.6279999999999</v>
      </c>
      <c r="AT205" s="336">
        <v>2660</v>
      </c>
      <c r="AU205" s="334">
        <v>1167.2539999999999</v>
      </c>
      <c r="AV205" s="336">
        <v>2660</v>
      </c>
      <c r="AW205" s="334">
        <v>1166.7339999999999</v>
      </c>
      <c r="AX205" s="336">
        <v>2650</v>
      </c>
      <c r="AY205" s="334">
        <v>1091.0029999999999</v>
      </c>
      <c r="AZ205" s="336">
        <v>2660</v>
      </c>
      <c r="BA205" s="337">
        <v>1092.0909999999999</v>
      </c>
      <c r="BB205" s="336">
        <v>2640</v>
      </c>
      <c r="BC205" s="334">
        <v>313.39600000000002</v>
      </c>
      <c r="BD205" s="336">
        <v>2640</v>
      </c>
      <c r="BE205" s="334">
        <v>327.11</v>
      </c>
    </row>
    <row r="206" spans="22:57">
      <c r="V206" s="346">
        <v>2670</v>
      </c>
      <c r="W206" s="333">
        <v>655.06600000000003</v>
      </c>
      <c r="X206" s="346">
        <v>2680</v>
      </c>
      <c r="Y206" s="334">
        <v>650.24599999999998</v>
      </c>
      <c r="Z206" s="335">
        <v>2670</v>
      </c>
      <c r="AA206" s="334">
        <v>1372.057</v>
      </c>
      <c r="AB206" s="336">
        <v>2670</v>
      </c>
      <c r="AC206" s="334">
        <v>1370.6210000000001</v>
      </c>
      <c r="AD206" s="336">
        <v>2670</v>
      </c>
      <c r="AE206" s="334">
        <v>1168.2650000000001</v>
      </c>
      <c r="AF206" s="336">
        <v>2670</v>
      </c>
      <c r="AG206" s="334">
        <v>1168.0550000000001</v>
      </c>
      <c r="AH206" s="336">
        <v>2670</v>
      </c>
      <c r="AI206" s="334">
        <v>1168.0450000000001</v>
      </c>
      <c r="AJ206" s="336">
        <v>2650</v>
      </c>
      <c r="AK206" s="334">
        <v>1169.1559999999999</v>
      </c>
      <c r="AL206" s="336">
        <v>2670</v>
      </c>
      <c r="AM206" s="334">
        <v>1168.7439999999999</v>
      </c>
      <c r="AN206" s="336">
        <v>2670</v>
      </c>
      <c r="AO206" s="334">
        <v>1169.171</v>
      </c>
      <c r="AP206" s="336">
        <v>2660</v>
      </c>
      <c r="AQ206" s="334">
        <v>1167.569</v>
      </c>
      <c r="AR206" s="336">
        <v>2670</v>
      </c>
      <c r="AS206" s="334">
        <v>1167.452</v>
      </c>
      <c r="AT206" s="336">
        <v>2670</v>
      </c>
      <c r="AU206" s="334">
        <v>1166.077</v>
      </c>
      <c r="AV206" s="336">
        <v>2670</v>
      </c>
      <c r="AW206" s="334">
        <v>1165.56</v>
      </c>
      <c r="AX206" s="336">
        <v>2660</v>
      </c>
      <c r="AY206" s="334">
        <v>1089.826</v>
      </c>
      <c r="AZ206" s="336">
        <v>2670</v>
      </c>
      <c r="BA206" s="337">
        <v>1090.9159999999999</v>
      </c>
      <c r="BB206" s="336">
        <v>2650</v>
      </c>
      <c r="BC206" s="334">
        <v>313.01299999999998</v>
      </c>
      <c r="BD206" s="336">
        <v>2650</v>
      </c>
      <c r="BE206" s="334">
        <v>326.71199999999999</v>
      </c>
    </row>
    <row r="207" spans="22:57">
      <c r="V207" s="346">
        <v>2680</v>
      </c>
      <c r="W207" s="333">
        <v>654.28899999999999</v>
      </c>
      <c r="X207" s="346">
        <v>2690</v>
      </c>
      <c r="Y207" s="334">
        <v>649.476</v>
      </c>
      <c r="Z207" s="335">
        <v>2680</v>
      </c>
      <c r="AA207" s="334">
        <v>1370.5909999999999</v>
      </c>
      <c r="AB207" s="336">
        <v>2680</v>
      </c>
      <c r="AC207" s="334">
        <v>1369.16</v>
      </c>
      <c r="AD207" s="336">
        <v>2680</v>
      </c>
      <c r="AE207" s="334">
        <v>1167.085</v>
      </c>
      <c r="AF207" s="336">
        <v>2680</v>
      </c>
      <c r="AG207" s="334">
        <v>1166.876</v>
      </c>
      <c r="AH207" s="336">
        <v>2680</v>
      </c>
      <c r="AI207" s="334">
        <v>1166.866</v>
      </c>
      <c r="AJ207" s="336">
        <v>2660</v>
      </c>
      <c r="AK207" s="334">
        <v>1167.9770000000001</v>
      </c>
      <c r="AL207" s="336">
        <v>2680</v>
      </c>
      <c r="AM207" s="334">
        <v>1167.566</v>
      </c>
      <c r="AN207" s="336">
        <v>2680</v>
      </c>
      <c r="AO207" s="334">
        <v>1167.9929999999999</v>
      </c>
      <c r="AP207" s="336">
        <v>2670</v>
      </c>
      <c r="AQ207" s="334">
        <v>1166.393</v>
      </c>
      <c r="AR207" s="336">
        <v>2680</v>
      </c>
      <c r="AS207" s="334">
        <v>1166.2760000000001</v>
      </c>
      <c r="AT207" s="336">
        <v>2680</v>
      </c>
      <c r="AU207" s="334">
        <v>1164.9000000000001</v>
      </c>
      <c r="AV207" s="336">
        <v>2680</v>
      </c>
      <c r="AW207" s="334">
        <v>1164.385</v>
      </c>
      <c r="AX207" s="336">
        <v>2670</v>
      </c>
      <c r="AY207" s="334">
        <v>1088.6500000000001</v>
      </c>
      <c r="AZ207" s="336">
        <v>2680</v>
      </c>
      <c r="BA207" s="337">
        <v>1089.742</v>
      </c>
      <c r="BB207" s="336">
        <v>2660</v>
      </c>
      <c r="BC207" s="334">
        <v>312.62900000000002</v>
      </c>
      <c r="BD207" s="336">
        <v>2660</v>
      </c>
      <c r="BE207" s="334">
        <v>326.315</v>
      </c>
    </row>
    <row r="208" spans="22:57">
      <c r="V208" s="346">
        <v>2690</v>
      </c>
      <c r="W208" s="333">
        <v>653.51099999999997</v>
      </c>
      <c r="X208" s="346">
        <v>2700</v>
      </c>
      <c r="Y208" s="334">
        <v>648.70500000000004</v>
      </c>
      <c r="Z208" s="335">
        <v>2690</v>
      </c>
      <c r="AA208" s="334">
        <v>1369.126</v>
      </c>
      <c r="AB208" s="336">
        <v>2690</v>
      </c>
      <c r="AC208" s="334">
        <v>1367.6980000000001</v>
      </c>
      <c r="AD208" s="336">
        <v>2690</v>
      </c>
      <c r="AE208" s="334">
        <v>1165.9059999999999</v>
      </c>
      <c r="AF208" s="336">
        <v>2690</v>
      </c>
      <c r="AG208" s="334">
        <v>1165.6959999999999</v>
      </c>
      <c r="AH208" s="336">
        <v>2690</v>
      </c>
      <c r="AI208" s="334">
        <v>1165.6859999999999</v>
      </c>
      <c r="AJ208" s="336">
        <v>2670</v>
      </c>
      <c r="AK208" s="334">
        <v>1166.798</v>
      </c>
      <c r="AL208" s="336">
        <v>2690</v>
      </c>
      <c r="AM208" s="334">
        <v>1166.3869999999999</v>
      </c>
      <c r="AN208" s="336">
        <v>2690</v>
      </c>
      <c r="AO208" s="334">
        <v>1166.8150000000001</v>
      </c>
      <c r="AP208" s="336">
        <v>2680</v>
      </c>
      <c r="AQ208" s="334">
        <v>1165.2180000000001</v>
      </c>
      <c r="AR208" s="336">
        <v>2690</v>
      </c>
      <c r="AS208" s="334">
        <v>1165.0999999999999</v>
      </c>
      <c r="AT208" s="336">
        <v>2690</v>
      </c>
      <c r="AU208" s="334">
        <v>1163.723</v>
      </c>
      <c r="AV208" s="336">
        <v>2690</v>
      </c>
      <c r="AW208" s="334">
        <v>1163.211</v>
      </c>
      <c r="AX208" s="336">
        <v>2680</v>
      </c>
      <c r="AY208" s="334">
        <v>1087.473</v>
      </c>
      <c r="AZ208" s="336">
        <v>2690</v>
      </c>
      <c r="BA208" s="337">
        <v>1088.566</v>
      </c>
      <c r="BB208" s="336">
        <v>2670</v>
      </c>
      <c r="BC208" s="334">
        <v>312.24599999999998</v>
      </c>
      <c r="BD208" s="336">
        <v>2670</v>
      </c>
      <c r="BE208" s="334">
        <v>325.91800000000001</v>
      </c>
    </row>
    <row r="209" spans="22:57">
      <c r="V209" s="346">
        <v>2700</v>
      </c>
      <c r="W209" s="333">
        <v>652.73400000000004</v>
      </c>
      <c r="X209" s="346">
        <v>2710</v>
      </c>
      <c r="Y209" s="334">
        <v>647.93399999999997</v>
      </c>
      <c r="Z209" s="335">
        <v>2700</v>
      </c>
      <c r="AA209" s="334">
        <v>1367.66</v>
      </c>
      <c r="AB209" s="336">
        <v>2700</v>
      </c>
      <c r="AC209" s="334">
        <v>1366.2360000000001</v>
      </c>
      <c r="AD209" s="336">
        <v>2700</v>
      </c>
      <c r="AE209" s="334">
        <v>1164.7260000000001</v>
      </c>
      <c r="AF209" s="336">
        <v>2700</v>
      </c>
      <c r="AG209" s="334">
        <v>1164.5170000000001</v>
      </c>
      <c r="AH209" s="336">
        <v>2700</v>
      </c>
      <c r="AI209" s="334">
        <v>1164.5070000000001</v>
      </c>
      <c r="AJ209" s="336">
        <v>2680</v>
      </c>
      <c r="AK209" s="334">
        <v>1165.6189999999999</v>
      </c>
      <c r="AL209" s="336">
        <v>2700</v>
      </c>
      <c r="AM209" s="334">
        <v>1165.2080000000001</v>
      </c>
      <c r="AN209" s="336">
        <v>2700</v>
      </c>
      <c r="AO209" s="334">
        <v>1165.6369999999999</v>
      </c>
      <c r="AP209" s="336">
        <v>2690</v>
      </c>
      <c r="AQ209" s="334">
        <v>1164.0409999999999</v>
      </c>
      <c r="AR209" s="336">
        <v>2700</v>
      </c>
      <c r="AS209" s="334">
        <v>1163.923</v>
      </c>
      <c r="AT209" s="336">
        <v>2700</v>
      </c>
      <c r="AU209" s="334">
        <v>1162.5450000000001</v>
      </c>
      <c r="AV209" s="336">
        <v>2700</v>
      </c>
      <c r="AW209" s="334">
        <v>1162.0360000000001</v>
      </c>
      <c r="AX209" s="336">
        <v>2690</v>
      </c>
      <c r="AY209" s="334">
        <v>1086.296</v>
      </c>
      <c r="AZ209" s="336">
        <v>2700</v>
      </c>
      <c r="BA209" s="337">
        <v>1087.3910000000001</v>
      </c>
      <c r="BB209" s="336">
        <v>2680</v>
      </c>
      <c r="BC209" s="334">
        <v>311.86200000000002</v>
      </c>
      <c r="BD209" s="336">
        <v>2680</v>
      </c>
      <c r="BE209" s="334">
        <v>325.52</v>
      </c>
    </row>
    <row r="210" spans="22:57">
      <c r="V210" s="346">
        <v>2710</v>
      </c>
      <c r="W210" s="333">
        <v>651.95600000000002</v>
      </c>
      <c r="X210" s="346">
        <v>2720</v>
      </c>
      <c r="Y210" s="334">
        <v>647.16300000000001</v>
      </c>
      <c r="Z210" s="335">
        <v>2710</v>
      </c>
      <c r="AA210" s="334">
        <v>1366.193</v>
      </c>
      <c r="AB210" s="336">
        <v>2710</v>
      </c>
      <c r="AC210" s="334">
        <v>1364.7739999999999</v>
      </c>
      <c r="AD210" s="336">
        <v>2710</v>
      </c>
      <c r="AE210" s="334">
        <v>1163.546</v>
      </c>
      <c r="AF210" s="336">
        <v>2710</v>
      </c>
      <c r="AG210" s="334">
        <v>1163.337</v>
      </c>
      <c r="AH210" s="336">
        <v>2710</v>
      </c>
      <c r="AI210" s="334">
        <v>1163.327</v>
      </c>
      <c r="AJ210" s="336">
        <v>2690</v>
      </c>
      <c r="AK210" s="334">
        <v>1164.44</v>
      </c>
      <c r="AL210" s="336">
        <v>2710</v>
      </c>
      <c r="AM210" s="334">
        <v>1164.028</v>
      </c>
      <c r="AN210" s="336">
        <v>2710</v>
      </c>
      <c r="AO210" s="334">
        <v>1164.4580000000001</v>
      </c>
      <c r="AP210" s="336">
        <v>2700</v>
      </c>
      <c r="AQ210" s="334">
        <v>1162.865</v>
      </c>
      <c r="AR210" s="336">
        <v>2710</v>
      </c>
      <c r="AS210" s="334">
        <v>1162.7460000000001</v>
      </c>
      <c r="AT210" s="336">
        <v>2710</v>
      </c>
      <c r="AU210" s="334">
        <v>1161.367</v>
      </c>
      <c r="AV210" s="336">
        <v>2710</v>
      </c>
      <c r="AW210" s="334">
        <v>1160.8599999999999</v>
      </c>
      <c r="AX210" s="336">
        <v>2700</v>
      </c>
      <c r="AY210" s="334">
        <v>1085.1189999999999</v>
      </c>
      <c r="AZ210" s="336">
        <v>2710</v>
      </c>
      <c r="BA210" s="337">
        <v>1086.2149999999999</v>
      </c>
      <c r="BB210" s="336">
        <v>2690</v>
      </c>
      <c r="BC210" s="334">
        <v>311.47899999999998</v>
      </c>
      <c r="BD210" s="336">
        <v>2690</v>
      </c>
      <c r="BE210" s="334">
        <v>325.12299999999999</v>
      </c>
    </row>
    <row r="211" spans="22:57">
      <c r="V211" s="346">
        <v>2720</v>
      </c>
      <c r="W211" s="333">
        <v>651.178</v>
      </c>
      <c r="X211" s="346">
        <v>2730</v>
      </c>
      <c r="Y211" s="334">
        <v>646.39200000000005</v>
      </c>
      <c r="Z211" s="335">
        <v>2720</v>
      </c>
      <c r="AA211" s="334">
        <v>1364.7270000000001</v>
      </c>
      <c r="AB211" s="336">
        <v>2720</v>
      </c>
      <c r="AC211" s="334">
        <v>1363.3109999999999</v>
      </c>
      <c r="AD211" s="336">
        <v>2720</v>
      </c>
      <c r="AE211" s="334">
        <v>1162.365</v>
      </c>
      <c r="AF211" s="336">
        <v>2720</v>
      </c>
      <c r="AG211" s="334">
        <v>1162.1559999999999</v>
      </c>
      <c r="AH211" s="336">
        <v>2720</v>
      </c>
      <c r="AI211" s="334">
        <v>1162.1469999999999</v>
      </c>
      <c r="AJ211" s="336">
        <v>2700</v>
      </c>
      <c r="AK211" s="334">
        <v>1163.26</v>
      </c>
      <c r="AL211" s="336">
        <v>2720</v>
      </c>
      <c r="AM211" s="334">
        <v>1162.8489999999999</v>
      </c>
      <c r="AN211" s="336">
        <v>2720</v>
      </c>
      <c r="AO211" s="334">
        <v>1163.279</v>
      </c>
      <c r="AP211" s="336">
        <v>2710</v>
      </c>
      <c r="AQ211" s="334">
        <v>1161.6880000000001</v>
      </c>
      <c r="AR211" s="336">
        <v>2720</v>
      </c>
      <c r="AS211" s="334">
        <v>1161.569</v>
      </c>
      <c r="AT211" s="336">
        <v>2720</v>
      </c>
      <c r="AU211" s="334">
        <v>1160.19</v>
      </c>
      <c r="AV211" s="336">
        <v>2720</v>
      </c>
      <c r="AW211" s="334">
        <v>1159.6849999999999</v>
      </c>
      <c r="AX211" s="336">
        <v>2710</v>
      </c>
      <c r="AY211" s="334">
        <v>1083.942</v>
      </c>
      <c r="AZ211" s="336">
        <v>2720</v>
      </c>
      <c r="BA211" s="337">
        <v>1085.04</v>
      </c>
      <c r="BB211" s="336">
        <v>2700</v>
      </c>
      <c r="BC211" s="334">
        <v>311.09500000000003</v>
      </c>
      <c r="BD211" s="336">
        <v>2700</v>
      </c>
      <c r="BE211" s="334">
        <v>324.72500000000002</v>
      </c>
    </row>
    <row r="212" spans="22:57">
      <c r="V212" s="346">
        <v>2730</v>
      </c>
      <c r="W212" s="333">
        <v>650.40099999999995</v>
      </c>
      <c r="X212" s="346">
        <v>2740</v>
      </c>
      <c r="Y212" s="334">
        <v>645.62</v>
      </c>
      <c r="Z212" s="335">
        <v>2730</v>
      </c>
      <c r="AA212" s="334">
        <v>1363.26</v>
      </c>
      <c r="AB212" s="336">
        <v>2730</v>
      </c>
      <c r="AC212" s="334">
        <v>1361.848</v>
      </c>
      <c r="AD212" s="336">
        <v>2730</v>
      </c>
      <c r="AE212" s="334">
        <v>1161.1849999999999</v>
      </c>
      <c r="AF212" s="336">
        <v>2730</v>
      </c>
      <c r="AG212" s="334">
        <v>1160.9760000000001</v>
      </c>
      <c r="AH212" s="336">
        <v>2730</v>
      </c>
      <c r="AI212" s="334">
        <v>1160.9670000000001</v>
      </c>
      <c r="AJ212" s="336">
        <v>2710</v>
      </c>
      <c r="AK212" s="334">
        <v>1162.0809999999999</v>
      </c>
      <c r="AL212" s="336">
        <v>2730</v>
      </c>
      <c r="AM212" s="334">
        <v>1161.6690000000001</v>
      </c>
      <c r="AN212" s="336">
        <v>2730</v>
      </c>
      <c r="AO212" s="334">
        <v>1162.0999999999999</v>
      </c>
      <c r="AP212" s="336">
        <v>2720</v>
      </c>
      <c r="AQ212" s="334">
        <v>1160.5119999999999</v>
      </c>
      <c r="AR212" s="336">
        <v>2730</v>
      </c>
      <c r="AS212" s="334">
        <v>1160.3920000000001</v>
      </c>
      <c r="AT212" s="336">
        <v>2730</v>
      </c>
      <c r="AU212" s="334">
        <v>1159.011</v>
      </c>
      <c r="AV212" s="336">
        <v>2730</v>
      </c>
      <c r="AW212" s="334">
        <v>1158.509</v>
      </c>
      <c r="AX212" s="336">
        <v>2720</v>
      </c>
      <c r="AY212" s="334">
        <v>1082.7639999999999</v>
      </c>
      <c r="AZ212" s="336">
        <v>2730</v>
      </c>
      <c r="BA212" s="337">
        <v>1083.8630000000001</v>
      </c>
      <c r="BB212" s="336">
        <v>2710</v>
      </c>
      <c r="BC212" s="334">
        <v>310.71100000000001</v>
      </c>
      <c r="BD212" s="336">
        <v>2710</v>
      </c>
      <c r="BE212" s="334">
        <v>324.327</v>
      </c>
    </row>
    <row r="213" spans="22:57">
      <c r="V213" s="346">
        <v>2740</v>
      </c>
      <c r="W213" s="333">
        <v>649.62199999999996</v>
      </c>
      <c r="X213" s="346">
        <v>2750</v>
      </c>
      <c r="Y213" s="334">
        <v>644.84799999999996</v>
      </c>
      <c r="Z213" s="335">
        <v>2740</v>
      </c>
      <c r="AA213" s="334">
        <v>1361.7929999999999</v>
      </c>
      <c r="AB213" s="336">
        <v>2740</v>
      </c>
      <c r="AC213" s="334">
        <v>1360.385</v>
      </c>
      <c r="AD213" s="336">
        <v>2740</v>
      </c>
      <c r="AE213" s="334">
        <v>1160.0039999999999</v>
      </c>
      <c r="AF213" s="336">
        <v>2740</v>
      </c>
      <c r="AG213" s="334">
        <v>1159.7950000000001</v>
      </c>
      <c r="AH213" s="336">
        <v>2740</v>
      </c>
      <c r="AI213" s="334">
        <v>1159.7860000000001</v>
      </c>
      <c r="AJ213" s="336">
        <v>2720</v>
      </c>
      <c r="AK213" s="334">
        <v>1160.9010000000001</v>
      </c>
      <c r="AL213" s="336">
        <v>2740</v>
      </c>
      <c r="AM213" s="334">
        <v>1160.489</v>
      </c>
      <c r="AN213" s="336">
        <v>2740</v>
      </c>
      <c r="AO213" s="334">
        <v>1160.921</v>
      </c>
      <c r="AP213" s="336">
        <v>2730</v>
      </c>
      <c r="AQ213" s="334">
        <v>1159.3340000000001</v>
      </c>
      <c r="AR213" s="336">
        <v>2740</v>
      </c>
      <c r="AS213" s="334">
        <v>1159.2139999999999</v>
      </c>
      <c r="AT213" s="336">
        <v>2740</v>
      </c>
      <c r="AU213" s="334">
        <v>1157.8330000000001</v>
      </c>
      <c r="AV213" s="336">
        <v>2740</v>
      </c>
      <c r="AW213" s="334">
        <v>1157.3330000000001</v>
      </c>
      <c r="AX213" s="336">
        <v>2730</v>
      </c>
      <c r="AY213" s="334">
        <v>1081.586</v>
      </c>
      <c r="AZ213" s="336">
        <v>2740</v>
      </c>
      <c r="BA213" s="337">
        <v>1082.6869999999999</v>
      </c>
      <c r="BB213" s="336">
        <v>2720</v>
      </c>
      <c r="BC213" s="334">
        <v>310.327</v>
      </c>
      <c r="BD213" s="336">
        <v>2720</v>
      </c>
      <c r="BE213" s="334">
        <v>323.92899999999997</v>
      </c>
    </row>
    <row r="214" spans="22:57">
      <c r="V214" s="346">
        <v>2750</v>
      </c>
      <c r="W214" s="333">
        <v>648.84400000000005</v>
      </c>
      <c r="X214" s="346">
        <v>2760</v>
      </c>
      <c r="Y214" s="334">
        <v>644.07600000000002</v>
      </c>
      <c r="Z214" s="335">
        <v>2750</v>
      </c>
      <c r="AA214" s="334">
        <v>1360.325</v>
      </c>
      <c r="AB214" s="336">
        <v>2750</v>
      </c>
      <c r="AC214" s="334">
        <v>1358.921</v>
      </c>
      <c r="AD214" s="336">
        <v>2750</v>
      </c>
      <c r="AE214" s="334">
        <v>1158.8230000000001</v>
      </c>
      <c r="AF214" s="336">
        <v>2750</v>
      </c>
      <c r="AG214" s="334">
        <v>1158.614</v>
      </c>
      <c r="AH214" s="336">
        <v>2750</v>
      </c>
      <c r="AI214" s="334">
        <v>1158.605</v>
      </c>
      <c r="AJ214" s="336">
        <v>2730</v>
      </c>
      <c r="AK214" s="334">
        <v>1159.72</v>
      </c>
      <c r="AL214" s="336">
        <v>2750</v>
      </c>
      <c r="AM214" s="334">
        <v>1159.309</v>
      </c>
      <c r="AN214" s="336">
        <v>2750</v>
      </c>
      <c r="AO214" s="334">
        <v>1159.742</v>
      </c>
      <c r="AP214" s="336">
        <v>2740</v>
      </c>
      <c r="AQ214" s="334">
        <v>1158.1569999999999</v>
      </c>
      <c r="AR214" s="336">
        <v>2750</v>
      </c>
      <c r="AS214" s="334">
        <v>1158.0360000000001</v>
      </c>
      <c r="AT214" s="336">
        <v>2750</v>
      </c>
      <c r="AU214" s="334">
        <v>1156.654</v>
      </c>
      <c r="AV214" s="336">
        <v>2750</v>
      </c>
      <c r="AW214" s="334">
        <v>1156.1569999999999</v>
      </c>
      <c r="AX214" s="336">
        <v>2740</v>
      </c>
      <c r="AY214" s="334">
        <v>1080.4079999999999</v>
      </c>
      <c r="AZ214" s="336">
        <v>2750</v>
      </c>
      <c r="BA214" s="337">
        <v>1081.511</v>
      </c>
      <c r="BB214" s="336">
        <v>2730</v>
      </c>
      <c r="BC214" s="334">
        <v>309.94299999999998</v>
      </c>
      <c r="BD214" s="336">
        <v>2730</v>
      </c>
      <c r="BE214" s="334">
        <v>323.53100000000001</v>
      </c>
    </row>
    <row r="215" spans="22:57">
      <c r="V215" s="346">
        <v>2760</v>
      </c>
      <c r="W215" s="333">
        <v>648.06600000000003</v>
      </c>
      <c r="X215" s="346">
        <v>2770</v>
      </c>
      <c r="Y215" s="334">
        <v>643.30399999999997</v>
      </c>
      <c r="Z215" s="335">
        <v>2760</v>
      </c>
      <c r="AA215" s="334">
        <v>1358.8579999999999</v>
      </c>
      <c r="AB215" s="336">
        <v>2760</v>
      </c>
      <c r="AC215" s="334">
        <v>1357.4580000000001</v>
      </c>
      <c r="AD215" s="336">
        <v>2760</v>
      </c>
      <c r="AE215" s="334">
        <v>1157.6420000000001</v>
      </c>
      <c r="AF215" s="336">
        <v>2760</v>
      </c>
      <c r="AG215" s="334">
        <v>1157.433</v>
      </c>
      <c r="AH215" s="336">
        <v>2760</v>
      </c>
      <c r="AI215" s="334">
        <v>1157.424</v>
      </c>
      <c r="AJ215" s="336">
        <v>2740</v>
      </c>
      <c r="AK215" s="334">
        <v>1158.54</v>
      </c>
      <c r="AL215" s="336">
        <v>2760</v>
      </c>
      <c r="AM215" s="334">
        <v>1158.1279999999999</v>
      </c>
      <c r="AN215" s="336">
        <v>2760</v>
      </c>
      <c r="AO215" s="334">
        <v>1158.5619999999999</v>
      </c>
      <c r="AP215" s="336">
        <v>2750</v>
      </c>
      <c r="AQ215" s="334">
        <v>1156.98</v>
      </c>
      <c r="AR215" s="336">
        <v>2760</v>
      </c>
      <c r="AS215" s="334">
        <v>1156.8579999999999</v>
      </c>
      <c r="AT215" s="336">
        <v>2760</v>
      </c>
      <c r="AU215" s="334">
        <v>1155.4749999999999</v>
      </c>
      <c r="AV215" s="336">
        <v>2760</v>
      </c>
      <c r="AW215" s="334">
        <v>1154.98</v>
      </c>
      <c r="AX215" s="336">
        <v>2750</v>
      </c>
      <c r="AY215" s="334">
        <v>1079.23</v>
      </c>
      <c r="AZ215" s="336">
        <v>2760</v>
      </c>
      <c r="BA215" s="337">
        <v>1080.3340000000001</v>
      </c>
      <c r="BB215" s="336">
        <v>2740</v>
      </c>
      <c r="BC215" s="334">
        <v>309.55900000000003</v>
      </c>
      <c r="BD215" s="336">
        <v>2740</v>
      </c>
      <c r="BE215" s="334">
        <v>323.13299999999998</v>
      </c>
    </row>
    <row r="216" spans="22:57">
      <c r="V216" s="346">
        <v>2770</v>
      </c>
      <c r="W216" s="333">
        <v>647.28700000000003</v>
      </c>
      <c r="X216" s="346">
        <v>2780</v>
      </c>
      <c r="Y216" s="334">
        <v>642.53200000000004</v>
      </c>
      <c r="Z216" s="335">
        <v>2770</v>
      </c>
      <c r="AA216" s="334">
        <v>1357.3889999999999</v>
      </c>
      <c r="AB216" s="336">
        <v>2770</v>
      </c>
      <c r="AC216" s="334">
        <v>1355.9929999999999</v>
      </c>
      <c r="AD216" s="336">
        <v>2770</v>
      </c>
      <c r="AE216" s="334">
        <v>1156.46</v>
      </c>
      <c r="AF216" s="336">
        <v>2770</v>
      </c>
      <c r="AG216" s="334">
        <v>1156.251</v>
      </c>
      <c r="AH216" s="336">
        <v>2770</v>
      </c>
      <c r="AI216" s="334">
        <v>1156.2429999999999</v>
      </c>
      <c r="AJ216" s="336">
        <v>2750</v>
      </c>
      <c r="AK216" s="334">
        <v>1157.3589999999999</v>
      </c>
      <c r="AL216" s="336">
        <v>2770</v>
      </c>
      <c r="AM216" s="334">
        <v>1156.9469999999999</v>
      </c>
      <c r="AN216" s="336">
        <v>2770</v>
      </c>
      <c r="AO216" s="334">
        <v>1157.3820000000001</v>
      </c>
      <c r="AP216" s="336">
        <v>2760</v>
      </c>
      <c r="AQ216" s="334">
        <v>1155.8019999999999</v>
      </c>
      <c r="AR216" s="336">
        <v>2770</v>
      </c>
      <c r="AS216" s="334">
        <v>1155.68</v>
      </c>
      <c r="AT216" s="336">
        <v>2770</v>
      </c>
      <c r="AU216" s="334">
        <v>1154.296</v>
      </c>
      <c r="AV216" s="336">
        <v>2770</v>
      </c>
      <c r="AW216" s="334">
        <v>1153.8030000000001</v>
      </c>
      <c r="AX216" s="336">
        <v>2760</v>
      </c>
      <c r="AY216" s="334">
        <v>1078.0509999999999</v>
      </c>
      <c r="AZ216" s="336">
        <v>2770</v>
      </c>
      <c r="BA216" s="337">
        <v>1079.1569999999999</v>
      </c>
      <c r="BB216" s="336">
        <v>2750</v>
      </c>
      <c r="BC216" s="334">
        <v>309.17500000000001</v>
      </c>
      <c r="BD216" s="336">
        <v>2750</v>
      </c>
      <c r="BE216" s="334">
        <v>322.73500000000001</v>
      </c>
    </row>
    <row r="217" spans="22:57">
      <c r="V217" s="346">
        <v>2780</v>
      </c>
      <c r="W217" s="333">
        <v>646.50800000000004</v>
      </c>
      <c r="X217" s="346">
        <v>2790</v>
      </c>
      <c r="Y217" s="334">
        <v>641.76</v>
      </c>
      <c r="Z217" s="335">
        <v>2780</v>
      </c>
      <c r="AA217" s="334">
        <v>1355.921</v>
      </c>
      <c r="AB217" s="336">
        <v>2780</v>
      </c>
      <c r="AC217" s="334">
        <v>1354.529</v>
      </c>
      <c r="AD217" s="336">
        <v>2780</v>
      </c>
      <c r="AE217" s="334">
        <v>1155.279</v>
      </c>
      <c r="AF217" s="336">
        <v>2780</v>
      </c>
      <c r="AG217" s="334">
        <v>1155.07</v>
      </c>
      <c r="AH217" s="336">
        <v>2780</v>
      </c>
      <c r="AI217" s="334">
        <v>1155.0619999999999</v>
      </c>
      <c r="AJ217" s="336">
        <v>2760</v>
      </c>
      <c r="AK217" s="334">
        <v>1156.1780000000001</v>
      </c>
      <c r="AL217" s="336">
        <v>2780</v>
      </c>
      <c r="AM217" s="334">
        <v>1155.7660000000001</v>
      </c>
      <c r="AN217" s="336">
        <v>2780</v>
      </c>
      <c r="AO217" s="334">
        <v>1156.201</v>
      </c>
      <c r="AP217" s="336">
        <v>2770</v>
      </c>
      <c r="AQ217" s="334">
        <v>1154.624</v>
      </c>
      <c r="AR217" s="336">
        <v>2780</v>
      </c>
      <c r="AS217" s="334">
        <v>1154.501</v>
      </c>
      <c r="AT217" s="336">
        <v>2780</v>
      </c>
      <c r="AU217" s="334">
        <v>1153.117</v>
      </c>
      <c r="AV217" s="336">
        <v>2780</v>
      </c>
      <c r="AW217" s="334">
        <v>1152.626</v>
      </c>
      <c r="AX217" s="336">
        <v>2770</v>
      </c>
      <c r="AY217" s="334">
        <v>1076.8720000000001</v>
      </c>
      <c r="AZ217" s="336">
        <v>2780</v>
      </c>
      <c r="BA217" s="337">
        <v>1077.979</v>
      </c>
      <c r="BB217" s="336">
        <v>2760</v>
      </c>
      <c r="BC217" s="334">
        <v>308.791</v>
      </c>
      <c r="BD217" s="336">
        <v>2760</v>
      </c>
      <c r="BE217" s="334">
        <v>322.33699999999999</v>
      </c>
    </row>
    <row r="218" spans="22:57">
      <c r="V218" s="346">
        <v>2790</v>
      </c>
      <c r="W218" s="333">
        <v>645.72900000000004</v>
      </c>
      <c r="X218" s="346">
        <v>2800</v>
      </c>
      <c r="Y218" s="334">
        <v>640.98699999999997</v>
      </c>
      <c r="Z218" s="335">
        <v>2790</v>
      </c>
      <c r="AA218" s="334">
        <v>1354.452</v>
      </c>
      <c r="AB218" s="336">
        <v>2790</v>
      </c>
      <c r="AC218" s="334">
        <v>1353.0640000000001</v>
      </c>
      <c r="AD218" s="336">
        <v>2790</v>
      </c>
      <c r="AE218" s="334">
        <v>1154.097</v>
      </c>
      <c r="AF218" s="336">
        <v>2790</v>
      </c>
      <c r="AG218" s="334">
        <v>1153.8879999999999</v>
      </c>
      <c r="AH218" s="336">
        <v>2790</v>
      </c>
      <c r="AI218" s="334">
        <v>1153.8800000000001</v>
      </c>
      <c r="AJ218" s="336">
        <v>2770</v>
      </c>
      <c r="AK218" s="334">
        <v>1154.9970000000001</v>
      </c>
      <c r="AL218" s="336">
        <v>2790</v>
      </c>
      <c r="AM218" s="334">
        <v>1154.585</v>
      </c>
      <c r="AN218" s="336">
        <v>2790</v>
      </c>
      <c r="AO218" s="334">
        <v>1155.021</v>
      </c>
      <c r="AP218" s="336">
        <v>2780</v>
      </c>
      <c r="AQ218" s="334">
        <v>1153.4449999999999</v>
      </c>
      <c r="AR218" s="336">
        <v>2790</v>
      </c>
      <c r="AS218" s="334">
        <v>1153.3219999999999</v>
      </c>
      <c r="AT218" s="336">
        <v>2790</v>
      </c>
      <c r="AU218" s="334">
        <v>1151.9369999999999</v>
      </c>
      <c r="AV218" s="336">
        <v>2790</v>
      </c>
      <c r="AW218" s="334">
        <v>1151.4490000000001</v>
      </c>
      <c r="AX218" s="336">
        <v>2780</v>
      </c>
      <c r="AY218" s="334">
        <v>1075.693</v>
      </c>
      <c r="AZ218" s="336">
        <v>2790</v>
      </c>
      <c r="BA218" s="337">
        <v>1076.8019999999999</v>
      </c>
      <c r="BB218" s="336">
        <v>2770</v>
      </c>
      <c r="BC218" s="334">
        <v>308.40600000000001</v>
      </c>
      <c r="BD218" s="336">
        <v>2770</v>
      </c>
      <c r="BE218" s="334">
        <v>321.93900000000002</v>
      </c>
    </row>
    <row r="219" spans="22:57">
      <c r="V219" s="346">
        <v>2800</v>
      </c>
      <c r="W219" s="333">
        <v>644.95000000000005</v>
      </c>
      <c r="X219" s="346">
        <v>2810</v>
      </c>
      <c r="Y219" s="334">
        <v>640.21400000000006</v>
      </c>
      <c r="Z219" s="335">
        <v>2800</v>
      </c>
      <c r="AA219" s="334">
        <v>1352.9839999999999</v>
      </c>
      <c r="AB219" s="336">
        <v>2800</v>
      </c>
      <c r="AC219" s="334">
        <v>1351.5989999999999</v>
      </c>
      <c r="AD219" s="336">
        <v>2800</v>
      </c>
      <c r="AE219" s="334">
        <v>1152.915</v>
      </c>
      <c r="AF219" s="336">
        <v>2800</v>
      </c>
      <c r="AG219" s="334">
        <v>1152.7049999999999</v>
      </c>
      <c r="AH219" s="336">
        <v>2800</v>
      </c>
      <c r="AI219" s="334">
        <v>1152.6980000000001</v>
      </c>
      <c r="AJ219" s="336">
        <v>2780</v>
      </c>
      <c r="AK219" s="334">
        <v>1153.816</v>
      </c>
      <c r="AL219" s="336">
        <v>2800</v>
      </c>
      <c r="AM219" s="334">
        <v>1153.403</v>
      </c>
      <c r="AN219" s="336">
        <v>2800</v>
      </c>
      <c r="AO219" s="334">
        <v>1153.8399999999999</v>
      </c>
      <c r="AP219" s="336">
        <v>2790</v>
      </c>
      <c r="AQ219" s="334">
        <v>1152.2670000000001</v>
      </c>
      <c r="AR219" s="336">
        <v>2800</v>
      </c>
      <c r="AS219" s="334">
        <v>1152.143</v>
      </c>
      <c r="AT219" s="336">
        <v>2800</v>
      </c>
      <c r="AU219" s="334">
        <v>1150.758</v>
      </c>
      <c r="AV219" s="336">
        <v>2800</v>
      </c>
      <c r="AW219" s="334">
        <v>1150.271</v>
      </c>
      <c r="AX219" s="336">
        <v>2790</v>
      </c>
      <c r="AY219" s="334">
        <v>1074.5139999999999</v>
      </c>
      <c r="AZ219" s="336">
        <v>2800</v>
      </c>
      <c r="BA219" s="337">
        <v>1075.624</v>
      </c>
      <c r="BB219" s="336">
        <v>2780</v>
      </c>
      <c r="BC219" s="334">
        <v>308.02199999999999</v>
      </c>
      <c r="BD219" s="336">
        <v>2780</v>
      </c>
      <c r="BE219" s="334">
        <v>321.54000000000002</v>
      </c>
    </row>
    <row r="220" spans="22:57">
      <c r="V220" s="346">
        <v>2810</v>
      </c>
      <c r="W220" s="333">
        <v>644.16999999999996</v>
      </c>
      <c r="X220" s="346">
        <v>2820</v>
      </c>
      <c r="Y220" s="334">
        <v>639.44100000000003</v>
      </c>
      <c r="Z220" s="335">
        <v>2810</v>
      </c>
      <c r="AA220" s="334">
        <v>1351.5139999999999</v>
      </c>
      <c r="AB220" s="336">
        <v>2810</v>
      </c>
      <c r="AC220" s="334">
        <v>1350.134</v>
      </c>
      <c r="AD220" s="336">
        <v>2810</v>
      </c>
      <c r="AE220" s="334">
        <v>1151.732</v>
      </c>
      <c r="AF220" s="336">
        <v>2810</v>
      </c>
      <c r="AG220" s="334">
        <v>1151.5229999999999</v>
      </c>
      <c r="AH220" s="336">
        <v>2810</v>
      </c>
      <c r="AI220" s="334">
        <v>1151.5160000000001</v>
      </c>
      <c r="AJ220" s="336">
        <v>2790</v>
      </c>
      <c r="AK220" s="334">
        <v>1152.634</v>
      </c>
      <c r="AL220" s="336">
        <v>2810</v>
      </c>
      <c r="AM220" s="334">
        <v>1152.222</v>
      </c>
      <c r="AN220" s="336">
        <v>2810</v>
      </c>
      <c r="AO220" s="334">
        <v>1152.6590000000001</v>
      </c>
      <c r="AP220" s="336">
        <v>2800</v>
      </c>
      <c r="AQ220" s="334">
        <v>1151.088</v>
      </c>
      <c r="AR220" s="336">
        <v>2810</v>
      </c>
      <c r="AS220" s="334">
        <v>1150.9639999999999</v>
      </c>
      <c r="AT220" s="336">
        <v>2810</v>
      </c>
      <c r="AU220" s="334">
        <v>1149.577</v>
      </c>
      <c r="AV220" s="336">
        <v>2810</v>
      </c>
      <c r="AW220" s="334">
        <v>1149.0940000000001</v>
      </c>
      <c r="AX220" s="336">
        <v>2800</v>
      </c>
      <c r="AY220" s="334">
        <v>1073.3340000000001</v>
      </c>
      <c r="AZ220" s="336">
        <v>2810</v>
      </c>
      <c r="BA220" s="337">
        <v>1074.4459999999999</v>
      </c>
      <c r="BB220" s="336">
        <v>2790</v>
      </c>
      <c r="BC220" s="334">
        <v>307.637</v>
      </c>
      <c r="BD220" s="336">
        <v>2790</v>
      </c>
      <c r="BE220" s="334">
        <v>321.142</v>
      </c>
    </row>
    <row r="221" spans="22:57">
      <c r="V221" s="346">
        <v>2820</v>
      </c>
      <c r="W221" s="333">
        <v>643.39099999999996</v>
      </c>
      <c r="X221" s="346">
        <v>2830</v>
      </c>
      <c r="Y221" s="334">
        <v>638.66800000000001</v>
      </c>
      <c r="Z221" s="335">
        <v>2820</v>
      </c>
      <c r="AA221" s="334">
        <v>1350.0450000000001</v>
      </c>
      <c r="AB221" s="336">
        <v>2820</v>
      </c>
      <c r="AC221" s="334">
        <v>1348.6679999999999</v>
      </c>
      <c r="AD221" s="336">
        <v>2820</v>
      </c>
      <c r="AE221" s="334">
        <v>1150.55</v>
      </c>
      <c r="AF221" s="336">
        <v>2820</v>
      </c>
      <c r="AG221" s="334">
        <v>1150.3399999999999</v>
      </c>
      <c r="AH221" s="336">
        <v>2820</v>
      </c>
      <c r="AI221" s="334">
        <v>1150.3330000000001</v>
      </c>
      <c r="AJ221" s="336">
        <v>2800</v>
      </c>
      <c r="AK221" s="334">
        <v>1151.452</v>
      </c>
      <c r="AL221" s="336">
        <v>2820</v>
      </c>
      <c r="AM221" s="334">
        <v>1151.04</v>
      </c>
      <c r="AN221" s="336">
        <v>2820</v>
      </c>
      <c r="AO221" s="334">
        <v>1151.4780000000001</v>
      </c>
      <c r="AP221" s="336">
        <v>2810</v>
      </c>
      <c r="AQ221" s="334">
        <v>1149.9090000000001</v>
      </c>
      <c r="AR221" s="336">
        <v>2820</v>
      </c>
      <c r="AS221" s="334">
        <v>1149.7850000000001</v>
      </c>
      <c r="AT221" s="336">
        <v>2820</v>
      </c>
      <c r="AU221" s="334">
        <v>1148.3969999999999</v>
      </c>
      <c r="AV221" s="336">
        <v>2820</v>
      </c>
      <c r="AW221" s="334">
        <v>1147.9159999999999</v>
      </c>
      <c r="AX221" s="336">
        <v>2810</v>
      </c>
      <c r="AY221" s="334">
        <v>1072.155</v>
      </c>
      <c r="AZ221" s="336">
        <v>2820</v>
      </c>
      <c r="BA221" s="337">
        <v>1073.268</v>
      </c>
      <c r="BB221" s="336">
        <v>2800</v>
      </c>
      <c r="BC221" s="334">
        <v>307.25299999999999</v>
      </c>
      <c r="BD221" s="336">
        <v>2800</v>
      </c>
      <c r="BE221" s="334">
        <v>320.74299999999999</v>
      </c>
    </row>
    <row r="222" spans="22:57">
      <c r="V222" s="346">
        <v>2830</v>
      </c>
      <c r="W222" s="333">
        <v>642.61099999999999</v>
      </c>
      <c r="X222" s="346">
        <v>2840</v>
      </c>
      <c r="Y222" s="334">
        <v>637.89400000000001</v>
      </c>
      <c r="Z222" s="335">
        <v>2830</v>
      </c>
      <c r="AA222" s="334">
        <v>1348.575</v>
      </c>
      <c r="AB222" s="336">
        <v>2830</v>
      </c>
      <c r="AC222" s="334">
        <v>1347.202</v>
      </c>
      <c r="AD222" s="336">
        <v>2830</v>
      </c>
      <c r="AE222" s="334">
        <v>1149.367</v>
      </c>
      <c r="AF222" s="336">
        <v>2830</v>
      </c>
      <c r="AG222" s="334">
        <v>1149.1569999999999</v>
      </c>
      <c r="AH222" s="336">
        <v>2830</v>
      </c>
      <c r="AI222" s="369">
        <v>1149.1510000000001</v>
      </c>
      <c r="AJ222" s="336">
        <v>2810</v>
      </c>
      <c r="AK222" s="334">
        <v>1150.27</v>
      </c>
      <c r="AL222" s="336">
        <v>2830</v>
      </c>
      <c r="AM222" s="334">
        <v>1149.857</v>
      </c>
      <c r="AN222" s="336">
        <v>2830</v>
      </c>
      <c r="AO222" s="334">
        <v>1150.296</v>
      </c>
      <c r="AP222" s="336">
        <v>2820</v>
      </c>
      <c r="AQ222" s="334">
        <v>1148.73</v>
      </c>
      <c r="AR222" s="336">
        <v>2830</v>
      </c>
      <c r="AS222" s="334">
        <v>1148.605</v>
      </c>
      <c r="AT222" s="336">
        <v>2830</v>
      </c>
      <c r="AU222" s="334">
        <v>1147.2170000000001</v>
      </c>
      <c r="AV222" s="336">
        <v>2830</v>
      </c>
      <c r="AW222" s="334">
        <v>1146.7370000000001</v>
      </c>
      <c r="AX222" s="336">
        <v>2820</v>
      </c>
      <c r="AY222" s="334">
        <v>1070.9749999999999</v>
      </c>
      <c r="AZ222" s="336">
        <v>2830</v>
      </c>
      <c r="BA222" s="337">
        <v>1072.0889999999999</v>
      </c>
      <c r="BB222" s="336">
        <v>2810</v>
      </c>
      <c r="BC222" s="334">
        <v>306.86799999999999</v>
      </c>
      <c r="BD222" s="336">
        <v>2810</v>
      </c>
      <c r="BE222" s="334">
        <v>320.34399999999999</v>
      </c>
    </row>
    <row r="223" spans="22:57">
      <c r="V223" s="346">
        <v>2840</v>
      </c>
      <c r="W223" s="333">
        <v>641.83100000000002</v>
      </c>
      <c r="X223" s="346">
        <v>2850</v>
      </c>
      <c r="Y223" s="334">
        <v>637.12099999999998</v>
      </c>
      <c r="Z223" s="335">
        <v>2840</v>
      </c>
      <c r="AA223" s="334">
        <v>1347.105</v>
      </c>
      <c r="AB223" s="336">
        <v>2840</v>
      </c>
      <c r="AC223" s="334">
        <v>1345.7360000000001</v>
      </c>
      <c r="AD223" s="336">
        <v>2840</v>
      </c>
      <c r="AE223" s="334">
        <v>1148.184</v>
      </c>
      <c r="AF223" s="336">
        <v>2840</v>
      </c>
      <c r="AG223" s="334">
        <v>1147.9739999999999</v>
      </c>
      <c r="AH223" s="336">
        <v>2840</v>
      </c>
      <c r="AI223" s="334">
        <v>1147.9680000000001</v>
      </c>
      <c r="AJ223" s="336">
        <v>2820</v>
      </c>
      <c r="AK223" s="334">
        <v>1149.088</v>
      </c>
      <c r="AL223" s="336">
        <v>2840</v>
      </c>
      <c r="AM223" s="334">
        <v>1148.675</v>
      </c>
      <c r="AN223" s="336">
        <v>2840</v>
      </c>
      <c r="AO223" s="334">
        <v>1149.115</v>
      </c>
      <c r="AP223" s="336">
        <v>2830</v>
      </c>
      <c r="AQ223" s="334">
        <v>1147.55</v>
      </c>
      <c r="AR223" s="336">
        <v>2840</v>
      </c>
      <c r="AS223" s="334">
        <v>1147.425</v>
      </c>
      <c r="AT223" s="336">
        <v>2840</v>
      </c>
      <c r="AU223" s="334">
        <v>1146.0360000000001</v>
      </c>
      <c r="AV223" s="336">
        <v>2840</v>
      </c>
      <c r="AW223" s="334">
        <v>1145.559</v>
      </c>
      <c r="AX223" s="336">
        <v>2830</v>
      </c>
      <c r="AY223" s="334">
        <v>1069.7940000000001</v>
      </c>
      <c r="AZ223" s="336">
        <v>2840</v>
      </c>
      <c r="BA223" s="337">
        <v>1070.9100000000001</v>
      </c>
      <c r="BB223" s="336">
        <v>2820</v>
      </c>
      <c r="BC223" s="334">
        <v>306.483</v>
      </c>
      <c r="BD223" s="336">
        <v>2820</v>
      </c>
      <c r="BE223" s="334">
        <v>319.94600000000003</v>
      </c>
    </row>
    <row r="224" spans="22:57">
      <c r="V224" s="346">
        <v>2850</v>
      </c>
      <c r="W224" s="333">
        <v>641.05100000000004</v>
      </c>
      <c r="X224" s="346">
        <v>2860</v>
      </c>
      <c r="Y224" s="334">
        <v>636.34699999999998</v>
      </c>
      <c r="Z224" s="335">
        <v>2850</v>
      </c>
      <c r="AA224" s="334">
        <v>1345.635</v>
      </c>
      <c r="AB224" s="336">
        <v>2850</v>
      </c>
      <c r="AC224" s="334">
        <v>1344.269</v>
      </c>
      <c r="AD224" s="336">
        <v>2850</v>
      </c>
      <c r="AE224" s="334">
        <v>1147</v>
      </c>
      <c r="AF224" s="336">
        <v>2850</v>
      </c>
      <c r="AG224" s="334">
        <v>1146.7909999999999</v>
      </c>
      <c r="AH224" s="336">
        <v>2850</v>
      </c>
      <c r="AI224" s="334">
        <v>1146.7840000000001</v>
      </c>
      <c r="AJ224" s="336">
        <v>2830</v>
      </c>
      <c r="AK224" s="334">
        <v>1147.905</v>
      </c>
      <c r="AL224" s="336">
        <v>2850</v>
      </c>
      <c r="AM224" s="334">
        <v>1147.492</v>
      </c>
      <c r="AN224" s="336">
        <v>2850</v>
      </c>
      <c r="AO224" s="334">
        <v>1147.933</v>
      </c>
      <c r="AP224" s="336">
        <v>2840</v>
      </c>
      <c r="AQ224" s="334">
        <v>1146.3699999999999</v>
      </c>
      <c r="AR224" s="336">
        <v>2850</v>
      </c>
      <c r="AS224" s="334">
        <v>1146.2449999999999</v>
      </c>
      <c r="AT224" s="336">
        <v>2850</v>
      </c>
      <c r="AU224" s="334">
        <v>1144.855</v>
      </c>
      <c r="AV224" s="336">
        <v>2850</v>
      </c>
      <c r="AW224" s="334">
        <v>1144.3800000000001</v>
      </c>
      <c r="AX224" s="336">
        <v>2840</v>
      </c>
      <c r="AY224" s="334">
        <v>1068.614</v>
      </c>
      <c r="AZ224" s="336">
        <v>2850</v>
      </c>
      <c r="BA224" s="337">
        <v>1069.731</v>
      </c>
      <c r="BB224" s="336">
        <v>2830</v>
      </c>
      <c r="BC224" s="334">
        <v>306.09800000000001</v>
      </c>
      <c r="BD224" s="336">
        <v>2830</v>
      </c>
      <c r="BE224" s="334">
        <v>319.54700000000003</v>
      </c>
    </row>
    <row r="225" spans="22:57">
      <c r="V225" s="346">
        <v>2860</v>
      </c>
      <c r="W225" s="333">
        <v>640.27099999999996</v>
      </c>
      <c r="X225" s="346">
        <v>2870</v>
      </c>
      <c r="Y225" s="334">
        <v>635.57299999999998</v>
      </c>
      <c r="Z225" s="335">
        <v>2860</v>
      </c>
      <c r="AA225" s="334">
        <v>1344.164</v>
      </c>
      <c r="AB225" s="336">
        <v>2860</v>
      </c>
      <c r="AC225" s="334">
        <v>1342.8019999999999</v>
      </c>
      <c r="AD225" s="336">
        <v>2860</v>
      </c>
      <c r="AE225" s="334">
        <v>1145.817</v>
      </c>
      <c r="AF225" s="336">
        <v>2860</v>
      </c>
      <c r="AG225" s="334">
        <v>1145.607</v>
      </c>
      <c r="AH225" s="336">
        <v>2860</v>
      </c>
      <c r="AI225" s="334">
        <v>1145.6010000000001</v>
      </c>
      <c r="AJ225" s="336">
        <v>2840</v>
      </c>
      <c r="AK225" s="334">
        <v>1146.722</v>
      </c>
      <c r="AL225" s="336">
        <v>2860</v>
      </c>
      <c r="AM225" s="334">
        <v>1146.309</v>
      </c>
      <c r="AN225" s="336">
        <v>2860</v>
      </c>
      <c r="AO225" s="334">
        <v>1146.75</v>
      </c>
      <c r="AP225" s="336">
        <v>2850</v>
      </c>
      <c r="AQ225" s="334">
        <v>1145.19</v>
      </c>
      <c r="AR225" s="336">
        <v>2860</v>
      </c>
      <c r="AS225" s="334">
        <v>1145.0640000000001</v>
      </c>
      <c r="AT225" s="336">
        <v>2860</v>
      </c>
      <c r="AU225" s="334">
        <v>1143.673</v>
      </c>
      <c r="AV225" s="336">
        <v>2860</v>
      </c>
      <c r="AW225" s="334">
        <v>1143.201</v>
      </c>
      <c r="AX225" s="336">
        <v>2850</v>
      </c>
      <c r="AY225" s="334">
        <v>1067.433</v>
      </c>
      <c r="AZ225" s="336">
        <v>2860</v>
      </c>
      <c r="BA225" s="337">
        <v>1068.5519999999999</v>
      </c>
      <c r="BB225" s="336">
        <v>2840</v>
      </c>
      <c r="BC225" s="334">
        <v>305.71300000000002</v>
      </c>
      <c r="BD225" s="336">
        <v>2840</v>
      </c>
      <c r="BE225" s="334">
        <v>319.14800000000002</v>
      </c>
    </row>
    <row r="226" spans="22:57">
      <c r="V226" s="346">
        <v>2870</v>
      </c>
      <c r="W226" s="333">
        <v>639.49</v>
      </c>
      <c r="X226" s="346">
        <v>2880</v>
      </c>
      <c r="Y226" s="334">
        <v>634.79899999999998</v>
      </c>
      <c r="Z226" s="335">
        <v>2870</v>
      </c>
      <c r="AA226" s="334">
        <v>1342.693</v>
      </c>
      <c r="AB226" s="336">
        <v>2870</v>
      </c>
      <c r="AC226" s="334">
        <v>1341.335</v>
      </c>
      <c r="AD226" s="336">
        <v>2870</v>
      </c>
      <c r="AE226" s="334">
        <v>1144.633</v>
      </c>
      <c r="AF226" s="336">
        <v>2870</v>
      </c>
      <c r="AG226" s="334">
        <v>1144.423</v>
      </c>
      <c r="AH226" s="336">
        <v>2870</v>
      </c>
      <c r="AI226" s="334">
        <v>1144.4169999999999</v>
      </c>
      <c r="AJ226" s="336">
        <v>2850</v>
      </c>
      <c r="AK226" s="334">
        <v>1145.539</v>
      </c>
      <c r="AL226" s="336">
        <v>2870</v>
      </c>
      <c r="AM226" s="334">
        <v>1145.126</v>
      </c>
      <c r="AN226" s="336">
        <v>2870</v>
      </c>
      <c r="AO226" s="334">
        <v>1145.568</v>
      </c>
      <c r="AP226" s="336">
        <v>2860</v>
      </c>
      <c r="AQ226" s="334">
        <v>1144.01</v>
      </c>
      <c r="AR226" s="336">
        <v>2870</v>
      </c>
      <c r="AS226" s="334">
        <v>1143.883</v>
      </c>
      <c r="AT226" s="336">
        <v>2870</v>
      </c>
      <c r="AU226" s="334">
        <v>1142.492</v>
      </c>
      <c r="AV226" s="336">
        <v>2870</v>
      </c>
      <c r="AW226" s="334">
        <v>1142.0219999999999</v>
      </c>
      <c r="AX226" s="336">
        <v>2860</v>
      </c>
      <c r="AY226" s="334">
        <v>1066.252</v>
      </c>
      <c r="AZ226" s="336">
        <v>2870</v>
      </c>
      <c r="BA226" s="337">
        <v>1067.3720000000001</v>
      </c>
      <c r="BB226" s="336">
        <v>2850</v>
      </c>
      <c r="BC226" s="334">
        <v>305.32799999999997</v>
      </c>
      <c r="BD226" s="336">
        <v>2850</v>
      </c>
      <c r="BE226" s="334">
        <v>318.74900000000002</v>
      </c>
    </row>
    <row r="227" spans="22:57">
      <c r="V227" s="346">
        <v>2880</v>
      </c>
      <c r="W227" s="333">
        <v>638.70899999999995</v>
      </c>
      <c r="X227" s="346">
        <v>2890</v>
      </c>
      <c r="Y227" s="334">
        <v>634.024</v>
      </c>
      <c r="Z227" s="335">
        <v>2880</v>
      </c>
      <c r="AA227" s="334">
        <v>1341.222</v>
      </c>
      <c r="AB227" s="336">
        <v>2880</v>
      </c>
      <c r="AC227" s="334">
        <v>1339.8679999999999</v>
      </c>
      <c r="AD227" s="336">
        <v>2880</v>
      </c>
      <c r="AE227" s="334">
        <v>1143.4490000000001</v>
      </c>
      <c r="AF227" s="336">
        <v>2880</v>
      </c>
      <c r="AG227" s="334">
        <v>1143.239</v>
      </c>
      <c r="AH227" s="336">
        <v>2880</v>
      </c>
      <c r="AI227" s="334">
        <v>1143.2339999999999</v>
      </c>
      <c r="AJ227" s="336">
        <v>2860</v>
      </c>
      <c r="AK227" s="334">
        <v>1144.356</v>
      </c>
      <c r="AL227" s="336">
        <v>2880</v>
      </c>
      <c r="AM227" s="334">
        <v>1143.943</v>
      </c>
      <c r="AN227" s="336">
        <v>2880</v>
      </c>
      <c r="AO227" s="334">
        <v>1144.385</v>
      </c>
      <c r="AP227" s="336">
        <v>2870</v>
      </c>
      <c r="AQ227" s="334">
        <v>1142.829</v>
      </c>
      <c r="AR227" s="336">
        <v>2880</v>
      </c>
      <c r="AS227" s="334">
        <v>1142.702</v>
      </c>
      <c r="AT227" s="336">
        <v>2880</v>
      </c>
      <c r="AU227" s="334">
        <v>1141.31</v>
      </c>
      <c r="AV227" s="336">
        <v>2880</v>
      </c>
      <c r="AW227" s="334">
        <v>1140.8430000000001</v>
      </c>
      <c r="AX227" s="336">
        <v>2870</v>
      </c>
      <c r="AY227" s="334">
        <v>1065.0709999999999</v>
      </c>
      <c r="AZ227" s="336">
        <v>2880</v>
      </c>
      <c r="BA227" s="337">
        <v>1066.193</v>
      </c>
      <c r="BB227" s="336">
        <v>2860</v>
      </c>
      <c r="BC227" s="334">
        <v>304.94299999999998</v>
      </c>
      <c r="BD227" s="336">
        <v>2860</v>
      </c>
      <c r="BE227" s="334">
        <v>318.35000000000002</v>
      </c>
    </row>
    <row r="228" spans="22:57">
      <c r="V228" s="346">
        <v>2890</v>
      </c>
      <c r="W228" s="333">
        <v>637.928</v>
      </c>
      <c r="X228" s="346">
        <v>2900</v>
      </c>
      <c r="Y228" s="334">
        <v>633.25</v>
      </c>
      <c r="Z228" s="335">
        <v>2890</v>
      </c>
      <c r="AA228" s="334">
        <v>1339.75</v>
      </c>
      <c r="AB228" s="336">
        <v>2890</v>
      </c>
      <c r="AC228" s="334">
        <v>1338.4</v>
      </c>
      <c r="AD228" s="336">
        <v>2890</v>
      </c>
      <c r="AE228" s="334">
        <v>1142.2639999999999</v>
      </c>
      <c r="AF228" s="336">
        <v>2890</v>
      </c>
      <c r="AG228" s="334">
        <v>1142.0540000000001</v>
      </c>
      <c r="AH228" s="336">
        <v>2890</v>
      </c>
      <c r="AI228" s="334">
        <v>1142.049</v>
      </c>
      <c r="AJ228" s="336">
        <v>2870</v>
      </c>
      <c r="AK228" s="334">
        <v>1143.172</v>
      </c>
      <c r="AL228" s="336">
        <v>2890</v>
      </c>
      <c r="AM228" s="334">
        <v>1142.759</v>
      </c>
      <c r="AN228" s="336">
        <v>2890</v>
      </c>
      <c r="AO228" s="334">
        <v>1143.202</v>
      </c>
      <c r="AP228" s="336">
        <v>2880</v>
      </c>
      <c r="AQ228" s="334">
        <v>1141.6489999999999</v>
      </c>
      <c r="AR228" s="336">
        <v>2890</v>
      </c>
      <c r="AS228" s="334">
        <v>1141.521</v>
      </c>
      <c r="AT228" s="336">
        <v>2890</v>
      </c>
      <c r="AU228" s="334">
        <v>1140.1279999999999</v>
      </c>
      <c r="AV228" s="336">
        <v>2890</v>
      </c>
      <c r="AW228" s="334">
        <v>1139.663</v>
      </c>
      <c r="AX228" s="336">
        <v>2880</v>
      </c>
      <c r="AY228" s="334">
        <v>1063.8889999999999</v>
      </c>
      <c r="AZ228" s="336">
        <v>2890</v>
      </c>
      <c r="BA228" s="337">
        <v>1065.0129999999999</v>
      </c>
      <c r="BB228" s="336">
        <v>2870</v>
      </c>
      <c r="BC228" s="334">
        <v>304.55700000000002</v>
      </c>
      <c r="BD228" s="336">
        <v>2870</v>
      </c>
      <c r="BE228" s="334">
        <v>317.95</v>
      </c>
    </row>
    <row r="229" spans="22:57">
      <c r="V229" s="346">
        <v>2900</v>
      </c>
      <c r="W229" s="333">
        <v>637.14700000000005</v>
      </c>
      <c r="X229" s="346">
        <v>2910</v>
      </c>
      <c r="Y229" s="334">
        <v>632.47500000000002</v>
      </c>
      <c r="Z229" s="335">
        <v>2900</v>
      </c>
      <c r="AA229" s="334">
        <v>1338.278</v>
      </c>
      <c r="AB229" s="336">
        <v>2900</v>
      </c>
      <c r="AC229" s="334">
        <v>1336.932</v>
      </c>
      <c r="AD229" s="336">
        <v>2900</v>
      </c>
      <c r="AE229" s="334">
        <v>1141.08</v>
      </c>
      <c r="AF229" s="336">
        <v>2900</v>
      </c>
      <c r="AG229" s="334">
        <v>1140.8699999999999</v>
      </c>
      <c r="AH229" s="336">
        <v>2900</v>
      </c>
      <c r="AI229" s="334">
        <v>1140.865</v>
      </c>
      <c r="AJ229" s="336">
        <v>2880</v>
      </c>
      <c r="AK229" s="334">
        <v>1141.9880000000001</v>
      </c>
      <c r="AL229" s="336">
        <v>2900</v>
      </c>
      <c r="AM229" s="334">
        <v>1141.575</v>
      </c>
      <c r="AN229" s="336">
        <v>2900</v>
      </c>
      <c r="AO229" s="334">
        <v>1142.019</v>
      </c>
      <c r="AP229" s="336">
        <v>2890</v>
      </c>
      <c r="AQ229" s="334">
        <v>1140.4680000000001</v>
      </c>
      <c r="AR229" s="336">
        <v>2900</v>
      </c>
      <c r="AS229" s="334">
        <v>1140.3389999999999</v>
      </c>
      <c r="AT229" s="336">
        <v>2900</v>
      </c>
      <c r="AU229" s="334">
        <v>1138.9459999999999</v>
      </c>
      <c r="AV229" s="336">
        <v>2900</v>
      </c>
      <c r="AW229" s="334">
        <v>1138.4829999999999</v>
      </c>
      <c r="AX229" s="336">
        <v>2890</v>
      </c>
      <c r="AY229" s="334">
        <v>1062.7080000000001</v>
      </c>
      <c r="AZ229" s="336">
        <v>2900</v>
      </c>
      <c r="BA229" s="337">
        <v>1063.8320000000001</v>
      </c>
      <c r="BB229" s="336">
        <v>2880</v>
      </c>
      <c r="BC229" s="334">
        <v>304.17200000000003</v>
      </c>
      <c r="BD229" s="336">
        <v>2880</v>
      </c>
      <c r="BE229" s="334">
        <v>317.55099999999999</v>
      </c>
    </row>
    <row r="230" spans="22:57">
      <c r="V230" s="346">
        <v>2910</v>
      </c>
      <c r="W230" s="333">
        <v>636.36599999999999</v>
      </c>
      <c r="X230" s="346">
        <v>2920</v>
      </c>
      <c r="Y230" s="334">
        <v>631.70000000000005</v>
      </c>
      <c r="Z230" s="335">
        <v>2910</v>
      </c>
      <c r="AA230" s="334">
        <v>1336.806</v>
      </c>
      <c r="AB230" s="336">
        <v>2910</v>
      </c>
      <c r="AC230" s="334">
        <v>1335.463</v>
      </c>
      <c r="AD230" s="336">
        <v>2910</v>
      </c>
      <c r="AE230" s="334">
        <v>1139.895</v>
      </c>
      <c r="AF230" s="336">
        <v>2910</v>
      </c>
      <c r="AG230" s="334">
        <v>1139.6849999999999</v>
      </c>
      <c r="AH230" s="336">
        <v>2910</v>
      </c>
      <c r="AI230" s="334">
        <v>1139.68</v>
      </c>
      <c r="AJ230" s="336">
        <v>2890</v>
      </c>
      <c r="AK230" s="334">
        <v>1140.8040000000001</v>
      </c>
      <c r="AL230" s="336">
        <v>2910</v>
      </c>
      <c r="AM230" s="334">
        <v>1140.3910000000001</v>
      </c>
      <c r="AN230" s="336">
        <v>2910</v>
      </c>
      <c r="AO230" s="334">
        <v>1140.836</v>
      </c>
      <c r="AP230" s="336">
        <v>2900</v>
      </c>
      <c r="AQ230" s="334">
        <v>1139.2860000000001</v>
      </c>
      <c r="AR230" s="336">
        <v>2910</v>
      </c>
      <c r="AS230" s="334">
        <v>1139.1579999999999</v>
      </c>
      <c r="AT230" s="336">
        <v>2910</v>
      </c>
      <c r="AU230" s="334">
        <v>1137.7629999999999</v>
      </c>
      <c r="AV230" s="336">
        <v>2910</v>
      </c>
      <c r="AW230" s="334">
        <v>1137.3030000000001</v>
      </c>
      <c r="AX230" s="336">
        <v>2900</v>
      </c>
      <c r="AY230" s="334">
        <v>1061.5260000000001</v>
      </c>
      <c r="AZ230" s="336">
        <v>2910</v>
      </c>
      <c r="BA230" s="337">
        <v>1062.652</v>
      </c>
      <c r="BB230" s="336">
        <v>2890</v>
      </c>
      <c r="BC230" s="334">
        <v>303.78699999999998</v>
      </c>
      <c r="BD230" s="336">
        <v>2890</v>
      </c>
      <c r="BE230" s="334">
        <v>317.15100000000001</v>
      </c>
    </row>
    <row r="231" spans="22:57">
      <c r="V231" s="346">
        <v>2920</v>
      </c>
      <c r="W231" s="333">
        <v>635.58500000000004</v>
      </c>
      <c r="X231" s="346">
        <v>2930</v>
      </c>
      <c r="Y231" s="334">
        <v>630.92499999999995</v>
      </c>
      <c r="Z231" s="335">
        <v>2920</v>
      </c>
      <c r="AA231" s="334">
        <v>1335.3330000000001</v>
      </c>
      <c r="AB231" s="336">
        <v>2920</v>
      </c>
      <c r="AC231" s="334">
        <v>1333.9949999999999</v>
      </c>
      <c r="AD231" s="336">
        <v>2920</v>
      </c>
      <c r="AE231" s="334">
        <v>1138.71</v>
      </c>
      <c r="AF231" s="336">
        <v>2920</v>
      </c>
      <c r="AG231" s="334">
        <v>1138.5</v>
      </c>
      <c r="AH231" s="336">
        <v>2920</v>
      </c>
      <c r="AI231" s="334">
        <v>1138.4960000000001</v>
      </c>
      <c r="AJ231" s="336">
        <v>2900</v>
      </c>
      <c r="AK231" s="334">
        <v>1139.6199999999999</v>
      </c>
      <c r="AL231" s="336">
        <v>2920</v>
      </c>
      <c r="AM231" s="334">
        <v>1139.2070000000001</v>
      </c>
      <c r="AN231" s="336">
        <v>2920</v>
      </c>
      <c r="AO231" s="334">
        <v>1139.652</v>
      </c>
      <c r="AP231" s="336">
        <v>2910</v>
      </c>
      <c r="AQ231" s="334">
        <v>1138.105</v>
      </c>
      <c r="AR231" s="336">
        <v>2920</v>
      </c>
      <c r="AS231" s="334">
        <v>1137.9760000000001</v>
      </c>
      <c r="AT231" s="336">
        <v>2920</v>
      </c>
      <c r="AU231" s="334">
        <v>1136.58</v>
      </c>
      <c r="AV231" s="336">
        <v>2920</v>
      </c>
      <c r="AW231" s="334">
        <v>1136.1220000000001</v>
      </c>
      <c r="AX231" s="336">
        <v>2910</v>
      </c>
      <c r="AY231" s="334">
        <v>1060.3430000000001</v>
      </c>
      <c r="AZ231" s="336">
        <v>2920</v>
      </c>
      <c r="BA231" s="337">
        <v>1061.471</v>
      </c>
      <c r="BB231" s="336">
        <v>2900</v>
      </c>
      <c r="BC231" s="334">
        <v>303.40100000000001</v>
      </c>
      <c r="BD231" s="336">
        <v>2900</v>
      </c>
      <c r="BE231" s="334">
        <v>316.75200000000001</v>
      </c>
    </row>
    <row r="232" spans="22:57">
      <c r="V232" s="346">
        <v>2930</v>
      </c>
      <c r="W232" s="333">
        <v>634.803</v>
      </c>
      <c r="X232" s="346">
        <v>2940</v>
      </c>
      <c r="Y232" s="334">
        <v>630.15</v>
      </c>
      <c r="Z232" s="335">
        <v>2930</v>
      </c>
      <c r="AA232" s="334">
        <v>1333.86</v>
      </c>
      <c r="AB232" s="336">
        <v>2930</v>
      </c>
      <c r="AC232" s="334">
        <v>1332.5260000000001</v>
      </c>
      <c r="AD232" s="336">
        <v>2930</v>
      </c>
      <c r="AE232" s="334">
        <v>1137.5250000000001</v>
      </c>
      <c r="AF232" s="336">
        <v>2930</v>
      </c>
      <c r="AG232" s="334">
        <v>1137.3140000000001</v>
      </c>
      <c r="AH232" s="336">
        <v>2930</v>
      </c>
      <c r="AI232" s="334">
        <v>1137.31</v>
      </c>
      <c r="AJ232" s="336">
        <v>2910</v>
      </c>
      <c r="AK232" s="334">
        <v>1138.4349999999999</v>
      </c>
      <c r="AL232" s="336">
        <v>2930</v>
      </c>
      <c r="AM232" s="334">
        <v>1138.0219999999999</v>
      </c>
      <c r="AN232" s="336">
        <v>2930</v>
      </c>
      <c r="AO232" s="334">
        <v>1138.4680000000001</v>
      </c>
      <c r="AP232" s="336">
        <v>2920</v>
      </c>
      <c r="AQ232" s="334">
        <v>1136.923</v>
      </c>
      <c r="AR232" s="336">
        <v>2930</v>
      </c>
      <c r="AS232" s="334">
        <v>1136.7929999999999</v>
      </c>
      <c r="AT232" s="336">
        <v>2930</v>
      </c>
      <c r="AU232" s="334">
        <v>1135.3979999999999</v>
      </c>
      <c r="AV232" s="336">
        <v>2930</v>
      </c>
      <c r="AW232" s="334">
        <v>1134.941</v>
      </c>
      <c r="AX232" s="336">
        <v>2920</v>
      </c>
      <c r="AY232" s="334">
        <v>1059.1610000000001</v>
      </c>
      <c r="AZ232" s="336">
        <v>2930</v>
      </c>
      <c r="BA232" s="337">
        <v>1060.29</v>
      </c>
      <c r="BB232" s="336">
        <v>2910</v>
      </c>
      <c r="BC232" s="334">
        <v>303.01499999999999</v>
      </c>
      <c r="BD232" s="336">
        <v>2910</v>
      </c>
      <c r="BE232" s="334">
        <v>316.35199999999998</v>
      </c>
    </row>
    <row r="233" spans="22:57">
      <c r="V233" s="346">
        <v>2940</v>
      </c>
      <c r="W233" s="333">
        <v>634.02099999999996</v>
      </c>
      <c r="X233" s="346">
        <v>2950</v>
      </c>
      <c r="Y233" s="334">
        <v>629.37400000000002</v>
      </c>
      <c r="Z233" s="335">
        <v>2940</v>
      </c>
      <c r="AA233" s="334">
        <v>1332.3869999999999</v>
      </c>
      <c r="AB233" s="336">
        <v>2940</v>
      </c>
      <c r="AC233" s="334">
        <v>1331.056</v>
      </c>
      <c r="AD233" s="336">
        <v>2940</v>
      </c>
      <c r="AE233" s="334">
        <v>1136.3389999999999</v>
      </c>
      <c r="AF233" s="336">
        <v>2940</v>
      </c>
      <c r="AG233" s="334">
        <v>1136.1289999999999</v>
      </c>
      <c r="AH233" s="336">
        <v>2940</v>
      </c>
      <c r="AI233" s="334">
        <v>1136.125</v>
      </c>
      <c r="AJ233" s="336">
        <v>2920</v>
      </c>
      <c r="AK233" s="334">
        <v>1137.25</v>
      </c>
      <c r="AL233" s="336">
        <v>2940</v>
      </c>
      <c r="AM233" s="334">
        <v>1136.837</v>
      </c>
      <c r="AN233" s="336">
        <v>2940</v>
      </c>
      <c r="AO233" s="334">
        <v>1137.2840000000001</v>
      </c>
      <c r="AP233" s="336">
        <v>2930</v>
      </c>
      <c r="AQ233" s="334">
        <v>1135.741</v>
      </c>
      <c r="AR233" s="336">
        <v>2940</v>
      </c>
      <c r="AS233" s="334">
        <v>1135.6110000000001</v>
      </c>
      <c r="AT233" s="336">
        <v>2940</v>
      </c>
      <c r="AU233" s="334">
        <v>1134.2139999999999</v>
      </c>
      <c r="AV233" s="336">
        <v>2940</v>
      </c>
      <c r="AW233" s="334">
        <v>1133.76</v>
      </c>
      <c r="AX233" s="336">
        <v>2930</v>
      </c>
      <c r="AY233" s="334">
        <v>1057.9780000000001</v>
      </c>
      <c r="AZ233" s="336">
        <v>2940</v>
      </c>
      <c r="BA233" s="337">
        <v>1059.1089999999999</v>
      </c>
      <c r="BB233" s="336">
        <v>2920</v>
      </c>
      <c r="BC233" s="334">
        <v>302.63</v>
      </c>
      <c r="BD233" s="336">
        <v>2920</v>
      </c>
      <c r="BE233" s="334">
        <v>315.95299999999997</v>
      </c>
    </row>
    <row r="234" spans="22:57">
      <c r="V234" s="346">
        <v>2950</v>
      </c>
      <c r="W234" s="333">
        <v>633.23900000000003</v>
      </c>
      <c r="X234" s="346">
        <v>2960</v>
      </c>
      <c r="Y234" s="334">
        <v>628.59799999999996</v>
      </c>
      <c r="Z234" s="335">
        <v>2950</v>
      </c>
      <c r="AA234" s="334">
        <v>1330.914</v>
      </c>
      <c r="AB234" s="336">
        <v>2950</v>
      </c>
      <c r="AC234" s="334">
        <v>1329.587</v>
      </c>
      <c r="AD234" s="336">
        <v>2950</v>
      </c>
      <c r="AE234" s="334">
        <v>1135.153</v>
      </c>
      <c r="AF234" s="336">
        <v>2950</v>
      </c>
      <c r="AG234" s="334">
        <v>1134.943</v>
      </c>
      <c r="AH234" s="336">
        <v>2950</v>
      </c>
      <c r="AI234" s="334">
        <v>1134.94</v>
      </c>
      <c r="AJ234" s="336">
        <v>2930</v>
      </c>
      <c r="AK234" s="334">
        <v>1136.0650000000001</v>
      </c>
      <c r="AL234" s="336">
        <v>2950</v>
      </c>
      <c r="AM234" s="334">
        <v>1135.652</v>
      </c>
      <c r="AN234" s="336">
        <v>2950</v>
      </c>
      <c r="AO234" s="334">
        <v>1136.0989999999999</v>
      </c>
      <c r="AP234" s="336">
        <v>2940</v>
      </c>
      <c r="AQ234" s="334">
        <v>1134.559</v>
      </c>
      <c r="AR234" s="336">
        <v>2950</v>
      </c>
      <c r="AS234" s="334">
        <v>1134.4280000000001</v>
      </c>
      <c r="AT234" s="336">
        <v>2950</v>
      </c>
      <c r="AU234" s="334">
        <v>1133.0309999999999</v>
      </c>
      <c r="AV234" s="336">
        <v>2950</v>
      </c>
      <c r="AW234" s="334">
        <v>1132.579</v>
      </c>
      <c r="AX234" s="336">
        <v>2940</v>
      </c>
      <c r="AY234" s="334">
        <v>1056.7950000000001</v>
      </c>
      <c r="AZ234" s="336">
        <v>2950</v>
      </c>
      <c r="BA234" s="337">
        <v>1057.9269999999999</v>
      </c>
      <c r="BB234" s="336">
        <v>2930</v>
      </c>
      <c r="BC234" s="334">
        <v>302.24400000000003</v>
      </c>
      <c r="BD234" s="336">
        <v>2930</v>
      </c>
      <c r="BE234" s="334">
        <v>315.553</v>
      </c>
    </row>
    <row r="235" spans="22:57">
      <c r="V235" s="346">
        <v>2960</v>
      </c>
      <c r="W235" s="333">
        <v>632.45699999999999</v>
      </c>
      <c r="X235" s="346">
        <v>2970</v>
      </c>
      <c r="Y235" s="334">
        <v>627.82299999999998</v>
      </c>
      <c r="Z235" s="335">
        <v>2960</v>
      </c>
      <c r="AA235" s="334">
        <v>1329.44</v>
      </c>
      <c r="AB235" s="336">
        <v>2960</v>
      </c>
      <c r="AC235" s="334">
        <v>1328.117</v>
      </c>
      <c r="AD235" s="336">
        <v>2960</v>
      </c>
      <c r="AE235" s="334">
        <v>1133.9670000000001</v>
      </c>
      <c r="AF235" s="336">
        <v>2960</v>
      </c>
      <c r="AG235" s="334">
        <v>1133.7560000000001</v>
      </c>
      <c r="AH235" s="336">
        <v>2960</v>
      </c>
      <c r="AI235" s="334">
        <v>1133.7539999999999</v>
      </c>
      <c r="AJ235" s="336">
        <v>2940</v>
      </c>
      <c r="AK235" s="334">
        <v>1134.8800000000001</v>
      </c>
      <c r="AL235" s="336">
        <v>2960</v>
      </c>
      <c r="AM235" s="334">
        <v>1134.4670000000001</v>
      </c>
      <c r="AN235" s="336">
        <v>2960</v>
      </c>
      <c r="AO235" s="334">
        <v>1134.915</v>
      </c>
      <c r="AP235" s="336">
        <v>2950</v>
      </c>
      <c r="AQ235" s="334">
        <v>1133.376</v>
      </c>
      <c r="AR235" s="336">
        <v>2960</v>
      </c>
      <c r="AS235" s="334">
        <v>1133.2449999999999</v>
      </c>
      <c r="AT235" s="336">
        <v>2960</v>
      </c>
      <c r="AU235" s="352">
        <v>1131.847</v>
      </c>
      <c r="AV235" s="336">
        <v>2960</v>
      </c>
      <c r="AW235" s="334">
        <v>1131.3979999999999</v>
      </c>
      <c r="AX235" s="336">
        <v>2950</v>
      </c>
      <c r="AY235" s="334">
        <v>1055.6120000000001</v>
      </c>
      <c r="AZ235" s="336">
        <v>2960</v>
      </c>
      <c r="BA235" s="337">
        <v>1056.7460000000001</v>
      </c>
      <c r="BB235" s="336">
        <v>2940</v>
      </c>
      <c r="BC235" s="334">
        <v>301.858</v>
      </c>
      <c r="BD235" s="336">
        <v>2940</v>
      </c>
      <c r="BE235" s="334">
        <v>315.15300000000002</v>
      </c>
    </row>
    <row r="236" spans="22:57">
      <c r="V236" s="346">
        <v>2970</v>
      </c>
      <c r="W236" s="333">
        <v>631.67499999999995</v>
      </c>
      <c r="X236" s="346">
        <v>2980</v>
      </c>
      <c r="Y236" s="334">
        <v>627.04700000000003</v>
      </c>
      <c r="Z236" s="335">
        <v>2970</v>
      </c>
      <c r="AA236" s="334">
        <v>1327.9659999999999</v>
      </c>
      <c r="AB236" s="336">
        <v>2970</v>
      </c>
      <c r="AC236" s="334">
        <v>1326.646</v>
      </c>
      <c r="AD236" s="336">
        <v>2970</v>
      </c>
      <c r="AE236" s="334">
        <v>1132.7809999999999</v>
      </c>
      <c r="AF236" s="336">
        <v>2970</v>
      </c>
      <c r="AG236" s="334">
        <v>1132.57</v>
      </c>
      <c r="AH236" s="336">
        <v>2970</v>
      </c>
      <c r="AI236" s="334">
        <v>1132.568</v>
      </c>
      <c r="AJ236" s="336">
        <v>2950</v>
      </c>
      <c r="AK236" s="334">
        <v>1133.694</v>
      </c>
      <c r="AL236" s="336">
        <v>2970</v>
      </c>
      <c r="AM236" s="334">
        <v>1133.2809999999999</v>
      </c>
      <c r="AN236" s="336">
        <v>2970</v>
      </c>
      <c r="AO236" s="334">
        <v>1133.73</v>
      </c>
      <c r="AP236" s="336">
        <v>2960</v>
      </c>
      <c r="AQ236" s="334">
        <v>1132.194</v>
      </c>
      <c r="AR236" s="336">
        <v>2970</v>
      </c>
      <c r="AS236" s="334">
        <v>1132.0619999999999</v>
      </c>
      <c r="AT236" s="336">
        <v>2970</v>
      </c>
      <c r="AU236" s="352">
        <v>1130.663</v>
      </c>
      <c r="AV236" s="336">
        <v>2970</v>
      </c>
      <c r="AW236" s="334">
        <v>1130.2159999999999</v>
      </c>
      <c r="AX236" s="336">
        <v>2960</v>
      </c>
      <c r="AY236" s="334">
        <v>1054.4290000000001</v>
      </c>
      <c r="AZ236" s="336">
        <v>2970</v>
      </c>
      <c r="BA236" s="337">
        <v>1055.5640000000001</v>
      </c>
      <c r="BB236" s="336">
        <v>2950</v>
      </c>
      <c r="BC236" s="334">
        <v>301.47199999999998</v>
      </c>
      <c r="BD236" s="336">
        <v>2950</v>
      </c>
      <c r="BE236" s="334">
        <v>314.75299999999999</v>
      </c>
    </row>
    <row r="237" spans="22:57">
      <c r="V237" s="346">
        <v>2980</v>
      </c>
      <c r="W237" s="333">
        <v>630.89200000000005</v>
      </c>
      <c r="X237" s="346">
        <v>2990</v>
      </c>
      <c r="Y237" s="334">
        <v>626.27</v>
      </c>
      <c r="Z237" s="335">
        <v>2980</v>
      </c>
      <c r="AA237" s="334">
        <v>1326.492</v>
      </c>
      <c r="AB237" s="336">
        <v>2980</v>
      </c>
      <c r="AC237" s="334">
        <v>1325.1759999999999</v>
      </c>
      <c r="AD237" s="336">
        <v>2980</v>
      </c>
      <c r="AE237" s="334">
        <v>1131.595</v>
      </c>
      <c r="AF237" s="336">
        <v>2980</v>
      </c>
      <c r="AG237" s="334">
        <v>1131.383</v>
      </c>
      <c r="AH237" s="336">
        <v>2980</v>
      </c>
      <c r="AI237" s="334">
        <v>1131.3810000000001</v>
      </c>
      <c r="AJ237" s="336">
        <v>2960</v>
      </c>
      <c r="AK237" s="334">
        <v>1132.509</v>
      </c>
      <c r="AL237" s="336">
        <v>2980</v>
      </c>
      <c r="AM237" s="334">
        <v>1132.095</v>
      </c>
      <c r="AN237" s="336">
        <v>2980</v>
      </c>
      <c r="AO237" s="334">
        <v>1132.5450000000001</v>
      </c>
      <c r="AP237" s="336">
        <v>2970</v>
      </c>
      <c r="AQ237" s="334">
        <v>1131.011</v>
      </c>
      <c r="AR237" s="336">
        <v>2980</v>
      </c>
      <c r="AS237" s="334">
        <v>1130.8779999999999</v>
      </c>
      <c r="AT237" s="336">
        <v>2980</v>
      </c>
      <c r="AU237" s="334">
        <v>1129.479</v>
      </c>
      <c r="AV237" s="336">
        <v>2980</v>
      </c>
      <c r="AW237" s="334">
        <v>1129.0340000000001</v>
      </c>
      <c r="AX237" s="336">
        <v>2970</v>
      </c>
      <c r="AY237" s="334">
        <v>1053.2449999999999</v>
      </c>
      <c r="AZ237" s="336">
        <v>2980</v>
      </c>
      <c r="BA237" s="337">
        <v>1054.3820000000001</v>
      </c>
      <c r="BB237" s="336">
        <v>2960</v>
      </c>
      <c r="BC237" s="334">
        <v>301.08600000000001</v>
      </c>
      <c r="BD237" s="336">
        <v>2960</v>
      </c>
      <c r="BE237" s="334">
        <v>314.35300000000001</v>
      </c>
    </row>
    <row r="238" spans="22:57">
      <c r="V238" s="346">
        <v>2990</v>
      </c>
      <c r="W238" s="333">
        <v>630.11</v>
      </c>
      <c r="X238" s="346">
        <v>3000</v>
      </c>
      <c r="Y238" s="334">
        <v>625.49400000000003</v>
      </c>
      <c r="Z238" s="335">
        <v>2990</v>
      </c>
      <c r="AA238" s="334">
        <v>1325.0170000000001</v>
      </c>
      <c r="AB238" s="336">
        <v>2990</v>
      </c>
      <c r="AC238" s="334">
        <v>1323.7049999999999</v>
      </c>
      <c r="AD238" s="336">
        <v>2990</v>
      </c>
      <c r="AE238" s="334">
        <v>1130.4079999999999</v>
      </c>
      <c r="AF238" s="336">
        <v>2990</v>
      </c>
      <c r="AG238" s="334">
        <v>1130.1969999999999</v>
      </c>
      <c r="AH238" s="336">
        <v>2990</v>
      </c>
      <c r="AI238" s="334">
        <v>1130.1949999999999</v>
      </c>
      <c r="AJ238" s="336">
        <v>2970</v>
      </c>
      <c r="AK238" s="334">
        <v>1131.3230000000001</v>
      </c>
      <c r="AL238" s="336">
        <v>2990</v>
      </c>
      <c r="AM238" s="334">
        <v>1130.9090000000001</v>
      </c>
      <c r="AN238" s="336">
        <v>2990</v>
      </c>
      <c r="AO238" s="334">
        <v>1131.3589999999999</v>
      </c>
      <c r="AP238" s="336">
        <v>2980</v>
      </c>
      <c r="AQ238" s="334">
        <v>1129.827</v>
      </c>
      <c r="AR238" s="336">
        <v>2990</v>
      </c>
      <c r="AS238" s="334">
        <v>1129.6949999999999</v>
      </c>
      <c r="AT238" s="336">
        <v>2990</v>
      </c>
      <c r="AU238" s="334">
        <v>1128.2950000000001</v>
      </c>
      <c r="AV238" s="336">
        <v>2990</v>
      </c>
      <c r="AW238" s="334">
        <v>1127.8520000000001</v>
      </c>
      <c r="AX238" s="336">
        <v>2980</v>
      </c>
      <c r="AY238" s="334">
        <v>1052.0609999999999</v>
      </c>
      <c r="AZ238" s="336">
        <v>2990</v>
      </c>
      <c r="BA238" s="337">
        <v>1053.1990000000001</v>
      </c>
      <c r="BB238" s="336">
        <v>2970</v>
      </c>
      <c r="BC238" s="334">
        <v>300.69900000000001</v>
      </c>
      <c r="BD238" s="336">
        <v>2970</v>
      </c>
      <c r="BE238" s="334">
        <v>313.95299999999997</v>
      </c>
    </row>
    <row r="239" spans="22:57">
      <c r="V239" s="346">
        <v>3000</v>
      </c>
      <c r="W239" s="333">
        <v>629.327</v>
      </c>
      <c r="X239" s="346">
        <v>3010</v>
      </c>
      <c r="Y239" s="334">
        <v>624.71699999999998</v>
      </c>
      <c r="Z239" s="335">
        <v>3000</v>
      </c>
      <c r="AA239" s="334">
        <v>1323.5419999999999</v>
      </c>
      <c r="AB239" s="336">
        <v>3000</v>
      </c>
      <c r="AC239" s="334">
        <v>1322.2339999999999</v>
      </c>
      <c r="AD239" s="336">
        <v>3000</v>
      </c>
      <c r="AE239" s="334">
        <v>1129.221</v>
      </c>
      <c r="AF239" s="336">
        <v>3000</v>
      </c>
      <c r="AG239" s="334">
        <v>1129.009</v>
      </c>
      <c r="AH239" s="336">
        <v>3000</v>
      </c>
      <c r="AI239" s="334">
        <v>1129.008</v>
      </c>
      <c r="AJ239" s="336">
        <v>2980</v>
      </c>
      <c r="AK239" s="334">
        <v>1130.136</v>
      </c>
      <c r="AL239" s="336">
        <v>3000</v>
      </c>
      <c r="AM239" s="334">
        <v>1129.723</v>
      </c>
      <c r="AN239" s="336">
        <v>3000</v>
      </c>
      <c r="AO239" s="334">
        <v>1130.174</v>
      </c>
      <c r="AP239" s="336">
        <v>2990</v>
      </c>
      <c r="AQ239" s="334">
        <v>1128.644</v>
      </c>
      <c r="AR239" s="336">
        <v>3000</v>
      </c>
      <c r="AS239" s="334">
        <v>1128.511</v>
      </c>
      <c r="AT239" s="336">
        <v>3000</v>
      </c>
      <c r="AU239" s="334">
        <v>1127.1099999999999</v>
      </c>
      <c r="AV239" s="336">
        <v>3000</v>
      </c>
      <c r="AW239" s="334">
        <v>1126.67</v>
      </c>
      <c r="AX239" s="336">
        <v>2990</v>
      </c>
      <c r="AY239" s="334">
        <v>1050.877</v>
      </c>
      <c r="AZ239" s="336">
        <v>3000</v>
      </c>
      <c r="BA239" s="337">
        <v>1052.0160000000001</v>
      </c>
      <c r="BB239" s="336">
        <v>2980</v>
      </c>
      <c r="BC239" s="334">
        <v>300.31299999999999</v>
      </c>
      <c r="BD239" s="336">
        <v>2980</v>
      </c>
      <c r="BE239" s="334">
        <v>313.55200000000002</v>
      </c>
    </row>
    <row r="240" spans="22:57">
      <c r="V240" s="346">
        <v>3010</v>
      </c>
      <c r="W240" s="333">
        <v>628.54399999999998</v>
      </c>
      <c r="X240" s="346">
        <v>3020</v>
      </c>
      <c r="Y240" s="334">
        <v>623.94000000000005</v>
      </c>
      <c r="Z240" s="335">
        <v>3010</v>
      </c>
      <c r="AA240" s="334">
        <v>1322.067</v>
      </c>
      <c r="AB240" s="336">
        <v>3010</v>
      </c>
      <c r="AC240" s="334">
        <v>1320.7619999999999</v>
      </c>
      <c r="AD240" s="336">
        <v>3010</v>
      </c>
      <c r="AE240" s="334">
        <v>1128.0340000000001</v>
      </c>
      <c r="AF240" s="336">
        <v>3010</v>
      </c>
      <c r="AG240" s="334">
        <v>1127.8219999999999</v>
      </c>
      <c r="AH240" s="336">
        <v>3010</v>
      </c>
      <c r="AI240" s="334">
        <v>1127.8209999999999</v>
      </c>
      <c r="AJ240" s="336">
        <v>2990</v>
      </c>
      <c r="AK240" s="334">
        <v>1128.95</v>
      </c>
      <c r="AL240" s="336">
        <v>3010</v>
      </c>
      <c r="AM240" s="334">
        <v>1128.5360000000001</v>
      </c>
      <c r="AN240" s="336">
        <v>3010</v>
      </c>
      <c r="AO240" s="334">
        <v>1128.9880000000001</v>
      </c>
      <c r="AP240" s="336">
        <v>3000</v>
      </c>
      <c r="AQ240" s="334">
        <v>1127.46</v>
      </c>
      <c r="AR240" s="336">
        <v>3010</v>
      </c>
      <c r="AS240" s="334">
        <v>1127.327</v>
      </c>
      <c r="AT240" s="336">
        <v>3010</v>
      </c>
      <c r="AU240" s="334">
        <v>1125.925</v>
      </c>
      <c r="AV240" s="336">
        <v>3010</v>
      </c>
      <c r="AW240" s="334">
        <v>1125.4870000000001</v>
      </c>
      <c r="AX240" s="336">
        <v>3000</v>
      </c>
      <c r="AY240" s="334">
        <v>1049.692</v>
      </c>
      <c r="AZ240" s="336">
        <v>3010</v>
      </c>
      <c r="BA240" s="337">
        <v>1050.8340000000001</v>
      </c>
      <c r="BB240" s="336">
        <v>2990</v>
      </c>
      <c r="BC240" s="334">
        <v>299.92700000000002</v>
      </c>
      <c r="BD240" s="336">
        <v>2990</v>
      </c>
      <c r="BE240" s="334">
        <v>313.15199999999999</v>
      </c>
    </row>
    <row r="241" spans="22:57">
      <c r="V241" s="346">
        <v>3020</v>
      </c>
      <c r="W241" s="333">
        <v>627.76099999999997</v>
      </c>
      <c r="X241" s="346">
        <v>3030</v>
      </c>
      <c r="Y241" s="334">
        <v>623.16300000000001</v>
      </c>
      <c r="Z241" s="335">
        <v>3020</v>
      </c>
      <c r="AA241" s="334">
        <v>1320.5920000000001</v>
      </c>
      <c r="AB241" s="336">
        <v>3020</v>
      </c>
      <c r="AC241" s="334">
        <v>1319.29</v>
      </c>
      <c r="AD241" s="336">
        <v>3020</v>
      </c>
      <c r="AE241" s="334">
        <v>1126.847</v>
      </c>
      <c r="AF241" s="336">
        <v>3020</v>
      </c>
      <c r="AG241" s="334">
        <v>1126.634</v>
      </c>
      <c r="AH241" s="336">
        <v>3020</v>
      </c>
      <c r="AI241" s="334">
        <v>1126.634</v>
      </c>
      <c r="AJ241" s="336">
        <v>3000</v>
      </c>
      <c r="AK241" s="334">
        <v>1127.7629999999999</v>
      </c>
      <c r="AL241" s="336">
        <v>3020</v>
      </c>
      <c r="AM241" s="334">
        <v>1127.3489999999999</v>
      </c>
      <c r="AN241" s="336">
        <v>3020</v>
      </c>
      <c r="AO241" s="334">
        <v>1127.8019999999999</v>
      </c>
      <c r="AP241" s="336">
        <v>3010</v>
      </c>
      <c r="AQ241" s="334">
        <v>1126.2760000000001</v>
      </c>
      <c r="AR241" s="336">
        <v>3020</v>
      </c>
      <c r="AS241" s="334">
        <v>1126.1420000000001</v>
      </c>
      <c r="AT241" s="336">
        <v>3020</v>
      </c>
      <c r="AU241" s="334">
        <v>1124.74</v>
      </c>
      <c r="AV241" s="336">
        <v>3020</v>
      </c>
      <c r="AW241" s="334">
        <v>1124.3040000000001</v>
      </c>
      <c r="AX241" s="336">
        <v>3010</v>
      </c>
      <c r="AY241" s="334">
        <v>1048.508</v>
      </c>
      <c r="AZ241" s="336">
        <v>3020</v>
      </c>
      <c r="BA241" s="337">
        <v>1049.6500000000001</v>
      </c>
      <c r="BB241" s="336">
        <v>3000</v>
      </c>
      <c r="BC241" s="334">
        <v>299.54000000000002</v>
      </c>
      <c r="BD241" s="336">
        <v>3000</v>
      </c>
      <c r="BE241" s="334">
        <v>312.75200000000001</v>
      </c>
    </row>
    <row r="242" spans="22:57">
      <c r="V242" s="346">
        <v>3030</v>
      </c>
      <c r="W242" s="333">
        <v>626.97699999999998</v>
      </c>
      <c r="X242" s="346">
        <v>3040</v>
      </c>
      <c r="Y242" s="334">
        <v>622.38599999999997</v>
      </c>
      <c r="Z242" s="335">
        <v>3030</v>
      </c>
      <c r="AA242" s="334">
        <v>1319.116</v>
      </c>
      <c r="AB242" s="336">
        <v>3030</v>
      </c>
      <c r="AC242" s="334">
        <v>1317.818</v>
      </c>
      <c r="AD242" s="336">
        <v>3030</v>
      </c>
      <c r="AE242" s="334">
        <v>1125.6590000000001</v>
      </c>
      <c r="AF242" s="336">
        <v>3030</v>
      </c>
      <c r="AG242" s="334">
        <v>1125.4469999999999</v>
      </c>
      <c r="AH242" s="336">
        <v>3030</v>
      </c>
      <c r="AI242" s="334">
        <v>1125.4459999999999</v>
      </c>
      <c r="AJ242" s="336">
        <v>3010</v>
      </c>
      <c r="AK242" s="334">
        <v>1126.576</v>
      </c>
      <c r="AL242" s="336">
        <v>3030</v>
      </c>
      <c r="AM242" s="334">
        <v>1126.162</v>
      </c>
      <c r="AN242" s="336">
        <v>3030</v>
      </c>
      <c r="AO242" s="334">
        <v>1126.615</v>
      </c>
      <c r="AP242" s="336">
        <v>3020</v>
      </c>
      <c r="AQ242" s="334">
        <v>1125.0920000000001</v>
      </c>
      <c r="AR242" s="336">
        <v>3030</v>
      </c>
      <c r="AS242" s="334">
        <v>1124.9570000000001</v>
      </c>
      <c r="AT242" s="336">
        <v>3030</v>
      </c>
      <c r="AU242" s="334">
        <v>1123.5540000000001</v>
      </c>
      <c r="AV242" s="336">
        <v>3030</v>
      </c>
      <c r="AW242" s="334">
        <v>1123.1210000000001</v>
      </c>
      <c r="AX242" s="336">
        <v>3020</v>
      </c>
      <c r="AY242" s="334">
        <v>1047.3230000000001</v>
      </c>
      <c r="AZ242" s="336">
        <v>3030</v>
      </c>
      <c r="BA242" s="337">
        <v>1048.4670000000001</v>
      </c>
      <c r="BB242" s="336">
        <v>3010</v>
      </c>
      <c r="BC242" s="334">
        <v>299.154</v>
      </c>
      <c r="BD242" s="336">
        <v>3010</v>
      </c>
      <c r="BE242" s="334">
        <v>312.351</v>
      </c>
    </row>
    <row r="243" spans="22:57">
      <c r="V243" s="346">
        <v>3040</v>
      </c>
      <c r="W243" s="333">
        <v>626.19399999999996</v>
      </c>
      <c r="X243" s="346">
        <v>3050</v>
      </c>
      <c r="Y243" s="334">
        <v>621.60900000000004</v>
      </c>
      <c r="Z243" s="335">
        <v>3040</v>
      </c>
      <c r="AA243" s="334">
        <v>1317.64</v>
      </c>
      <c r="AB243" s="336">
        <v>3040</v>
      </c>
      <c r="AC243" s="334">
        <v>1316.346</v>
      </c>
      <c r="AD243" s="336">
        <v>3040</v>
      </c>
      <c r="AE243" s="334">
        <v>1124.471</v>
      </c>
      <c r="AF243" s="336">
        <v>3040</v>
      </c>
      <c r="AG243" s="334">
        <v>1124.258</v>
      </c>
      <c r="AH243" s="336">
        <v>3040</v>
      </c>
      <c r="AI243" s="334">
        <v>1124.259</v>
      </c>
      <c r="AJ243" s="336">
        <v>3020</v>
      </c>
      <c r="AK243" s="334">
        <v>1125.3889999999999</v>
      </c>
      <c r="AL243" s="336">
        <v>3040</v>
      </c>
      <c r="AM243" s="334">
        <v>1124.9749999999999</v>
      </c>
      <c r="AN243" s="336">
        <v>3040</v>
      </c>
      <c r="AO243" s="334">
        <v>1125.4290000000001</v>
      </c>
      <c r="AP243" s="336">
        <v>3030</v>
      </c>
      <c r="AQ243" s="334">
        <v>1123.9079999999999</v>
      </c>
      <c r="AR243" s="336">
        <v>3040</v>
      </c>
      <c r="AS243" s="334">
        <v>1123.7719999999999</v>
      </c>
      <c r="AT243" s="336">
        <v>3040</v>
      </c>
      <c r="AU243" s="334">
        <v>1122.3689999999999</v>
      </c>
      <c r="AV243" s="336">
        <v>3040</v>
      </c>
      <c r="AW243" s="334">
        <v>1121.9369999999999</v>
      </c>
      <c r="AX243" s="336">
        <v>3030</v>
      </c>
      <c r="AY243" s="334">
        <v>1046.1379999999999</v>
      </c>
      <c r="AZ243" s="336">
        <v>3040</v>
      </c>
      <c r="BA243" s="337">
        <v>1047.2829999999999</v>
      </c>
      <c r="BB243" s="336">
        <v>3020</v>
      </c>
      <c r="BC243" s="334">
        <v>298.767</v>
      </c>
      <c r="BD243" s="336">
        <v>3020</v>
      </c>
      <c r="BE243" s="334">
        <v>311.95</v>
      </c>
    </row>
    <row r="244" spans="22:57">
      <c r="V244" s="346">
        <v>3050</v>
      </c>
      <c r="W244" s="333">
        <v>625.41</v>
      </c>
      <c r="X244" s="346">
        <v>3060</v>
      </c>
      <c r="Y244" s="334">
        <v>620.83100000000002</v>
      </c>
      <c r="Z244" s="335">
        <v>3050</v>
      </c>
      <c r="AA244" s="334">
        <v>1316.163</v>
      </c>
      <c r="AB244" s="336">
        <v>3050</v>
      </c>
      <c r="AC244" s="334">
        <v>1314.873</v>
      </c>
      <c r="AD244" s="336">
        <v>3050</v>
      </c>
      <c r="AE244" s="334">
        <v>1123.2829999999999</v>
      </c>
      <c r="AF244" s="336">
        <v>3050</v>
      </c>
      <c r="AG244" s="334">
        <v>1123.07</v>
      </c>
      <c r="AH244" s="336">
        <v>3050</v>
      </c>
      <c r="AI244" s="334">
        <v>1123.0709999999999</v>
      </c>
      <c r="AJ244" s="336">
        <v>3030</v>
      </c>
      <c r="AK244" s="334">
        <v>1124.202</v>
      </c>
      <c r="AL244" s="336">
        <v>3050</v>
      </c>
      <c r="AM244" s="334">
        <v>1123.787</v>
      </c>
      <c r="AN244" s="336">
        <v>3050</v>
      </c>
      <c r="AO244" s="334">
        <v>1124.242</v>
      </c>
      <c r="AP244" s="336">
        <v>3040</v>
      </c>
      <c r="AQ244" s="334">
        <v>1122.723</v>
      </c>
      <c r="AR244" s="336">
        <v>3050</v>
      </c>
      <c r="AS244" s="334">
        <v>1122.587</v>
      </c>
      <c r="AT244" s="336">
        <v>3050</v>
      </c>
      <c r="AU244" s="334">
        <v>1121.183</v>
      </c>
      <c r="AV244" s="336">
        <v>3050</v>
      </c>
      <c r="AW244" s="334">
        <v>1120.7539999999999</v>
      </c>
      <c r="AX244" s="336">
        <v>3040</v>
      </c>
      <c r="AY244" s="334">
        <v>1044.953</v>
      </c>
      <c r="AZ244" s="336">
        <v>3050</v>
      </c>
      <c r="BA244" s="337">
        <v>1046.0989999999999</v>
      </c>
      <c r="BB244" s="336">
        <v>3030</v>
      </c>
      <c r="BC244" s="334">
        <v>298.38</v>
      </c>
      <c r="BD244" s="336">
        <v>3030</v>
      </c>
      <c r="BE244" s="334">
        <v>311.55</v>
      </c>
    </row>
    <row r="245" spans="22:57">
      <c r="V245" s="346">
        <v>3060</v>
      </c>
      <c r="W245" s="333">
        <v>624.62599999999998</v>
      </c>
      <c r="X245" s="346">
        <v>3070</v>
      </c>
      <c r="Y245" s="334">
        <v>620.05399999999997</v>
      </c>
      <c r="Z245" s="335">
        <v>3060</v>
      </c>
      <c r="AA245" s="334">
        <v>1314.6869999999999</v>
      </c>
      <c r="AB245" s="336">
        <v>3060</v>
      </c>
      <c r="AC245" s="334">
        <v>1313.4</v>
      </c>
      <c r="AD245" s="336">
        <v>3060</v>
      </c>
      <c r="AE245" s="334">
        <v>1122.095</v>
      </c>
      <c r="AF245" s="336">
        <v>3060</v>
      </c>
      <c r="AG245" s="334">
        <v>1121.8810000000001</v>
      </c>
      <c r="AH245" s="336">
        <v>3060</v>
      </c>
      <c r="AI245" s="334">
        <v>1121.8820000000001</v>
      </c>
      <c r="AJ245" s="336">
        <v>3040</v>
      </c>
      <c r="AK245" s="334">
        <v>1123.0139999999999</v>
      </c>
      <c r="AL245" s="336">
        <v>3060</v>
      </c>
      <c r="AM245" s="334">
        <v>1122.5999999999999</v>
      </c>
      <c r="AN245" s="336">
        <v>3060</v>
      </c>
      <c r="AO245" s="334">
        <v>1123.0550000000001</v>
      </c>
      <c r="AP245" s="336">
        <v>3050</v>
      </c>
      <c r="AQ245" s="334">
        <v>1121.538</v>
      </c>
      <c r="AR245" s="336">
        <v>3060</v>
      </c>
      <c r="AS245" s="334">
        <v>1121.402</v>
      </c>
      <c r="AT245" s="336">
        <v>3060</v>
      </c>
      <c r="AU245" s="334">
        <v>1119.9970000000001</v>
      </c>
      <c r="AV245" s="336">
        <v>3060</v>
      </c>
      <c r="AW245" s="334">
        <v>1119.57</v>
      </c>
      <c r="AX245" s="336">
        <v>3050</v>
      </c>
      <c r="AY245" s="334">
        <v>1043.7670000000001</v>
      </c>
      <c r="AZ245" s="336">
        <v>3060</v>
      </c>
      <c r="BA245" s="337">
        <v>1044.915</v>
      </c>
      <c r="BB245" s="336">
        <v>3040</v>
      </c>
      <c r="BC245" s="334">
        <v>297.99299999999999</v>
      </c>
      <c r="BD245" s="336">
        <v>3040</v>
      </c>
      <c r="BE245" s="334">
        <v>311.149</v>
      </c>
    </row>
    <row r="246" spans="22:57">
      <c r="V246" s="346">
        <v>3070</v>
      </c>
      <c r="W246" s="333">
        <v>623.84199999999998</v>
      </c>
      <c r="X246" s="346">
        <v>3080</v>
      </c>
      <c r="Y246" s="334">
        <v>619.27599999999995</v>
      </c>
      <c r="Z246" s="335">
        <v>3070</v>
      </c>
      <c r="AA246" s="334">
        <v>1313.21</v>
      </c>
      <c r="AB246" s="336">
        <v>3070</v>
      </c>
      <c r="AC246" s="334">
        <v>1311.9269999999999</v>
      </c>
      <c r="AD246" s="336">
        <v>3070</v>
      </c>
      <c r="AE246" s="334">
        <v>1120.9059999999999</v>
      </c>
      <c r="AF246" s="336">
        <v>3070</v>
      </c>
      <c r="AG246" s="334">
        <v>1120.693</v>
      </c>
      <c r="AH246" s="336">
        <v>3070</v>
      </c>
      <c r="AI246" s="334">
        <v>1120.694</v>
      </c>
      <c r="AJ246" s="336">
        <v>3050</v>
      </c>
      <c r="AK246" s="334">
        <v>1121.826</v>
      </c>
      <c r="AL246" s="336">
        <v>3070</v>
      </c>
      <c r="AM246" s="334">
        <v>1121.412</v>
      </c>
      <c r="AN246" s="336">
        <v>3070</v>
      </c>
      <c r="AO246" s="334">
        <v>1121.867</v>
      </c>
      <c r="AP246" s="336">
        <v>3060</v>
      </c>
      <c r="AQ246" s="334">
        <v>1120.3530000000001</v>
      </c>
      <c r="AR246" s="336">
        <v>3070</v>
      </c>
      <c r="AS246" s="334">
        <v>1120.2159999999999</v>
      </c>
      <c r="AT246" s="336">
        <v>3070</v>
      </c>
      <c r="AU246" s="334">
        <v>1118.81</v>
      </c>
      <c r="AV246" s="336">
        <v>3070</v>
      </c>
      <c r="AW246" s="334">
        <v>1118.386</v>
      </c>
      <c r="AX246" s="336">
        <v>3060</v>
      </c>
      <c r="AY246" s="334">
        <v>1042.5809999999999</v>
      </c>
      <c r="AZ246" s="336">
        <v>3070</v>
      </c>
      <c r="BA246" s="337">
        <v>1043.731</v>
      </c>
      <c r="BB246" s="336">
        <v>3050</v>
      </c>
      <c r="BC246" s="334">
        <v>297.60599999999999</v>
      </c>
      <c r="BD246" s="336">
        <v>3050</v>
      </c>
      <c r="BE246" s="334">
        <v>310.74799999999999</v>
      </c>
    </row>
    <row r="247" spans="22:57">
      <c r="V247" s="346">
        <v>3080</v>
      </c>
      <c r="W247" s="333">
        <v>623.05799999999999</v>
      </c>
      <c r="X247" s="346">
        <v>3090</v>
      </c>
      <c r="Y247" s="334">
        <v>618.49699999999996</v>
      </c>
      <c r="Z247" s="335">
        <v>3080</v>
      </c>
      <c r="AA247" s="334">
        <v>1311.7329999999999</v>
      </c>
      <c r="AB247" s="336">
        <v>3080</v>
      </c>
      <c r="AC247" s="334">
        <v>1310.453</v>
      </c>
      <c r="AD247" s="336">
        <v>3080</v>
      </c>
      <c r="AE247" s="334">
        <v>1119.7170000000001</v>
      </c>
      <c r="AF247" s="336">
        <v>3080</v>
      </c>
      <c r="AG247" s="334">
        <v>1119.5029999999999</v>
      </c>
      <c r="AH247" s="336">
        <v>3080</v>
      </c>
      <c r="AI247" s="334">
        <v>1119.5050000000001</v>
      </c>
      <c r="AJ247" s="336">
        <v>3060</v>
      </c>
      <c r="AK247" s="334">
        <v>1120.6379999999999</v>
      </c>
      <c r="AL247" s="336">
        <v>3080</v>
      </c>
      <c r="AM247" s="334">
        <v>1120.223</v>
      </c>
      <c r="AN247" s="336">
        <v>3080</v>
      </c>
      <c r="AO247" s="334">
        <v>1120.68</v>
      </c>
      <c r="AP247" s="336">
        <v>3070</v>
      </c>
      <c r="AQ247" s="334">
        <v>1119.1679999999999</v>
      </c>
      <c r="AR247" s="336">
        <v>3080</v>
      </c>
      <c r="AS247" s="334">
        <v>1119.03</v>
      </c>
      <c r="AT247" s="336">
        <v>3080</v>
      </c>
      <c r="AU247" s="334">
        <v>1117.624</v>
      </c>
      <c r="AV247" s="336">
        <v>3080</v>
      </c>
      <c r="AW247" s="334">
        <v>1117.201</v>
      </c>
      <c r="AX247" s="336">
        <v>3070</v>
      </c>
      <c r="AY247" s="334">
        <v>1041.395</v>
      </c>
      <c r="AZ247" s="336">
        <v>3080</v>
      </c>
      <c r="BA247" s="337">
        <v>1042.546</v>
      </c>
      <c r="BB247" s="336">
        <v>3060</v>
      </c>
      <c r="BC247" s="334">
        <v>297.21899999999999</v>
      </c>
      <c r="BD247" s="336">
        <v>3060</v>
      </c>
      <c r="BE247" s="334">
        <v>310.34699999999998</v>
      </c>
    </row>
    <row r="248" spans="22:57">
      <c r="V248" s="346">
        <v>3090</v>
      </c>
      <c r="W248" s="333">
        <v>622.27300000000002</v>
      </c>
      <c r="X248" s="346">
        <v>3100</v>
      </c>
      <c r="Y248" s="334">
        <v>617.71900000000005</v>
      </c>
      <c r="Z248" s="335">
        <v>3090</v>
      </c>
      <c r="AA248" s="334">
        <v>1310.2550000000001</v>
      </c>
      <c r="AB248" s="336">
        <v>3090</v>
      </c>
      <c r="AC248" s="334">
        <v>1308.979</v>
      </c>
      <c r="AD248" s="336">
        <v>3090</v>
      </c>
      <c r="AE248" s="334">
        <v>1118.528</v>
      </c>
      <c r="AF248" s="336">
        <v>3090</v>
      </c>
      <c r="AG248" s="334">
        <v>1118.3140000000001</v>
      </c>
      <c r="AH248" s="336">
        <v>3090</v>
      </c>
      <c r="AI248" s="334">
        <v>1118.317</v>
      </c>
      <c r="AJ248" s="336">
        <v>3070</v>
      </c>
      <c r="AK248" s="334">
        <v>1119.4490000000001</v>
      </c>
      <c r="AL248" s="336">
        <v>3090</v>
      </c>
      <c r="AM248" s="334">
        <v>1119.0350000000001</v>
      </c>
      <c r="AN248" s="336">
        <v>3090</v>
      </c>
      <c r="AO248" s="334">
        <v>1119.492</v>
      </c>
      <c r="AP248" s="336">
        <v>3080</v>
      </c>
      <c r="AQ248" s="334">
        <v>1117.982</v>
      </c>
      <c r="AR248" s="336">
        <v>3090</v>
      </c>
      <c r="AS248" s="334">
        <v>1117.8440000000001</v>
      </c>
      <c r="AT248" s="336">
        <v>3090</v>
      </c>
      <c r="AU248" s="334">
        <v>1116.4369999999999</v>
      </c>
      <c r="AV248" s="336">
        <v>3090</v>
      </c>
      <c r="AW248" s="334">
        <v>1116.0170000000001</v>
      </c>
      <c r="AX248" s="336">
        <v>3080</v>
      </c>
      <c r="AY248" s="334">
        <v>1040.2090000000001</v>
      </c>
      <c r="AZ248" s="336">
        <v>3090</v>
      </c>
      <c r="BA248" s="337">
        <v>1041.3610000000001</v>
      </c>
      <c r="BB248" s="336">
        <v>3070</v>
      </c>
      <c r="BC248" s="334">
        <v>296.83199999999999</v>
      </c>
      <c r="BD248" s="336">
        <v>3070</v>
      </c>
      <c r="BE248" s="334">
        <v>309.94600000000003</v>
      </c>
    </row>
    <row r="249" spans="22:57">
      <c r="V249" s="346">
        <v>3100</v>
      </c>
      <c r="W249" s="333">
        <v>621.48900000000003</v>
      </c>
      <c r="X249" s="346">
        <v>3110</v>
      </c>
      <c r="Y249" s="334">
        <v>616.94100000000003</v>
      </c>
      <c r="Z249" s="335">
        <v>3100</v>
      </c>
      <c r="AA249" s="334">
        <v>1308.777</v>
      </c>
      <c r="AB249" s="336">
        <v>3100</v>
      </c>
      <c r="AC249" s="334">
        <v>1307.5050000000001</v>
      </c>
      <c r="AD249" s="336">
        <v>3100</v>
      </c>
      <c r="AE249" s="334">
        <v>1117.3389999999999</v>
      </c>
      <c r="AF249" s="336">
        <v>3100</v>
      </c>
      <c r="AG249" s="334">
        <v>1117.125</v>
      </c>
      <c r="AH249" s="336">
        <v>3100</v>
      </c>
      <c r="AI249" s="334">
        <v>1117.127</v>
      </c>
      <c r="AJ249" s="336">
        <v>3080</v>
      </c>
      <c r="AK249" s="334">
        <v>1118.261</v>
      </c>
      <c r="AL249" s="336">
        <v>3100</v>
      </c>
      <c r="AM249" s="334">
        <v>1117.846</v>
      </c>
      <c r="AN249" s="336">
        <v>3100</v>
      </c>
      <c r="AO249" s="334">
        <v>1118.3040000000001</v>
      </c>
      <c r="AP249" s="336">
        <v>3090</v>
      </c>
      <c r="AQ249" s="334">
        <v>1116.796</v>
      </c>
      <c r="AR249" s="336">
        <v>3100</v>
      </c>
      <c r="AS249" s="334">
        <v>1116.6579999999999</v>
      </c>
      <c r="AT249" s="336">
        <v>3100</v>
      </c>
      <c r="AU249" s="334">
        <v>1115.25</v>
      </c>
      <c r="AV249" s="336">
        <v>3100</v>
      </c>
      <c r="AW249" s="334">
        <v>1114.8320000000001</v>
      </c>
      <c r="AX249" s="336">
        <v>3090</v>
      </c>
      <c r="AY249" s="334">
        <v>1039.0219999999999</v>
      </c>
      <c r="AZ249" s="336">
        <v>3100</v>
      </c>
      <c r="BA249" s="337">
        <v>1040.1759999999999</v>
      </c>
      <c r="BB249" s="336">
        <v>3080</v>
      </c>
      <c r="BC249" s="334">
        <v>296.44499999999999</v>
      </c>
      <c r="BD249" s="336">
        <v>3080</v>
      </c>
      <c r="BE249" s="334">
        <v>309.54500000000002</v>
      </c>
    </row>
    <row r="250" spans="22:57">
      <c r="V250" s="346">
        <v>3110</v>
      </c>
      <c r="W250" s="333">
        <v>620.70399999999995</v>
      </c>
      <c r="X250" s="346">
        <v>3120</v>
      </c>
      <c r="Y250" s="334">
        <v>616.16200000000003</v>
      </c>
      <c r="Z250" s="335">
        <v>3110</v>
      </c>
      <c r="AA250" s="334">
        <v>1307.299</v>
      </c>
      <c r="AB250" s="336">
        <v>3110</v>
      </c>
      <c r="AC250" s="334">
        <v>1306.0309999999999</v>
      </c>
      <c r="AD250" s="336">
        <v>3110</v>
      </c>
      <c r="AE250" s="334">
        <v>1116.1489999999999</v>
      </c>
      <c r="AF250" s="336">
        <v>3110</v>
      </c>
      <c r="AG250" s="334">
        <v>1115.9349999999999</v>
      </c>
      <c r="AH250" s="336">
        <v>3110</v>
      </c>
      <c r="AI250" s="334">
        <v>1115.9380000000001</v>
      </c>
      <c r="AJ250" s="336">
        <v>3090</v>
      </c>
      <c r="AK250" s="334">
        <v>1117.0719999999999</v>
      </c>
      <c r="AL250" s="336">
        <v>3110</v>
      </c>
      <c r="AM250" s="334">
        <v>1116.6569999999999</v>
      </c>
      <c r="AN250" s="336">
        <v>3110</v>
      </c>
      <c r="AO250" s="334">
        <v>1117.116</v>
      </c>
      <c r="AP250" s="336">
        <v>3100</v>
      </c>
      <c r="AQ250" s="334">
        <v>1115.6099999999999</v>
      </c>
      <c r="AR250" s="336">
        <v>3110</v>
      </c>
      <c r="AS250" s="334">
        <v>1115.471</v>
      </c>
      <c r="AT250" s="336">
        <v>3110</v>
      </c>
      <c r="AU250" s="334">
        <v>1114.0630000000001</v>
      </c>
      <c r="AV250" s="336">
        <v>3110</v>
      </c>
      <c r="AW250" s="334">
        <v>1113.6469999999999</v>
      </c>
      <c r="AX250" s="336">
        <v>3100</v>
      </c>
      <c r="AY250" s="334">
        <v>1037.835</v>
      </c>
      <c r="AZ250" s="336">
        <v>3110</v>
      </c>
      <c r="BA250" s="337">
        <v>1038.991</v>
      </c>
      <c r="BB250" s="336">
        <v>3090</v>
      </c>
      <c r="BC250" s="334">
        <v>296.05799999999999</v>
      </c>
      <c r="BD250" s="336">
        <v>3090</v>
      </c>
      <c r="BE250" s="334">
        <v>309.14299999999997</v>
      </c>
    </row>
    <row r="251" spans="22:57">
      <c r="V251" s="346">
        <v>3120</v>
      </c>
      <c r="W251" s="333">
        <v>619.91899999999998</v>
      </c>
      <c r="X251" s="346">
        <v>3130</v>
      </c>
      <c r="Y251" s="334">
        <v>615.38300000000004</v>
      </c>
      <c r="Z251" s="335">
        <v>3120</v>
      </c>
      <c r="AA251" s="334">
        <v>1305.82</v>
      </c>
      <c r="AB251" s="336">
        <v>3120</v>
      </c>
      <c r="AC251" s="334">
        <v>1304.556</v>
      </c>
      <c r="AD251" s="336">
        <v>3120</v>
      </c>
      <c r="AE251" s="334">
        <v>1114.96</v>
      </c>
      <c r="AF251" s="336">
        <v>3120</v>
      </c>
      <c r="AG251" s="334">
        <v>1114.7449999999999</v>
      </c>
      <c r="AH251" s="336">
        <v>3120</v>
      </c>
      <c r="AI251" s="334">
        <v>1114.748</v>
      </c>
      <c r="AJ251" s="336">
        <v>3100</v>
      </c>
      <c r="AK251" s="334">
        <v>1115.883</v>
      </c>
      <c r="AL251" s="336">
        <v>3120</v>
      </c>
      <c r="AM251" s="334">
        <v>1115.4680000000001</v>
      </c>
      <c r="AN251" s="336">
        <v>3120</v>
      </c>
      <c r="AO251" s="334">
        <v>1115.9269999999999</v>
      </c>
      <c r="AP251" s="336">
        <v>3110</v>
      </c>
      <c r="AQ251" s="334">
        <v>1114.423</v>
      </c>
      <c r="AR251" s="336">
        <v>3120</v>
      </c>
      <c r="AS251" s="334">
        <v>1114.2840000000001</v>
      </c>
      <c r="AT251" s="336">
        <v>3120</v>
      </c>
      <c r="AU251" s="334">
        <v>1112.875</v>
      </c>
      <c r="AV251" s="336">
        <v>3120</v>
      </c>
      <c r="AW251" s="334">
        <v>1112.461</v>
      </c>
      <c r="AX251" s="336">
        <v>3110</v>
      </c>
      <c r="AY251" s="334">
        <v>1036.6479999999999</v>
      </c>
      <c r="AZ251" s="336">
        <v>3120</v>
      </c>
      <c r="BA251" s="337">
        <v>1037.8050000000001</v>
      </c>
      <c r="BB251" s="336">
        <v>3100</v>
      </c>
      <c r="BC251" s="334">
        <v>295.67</v>
      </c>
      <c r="BD251" s="336">
        <v>3100</v>
      </c>
      <c r="BE251" s="334">
        <v>308.74200000000002</v>
      </c>
    </row>
    <row r="252" spans="22:57">
      <c r="V252" s="346">
        <v>3130</v>
      </c>
      <c r="W252" s="333">
        <v>619.13400000000001</v>
      </c>
      <c r="X252" s="346">
        <v>3140</v>
      </c>
      <c r="Y252" s="334">
        <v>614.60400000000004</v>
      </c>
      <c r="Z252" s="335">
        <v>3130</v>
      </c>
      <c r="AA252" s="334">
        <v>1304.3420000000001</v>
      </c>
      <c r="AB252" s="336">
        <v>3130</v>
      </c>
      <c r="AC252" s="334">
        <v>1303.0809999999999</v>
      </c>
      <c r="AD252" s="336">
        <v>3130</v>
      </c>
      <c r="AE252" s="334">
        <v>1113.77</v>
      </c>
      <c r="AF252" s="336">
        <v>3130</v>
      </c>
      <c r="AG252" s="334">
        <v>1113.5540000000001</v>
      </c>
      <c r="AH252" s="336">
        <v>3130</v>
      </c>
      <c r="AI252" s="334">
        <v>1113.558</v>
      </c>
      <c r="AJ252" s="336">
        <v>3110</v>
      </c>
      <c r="AK252" s="334">
        <v>1114.694</v>
      </c>
      <c r="AL252" s="336">
        <v>3130</v>
      </c>
      <c r="AM252" s="334">
        <v>1114.279</v>
      </c>
      <c r="AN252" s="336">
        <v>3130</v>
      </c>
      <c r="AO252" s="334">
        <v>1114.7380000000001</v>
      </c>
      <c r="AP252" s="336">
        <v>3120</v>
      </c>
      <c r="AQ252" s="334">
        <v>1113.2370000000001</v>
      </c>
      <c r="AR252" s="336">
        <v>3130</v>
      </c>
      <c r="AS252" s="334">
        <v>1113.097</v>
      </c>
      <c r="AT252" s="336">
        <v>3130</v>
      </c>
      <c r="AU252" s="334">
        <v>1111.6869999999999</v>
      </c>
      <c r="AV252" s="336">
        <v>3130</v>
      </c>
      <c r="AW252" s="334">
        <v>1111.2760000000001</v>
      </c>
      <c r="AX252" s="336">
        <v>3120</v>
      </c>
      <c r="AY252" s="334">
        <v>1035.461</v>
      </c>
      <c r="AZ252" s="336">
        <v>3130</v>
      </c>
      <c r="BA252" s="337">
        <v>1036.6189999999999</v>
      </c>
      <c r="BB252" s="336">
        <v>3110</v>
      </c>
      <c r="BC252" s="334">
        <v>295.28300000000002</v>
      </c>
      <c r="BD252" s="336">
        <v>3110</v>
      </c>
      <c r="BE252" s="334">
        <v>308.33999999999997</v>
      </c>
    </row>
    <row r="253" spans="22:57">
      <c r="V253" s="346">
        <v>3140</v>
      </c>
      <c r="W253" s="333">
        <v>618.34799999999996</v>
      </c>
      <c r="X253" s="346">
        <v>3150</v>
      </c>
      <c r="Y253" s="334">
        <v>613.82500000000005</v>
      </c>
      <c r="Z253" s="335">
        <v>3140</v>
      </c>
      <c r="AA253" s="334">
        <v>1302.8630000000001</v>
      </c>
      <c r="AB253" s="336">
        <v>3140</v>
      </c>
      <c r="AC253" s="334">
        <v>1301.605</v>
      </c>
      <c r="AD253" s="336">
        <v>3140</v>
      </c>
      <c r="AE253" s="334">
        <v>1112.579</v>
      </c>
      <c r="AF253" s="336">
        <v>3140</v>
      </c>
      <c r="AG253" s="334">
        <v>1112.364</v>
      </c>
      <c r="AH253" s="336">
        <v>3140</v>
      </c>
      <c r="AI253" s="334">
        <v>1112.3679999999999</v>
      </c>
      <c r="AJ253" s="336">
        <v>3120</v>
      </c>
      <c r="AK253" s="334">
        <v>1113.5039999999999</v>
      </c>
      <c r="AL253" s="336">
        <v>3140</v>
      </c>
      <c r="AM253" s="334">
        <v>1113.0889999999999</v>
      </c>
      <c r="AN253" s="336">
        <v>3140</v>
      </c>
      <c r="AO253" s="334">
        <v>1113.549</v>
      </c>
      <c r="AP253" s="336">
        <v>3130</v>
      </c>
      <c r="AQ253" s="334">
        <v>1112.05</v>
      </c>
      <c r="AR253" s="336">
        <v>3140</v>
      </c>
      <c r="AS253" s="334">
        <v>1111.9100000000001</v>
      </c>
      <c r="AT253" s="336">
        <v>3140</v>
      </c>
      <c r="AU253" s="334">
        <v>1110.499</v>
      </c>
      <c r="AV253" s="336">
        <v>3140</v>
      </c>
      <c r="AW253" s="334">
        <v>1110.0899999999999</v>
      </c>
      <c r="AX253" s="336">
        <v>3130</v>
      </c>
      <c r="AY253" s="334">
        <v>1034.2739999999999</v>
      </c>
      <c r="AZ253" s="336">
        <v>3140</v>
      </c>
      <c r="BA253" s="337">
        <v>1035.433</v>
      </c>
      <c r="BB253" s="336">
        <v>3120</v>
      </c>
      <c r="BC253" s="334">
        <v>294.89499999999998</v>
      </c>
      <c r="BD253" s="336">
        <v>3120</v>
      </c>
      <c r="BE253" s="334">
        <v>307.93900000000002</v>
      </c>
    </row>
    <row r="254" spans="22:57">
      <c r="V254" s="346">
        <v>3150</v>
      </c>
      <c r="W254" s="333">
        <v>617.56299999999999</v>
      </c>
      <c r="X254" s="346">
        <v>3160</v>
      </c>
      <c r="Y254" s="334">
        <v>613.04499999999996</v>
      </c>
      <c r="Z254" s="335">
        <v>3150</v>
      </c>
      <c r="AA254" s="334">
        <v>1301.383</v>
      </c>
      <c r="AB254" s="336">
        <v>3150</v>
      </c>
      <c r="AC254" s="334">
        <v>1300.1300000000001</v>
      </c>
      <c r="AD254" s="336">
        <v>3150</v>
      </c>
      <c r="AE254" s="334">
        <v>1111.3889999999999</v>
      </c>
      <c r="AF254" s="336">
        <v>3150</v>
      </c>
      <c r="AG254" s="334">
        <v>1111.173</v>
      </c>
      <c r="AH254" s="336">
        <v>3150</v>
      </c>
      <c r="AI254" s="334">
        <v>1111.1780000000001</v>
      </c>
      <c r="AJ254" s="336">
        <v>3130</v>
      </c>
      <c r="AK254" s="334">
        <v>1112.3140000000001</v>
      </c>
      <c r="AL254" s="336">
        <v>3150</v>
      </c>
      <c r="AM254" s="334">
        <v>1111.8989999999999</v>
      </c>
      <c r="AN254" s="336">
        <v>3150</v>
      </c>
      <c r="AO254" s="334">
        <v>1112.3599999999999</v>
      </c>
      <c r="AP254" s="336">
        <v>3140</v>
      </c>
      <c r="AQ254" s="334">
        <v>1110.8630000000001</v>
      </c>
      <c r="AR254" s="336">
        <v>3150</v>
      </c>
      <c r="AS254" s="334">
        <v>1110.722</v>
      </c>
      <c r="AT254" s="336">
        <v>3150</v>
      </c>
      <c r="AU254" s="334">
        <v>1109.3109999999999</v>
      </c>
      <c r="AV254" s="336">
        <v>3150</v>
      </c>
      <c r="AW254" s="334">
        <v>1108.904</v>
      </c>
      <c r="AX254" s="336">
        <v>3140</v>
      </c>
      <c r="AY254" s="334">
        <v>1033.086</v>
      </c>
      <c r="AZ254" s="336">
        <v>3150</v>
      </c>
      <c r="BA254" s="337">
        <v>1034.2470000000001</v>
      </c>
      <c r="BB254" s="336">
        <v>3130</v>
      </c>
      <c r="BC254" s="334">
        <v>294.50700000000001</v>
      </c>
      <c r="BD254" s="336">
        <v>3130</v>
      </c>
      <c r="BE254" s="334">
        <v>307.53699999999998</v>
      </c>
    </row>
    <row r="255" spans="22:57">
      <c r="V255" s="346">
        <v>3160</v>
      </c>
      <c r="W255" s="333">
        <v>616.77700000000004</v>
      </c>
      <c r="X255" s="346">
        <v>3170</v>
      </c>
      <c r="Y255" s="334">
        <v>612.26599999999996</v>
      </c>
      <c r="Z255" s="335">
        <v>3160</v>
      </c>
      <c r="AA255" s="334">
        <v>1299.904</v>
      </c>
      <c r="AB255" s="336">
        <v>3160</v>
      </c>
      <c r="AC255" s="334">
        <v>1298.653</v>
      </c>
      <c r="AD255" s="336">
        <v>3160</v>
      </c>
      <c r="AE255" s="334">
        <v>1110.1980000000001</v>
      </c>
      <c r="AF255" s="336">
        <v>3160</v>
      </c>
      <c r="AG255" s="334">
        <v>1109.982</v>
      </c>
      <c r="AH255" s="336">
        <v>3160</v>
      </c>
      <c r="AI255" s="334">
        <v>1109.9870000000001</v>
      </c>
      <c r="AJ255" s="336">
        <v>3140</v>
      </c>
      <c r="AK255" s="334">
        <v>1111.124</v>
      </c>
      <c r="AL255" s="336">
        <v>3160</v>
      </c>
      <c r="AM255" s="334">
        <v>1110.7090000000001</v>
      </c>
      <c r="AN255" s="336">
        <v>3160</v>
      </c>
      <c r="AO255" s="334">
        <v>1111.171</v>
      </c>
      <c r="AP255" s="336">
        <v>3150</v>
      </c>
      <c r="AQ255" s="334">
        <v>1109.6759999999999</v>
      </c>
      <c r="AR255" s="336">
        <v>3160</v>
      </c>
      <c r="AS255" s="334">
        <v>1109.5340000000001</v>
      </c>
      <c r="AT255" s="336">
        <v>3160</v>
      </c>
      <c r="AU255" s="334">
        <v>1108.1220000000001</v>
      </c>
      <c r="AV255" s="336">
        <v>3160</v>
      </c>
      <c r="AW255" s="334">
        <v>1107.7180000000001</v>
      </c>
      <c r="AX255" s="336">
        <v>3150</v>
      </c>
      <c r="AY255" s="334">
        <v>1031.8979999999999</v>
      </c>
      <c r="AZ255" s="336">
        <v>3160</v>
      </c>
      <c r="BA255" s="337">
        <v>1033.06</v>
      </c>
      <c r="BB255" s="336">
        <v>3140</v>
      </c>
      <c r="BC255" s="334">
        <v>294.12</v>
      </c>
      <c r="BD255" s="336">
        <v>3140</v>
      </c>
      <c r="BE255" s="334">
        <v>307.13499999999999</v>
      </c>
    </row>
    <row r="256" spans="22:57">
      <c r="V256" s="346">
        <v>3170</v>
      </c>
      <c r="W256" s="333">
        <v>615.99099999999999</v>
      </c>
      <c r="X256" s="346">
        <v>3180</v>
      </c>
      <c r="Y256" s="334">
        <v>611.48599999999999</v>
      </c>
      <c r="Z256" s="335">
        <v>3170</v>
      </c>
      <c r="AA256" s="334">
        <v>1298.424</v>
      </c>
      <c r="AB256" s="336">
        <v>3170</v>
      </c>
      <c r="AC256" s="334">
        <v>1297.1769999999999</v>
      </c>
      <c r="AD256" s="336">
        <v>3170</v>
      </c>
      <c r="AE256" s="334">
        <v>1109.0070000000001</v>
      </c>
      <c r="AF256" s="336">
        <v>3170</v>
      </c>
      <c r="AG256" s="334">
        <v>1108.7909999999999</v>
      </c>
      <c r="AH256" s="336">
        <v>3170</v>
      </c>
      <c r="AI256" s="334">
        <v>1108.797</v>
      </c>
      <c r="AJ256" s="336">
        <v>3150</v>
      </c>
      <c r="AK256" s="334">
        <v>1109.934</v>
      </c>
      <c r="AL256" s="336">
        <v>3170</v>
      </c>
      <c r="AM256" s="334">
        <v>1109.518</v>
      </c>
      <c r="AN256" s="336">
        <v>3170</v>
      </c>
      <c r="AO256" s="334">
        <v>1109.981</v>
      </c>
      <c r="AP256" s="336">
        <v>3160</v>
      </c>
      <c r="AQ256" s="334">
        <v>1108.4880000000001</v>
      </c>
      <c r="AR256" s="336">
        <v>3170</v>
      </c>
      <c r="AS256" s="334">
        <v>1108.346</v>
      </c>
      <c r="AT256" s="336">
        <v>3170</v>
      </c>
      <c r="AU256" s="334">
        <v>1106.934</v>
      </c>
      <c r="AV256" s="336">
        <v>3170</v>
      </c>
      <c r="AW256" s="334">
        <v>1106.5309999999999</v>
      </c>
      <c r="AX256" s="336">
        <v>3160</v>
      </c>
      <c r="AY256" s="334">
        <v>1030.71</v>
      </c>
      <c r="AZ256" s="336">
        <v>3170</v>
      </c>
      <c r="BA256" s="337">
        <v>1031.874</v>
      </c>
      <c r="BB256" s="336">
        <v>3150</v>
      </c>
      <c r="BC256" s="334">
        <v>293.73200000000003</v>
      </c>
      <c r="BD256" s="336">
        <v>3150</v>
      </c>
      <c r="BE256" s="334">
        <v>306.73399999999998</v>
      </c>
    </row>
    <row r="257" spans="22:57">
      <c r="V257" s="346">
        <v>3180</v>
      </c>
      <c r="W257" s="333">
        <v>615.20500000000004</v>
      </c>
      <c r="X257" s="346">
        <v>3190</v>
      </c>
      <c r="Y257" s="334">
        <v>610.70600000000002</v>
      </c>
      <c r="Z257" s="335">
        <v>3180</v>
      </c>
      <c r="AA257" s="334">
        <v>1296.943</v>
      </c>
      <c r="AB257" s="336">
        <v>3180</v>
      </c>
      <c r="AC257" s="334">
        <v>1295.7</v>
      </c>
      <c r="AD257" s="336">
        <v>3180</v>
      </c>
      <c r="AE257" s="334">
        <v>1107.816</v>
      </c>
      <c r="AF257" s="336">
        <v>3180</v>
      </c>
      <c r="AG257" s="334">
        <v>1107.5989999999999</v>
      </c>
      <c r="AH257" s="336">
        <v>3180</v>
      </c>
      <c r="AI257" s="334">
        <v>1107.606</v>
      </c>
      <c r="AJ257" s="336">
        <v>3160</v>
      </c>
      <c r="AK257" s="334">
        <v>1108.7429999999999</v>
      </c>
      <c r="AL257" s="336">
        <v>3180</v>
      </c>
      <c r="AM257" s="334">
        <v>1108.328</v>
      </c>
      <c r="AN257" s="336">
        <v>3180</v>
      </c>
      <c r="AO257" s="334">
        <v>1108.7909999999999</v>
      </c>
      <c r="AP257" s="336">
        <v>3170</v>
      </c>
      <c r="AQ257" s="334">
        <v>1107.3</v>
      </c>
      <c r="AR257" s="336">
        <v>3180</v>
      </c>
      <c r="AS257" s="334">
        <v>1107.1579999999999</v>
      </c>
      <c r="AT257" s="336">
        <v>3180</v>
      </c>
      <c r="AU257" s="334">
        <v>1105.7449999999999</v>
      </c>
      <c r="AV257" s="336">
        <v>3180</v>
      </c>
      <c r="AW257" s="334">
        <v>1105.3440000000001</v>
      </c>
      <c r="AX257" s="336">
        <v>3170</v>
      </c>
      <c r="AY257" s="334">
        <v>1029.521</v>
      </c>
      <c r="AZ257" s="336">
        <v>3180</v>
      </c>
      <c r="BA257" s="337">
        <v>1030.6869999999999</v>
      </c>
      <c r="BB257" s="336">
        <v>3160</v>
      </c>
      <c r="BC257" s="334">
        <v>293.34399999999999</v>
      </c>
      <c r="BD257" s="336">
        <v>3160</v>
      </c>
      <c r="BE257" s="334">
        <v>306.33199999999999</v>
      </c>
    </row>
    <row r="258" spans="22:57">
      <c r="V258" s="346">
        <v>3190</v>
      </c>
      <c r="W258" s="333">
        <v>614.41899999999998</v>
      </c>
      <c r="X258" s="346">
        <v>3200</v>
      </c>
      <c r="Y258" s="334">
        <v>609.92600000000004</v>
      </c>
      <c r="Z258" s="335">
        <v>3190</v>
      </c>
      <c r="AA258" s="334">
        <v>1295.463</v>
      </c>
      <c r="AB258" s="336">
        <v>3190</v>
      </c>
      <c r="AC258" s="334">
        <v>1294.223</v>
      </c>
      <c r="AD258" s="336">
        <v>3190</v>
      </c>
      <c r="AE258" s="334">
        <v>1106.625</v>
      </c>
      <c r="AF258" s="336">
        <v>3190</v>
      </c>
      <c r="AG258" s="334">
        <v>1106.4069999999999</v>
      </c>
      <c r="AH258" s="336">
        <v>3190</v>
      </c>
      <c r="AI258" s="334">
        <v>1106.414</v>
      </c>
      <c r="AJ258" s="336">
        <v>3170</v>
      </c>
      <c r="AK258" s="334">
        <v>1107.5519999999999</v>
      </c>
      <c r="AL258" s="336">
        <v>3190</v>
      </c>
      <c r="AM258" s="334">
        <v>1107.1369999999999</v>
      </c>
      <c r="AN258" s="336">
        <v>3190</v>
      </c>
      <c r="AO258" s="334">
        <v>1107.6010000000001</v>
      </c>
      <c r="AP258" s="336">
        <v>3180</v>
      </c>
      <c r="AQ258" s="334">
        <v>1106.1120000000001</v>
      </c>
      <c r="AR258" s="336">
        <v>3190</v>
      </c>
      <c r="AS258" s="334">
        <v>1105.9690000000001</v>
      </c>
      <c r="AT258" s="336">
        <v>3190</v>
      </c>
      <c r="AU258" s="334">
        <v>1104.5550000000001</v>
      </c>
      <c r="AV258" s="336">
        <v>3190</v>
      </c>
      <c r="AW258" s="334">
        <v>1104.1569999999999</v>
      </c>
      <c r="AX258" s="336">
        <v>3180</v>
      </c>
      <c r="AY258" s="334">
        <v>1028.3330000000001</v>
      </c>
      <c r="AZ258" s="336">
        <v>3190</v>
      </c>
      <c r="BA258" s="337">
        <v>1029.499</v>
      </c>
      <c r="BB258" s="336">
        <v>3170</v>
      </c>
      <c r="BC258" s="334">
        <v>292.95600000000002</v>
      </c>
      <c r="BD258" s="336">
        <v>3170</v>
      </c>
      <c r="BE258" s="334">
        <v>305.93</v>
      </c>
    </row>
    <row r="259" spans="22:57">
      <c r="V259" s="346">
        <v>3200</v>
      </c>
      <c r="W259" s="333">
        <v>613.63199999999995</v>
      </c>
      <c r="X259" s="346">
        <v>3210</v>
      </c>
      <c r="Y259" s="334">
        <v>609.14599999999996</v>
      </c>
      <c r="Z259" s="335">
        <v>3200</v>
      </c>
      <c r="AA259" s="334">
        <v>1293.982</v>
      </c>
      <c r="AB259" s="336">
        <v>3200</v>
      </c>
      <c r="AC259" s="334">
        <v>1292.7460000000001</v>
      </c>
      <c r="AD259" s="336">
        <v>3200</v>
      </c>
      <c r="AE259" s="334">
        <v>1105.433</v>
      </c>
      <c r="AF259" s="336">
        <v>3200</v>
      </c>
      <c r="AG259" s="334">
        <v>1105.2149999999999</v>
      </c>
      <c r="AH259" s="336">
        <v>3200</v>
      </c>
      <c r="AI259" s="334">
        <v>1105.223</v>
      </c>
      <c r="AJ259" s="336">
        <v>3180</v>
      </c>
      <c r="AK259" s="334">
        <v>1106.3610000000001</v>
      </c>
      <c r="AL259" s="336">
        <v>3200</v>
      </c>
      <c r="AM259" s="334">
        <v>1105.9459999999999</v>
      </c>
      <c r="AN259" s="336">
        <v>3200</v>
      </c>
      <c r="AO259" s="334">
        <v>1106.4100000000001</v>
      </c>
      <c r="AP259" s="336">
        <v>3190</v>
      </c>
      <c r="AQ259" s="334">
        <v>1104.924</v>
      </c>
      <c r="AR259" s="336">
        <v>3200</v>
      </c>
      <c r="AS259" s="334">
        <v>1104.78</v>
      </c>
      <c r="AT259" s="336">
        <v>3200</v>
      </c>
      <c r="AU259" s="334">
        <v>1103.366</v>
      </c>
      <c r="AV259" s="336">
        <v>3200</v>
      </c>
      <c r="AW259" s="334">
        <v>1102.97</v>
      </c>
      <c r="AX259" s="336">
        <v>3190</v>
      </c>
      <c r="AY259" s="334">
        <v>1027.144</v>
      </c>
      <c r="AZ259" s="336">
        <v>3200</v>
      </c>
      <c r="BA259" s="337">
        <v>1028.3119999999999</v>
      </c>
      <c r="BB259" s="336">
        <v>3180</v>
      </c>
      <c r="BC259" s="334">
        <v>292.56799999999998</v>
      </c>
      <c r="BD259" s="336">
        <v>3180</v>
      </c>
      <c r="BE259" s="334">
        <v>305.52800000000002</v>
      </c>
    </row>
    <row r="260" spans="22:57">
      <c r="V260" s="346">
        <v>3210</v>
      </c>
      <c r="W260" s="333">
        <v>612.846</v>
      </c>
      <c r="X260" s="346">
        <v>3220</v>
      </c>
      <c r="Y260" s="334">
        <v>608.36500000000001</v>
      </c>
      <c r="Z260" s="335">
        <v>3210</v>
      </c>
      <c r="AA260" s="334">
        <v>1292.501</v>
      </c>
      <c r="AB260" s="336">
        <v>3210</v>
      </c>
      <c r="AC260" s="334">
        <v>1291.269</v>
      </c>
      <c r="AD260" s="336">
        <v>3210</v>
      </c>
      <c r="AE260" s="334">
        <v>1104.241</v>
      </c>
      <c r="AF260" s="336">
        <v>3210</v>
      </c>
      <c r="AG260" s="334">
        <v>1104.0229999999999</v>
      </c>
      <c r="AH260" s="336">
        <v>3210</v>
      </c>
      <c r="AI260" s="334">
        <v>1104.0309999999999</v>
      </c>
      <c r="AJ260" s="336">
        <v>3190</v>
      </c>
      <c r="AK260" s="334">
        <v>1105.17</v>
      </c>
      <c r="AL260" s="336">
        <v>3210</v>
      </c>
      <c r="AM260" s="334">
        <v>1104.7539999999999</v>
      </c>
      <c r="AN260" s="336">
        <v>3210</v>
      </c>
      <c r="AO260" s="334">
        <v>1105.2190000000001</v>
      </c>
      <c r="AP260" s="336">
        <v>3200</v>
      </c>
      <c r="AQ260" s="334">
        <v>1103.7349999999999</v>
      </c>
      <c r="AR260" s="336">
        <v>3210</v>
      </c>
      <c r="AS260" s="334">
        <v>1103.5909999999999</v>
      </c>
      <c r="AT260" s="336">
        <v>3210</v>
      </c>
      <c r="AU260" s="334">
        <v>1102.1759999999999</v>
      </c>
      <c r="AV260" s="336">
        <v>3210</v>
      </c>
      <c r="AW260" s="334">
        <v>1101.7819999999999</v>
      </c>
      <c r="AX260" s="336">
        <v>3200</v>
      </c>
      <c r="AY260" s="334">
        <v>1025.954</v>
      </c>
      <c r="AZ260" s="336">
        <v>3210</v>
      </c>
      <c r="BA260" s="337">
        <v>1027.124</v>
      </c>
      <c r="BB260" s="336">
        <v>3190</v>
      </c>
      <c r="BC260" s="334">
        <v>292.17899999999997</v>
      </c>
      <c r="BD260" s="336">
        <v>3190</v>
      </c>
      <c r="BE260" s="334">
        <v>305.125</v>
      </c>
    </row>
    <row r="261" spans="22:57">
      <c r="V261" s="346">
        <v>3220</v>
      </c>
      <c r="W261" s="333">
        <v>612.05899999999997</v>
      </c>
      <c r="X261" s="346">
        <v>3230</v>
      </c>
      <c r="Y261" s="334">
        <v>607.58399999999995</v>
      </c>
      <c r="Z261" s="335">
        <v>3220</v>
      </c>
      <c r="AA261" s="334">
        <v>1291.02</v>
      </c>
      <c r="AB261" s="336">
        <v>3220</v>
      </c>
      <c r="AC261" s="334">
        <v>1289.7909999999999</v>
      </c>
      <c r="AD261" s="336">
        <v>3220</v>
      </c>
      <c r="AE261" s="334">
        <v>1103.049</v>
      </c>
      <c r="AF261" s="336">
        <v>3220</v>
      </c>
      <c r="AG261" s="334">
        <v>1102.83</v>
      </c>
      <c r="AH261" s="336">
        <v>3220</v>
      </c>
      <c r="AI261" s="334">
        <v>1102.8389999999999</v>
      </c>
      <c r="AJ261" s="336">
        <v>3200</v>
      </c>
      <c r="AK261" s="334">
        <v>1103.979</v>
      </c>
      <c r="AL261" s="336">
        <v>3220</v>
      </c>
      <c r="AM261" s="334">
        <v>1103.5630000000001</v>
      </c>
      <c r="AN261" s="336">
        <v>3220</v>
      </c>
      <c r="AO261" s="334">
        <v>1104.028</v>
      </c>
      <c r="AP261" s="336">
        <v>3210</v>
      </c>
      <c r="AQ261" s="334">
        <v>1102.546</v>
      </c>
      <c r="AR261" s="336">
        <v>3220</v>
      </c>
      <c r="AS261" s="334">
        <v>1102.402</v>
      </c>
      <c r="AT261" s="336">
        <v>3220</v>
      </c>
      <c r="AU261" s="334">
        <v>1100.9860000000001</v>
      </c>
      <c r="AV261" s="336">
        <v>3220</v>
      </c>
      <c r="AW261" s="334">
        <v>1100.5940000000001</v>
      </c>
      <c r="AX261" s="336">
        <v>3210</v>
      </c>
      <c r="AY261" s="334">
        <v>1024.7650000000001</v>
      </c>
      <c r="AZ261" s="336">
        <v>3220</v>
      </c>
      <c r="BA261" s="337">
        <v>1025.9359999999999</v>
      </c>
      <c r="BB261" s="336">
        <v>3200</v>
      </c>
      <c r="BC261" s="334">
        <v>291.791</v>
      </c>
      <c r="BD261" s="336">
        <v>3200</v>
      </c>
      <c r="BE261" s="334">
        <v>304.72300000000001</v>
      </c>
    </row>
    <row r="262" spans="22:57">
      <c r="V262" s="346">
        <v>3230</v>
      </c>
      <c r="W262" s="333">
        <v>611.27200000000005</v>
      </c>
      <c r="X262" s="346">
        <v>3240</v>
      </c>
      <c r="Y262" s="334">
        <v>606.803</v>
      </c>
      <c r="Z262" s="335">
        <v>3230</v>
      </c>
      <c r="AA262" s="334">
        <v>1289.538</v>
      </c>
      <c r="AB262" s="336">
        <v>3230</v>
      </c>
      <c r="AC262" s="334">
        <v>1288.3130000000001</v>
      </c>
      <c r="AD262" s="336">
        <v>3230</v>
      </c>
      <c r="AE262" s="334">
        <v>1101.857</v>
      </c>
      <c r="AF262" s="336">
        <v>3230</v>
      </c>
      <c r="AG262" s="334">
        <v>1101.6379999999999</v>
      </c>
      <c r="AH262" s="336">
        <v>3230</v>
      </c>
      <c r="AI262" s="334">
        <v>1101.6469999999999</v>
      </c>
      <c r="AJ262" s="336">
        <v>3210</v>
      </c>
      <c r="AK262" s="334">
        <v>1102.787</v>
      </c>
      <c r="AL262" s="336">
        <v>3230</v>
      </c>
      <c r="AM262" s="334">
        <v>1102.3710000000001</v>
      </c>
      <c r="AN262" s="336">
        <v>3230</v>
      </c>
      <c r="AO262" s="334">
        <v>1102.837</v>
      </c>
      <c r="AP262" s="336">
        <v>3220</v>
      </c>
      <c r="AQ262" s="334">
        <v>1101.357</v>
      </c>
      <c r="AR262" s="336">
        <v>3230</v>
      </c>
      <c r="AS262" s="334">
        <v>1101.212</v>
      </c>
      <c r="AT262" s="336">
        <v>3230</v>
      </c>
      <c r="AU262" s="334">
        <v>1099.796</v>
      </c>
      <c r="AV262" s="336">
        <v>3230</v>
      </c>
      <c r="AW262" s="334">
        <v>1099.4059999999999</v>
      </c>
      <c r="AX262" s="336">
        <v>3220</v>
      </c>
      <c r="AY262" s="334">
        <v>1023.575</v>
      </c>
      <c r="AZ262" s="336">
        <v>3230</v>
      </c>
      <c r="BA262" s="337">
        <v>1024.748</v>
      </c>
      <c r="BB262" s="336">
        <v>3210</v>
      </c>
      <c r="BC262" s="334">
        <v>291.40300000000002</v>
      </c>
      <c r="BD262" s="336">
        <v>3210</v>
      </c>
      <c r="BE262" s="334">
        <v>304.32100000000003</v>
      </c>
    </row>
    <row r="263" spans="22:57">
      <c r="V263" s="346">
        <v>3240</v>
      </c>
      <c r="W263" s="333">
        <v>610.48500000000001</v>
      </c>
      <c r="X263" s="346">
        <v>3250</v>
      </c>
      <c r="Y263" s="334">
        <v>606.02200000000005</v>
      </c>
      <c r="Z263" s="335">
        <v>3240</v>
      </c>
      <c r="AA263" s="334">
        <v>1288.056</v>
      </c>
      <c r="AB263" s="336">
        <v>3240</v>
      </c>
      <c r="AC263" s="334">
        <v>1286.8340000000001</v>
      </c>
      <c r="AD263" s="336">
        <v>3240</v>
      </c>
      <c r="AE263" s="334">
        <v>1100.664</v>
      </c>
      <c r="AF263" s="336">
        <v>3240</v>
      </c>
      <c r="AG263" s="334">
        <v>1100.4449999999999</v>
      </c>
      <c r="AH263" s="336">
        <v>3240</v>
      </c>
      <c r="AI263" s="334">
        <v>1100.454</v>
      </c>
      <c r="AJ263" s="336">
        <v>3220</v>
      </c>
      <c r="AK263" s="334">
        <v>1101.595</v>
      </c>
      <c r="AL263" s="336">
        <v>3240</v>
      </c>
      <c r="AM263" s="334">
        <v>1101.1790000000001</v>
      </c>
      <c r="AN263" s="336">
        <v>3240</v>
      </c>
      <c r="AO263" s="334">
        <v>1101.646</v>
      </c>
      <c r="AP263" s="336">
        <v>3230</v>
      </c>
      <c r="AQ263" s="334">
        <v>1100.1679999999999</v>
      </c>
      <c r="AR263" s="336">
        <v>3240</v>
      </c>
      <c r="AS263" s="334">
        <v>1100.0219999999999</v>
      </c>
      <c r="AT263" s="336">
        <v>3240</v>
      </c>
      <c r="AU263" s="334">
        <v>1098.606</v>
      </c>
      <c r="AV263" s="336">
        <v>3240</v>
      </c>
      <c r="AW263" s="334">
        <v>1098.2180000000001</v>
      </c>
      <c r="AX263" s="336">
        <v>3230</v>
      </c>
      <c r="AY263" s="334">
        <v>1022.385</v>
      </c>
      <c r="AZ263" s="336">
        <v>3240</v>
      </c>
      <c r="BA263" s="337">
        <v>1023.559</v>
      </c>
      <c r="BB263" s="336">
        <v>3220</v>
      </c>
      <c r="BC263" s="334">
        <v>291.01400000000001</v>
      </c>
      <c r="BD263" s="336">
        <v>3220</v>
      </c>
      <c r="BE263" s="334">
        <v>303.91800000000001</v>
      </c>
    </row>
    <row r="264" spans="22:57">
      <c r="V264" s="346">
        <v>3250</v>
      </c>
      <c r="W264" s="333">
        <v>609.69799999999998</v>
      </c>
      <c r="X264" s="346">
        <v>3260</v>
      </c>
      <c r="Y264" s="334">
        <v>605.24099999999999</v>
      </c>
      <c r="Z264" s="335">
        <v>3250</v>
      </c>
      <c r="AA264" s="334">
        <v>1286.5730000000001</v>
      </c>
      <c r="AB264" s="336">
        <v>3250</v>
      </c>
      <c r="AC264" s="334">
        <v>1285.355</v>
      </c>
      <c r="AD264" s="336">
        <v>3250</v>
      </c>
      <c r="AE264" s="334">
        <v>1099.471</v>
      </c>
      <c r="AF264" s="336">
        <v>3250</v>
      </c>
      <c r="AG264" s="334">
        <v>1099.251</v>
      </c>
      <c r="AH264" s="336">
        <v>3250</v>
      </c>
      <c r="AI264" s="334">
        <v>1099.261</v>
      </c>
      <c r="AJ264" s="336">
        <v>3230</v>
      </c>
      <c r="AK264" s="334">
        <v>1100.402</v>
      </c>
      <c r="AL264" s="336">
        <v>3250</v>
      </c>
      <c r="AM264" s="334">
        <v>1099.9860000000001</v>
      </c>
      <c r="AN264" s="336">
        <v>3250</v>
      </c>
      <c r="AO264" s="334">
        <v>1100.454</v>
      </c>
      <c r="AP264" s="336">
        <v>3240</v>
      </c>
      <c r="AQ264" s="334">
        <v>1098.9780000000001</v>
      </c>
      <c r="AR264" s="336">
        <v>3250</v>
      </c>
      <c r="AS264" s="334">
        <v>1098.8320000000001</v>
      </c>
      <c r="AT264" s="336">
        <v>3250</v>
      </c>
      <c r="AU264" s="334">
        <v>1097.415</v>
      </c>
      <c r="AV264" s="336">
        <v>3250</v>
      </c>
      <c r="AW264" s="334">
        <v>1097.03</v>
      </c>
      <c r="AX264" s="336">
        <v>3240</v>
      </c>
      <c r="AY264" s="334">
        <v>1021.1950000000001</v>
      </c>
      <c r="AZ264" s="336">
        <v>3250</v>
      </c>
      <c r="BA264" s="337">
        <v>1022.37</v>
      </c>
      <c r="BB264" s="336">
        <v>3230</v>
      </c>
      <c r="BC264" s="334">
        <v>290.62599999999998</v>
      </c>
      <c r="BD264" s="336">
        <v>3230</v>
      </c>
      <c r="BE264" s="334">
        <v>303.51600000000002</v>
      </c>
    </row>
    <row r="265" spans="22:57">
      <c r="V265" s="346">
        <v>3260</v>
      </c>
      <c r="W265" s="333">
        <v>608.91</v>
      </c>
      <c r="X265" s="346">
        <v>3270</v>
      </c>
      <c r="Y265" s="334">
        <v>604.46</v>
      </c>
      <c r="Z265" s="335">
        <v>3260</v>
      </c>
      <c r="AA265" s="334">
        <v>1285.0909999999999</v>
      </c>
      <c r="AB265" s="336">
        <v>3260</v>
      </c>
      <c r="AC265" s="334">
        <v>1283.876</v>
      </c>
      <c r="AD265" s="336">
        <v>3260</v>
      </c>
      <c r="AE265" s="334">
        <v>1098.278</v>
      </c>
      <c r="AF265" s="336">
        <v>3260</v>
      </c>
      <c r="AG265" s="334">
        <v>1098.058</v>
      </c>
      <c r="AH265" s="336">
        <v>3260</v>
      </c>
      <c r="AI265" s="334">
        <v>1098.068</v>
      </c>
      <c r="AJ265" s="336">
        <v>3240</v>
      </c>
      <c r="AK265" s="334">
        <v>1099.21</v>
      </c>
      <c r="AL265" s="336">
        <v>3260</v>
      </c>
      <c r="AM265" s="334">
        <v>1098.7940000000001</v>
      </c>
      <c r="AN265" s="336">
        <v>3260</v>
      </c>
      <c r="AO265" s="334">
        <v>1099.2619999999999</v>
      </c>
      <c r="AP265" s="336">
        <v>3250</v>
      </c>
      <c r="AQ265" s="334">
        <v>1097.789</v>
      </c>
      <c r="AR265" s="336">
        <v>3260</v>
      </c>
      <c r="AS265" s="334">
        <v>1097.6420000000001</v>
      </c>
      <c r="AT265" s="336">
        <v>3260</v>
      </c>
      <c r="AU265" s="334">
        <v>1096.2239999999999</v>
      </c>
      <c r="AV265" s="336">
        <v>3260</v>
      </c>
      <c r="AW265" s="334">
        <v>1095.8409999999999</v>
      </c>
      <c r="AX265" s="336">
        <v>3250</v>
      </c>
      <c r="AY265" s="334">
        <v>1020.005</v>
      </c>
      <c r="AZ265" s="336">
        <v>3260</v>
      </c>
      <c r="BA265" s="337">
        <v>1021.181</v>
      </c>
      <c r="BB265" s="336">
        <v>3240</v>
      </c>
      <c r="BC265" s="334">
        <v>290.23700000000002</v>
      </c>
      <c r="BD265" s="336">
        <v>3240</v>
      </c>
      <c r="BE265" s="334">
        <v>303.113</v>
      </c>
    </row>
    <row r="266" spans="22:57">
      <c r="V266" s="346">
        <v>3270</v>
      </c>
      <c r="W266" s="333">
        <v>608.12300000000005</v>
      </c>
      <c r="X266" s="346">
        <v>3280</v>
      </c>
      <c r="Y266" s="334">
        <v>603.678</v>
      </c>
      <c r="Z266" s="335">
        <v>3270</v>
      </c>
      <c r="AA266" s="334">
        <v>1283.6079999999999</v>
      </c>
      <c r="AB266" s="336">
        <v>3270</v>
      </c>
      <c r="AC266" s="334">
        <v>1282.3969999999999</v>
      </c>
      <c r="AD266" s="336">
        <v>3270</v>
      </c>
      <c r="AE266" s="334">
        <v>1097.085</v>
      </c>
      <c r="AF266" s="336">
        <v>3270</v>
      </c>
      <c r="AG266" s="334">
        <v>1096.864</v>
      </c>
      <c r="AH266" s="336">
        <v>3270</v>
      </c>
      <c r="AI266" s="334">
        <v>1096.875</v>
      </c>
      <c r="AJ266" s="336">
        <v>3250</v>
      </c>
      <c r="AK266" s="334">
        <v>1098.0170000000001</v>
      </c>
      <c r="AL266" s="336">
        <v>3270</v>
      </c>
      <c r="AM266" s="334">
        <v>1097.6010000000001</v>
      </c>
      <c r="AN266" s="336">
        <v>3270</v>
      </c>
      <c r="AO266" s="334">
        <v>1098.07</v>
      </c>
      <c r="AP266" s="336">
        <v>3260</v>
      </c>
      <c r="AQ266" s="334">
        <v>1096.5989999999999</v>
      </c>
      <c r="AR266" s="336">
        <v>3270</v>
      </c>
      <c r="AS266" s="334">
        <v>1096.451</v>
      </c>
      <c r="AT266" s="336">
        <v>3270</v>
      </c>
      <c r="AU266" s="334">
        <v>1095.0329999999999</v>
      </c>
      <c r="AV266" s="336">
        <v>3270</v>
      </c>
      <c r="AW266" s="334">
        <v>1094.652</v>
      </c>
      <c r="AX266" s="336">
        <v>3260</v>
      </c>
      <c r="AY266" s="334">
        <v>1018.814</v>
      </c>
      <c r="AZ266" s="336">
        <v>3270</v>
      </c>
      <c r="BA266" s="337">
        <v>1019.992</v>
      </c>
      <c r="BB266" s="336">
        <v>3250</v>
      </c>
      <c r="BC266" s="334">
        <v>289.84800000000001</v>
      </c>
      <c r="BD266" s="336">
        <v>3250</v>
      </c>
      <c r="BE266" s="334">
        <v>302.70999999999998</v>
      </c>
    </row>
    <row r="267" spans="22:57">
      <c r="V267" s="346">
        <v>3280</v>
      </c>
      <c r="W267" s="333">
        <v>607.33500000000004</v>
      </c>
      <c r="X267" s="346">
        <v>3290</v>
      </c>
      <c r="Y267" s="334">
        <v>602.89599999999996</v>
      </c>
      <c r="Z267" s="335">
        <v>3280</v>
      </c>
      <c r="AA267" s="334">
        <v>1282.125</v>
      </c>
      <c r="AB267" s="336">
        <v>3280</v>
      </c>
      <c r="AC267" s="334">
        <v>1280.9169999999999</v>
      </c>
      <c r="AD267" s="336">
        <v>3280</v>
      </c>
      <c r="AE267" s="334">
        <v>1095.8910000000001</v>
      </c>
      <c r="AF267" s="336">
        <v>3280</v>
      </c>
      <c r="AG267" s="334">
        <v>1095.67</v>
      </c>
      <c r="AH267" s="336">
        <v>3280</v>
      </c>
      <c r="AI267" s="334">
        <v>1095.682</v>
      </c>
      <c r="AJ267" s="336">
        <v>3260</v>
      </c>
      <c r="AK267" s="334">
        <v>1096.8240000000001</v>
      </c>
      <c r="AL267" s="336">
        <v>3280</v>
      </c>
      <c r="AM267" s="334">
        <v>1096.4079999999999</v>
      </c>
      <c r="AN267" s="336">
        <v>3280</v>
      </c>
      <c r="AO267" s="334">
        <v>1096.8779999999999</v>
      </c>
      <c r="AP267" s="336">
        <v>3270</v>
      </c>
      <c r="AQ267" s="334">
        <v>1095.4079999999999</v>
      </c>
      <c r="AR267" s="336">
        <v>3280</v>
      </c>
      <c r="AS267" s="334">
        <v>1095.261</v>
      </c>
      <c r="AT267" s="336">
        <v>3280</v>
      </c>
      <c r="AU267" s="334">
        <v>1093.8409999999999</v>
      </c>
      <c r="AV267" s="336">
        <v>3280</v>
      </c>
      <c r="AW267" s="334">
        <v>1093.462</v>
      </c>
      <c r="AX267" s="336">
        <v>3270</v>
      </c>
      <c r="AY267" s="334">
        <v>1017.623</v>
      </c>
      <c r="AZ267" s="336">
        <v>3280</v>
      </c>
      <c r="BA267" s="337">
        <v>1018.803</v>
      </c>
      <c r="BB267" s="336">
        <v>3260</v>
      </c>
      <c r="BC267" s="334">
        <v>289.459</v>
      </c>
      <c r="BD267" s="336">
        <v>3260</v>
      </c>
      <c r="BE267" s="334">
        <v>302.30700000000002</v>
      </c>
    </row>
    <row r="268" spans="22:57">
      <c r="V268" s="346">
        <v>3290</v>
      </c>
      <c r="W268" s="333">
        <v>606.54700000000003</v>
      </c>
      <c r="X268" s="346">
        <v>3300</v>
      </c>
      <c r="Y268" s="334">
        <v>602.11400000000003</v>
      </c>
      <c r="Z268" s="335">
        <v>3290</v>
      </c>
      <c r="AA268" s="334">
        <v>1280.6410000000001</v>
      </c>
      <c r="AB268" s="336">
        <v>3290</v>
      </c>
      <c r="AC268" s="334">
        <v>1279.4369999999999</v>
      </c>
      <c r="AD268" s="336">
        <v>3290</v>
      </c>
      <c r="AE268" s="334">
        <v>1094.6969999999999</v>
      </c>
      <c r="AF268" s="336">
        <v>3290</v>
      </c>
      <c r="AG268" s="334">
        <v>1094.4760000000001</v>
      </c>
      <c r="AH268" s="336">
        <v>3290</v>
      </c>
      <c r="AI268" s="334">
        <v>1094.4880000000001</v>
      </c>
      <c r="AJ268" s="336">
        <v>3270</v>
      </c>
      <c r="AK268" s="334">
        <v>1095.6310000000001</v>
      </c>
      <c r="AL268" s="336">
        <v>3290</v>
      </c>
      <c r="AM268" s="334">
        <v>1095.2149999999999</v>
      </c>
      <c r="AN268" s="336">
        <v>3290</v>
      </c>
      <c r="AO268" s="334">
        <v>1095.6849999999999</v>
      </c>
      <c r="AP268" s="336">
        <v>3280</v>
      </c>
      <c r="AQ268" s="334">
        <v>1094.2180000000001</v>
      </c>
      <c r="AR268" s="336">
        <v>3290</v>
      </c>
      <c r="AS268" s="334">
        <v>1094.069</v>
      </c>
      <c r="AT268" s="336">
        <v>3290</v>
      </c>
      <c r="AU268" s="334">
        <v>1092.6500000000001</v>
      </c>
      <c r="AV268" s="336">
        <v>3290</v>
      </c>
      <c r="AW268" s="334">
        <v>1092.2729999999999</v>
      </c>
      <c r="AX268" s="336">
        <v>3280</v>
      </c>
      <c r="AY268" s="334">
        <v>1016.432</v>
      </c>
      <c r="AZ268" s="336">
        <v>3290</v>
      </c>
      <c r="BA268" s="337">
        <v>1017.6130000000001</v>
      </c>
      <c r="BB268" s="336">
        <v>3270</v>
      </c>
      <c r="BC268" s="334">
        <v>289.07</v>
      </c>
      <c r="BD268" s="336">
        <v>3270</v>
      </c>
      <c r="BE268" s="334">
        <v>301.90499999999997</v>
      </c>
    </row>
    <row r="269" spans="22:57">
      <c r="V269" s="346">
        <v>3300</v>
      </c>
      <c r="W269" s="333">
        <v>605.75900000000001</v>
      </c>
      <c r="X269" s="346">
        <v>3310</v>
      </c>
      <c r="Y269" s="334">
        <v>601.33199999999999</v>
      </c>
      <c r="Z269" s="335">
        <v>3300</v>
      </c>
      <c r="AA269" s="334">
        <v>1279.1569999999999</v>
      </c>
      <c r="AB269" s="336">
        <v>3300</v>
      </c>
      <c r="AC269" s="334">
        <v>1277.9570000000001</v>
      </c>
      <c r="AD269" s="336">
        <v>3300</v>
      </c>
      <c r="AE269" s="334">
        <v>1093.5029999999999</v>
      </c>
      <c r="AF269" s="336">
        <v>3300</v>
      </c>
      <c r="AG269" s="334">
        <v>1093.2809999999999</v>
      </c>
      <c r="AH269" s="336">
        <v>3300</v>
      </c>
      <c r="AI269" s="334">
        <v>1093.2940000000001</v>
      </c>
      <c r="AJ269" s="336">
        <v>3280</v>
      </c>
      <c r="AK269" s="334">
        <v>1094.4380000000001</v>
      </c>
      <c r="AL269" s="336">
        <v>3300</v>
      </c>
      <c r="AM269" s="334">
        <v>1094.021</v>
      </c>
      <c r="AN269" s="336">
        <v>3300</v>
      </c>
      <c r="AO269" s="334">
        <v>1094.492</v>
      </c>
      <c r="AP269" s="336">
        <v>3290</v>
      </c>
      <c r="AQ269" s="334">
        <v>1093.027</v>
      </c>
      <c r="AR269" s="336">
        <v>3300</v>
      </c>
      <c r="AS269" s="334">
        <v>1092.8779999999999</v>
      </c>
      <c r="AT269" s="336">
        <v>3300</v>
      </c>
      <c r="AU269" s="334">
        <v>1091.4580000000001</v>
      </c>
      <c r="AV269" s="336">
        <v>3300</v>
      </c>
      <c r="AW269" s="334">
        <v>1091.0830000000001</v>
      </c>
      <c r="AX269" s="336">
        <v>3290</v>
      </c>
      <c r="AY269" s="334">
        <v>1015.241</v>
      </c>
      <c r="AZ269" s="336">
        <v>3300</v>
      </c>
      <c r="BA269" s="337">
        <v>1016.423</v>
      </c>
      <c r="BB269" s="336">
        <v>3280</v>
      </c>
      <c r="BC269" s="334">
        <v>288.68099999999998</v>
      </c>
      <c r="BD269" s="336">
        <v>3280</v>
      </c>
      <c r="BE269" s="334">
        <v>301.50200000000001</v>
      </c>
    </row>
    <row r="270" spans="22:57">
      <c r="V270" s="346">
        <v>3310</v>
      </c>
      <c r="W270" s="333">
        <v>604.97</v>
      </c>
      <c r="X270" s="346">
        <v>3320</v>
      </c>
      <c r="Y270" s="334">
        <v>600.54999999999995</v>
      </c>
      <c r="Z270" s="335">
        <v>3310</v>
      </c>
      <c r="AA270" s="334">
        <v>1277.673</v>
      </c>
      <c r="AB270" s="336">
        <v>3310</v>
      </c>
      <c r="AC270" s="334">
        <v>1276.4760000000001</v>
      </c>
      <c r="AD270" s="336">
        <v>3310</v>
      </c>
      <c r="AE270" s="334">
        <v>1092.309</v>
      </c>
      <c r="AF270" s="336">
        <v>3310</v>
      </c>
      <c r="AG270" s="334">
        <v>1092.087</v>
      </c>
      <c r="AH270" s="336">
        <v>3310</v>
      </c>
      <c r="AI270" s="334">
        <v>1092.0999999999999</v>
      </c>
      <c r="AJ270" s="336">
        <v>3290</v>
      </c>
      <c r="AK270" s="334">
        <v>1093.2439999999999</v>
      </c>
      <c r="AL270" s="336">
        <v>3310</v>
      </c>
      <c r="AM270" s="334">
        <v>1092.827</v>
      </c>
      <c r="AN270" s="336">
        <v>3310</v>
      </c>
      <c r="AO270" s="334">
        <v>1093.299</v>
      </c>
      <c r="AP270" s="336">
        <v>3300</v>
      </c>
      <c r="AQ270" s="334">
        <v>1091.836</v>
      </c>
      <c r="AR270" s="336">
        <v>3310</v>
      </c>
      <c r="AS270" s="334">
        <v>1091.6869999999999</v>
      </c>
      <c r="AT270" s="336">
        <v>3310</v>
      </c>
      <c r="AU270" s="334">
        <v>1090.2660000000001</v>
      </c>
      <c r="AV270" s="336">
        <v>3310</v>
      </c>
      <c r="AW270" s="334">
        <v>1089.893</v>
      </c>
      <c r="AX270" s="336">
        <v>3300</v>
      </c>
      <c r="AY270" s="334">
        <v>1014.049</v>
      </c>
      <c r="AZ270" s="336">
        <v>3310</v>
      </c>
      <c r="BA270" s="337">
        <v>1015.2329999999999</v>
      </c>
      <c r="BB270" s="336">
        <v>3290</v>
      </c>
      <c r="BC270" s="334">
        <v>288.29199999999997</v>
      </c>
      <c r="BD270" s="336">
        <v>3290</v>
      </c>
      <c r="BE270" s="334">
        <v>301.09800000000001</v>
      </c>
    </row>
    <row r="271" spans="22:57">
      <c r="V271" s="346">
        <v>3320</v>
      </c>
      <c r="W271" s="333">
        <v>604.18200000000002</v>
      </c>
      <c r="X271" s="346">
        <v>3330</v>
      </c>
      <c r="Y271" s="334">
        <v>599.76700000000005</v>
      </c>
      <c r="Z271" s="335">
        <v>3320</v>
      </c>
      <c r="AA271" s="334">
        <v>1276.1890000000001</v>
      </c>
      <c r="AB271" s="336">
        <v>3320</v>
      </c>
      <c r="AC271" s="334">
        <v>1274.9949999999999</v>
      </c>
      <c r="AD271" s="336">
        <v>3320</v>
      </c>
      <c r="AE271" s="334">
        <v>1091.115</v>
      </c>
      <c r="AF271" s="336">
        <v>3320</v>
      </c>
      <c r="AG271" s="334">
        <v>1090.8920000000001</v>
      </c>
      <c r="AH271" s="336">
        <v>3320</v>
      </c>
      <c r="AI271" s="334">
        <v>1090.905</v>
      </c>
      <c r="AJ271" s="336">
        <v>3300</v>
      </c>
      <c r="AK271" s="334">
        <v>1092.05</v>
      </c>
      <c r="AL271" s="336">
        <v>3320</v>
      </c>
      <c r="AM271" s="334">
        <v>1091.633</v>
      </c>
      <c r="AN271" s="336">
        <v>3320</v>
      </c>
      <c r="AO271" s="334">
        <v>1092.105</v>
      </c>
      <c r="AP271" s="336">
        <v>3310</v>
      </c>
      <c r="AQ271" s="334">
        <v>1090.645</v>
      </c>
      <c r="AR271" s="336">
        <v>3320</v>
      </c>
      <c r="AS271" s="334">
        <v>1090.4949999999999</v>
      </c>
      <c r="AT271" s="336">
        <v>3320</v>
      </c>
      <c r="AU271" s="334">
        <v>1089.0730000000001</v>
      </c>
      <c r="AV271" s="336">
        <v>3320</v>
      </c>
      <c r="AW271" s="334">
        <v>1088.703</v>
      </c>
      <c r="AX271" s="336">
        <v>3310</v>
      </c>
      <c r="AY271" s="334">
        <v>1012.857</v>
      </c>
      <c r="AZ271" s="336">
        <v>3320</v>
      </c>
      <c r="BA271" s="337">
        <v>1014.042</v>
      </c>
      <c r="BB271" s="336">
        <v>3300</v>
      </c>
      <c r="BC271" s="334">
        <v>287.90300000000002</v>
      </c>
      <c r="BD271" s="336">
        <v>3300</v>
      </c>
      <c r="BE271" s="334">
        <v>300.69499999999999</v>
      </c>
    </row>
    <row r="272" spans="22:57">
      <c r="V272" s="346">
        <v>3330</v>
      </c>
      <c r="W272" s="333">
        <v>603.39300000000003</v>
      </c>
      <c r="X272" s="346">
        <v>3340</v>
      </c>
      <c r="Y272" s="334">
        <v>598.98400000000004</v>
      </c>
      <c r="Z272" s="335">
        <v>3330</v>
      </c>
      <c r="AA272" s="334">
        <v>1274.704</v>
      </c>
      <c r="AB272" s="336">
        <v>3330</v>
      </c>
      <c r="AC272" s="334">
        <v>1273.5139999999999</v>
      </c>
      <c r="AD272" s="336">
        <v>3330</v>
      </c>
      <c r="AE272" s="334">
        <v>1089.92</v>
      </c>
      <c r="AF272" s="336">
        <v>3330</v>
      </c>
      <c r="AG272" s="334">
        <v>1089.6969999999999</v>
      </c>
      <c r="AH272" s="336">
        <v>3330</v>
      </c>
      <c r="AI272" s="334">
        <v>1089.711</v>
      </c>
      <c r="AJ272" s="336">
        <v>3310</v>
      </c>
      <c r="AK272" s="334">
        <v>1090.856</v>
      </c>
      <c r="AL272" s="336">
        <v>3330</v>
      </c>
      <c r="AM272" s="334">
        <v>1090.4390000000001</v>
      </c>
      <c r="AN272" s="336">
        <v>3330</v>
      </c>
      <c r="AO272" s="334">
        <v>1090.912</v>
      </c>
      <c r="AP272" s="336">
        <v>3320</v>
      </c>
      <c r="AQ272" s="334">
        <v>1089.453</v>
      </c>
      <c r="AR272" s="336">
        <v>3330</v>
      </c>
      <c r="AS272" s="334">
        <v>1089.3030000000001</v>
      </c>
      <c r="AT272" s="336">
        <v>3330</v>
      </c>
      <c r="AU272" s="334">
        <v>1087.8810000000001</v>
      </c>
      <c r="AV272" s="336">
        <v>3330</v>
      </c>
      <c r="AW272" s="334">
        <v>1087.5119999999999</v>
      </c>
      <c r="AX272" s="336">
        <v>3320</v>
      </c>
      <c r="AY272" s="334">
        <v>1011.665</v>
      </c>
      <c r="AZ272" s="336">
        <v>3330</v>
      </c>
      <c r="BA272" s="337">
        <v>1012.851</v>
      </c>
      <c r="BB272" s="336">
        <v>3310</v>
      </c>
      <c r="BC272" s="334">
        <v>287.51400000000001</v>
      </c>
      <c r="BD272" s="336">
        <v>3310</v>
      </c>
      <c r="BE272" s="334">
        <v>300.29199999999997</v>
      </c>
    </row>
    <row r="273" spans="22:57">
      <c r="V273" s="346">
        <v>3340</v>
      </c>
      <c r="W273" s="333">
        <v>602.60400000000004</v>
      </c>
      <c r="X273" s="346">
        <v>3350</v>
      </c>
      <c r="Y273" s="334">
        <v>598.202</v>
      </c>
      <c r="Z273" s="335">
        <v>3340</v>
      </c>
      <c r="AA273" s="334">
        <v>1273.2190000000001</v>
      </c>
      <c r="AB273" s="336">
        <v>3340</v>
      </c>
      <c r="AC273" s="334">
        <v>1272.0319999999999</v>
      </c>
      <c r="AD273" s="336">
        <v>3340</v>
      </c>
      <c r="AE273" s="334">
        <v>1088.7249999999999</v>
      </c>
      <c r="AF273" s="336">
        <v>3340</v>
      </c>
      <c r="AG273" s="334">
        <v>1088.501</v>
      </c>
      <c r="AH273" s="336">
        <v>3340</v>
      </c>
      <c r="AI273" s="334">
        <v>1088.5160000000001</v>
      </c>
      <c r="AJ273" s="336">
        <v>3320</v>
      </c>
      <c r="AK273" s="334">
        <v>1089.662</v>
      </c>
      <c r="AL273" s="336">
        <v>3340</v>
      </c>
      <c r="AM273" s="334">
        <v>1089.2449999999999</v>
      </c>
      <c r="AN273" s="336">
        <v>3340</v>
      </c>
      <c r="AO273" s="334">
        <v>1089.7180000000001</v>
      </c>
      <c r="AP273" s="336">
        <v>3330</v>
      </c>
      <c r="AQ273" s="334">
        <v>1088.2619999999999</v>
      </c>
      <c r="AR273" s="336">
        <v>3340</v>
      </c>
      <c r="AS273" s="334">
        <v>1088.1099999999999</v>
      </c>
      <c r="AT273" s="336">
        <v>3340</v>
      </c>
      <c r="AU273" s="334">
        <v>1086.6880000000001</v>
      </c>
      <c r="AV273" s="336">
        <v>3340</v>
      </c>
      <c r="AW273" s="334">
        <v>1086.3219999999999</v>
      </c>
      <c r="AX273" s="336">
        <v>3330</v>
      </c>
      <c r="AY273" s="334">
        <v>1010.473</v>
      </c>
      <c r="AZ273" s="336">
        <v>3340</v>
      </c>
      <c r="BA273" s="337">
        <v>1011.66</v>
      </c>
      <c r="BB273" s="336">
        <v>3320</v>
      </c>
      <c r="BC273" s="334">
        <v>287.12400000000002</v>
      </c>
      <c r="BD273" s="336">
        <v>3320</v>
      </c>
      <c r="BE273" s="334">
        <v>299.88799999999998</v>
      </c>
    </row>
    <row r="274" spans="22:57">
      <c r="V274" s="346">
        <v>3350</v>
      </c>
      <c r="W274" s="333">
        <v>601.81500000000005</v>
      </c>
      <c r="X274" s="346">
        <v>3360</v>
      </c>
      <c r="Y274" s="334">
        <v>597.41800000000001</v>
      </c>
      <c r="Z274" s="335">
        <v>3350</v>
      </c>
      <c r="AA274" s="334">
        <v>1271.7339999999999</v>
      </c>
      <c r="AB274" s="336">
        <v>3350</v>
      </c>
      <c r="AC274" s="334">
        <v>1270.5509999999999</v>
      </c>
      <c r="AD274" s="336">
        <v>3350</v>
      </c>
      <c r="AE274" s="334">
        <v>1087.53</v>
      </c>
      <c r="AF274" s="336">
        <v>3350</v>
      </c>
      <c r="AG274" s="334">
        <v>1087.3050000000001</v>
      </c>
      <c r="AH274" s="336">
        <v>3350</v>
      </c>
      <c r="AI274" s="334">
        <v>1087.3209999999999</v>
      </c>
      <c r="AJ274" s="336">
        <v>3330</v>
      </c>
      <c r="AK274" s="334">
        <v>1088.4670000000001</v>
      </c>
      <c r="AL274" s="336">
        <v>3350</v>
      </c>
      <c r="AM274" s="334">
        <v>1088.05</v>
      </c>
      <c r="AN274" s="336">
        <v>3350</v>
      </c>
      <c r="AO274" s="334">
        <v>1088.5239999999999</v>
      </c>
      <c r="AP274" s="336">
        <v>3340</v>
      </c>
      <c r="AQ274" s="334">
        <v>1087.07</v>
      </c>
      <c r="AR274" s="336">
        <v>3350</v>
      </c>
      <c r="AS274" s="334">
        <v>1086.9179999999999</v>
      </c>
      <c r="AT274" s="336">
        <v>3350</v>
      </c>
      <c r="AU274" s="334">
        <v>1085.4949999999999</v>
      </c>
      <c r="AV274" s="336">
        <v>3350</v>
      </c>
      <c r="AW274" s="334">
        <v>1085.1310000000001</v>
      </c>
      <c r="AX274" s="336">
        <v>3340</v>
      </c>
      <c r="AY274" s="334">
        <v>1009.28</v>
      </c>
      <c r="AZ274" s="336">
        <v>3350</v>
      </c>
      <c r="BA274" s="337">
        <v>1010.4690000000001</v>
      </c>
      <c r="BB274" s="336">
        <v>3330</v>
      </c>
      <c r="BC274" s="334">
        <v>286.73500000000001</v>
      </c>
      <c r="BD274" s="336">
        <v>3330</v>
      </c>
      <c r="BE274" s="334">
        <v>299.48500000000001</v>
      </c>
    </row>
    <row r="275" spans="22:57">
      <c r="V275" s="346">
        <v>3360</v>
      </c>
      <c r="W275" s="333">
        <v>601.02599999999995</v>
      </c>
      <c r="X275" s="346">
        <v>3370</v>
      </c>
      <c r="Y275" s="334">
        <v>596.63499999999999</v>
      </c>
      <c r="Z275" s="335">
        <v>3360</v>
      </c>
      <c r="AA275" s="334">
        <v>1270.248</v>
      </c>
      <c r="AB275" s="336">
        <v>3360</v>
      </c>
      <c r="AC275" s="334">
        <v>1269.068</v>
      </c>
      <c r="AD275" s="336">
        <v>3360</v>
      </c>
      <c r="AE275" s="334">
        <v>1086.3340000000001</v>
      </c>
      <c r="AF275" s="336">
        <v>3360</v>
      </c>
      <c r="AG275" s="334">
        <v>1086.1089999999999</v>
      </c>
      <c r="AH275" s="336">
        <v>3360</v>
      </c>
      <c r="AI275" s="334">
        <v>1086.125</v>
      </c>
      <c r="AJ275" s="336">
        <v>3340</v>
      </c>
      <c r="AK275" s="334">
        <v>1087.2719999999999</v>
      </c>
      <c r="AL275" s="336">
        <v>3360</v>
      </c>
      <c r="AM275" s="334">
        <v>1086.855</v>
      </c>
      <c r="AN275" s="336">
        <v>3360</v>
      </c>
      <c r="AO275" s="334">
        <v>1087.33</v>
      </c>
      <c r="AP275" s="336">
        <v>3350</v>
      </c>
      <c r="AQ275" s="334">
        <v>1085.877</v>
      </c>
      <c r="AR275" s="336">
        <v>3360</v>
      </c>
      <c r="AS275" s="334">
        <v>1085.7249999999999</v>
      </c>
      <c r="AT275" s="336">
        <v>3360</v>
      </c>
      <c r="AU275" s="334">
        <v>1084.3009999999999</v>
      </c>
      <c r="AV275" s="336">
        <v>3360</v>
      </c>
      <c r="AW275" s="334">
        <v>1083.94</v>
      </c>
      <c r="AX275" s="336">
        <v>3350</v>
      </c>
      <c r="AY275" s="334">
        <v>1008.088</v>
      </c>
      <c r="AZ275" s="336">
        <v>3360</v>
      </c>
      <c r="BA275" s="337">
        <v>1009.278</v>
      </c>
      <c r="BB275" s="336">
        <v>3340</v>
      </c>
      <c r="BC275" s="334">
        <v>286.34500000000003</v>
      </c>
      <c r="BD275" s="336">
        <v>3340</v>
      </c>
      <c r="BE275" s="334">
        <v>299.08100000000002</v>
      </c>
    </row>
    <row r="276" spans="22:57">
      <c r="V276" s="346">
        <v>3370</v>
      </c>
      <c r="W276" s="333">
        <v>600.23699999999997</v>
      </c>
      <c r="X276" s="346">
        <v>3380</v>
      </c>
      <c r="Y276" s="334">
        <v>595.85199999999998</v>
      </c>
      <c r="Z276" s="335">
        <v>3370</v>
      </c>
      <c r="AA276" s="334">
        <v>1268.7629999999999</v>
      </c>
      <c r="AB276" s="336">
        <v>3370</v>
      </c>
      <c r="AC276" s="334">
        <v>1267.586</v>
      </c>
      <c r="AD276" s="336">
        <v>3370</v>
      </c>
      <c r="AE276" s="334">
        <v>1085.1389999999999</v>
      </c>
      <c r="AF276" s="336">
        <v>3370</v>
      </c>
      <c r="AG276" s="334">
        <v>1084.913</v>
      </c>
      <c r="AH276" s="336">
        <v>3370</v>
      </c>
      <c r="AI276" s="334">
        <v>1084.93</v>
      </c>
      <c r="AJ276" s="336">
        <v>3350</v>
      </c>
      <c r="AK276" s="334">
        <v>1086.077</v>
      </c>
      <c r="AL276" s="336">
        <v>3370</v>
      </c>
      <c r="AM276" s="334">
        <v>1085.6600000000001</v>
      </c>
      <c r="AN276" s="336">
        <v>3370</v>
      </c>
      <c r="AO276" s="334">
        <v>1086.135</v>
      </c>
      <c r="AP276" s="336">
        <v>3360</v>
      </c>
      <c r="AQ276" s="334">
        <v>1084.6849999999999</v>
      </c>
      <c r="AR276" s="336">
        <v>3370</v>
      </c>
      <c r="AS276" s="334">
        <v>1084.5319999999999</v>
      </c>
      <c r="AT276" s="336">
        <v>3370</v>
      </c>
      <c r="AU276" s="334">
        <v>1083.1079999999999</v>
      </c>
      <c r="AV276" s="336">
        <v>3370</v>
      </c>
      <c r="AW276" s="334">
        <v>1082.748</v>
      </c>
      <c r="AX276" s="336">
        <v>3360</v>
      </c>
      <c r="AY276" s="334">
        <v>1006.895</v>
      </c>
      <c r="AZ276" s="336">
        <v>3370</v>
      </c>
      <c r="BA276" s="337">
        <v>1008.086</v>
      </c>
      <c r="BB276" s="336">
        <v>3350</v>
      </c>
      <c r="BC276" s="334">
        <v>285.95600000000002</v>
      </c>
      <c r="BD276" s="336">
        <v>3350</v>
      </c>
      <c r="BE276" s="334">
        <v>298.678</v>
      </c>
    </row>
    <row r="277" spans="22:57">
      <c r="V277" s="346">
        <v>3380</v>
      </c>
      <c r="W277" s="333">
        <v>599.447</v>
      </c>
      <c r="X277" s="346">
        <v>3390</v>
      </c>
      <c r="Y277" s="334">
        <v>595.06799999999998</v>
      </c>
      <c r="Z277" s="335">
        <v>3380</v>
      </c>
      <c r="AA277" s="334">
        <v>1267.2760000000001</v>
      </c>
      <c r="AB277" s="336">
        <v>3380</v>
      </c>
      <c r="AC277" s="334">
        <v>1266.1030000000001</v>
      </c>
      <c r="AD277" s="336">
        <v>3380</v>
      </c>
      <c r="AE277" s="334">
        <v>1083.943</v>
      </c>
      <c r="AF277" s="336">
        <v>3380</v>
      </c>
      <c r="AG277" s="334">
        <v>1083.7170000000001</v>
      </c>
      <c r="AH277" s="336">
        <v>3380</v>
      </c>
      <c r="AI277" s="334">
        <v>1083.7339999999999</v>
      </c>
      <c r="AJ277" s="336">
        <v>3360</v>
      </c>
      <c r="AK277" s="334">
        <v>1084.8820000000001</v>
      </c>
      <c r="AL277" s="336">
        <v>3380</v>
      </c>
      <c r="AM277" s="334">
        <v>1084.4639999999999</v>
      </c>
      <c r="AN277" s="336">
        <v>3380</v>
      </c>
      <c r="AO277" s="334">
        <v>1084.94</v>
      </c>
      <c r="AP277" s="336">
        <v>3370</v>
      </c>
      <c r="AQ277" s="334">
        <v>1083.492</v>
      </c>
      <c r="AR277" s="336">
        <v>3380</v>
      </c>
      <c r="AS277" s="334">
        <v>1083.3389999999999</v>
      </c>
      <c r="AT277" s="336">
        <v>3380</v>
      </c>
      <c r="AU277" s="334">
        <v>1081.914</v>
      </c>
      <c r="AV277" s="336">
        <v>3380</v>
      </c>
      <c r="AW277" s="334">
        <v>1081.556</v>
      </c>
      <c r="AX277" s="336">
        <v>3370</v>
      </c>
      <c r="AY277" s="334">
        <v>1005.701</v>
      </c>
      <c r="AZ277" s="336">
        <v>3380</v>
      </c>
      <c r="BA277" s="337">
        <v>1006.894</v>
      </c>
      <c r="BB277" s="336">
        <v>3360</v>
      </c>
      <c r="BC277" s="334">
        <v>285.56599999999997</v>
      </c>
      <c r="BD277" s="336">
        <v>3360</v>
      </c>
      <c r="BE277" s="334">
        <v>298.274</v>
      </c>
    </row>
    <row r="278" spans="22:57">
      <c r="V278" s="346">
        <v>3390</v>
      </c>
      <c r="W278" s="333">
        <v>598.65700000000004</v>
      </c>
      <c r="X278" s="346">
        <v>3400</v>
      </c>
      <c r="Y278" s="334">
        <v>594.28399999999999</v>
      </c>
      <c r="Z278" s="335">
        <v>3390</v>
      </c>
      <c r="AA278" s="334">
        <v>1265.79</v>
      </c>
      <c r="AB278" s="336">
        <v>3390</v>
      </c>
      <c r="AC278" s="334">
        <v>1264.6199999999999</v>
      </c>
      <c r="AD278" s="336">
        <v>3390</v>
      </c>
      <c r="AE278" s="334">
        <v>1082.7470000000001</v>
      </c>
      <c r="AF278" s="336">
        <v>3390</v>
      </c>
      <c r="AG278" s="334">
        <v>1082.52</v>
      </c>
      <c r="AH278" s="336">
        <v>3390</v>
      </c>
      <c r="AI278" s="334">
        <v>1082.538</v>
      </c>
      <c r="AJ278" s="336">
        <v>3370</v>
      </c>
      <c r="AK278" s="334">
        <v>1083.6859999999999</v>
      </c>
      <c r="AL278" s="336">
        <v>3390</v>
      </c>
      <c r="AM278" s="334">
        <v>1083.269</v>
      </c>
      <c r="AN278" s="336">
        <v>3390</v>
      </c>
      <c r="AO278" s="334">
        <v>1083.7449999999999</v>
      </c>
      <c r="AP278" s="336">
        <v>3380</v>
      </c>
      <c r="AQ278" s="334">
        <v>1082.299</v>
      </c>
      <c r="AR278" s="336">
        <v>3390</v>
      </c>
      <c r="AS278" s="334">
        <v>1082.145</v>
      </c>
      <c r="AT278" s="336">
        <v>3390</v>
      </c>
      <c r="AU278" s="334">
        <v>1080.72</v>
      </c>
      <c r="AV278" s="336">
        <v>3390</v>
      </c>
      <c r="AW278" s="334">
        <v>1080.364</v>
      </c>
      <c r="AX278" s="336">
        <v>3380</v>
      </c>
      <c r="AY278" s="334">
        <v>1004.508</v>
      </c>
      <c r="AZ278" s="336">
        <v>3390</v>
      </c>
      <c r="BA278" s="337">
        <v>1005.702</v>
      </c>
      <c r="BB278" s="336">
        <v>3370</v>
      </c>
      <c r="BC278" s="334">
        <v>285.17599999999999</v>
      </c>
      <c r="BD278" s="336">
        <v>3370</v>
      </c>
      <c r="BE278" s="334">
        <v>297.87</v>
      </c>
    </row>
    <row r="279" spans="22:57">
      <c r="V279" s="346">
        <v>3400</v>
      </c>
      <c r="W279" s="333">
        <v>597.86800000000005</v>
      </c>
      <c r="X279" s="346">
        <v>3410</v>
      </c>
      <c r="Y279" s="334">
        <v>593.5</v>
      </c>
      <c r="Z279" s="335">
        <v>3400</v>
      </c>
      <c r="AA279" s="334">
        <v>1264.3030000000001</v>
      </c>
      <c r="AB279" s="336">
        <v>3400</v>
      </c>
      <c r="AC279" s="334">
        <v>1263.1369999999999</v>
      </c>
      <c r="AD279" s="336">
        <v>3400</v>
      </c>
      <c r="AE279" s="334">
        <v>1081.55</v>
      </c>
      <c r="AF279" s="336">
        <v>3400</v>
      </c>
      <c r="AG279" s="334">
        <v>1081.3230000000001</v>
      </c>
      <c r="AH279" s="336">
        <v>3400</v>
      </c>
      <c r="AI279" s="334">
        <v>1081.3420000000001</v>
      </c>
      <c r="AJ279" s="336">
        <v>3380</v>
      </c>
      <c r="AK279" s="334">
        <v>1082.49</v>
      </c>
      <c r="AL279" s="336">
        <v>3400</v>
      </c>
      <c r="AM279" s="334">
        <v>1082.0730000000001</v>
      </c>
      <c r="AN279" s="336">
        <v>3400</v>
      </c>
      <c r="AO279" s="334">
        <v>1082.55</v>
      </c>
      <c r="AP279" s="336">
        <v>3390</v>
      </c>
      <c r="AQ279" s="334">
        <v>1081.106</v>
      </c>
      <c r="AR279" s="336">
        <v>3400</v>
      </c>
      <c r="AS279" s="334">
        <v>1080.952</v>
      </c>
      <c r="AT279" s="336">
        <v>3400</v>
      </c>
      <c r="AU279" s="334">
        <v>1079.5260000000001</v>
      </c>
      <c r="AV279" s="336">
        <v>3400</v>
      </c>
      <c r="AW279" s="334">
        <v>1079.172</v>
      </c>
      <c r="AX279" s="336">
        <v>3390</v>
      </c>
      <c r="AY279" s="334">
        <v>1003.314</v>
      </c>
      <c r="AZ279" s="336">
        <v>3400</v>
      </c>
      <c r="BA279" s="337">
        <v>1004.51</v>
      </c>
      <c r="BB279" s="336">
        <v>3380</v>
      </c>
      <c r="BC279" s="334">
        <v>284.786</v>
      </c>
      <c r="BD279" s="336">
        <v>3380</v>
      </c>
      <c r="BE279" s="334">
        <v>297.46600000000001</v>
      </c>
    </row>
    <row r="280" spans="22:57">
      <c r="V280" s="346">
        <v>3410</v>
      </c>
      <c r="W280" s="333">
        <v>597.077</v>
      </c>
      <c r="X280" s="346">
        <v>3420</v>
      </c>
      <c r="Y280" s="334">
        <v>592.71600000000001</v>
      </c>
      <c r="Z280" s="335">
        <v>3410</v>
      </c>
      <c r="AA280" s="334">
        <v>1262.816</v>
      </c>
      <c r="AB280" s="336">
        <v>3410</v>
      </c>
      <c r="AC280" s="334">
        <v>1261.653</v>
      </c>
      <c r="AD280" s="336">
        <v>3410</v>
      </c>
      <c r="AE280" s="334">
        <v>1080.354</v>
      </c>
      <c r="AF280" s="336">
        <v>3410</v>
      </c>
      <c r="AG280" s="334">
        <v>1080.126</v>
      </c>
      <c r="AH280" s="336">
        <v>3410</v>
      </c>
      <c r="AI280" s="334">
        <v>1080.145</v>
      </c>
      <c r="AJ280" s="336">
        <v>3390</v>
      </c>
      <c r="AK280" s="334">
        <v>1081.2940000000001</v>
      </c>
      <c r="AL280" s="336">
        <v>3410</v>
      </c>
      <c r="AM280" s="334">
        <v>1080.876</v>
      </c>
      <c r="AN280" s="336">
        <v>3410</v>
      </c>
      <c r="AO280" s="334">
        <v>1081.354</v>
      </c>
      <c r="AP280" s="336">
        <v>3400</v>
      </c>
      <c r="AQ280" s="334">
        <v>1079.913</v>
      </c>
      <c r="AR280" s="336">
        <v>3410</v>
      </c>
      <c r="AS280" s="334">
        <v>1079.758</v>
      </c>
      <c r="AT280" s="336">
        <v>3410</v>
      </c>
      <c r="AU280" s="334">
        <v>1078.3309999999999</v>
      </c>
      <c r="AV280" s="336">
        <v>3410</v>
      </c>
      <c r="AW280" s="334">
        <v>1077.98</v>
      </c>
      <c r="AX280" s="336">
        <v>3400</v>
      </c>
      <c r="AY280" s="334">
        <v>1002.12</v>
      </c>
      <c r="AZ280" s="336">
        <v>3410</v>
      </c>
      <c r="BA280" s="337">
        <v>1003.317</v>
      </c>
      <c r="BB280" s="336">
        <v>3390</v>
      </c>
      <c r="BC280" s="334">
        <v>284.39600000000002</v>
      </c>
      <c r="BD280" s="336">
        <v>3390</v>
      </c>
      <c r="BE280" s="334">
        <v>297.06200000000001</v>
      </c>
    </row>
    <row r="281" spans="22:57">
      <c r="V281" s="346">
        <v>3420</v>
      </c>
      <c r="W281" s="333">
        <v>596.28700000000003</v>
      </c>
      <c r="X281" s="346">
        <v>3430</v>
      </c>
      <c r="Y281" s="334">
        <v>591.93200000000002</v>
      </c>
      <c r="Z281" s="335">
        <v>3420</v>
      </c>
      <c r="AA281" s="334">
        <v>1261.329</v>
      </c>
      <c r="AB281" s="336">
        <v>3420</v>
      </c>
      <c r="AC281" s="334">
        <v>1260.1690000000001</v>
      </c>
      <c r="AD281" s="336">
        <v>3420</v>
      </c>
      <c r="AE281" s="334">
        <v>1079.1569999999999</v>
      </c>
      <c r="AF281" s="336">
        <v>3420</v>
      </c>
      <c r="AG281" s="334">
        <v>1078.9290000000001</v>
      </c>
      <c r="AH281" s="336">
        <v>3420</v>
      </c>
      <c r="AI281" s="334">
        <v>1078.9480000000001</v>
      </c>
      <c r="AJ281" s="336">
        <v>3400</v>
      </c>
      <c r="AK281" s="334">
        <v>1080.098</v>
      </c>
      <c r="AL281" s="336">
        <v>3420</v>
      </c>
      <c r="AM281" s="334">
        <v>1079.68</v>
      </c>
      <c r="AN281" s="336">
        <v>3420</v>
      </c>
      <c r="AO281" s="334">
        <v>1080.1579999999999</v>
      </c>
      <c r="AP281" s="336">
        <v>3410</v>
      </c>
      <c r="AQ281" s="334">
        <v>1078.7190000000001</v>
      </c>
      <c r="AR281" s="336">
        <v>3420</v>
      </c>
      <c r="AS281" s="334">
        <v>1078.5630000000001</v>
      </c>
      <c r="AT281" s="336">
        <v>3420</v>
      </c>
      <c r="AU281" s="334">
        <v>1077.1369999999999</v>
      </c>
      <c r="AV281" s="336">
        <v>3420</v>
      </c>
      <c r="AW281" s="334">
        <v>1076.787</v>
      </c>
      <c r="AX281" s="336">
        <v>3410</v>
      </c>
      <c r="AY281" s="334">
        <v>1000.926</v>
      </c>
      <c r="AZ281" s="336">
        <v>3420</v>
      </c>
      <c r="BA281" s="337">
        <v>1002.124</v>
      </c>
      <c r="BB281" s="336">
        <v>3400</v>
      </c>
      <c r="BC281" s="334">
        <v>284.00599999999997</v>
      </c>
      <c r="BD281" s="336">
        <v>3400</v>
      </c>
      <c r="BE281" s="334">
        <v>296.65800000000002</v>
      </c>
    </row>
    <row r="282" spans="22:57">
      <c r="V282" s="346">
        <v>3430</v>
      </c>
      <c r="W282" s="333">
        <v>595.49699999999996</v>
      </c>
      <c r="X282" s="346">
        <v>3440</v>
      </c>
      <c r="Y282" s="334">
        <v>591.14700000000005</v>
      </c>
      <c r="Z282" s="335">
        <v>3430</v>
      </c>
      <c r="AA282" s="334">
        <v>1259.8409999999999</v>
      </c>
      <c r="AB282" s="336">
        <v>3430</v>
      </c>
      <c r="AC282" s="334">
        <v>1258.6849999999999</v>
      </c>
      <c r="AD282" s="336">
        <v>3430</v>
      </c>
      <c r="AE282" s="334">
        <v>1077.96</v>
      </c>
      <c r="AF282" s="336">
        <v>3430</v>
      </c>
      <c r="AG282" s="334">
        <v>1077.731</v>
      </c>
      <c r="AH282" s="336">
        <v>3430</v>
      </c>
      <c r="AI282" s="334">
        <v>1077.751</v>
      </c>
      <c r="AJ282" s="336">
        <v>3410</v>
      </c>
      <c r="AK282" s="334">
        <v>1078.9010000000001</v>
      </c>
      <c r="AL282" s="336">
        <v>3430</v>
      </c>
      <c r="AM282" s="334">
        <v>1078.4829999999999</v>
      </c>
      <c r="AN282" s="336">
        <v>3430</v>
      </c>
      <c r="AO282" s="334">
        <v>1078.962</v>
      </c>
      <c r="AP282" s="336">
        <v>3420</v>
      </c>
      <c r="AQ282" s="334">
        <v>1077.5250000000001</v>
      </c>
      <c r="AR282" s="336">
        <v>3430</v>
      </c>
      <c r="AS282" s="334">
        <v>1077.3689999999999</v>
      </c>
      <c r="AT282" s="336">
        <v>3430</v>
      </c>
      <c r="AU282" s="334">
        <v>1075.942</v>
      </c>
      <c r="AV282" s="336">
        <v>3430</v>
      </c>
      <c r="AW282" s="334">
        <v>1075.5940000000001</v>
      </c>
      <c r="AX282" s="336">
        <v>3420</v>
      </c>
      <c r="AY282" s="334">
        <v>999.73099999999999</v>
      </c>
      <c r="AZ282" s="336">
        <v>3430</v>
      </c>
      <c r="BA282" s="337">
        <v>1000.931</v>
      </c>
      <c r="BB282" s="336">
        <v>3410</v>
      </c>
      <c r="BC282" s="334">
        <v>283.61500000000001</v>
      </c>
      <c r="BD282" s="336">
        <v>3410</v>
      </c>
      <c r="BE282" s="334">
        <v>296.25400000000002</v>
      </c>
    </row>
    <row r="283" spans="22:57">
      <c r="V283" s="346">
        <v>3440</v>
      </c>
      <c r="W283" s="333">
        <v>594.70600000000002</v>
      </c>
      <c r="X283" s="346">
        <v>3450</v>
      </c>
      <c r="Y283" s="334">
        <v>590.36199999999997</v>
      </c>
      <c r="Z283" s="335">
        <v>3440</v>
      </c>
      <c r="AA283" s="334">
        <v>1258.3530000000001</v>
      </c>
      <c r="AB283" s="336">
        <v>3440</v>
      </c>
      <c r="AC283" s="334">
        <v>1257.2</v>
      </c>
      <c r="AD283" s="336">
        <v>3440</v>
      </c>
      <c r="AE283" s="334">
        <v>1076.7619999999999</v>
      </c>
      <c r="AF283" s="336">
        <v>3440</v>
      </c>
      <c r="AG283" s="334">
        <v>1076.5329999999999</v>
      </c>
      <c r="AH283" s="336">
        <v>3440</v>
      </c>
      <c r="AI283" s="334">
        <v>1076.5540000000001</v>
      </c>
      <c r="AJ283" s="336">
        <v>3420</v>
      </c>
      <c r="AK283" s="334">
        <v>1077.7049999999999</v>
      </c>
      <c r="AL283" s="336">
        <v>3440</v>
      </c>
      <c r="AM283" s="334">
        <v>1077.287</v>
      </c>
      <c r="AN283" s="336">
        <v>3440</v>
      </c>
      <c r="AO283" s="334">
        <v>1077.7660000000001</v>
      </c>
      <c r="AP283" s="336">
        <v>3430</v>
      </c>
      <c r="AQ283" s="334">
        <v>1076.3309999999999</v>
      </c>
      <c r="AR283" s="336">
        <v>3440</v>
      </c>
      <c r="AS283" s="334">
        <v>1076.174</v>
      </c>
      <c r="AT283" s="336">
        <v>3440</v>
      </c>
      <c r="AU283" s="334">
        <v>1074.7460000000001</v>
      </c>
      <c r="AV283" s="336">
        <v>3440</v>
      </c>
      <c r="AW283" s="334">
        <v>1074.4010000000001</v>
      </c>
      <c r="AX283" s="336">
        <v>3430</v>
      </c>
      <c r="AY283" s="334">
        <v>998.53700000000003</v>
      </c>
      <c r="AZ283" s="336">
        <v>3440</v>
      </c>
      <c r="BA283" s="337">
        <v>999.73800000000006</v>
      </c>
      <c r="BB283" s="336">
        <v>3420</v>
      </c>
      <c r="BC283" s="334">
        <v>283.22500000000002</v>
      </c>
      <c r="BD283" s="336">
        <v>3420</v>
      </c>
      <c r="BE283" s="334">
        <v>295.85000000000002</v>
      </c>
    </row>
    <row r="284" spans="22:57">
      <c r="V284" s="346">
        <v>3450</v>
      </c>
      <c r="W284" s="333">
        <v>593.91499999999996</v>
      </c>
      <c r="X284" s="346">
        <v>3460</v>
      </c>
      <c r="Y284" s="334">
        <v>589.577</v>
      </c>
      <c r="Z284" s="335">
        <v>3450</v>
      </c>
      <c r="AA284" s="334">
        <v>1256.865</v>
      </c>
      <c r="AB284" s="336">
        <v>3450</v>
      </c>
      <c r="AC284" s="334">
        <v>1255.7149999999999</v>
      </c>
      <c r="AD284" s="336">
        <v>3450</v>
      </c>
      <c r="AE284" s="334">
        <v>1075.5650000000001</v>
      </c>
      <c r="AF284" s="336">
        <v>3450</v>
      </c>
      <c r="AG284" s="334">
        <v>1075.335</v>
      </c>
      <c r="AH284" s="336">
        <v>3450</v>
      </c>
      <c r="AI284" s="334">
        <v>1075.356</v>
      </c>
      <c r="AJ284" s="336">
        <v>3430</v>
      </c>
      <c r="AK284" s="334">
        <v>1076.508</v>
      </c>
      <c r="AL284" s="336">
        <v>3450</v>
      </c>
      <c r="AM284" s="334">
        <v>1076.0889999999999</v>
      </c>
      <c r="AN284" s="336">
        <v>3450</v>
      </c>
      <c r="AO284" s="334">
        <v>1076.569</v>
      </c>
      <c r="AP284" s="336">
        <v>3440</v>
      </c>
      <c r="AQ284" s="334">
        <v>1075.1369999999999</v>
      </c>
      <c r="AR284" s="336">
        <v>3450</v>
      </c>
      <c r="AS284" s="334">
        <v>1074.979</v>
      </c>
      <c r="AT284" s="336">
        <v>3450</v>
      </c>
      <c r="AU284" s="334">
        <v>1073.5509999999999</v>
      </c>
      <c r="AV284" s="336">
        <v>3450</v>
      </c>
      <c r="AW284" s="334">
        <v>1073.2080000000001</v>
      </c>
      <c r="AX284" s="336">
        <v>3440</v>
      </c>
      <c r="AY284" s="334">
        <v>997.34199999999998</v>
      </c>
      <c r="AZ284" s="336">
        <v>3450</v>
      </c>
      <c r="BA284" s="337">
        <v>998.54399999999998</v>
      </c>
      <c r="BB284" s="336">
        <v>3430</v>
      </c>
      <c r="BC284" s="334">
        <v>282.83499999999998</v>
      </c>
      <c r="BD284" s="336">
        <v>3430</v>
      </c>
      <c r="BE284" s="334">
        <v>295.44499999999999</v>
      </c>
    </row>
    <row r="285" spans="22:57">
      <c r="V285" s="346">
        <v>3460</v>
      </c>
      <c r="W285" s="333">
        <v>593.12400000000002</v>
      </c>
      <c r="X285" s="346">
        <v>3470</v>
      </c>
      <c r="Y285" s="334">
        <v>588.79200000000003</v>
      </c>
      <c r="Z285" s="335">
        <v>3460</v>
      </c>
      <c r="AA285" s="334">
        <v>1255.376</v>
      </c>
      <c r="AB285" s="336">
        <v>3460</v>
      </c>
      <c r="AC285" s="334">
        <v>1254.23</v>
      </c>
      <c r="AD285" s="336">
        <v>3460</v>
      </c>
      <c r="AE285" s="334">
        <v>1074.367</v>
      </c>
      <c r="AF285" s="336">
        <v>3460</v>
      </c>
      <c r="AG285" s="334">
        <v>1074.1369999999999</v>
      </c>
      <c r="AH285" s="336">
        <v>3460</v>
      </c>
      <c r="AI285" s="334">
        <v>1074.1590000000001</v>
      </c>
      <c r="AJ285" s="336">
        <v>3440</v>
      </c>
      <c r="AK285" s="334">
        <v>1075.31</v>
      </c>
      <c r="AL285" s="336">
        <v>3460</v>
      </c>
      <c r="AM285" s="334">
        <v>1074.8920000000001</v>
      </c>
      <c r="AN285" s="336">
        <v>3460</v>
      </c>
      <c r="AO285" s="334">
        <v>1075.373</v>
      </c>
      <c r="AP285" s="336">
        <v>3450</v>
      </c>
      <c r="AQ285" s="334">
        <v>1073.942</v>
      </c>
      <c r="AR285" s="336">
        <v>3460</v>
      </c>
      <c r="AS285" s="334">
        <v>1073.7840000000001</v>
      </c>
      <c r="AT285" s="336">
        <v>3460</v>
      </c>
      <c r="AU285" s="334">
        <v>1072.355</v>
      </c>
      <c r="AV285" s="336">
        <v>3460</v>
      </c>
      <c r="AW285" s="334">
        <v>1072.0139999999999</v>
      </c>
      <c r="AX285" s="336">
        <v>3450</v>
      </c>
      <c r="AY285" s="334">
        <v>996.14700000000005</v>
      </c>
      <c r="AZ285" s="336">
        <v>3460</v>
      </c>
      <c r="BA285" s="337">
        <v>997.35</v>
      </c>
      <c r="BB285" s="336">
        <v>3440</v>
      </c>
      <c r="BC285" s="334">
        <v>282.44400000000002</v>
      </c>
      <c r="BD285" s="336">
        <v>3440</v>
      </c>
      <c r="BE285" s="334">
        <v>295.041</v>
      </c>
    </row>
    <row r="286" spans="22:57">
      <c r="V286" s="346">
        <v>3470</v>
      </c>
      <c r="W286" s="333">
        <v>592.33299999999997</v>
      </c>
      <c r="X286" s="346">
        <v>3480</v>
      </c>
      <c r="Y286" s="370">
        <v>588.00699999999995</v>
      </c>
      <c r="Z286" s="335">
        <v>3470</v>
      </c>
      <c r="AA286" s="334">
        <v>1253.8869999999999</v>
      </c>
      <c r="AB286" s="336">
        <v>3470</v>
      </c>
      <c r="AC286" s="334">
        <v>1252.7449999999999</v>
      </c>
      <c r="AD286" s="336">
        <v>3470</v>
      </c>
      <c r="AE286" s="334">
        <v>1073.1690000000001</v>
      </c>
      <c r="AF286" s="336">
        <v>3470</v>
      </c>
      <c r="AG286" s="334">
        <v>1072.9380000000001</v>
      </c>
      <c r="AH286" s="336">
        <v>3470</v>
      </c>
      <c r="AI286" s="334">
        <v>1072.961</v>
      </c>
      <c r="AJ286" s="336">
        <v>3450</v>
      </c>
      <c r="AK286" s="334">
        <v>1074.1130000000001</v>
      </c>
      <c r="AL286" s="336">
        <v>3470</v>
      </c>
      <c r="AM286" s="334">
        <v>1073.694</v>
      </c>
      <c r="AN286" s="336">
        <v>3470</v>
      </c>
      <c r="AO286" s="334">
        <v>1074.1759999999999</v>
      </c>
      <c r="AP286" s="336">
        <v>3460</v>
      </c>
      <c r="AQ286" s="334">
        <v>1072.7470000000001</v>
      </c>
      <c r="AR286" s="336">
        <v>3470</v>
      </c>
      <c r="AS286" s="334">
        <v>1072.5889999999999</v>
      </c>
      <c r="AT286" s="336">
        <v>3470</v>
      </c>
      <c r="AU286" s="334">
        <v>1071.1590000000001</v>
      </c>
      <c r="AV286" s="336">
        <v>3470</v>
      </c>
      <c r="AW286" s="334">
        <v>1070.82</v>
      </c>
      <c r="AX286" s="336">
        <v>3460</v>
      </c>
      <c r="AY286" s="334">
        <v>994.95100000000002</v>
      </c>
      <c r="AZ286" s="336">
        <v>3470</v>
      </c>
      <c r="BA286" s="337">
        <v>996.15599999999995</v>
      </c>
      <c r="BB286" s="336">
        <v>3450</v>
      </c>
      <c r="BC286" s="334">
        <v>282.05399999999997</v>
      </c>
      <c r="BD286" s="336">
        <v>3450</v>
      </c>
      <c r="BE286" s="334">
        <v>294.63600000000002</v>
      </c>
    </row>
    <row r="287" spans="22:57">
      <c r="V287" s="346">
        <v>3480</v>
      </c>
      <c r="W287" s="333">
        <v>591.54200000000003</v>
      </c>
      <c r="X287" s="346">
        <v>3490</v>
      </c>
      <c r="Y287" s="334">
        <v>587.22199999999998</v>
      </c>
      <c r="Z287" s="335">
        <v>3480</v>
      </c>
      <c r="AA287" s="334">
        <v>1252.3979999999999</v>
      </c>
      <c r="AB287" s="336">
        <v>3480</v>
      </c>
      <c r="AC287" s="334">
        <v>1251.259</v>
      </c>
      <c r="AD287" s="336">
        <v>3480</v>
      </c>
      <c r="AE287" s="334">
        <v>1071.971</v>
      </c>
      <c r="AF287" s="336">
        <v>3480</v>
      </c>
      <c r="AG287" s="334">
        <v>1071.739</v>
      </c>
      <c r="AH287" s="336">
        <v>3480</v>
      </c>
      <c r="AI287" s="334">
        <v>1071.7619999999999</v>
      </c>
      <c r="AJ287" s="336">
        <v>3460</v>
      </c>
      <c r="AK287" s="334">
        <v>1072.915</v>
      </c>
      <c r="AL287" s="336">
        <v>3480</v>
      </c>
      <c r="AM287" s="334">
        <v>1072.4970000000001</v>
      </c>
      <c r="AN287" s="336">
        <v>3480</v>
      </c>
      <c r="AO287" s="334">
        <v>1072.9780000000001</v>
      </c>
      <c r="AP287" s="336">
        <v>3470</v>
      </c>
      <c r="AQ287" s="334">
        <v>1071.5519999999999</v>
      </c>
      <c r="AR287" s="336">
        <v>3480</v>
      </c>
      <c r="AS287" s="334">
        <v>1071.393</v>
      </c>
      <c r="AT287" s="336">
        <v>3480</v>
      </c>
      <c r="AU287" s="334">
        <v>1069.963</v>
      </c>
      <c r="AV287" s="336">
        <v>3480</v>
      </c>
      <c r="AW287" s="334">
        <v>1069.626</v>
      </c>
      <c r="AX287" s="336">
        <v>3470</v>
      </c>
      <c r="AY287" s="334">
        <v>993.755</v>
      </c>
      <c r="AZ287" s="336">
        <v>3480</v>
      </c>
      <c r="BA287" s="337">
        <v>994.96199999999999</v>
      </c>
      <c r="BB287" s="336">
        <v>3460</v>
      </c>
      <c r="BC287" s="334">
        <v>281.66300000000001</v>
      </c>
      <c r="BD287" s="336">
        <v>3460</v>
      </c>
      <c r="BE287" s="334">
        <v>294.23099999999999</v>
      </c>
    </row>
    <row r="288" spans="22:57">
      <c r="V288" s="346">
        <v>3490</v>
      </c>
      <c r="W288" s="333">
        <v>590.75</v>
      </c>
      <c r="X288" s="346">
        <v>3500</v>
      </c>
      <c r="Y288" s="334">
        <v>586.43600000000004</v>
      </c>
      <c r="Z288" s="335">
        <v>3490</v>
      </c>
      <c r="AA288" s="334">
        <v>1250.9090000000001</v>
      </c>
      <c r="AB288" s="336">
        <v>3490</v>
      </c>
      <c r="AC288" s="334">
        <v>1249.7729999999999</v>
      </c>
      <c r="AD288" s="336">
        <v>3490</v>
      </c>
      <c r="AE288" s="334">
        <v>1070.7719999999999</v>
      </c>
      <c r="AF288" s="336">
        <v>3490</v>
      </c>
      <c r="AG288" s="334">
        <v>1070.54</v>
      </c>
      <c r="AH288" s="336">
        <v>3490</v>
      </c>
      <c r="AI288" s="334">
        <v>1070.5640000000001</v>
      </c>
      <c r="AJ288" s="336">
        <v>3470</v>
      </c>
      <c r="AK288" s="334">
        <v>1071.7170000000001</v>
      </c>
      <c r="AL288" s="336">
        <v>3490</v>
      </c>
      <c r="AM288" s="334">
        <v>1071.298</v>
      </c>
      <c r="AN288" s="336">
        <v>3490</v>
      </c>
      <c r="AO288" s="334">
        <v>1071.7809999999999</v>
      </c>
      <c r="AP288" s="336">
        <v>3480</v>
      </c>
      <c r="AQ288" s="334">
        <v>1070.357</v>
      </c>
      <c r="AR288" s="336">
        <v>3490</v>
      </c>
      <c r="AS288" s="334">
        <v>1070.1969999999999</v>
      </c>
      <c r="AT288" s="336">
        <v>3490</v>
      </c>
      <c r="AU288" s="334">
        <v>1068.7660000000001</v>
      </c>
      <c r="AV288" s="336">
        <v>3490</v>
      </c>
      <c r="AW288" s="334">
        <v>1068.432</v>
      </c>
      <c r="AX288" s="336">
        <v>3480</v>
      </c>
      <c r="AY288" s="334">
        <v>992.56</v>
      </c>
      <c r="AZ288" s="336">
        <v>3490</v>
      </c>
      <c r="BA288" s="337">
        <v>993.76700000000005</v>
      </c>
      <c r="BB288" s="336">
        <v>3470</v>
      </c>
      <c r="BC288" s="334">
        <v>281.27199999999999</v>
      </c>
      <c r="BD288" s="336">
        <v>3470</v>
      </c>
      <c r="BE288" s="334">
        <v>293.827</v>
      </c>
    </row>
    <row r="289" spans="22:57">
      <c r="V289" s="346">
        <v>3500</v>
      </c>
      <c r="W289" s="333">
        <v>589.95899999999995</v>
      </c>
      <c r="X289" s="346">
        <v>3510</v>
      </c>
      <c r="Y289" s="334">
        <v>585.65</v>
      </c>
      <c r="Z289" s="335">
        <v>3500</v>
      </c>
      <c r="AA289" s="334">
        <v>1249.4190000000001</v>
      </c>
      <c r="AB289" s="336">
        <v>3500</v>
      </c>
      <c r="AC289" s="334">
        <v>1248.2860000000001</v>
      </c>
      <c r="AD289" s="336">
        <v>3500</v>
      </c>
      <c r="AE289" s="334">
        <v>1069.5730000000001</v>
      </c>
      <c r="AF289" s="336">
        <v>3500</v>
      </c>
      <c r="AG289" s="334">
        <v>1069.3409999999999</v>
      </c>
      <c r="AH289" s="336">
        <v>3500</v>
      </c>
      <c r="AI289" s="334">
        <v>1069.365</v>
      </c>
      <c r="AJ289" s="336">
        <v>3480</v>
      </c>
      <c r="AK289" s="334">
        <v>1070.519</v>
      </c>
      <c r="AL289" s="336">
        <v>3500</v>
      </c>
      <c r="AM289" s="334">
        <v>1070.0999999999999</v>
      </c>
      <c r="AN289" s="336">
        <v>3500</v>
      </c>
      <c r="AO289" s="334">
        <v>1070.5830000000001</v>
      </c>
      <c r="AP289" s="336">
        <v>3490</v>
      </c>
      <c r="AQ289" s="334">
        <v>1069.1610000000001</v>
      </c>
      <c r="AR289" s="336">
        <v>3500</v>
      </c>
      <c r="AS289" s="334">
        <v>1069.001</v>
      </c>
      <c r="AT289" s="336">
        <v>3500</v>
      </c>
      <c r="AU289" s="334">
        <v>1067.57</v>
      </c>
      <c r="AV289" s="336">
        <v>3500</v>
      </c>
      <c r="AW289" s="334">
        <v>1067.2370000000001</v>
      </c>
      <c r="AX289" s="336">
        <v>3490</v>
      </c>
      <c r="AY289" s="334">
        <v>991.36300000000006</v>
      </c>
      <c r="AZ289" s="336">
        <v>3500</v>
      </c>
      <c r="BA289" s="337">
        <v>992.572</v>
      </c>
      <c r="BB289" s="336">
        <v>3480</v>
      </c>
      <c r="BC289" s="334">
        <v>280.88099999999997</v>
      </c>
      <c r="BD289" s="336">
        <v>3480</v>
      </c>
      <c r="BE289" s="334">
        <v>293.42200000000003</v>
      </c>
    </row>
    <row r="290" spans="22:57">
      <c r="V290" s="346">
        <v>3510</v>
      </c>
      <c r="W290" s="333">
        <v>589.16700000000003</v>
      </c>
      <c r="X290" s="346">
        <v>3520</v>
      </c>
      <c r="Y290" s="334">
        <v>584.86400000000003</v>
      </c>
      <c r="Z290" s="335">
        <v>3510</v>
      </c>
      <c r="AA290" s="334">
        <v>1247.9290000000001</v>
      </c>
      <c r="AB290" s="336">
        <v>3510</v>
      </c>
      <c r="AC290" s="334">
        <v>1246.8</v>
      </c>
      <c r="AD290" s="336">
        <v>3510</v>
      </c>
      <c r="AE290" s="334">
        <v>1068.374</v>
      </c>
      <c r="AF290" s="336">
        <v>3510</v>
      </c>
      <c r="AG290" s="334">
        <v>1068.1410000000001</v>
      </c>
      <c r="AH290" s="336">
        <v>3510</v>
      </c>
      <c r="AI290" s="334">
        <v>1068.1659999999999</v>
      </c>
      <c r="AJ290" s="336">
        <v>3490</v>
      </c>
      <c r="AK290" s="334">
        <v>1069.32</v>
      </c>
      <c r="AL290" s="336">
        <v>3510</v>
      </c>
      <c r="AM290" s="334">
        <v>1068.9010000000001</v>
      </c>
      <c r="AN290" s="336">
        <v>3510</v>
      </c>
      <c r="AO290" s="334">
        <v>1069.385</v>
      </c>
      <c r="AP290" s="336">
        <v>3500</v>
      </c>
      <c r="AQ290" s="334">
        <v>1067.9649999999999</v>
      </c>
      <c r="AR290" s="336">
        <v>3510</v>
      </c>
      <c r="AS290" s="334">
        <v>1067.8040000000001</v>
      </c>
      <c r="AT290" s="336">
        <v>3510</v>
      </c>
      <c r="AU290" s="334">
        <v>1066.373</v>
      </c>
      <c r="AV290" s="336">
        <v>3510</v>
      </c>
      <c r="AW290" s="334">
        <v>1066.0419999999999</v>
      </c>
      <c r="AX290" s="336">
        <v>3500</v>
      </c>
      <c r="AY290" s="334">
        <v>990.16700000000003</v>
      </c>
      <c r="AZ290" s="336">
        <v>3510</v>
      </c>
      <c r="BA290" s="337">
        <v>991.37699999999995</v>
      </c>
      <c r="BB290" s="336">
        <v>3490</v>
      </c>
      <c r="BC290" s="334">
        <v>280.49</v>
      </c>
      <c r="BD290" s="336">
        <v>3490</v>
      </c>
      <c r="BE290" s="334">
        <v>293.017</v>
      </c>
    </row>
    <row r="291" spans="22:57">
      <c r="V291" s="346">
        <v>3520</v>
      </c>
      <c r="W291" s="333">
        <v>588.375</v>
      </c>
      <c r="X291" s="346">
        <v>3530</v>
      </c>
      <c r="Y291" s="334">
        <v>584.07799999999997</v>
      </c>
      <c r="Z291" s="335">
        <v>3520</v>
      </c>
      <c r="AA291" s="334">
        <v>1246.4390000000001</v>
      </c>
      <c r="AB291" s="336">
        <v>3520</v>
      </c>
      <c r="AC291" s="334">
        <v>1245.3119999999999</v>
      </c>
      <c r="AD291" s="336">
        <v>3520</v>
      </c>
      <c r="AE291" s="334">
        <v>1067.175</v>
      </c>
      <c r="AF291" s="336">
        <v>3520</v>
      </c>
      <c r="AG291" s="334">
        <v>1066.941</v>
      </c>
      <c r="AH291" s="336">
        <v>3520</v>
      </c>
      <c r="AI291" s="334">
        <v>1066.9670000000001</v>
      </c>
      <c r="AJ291" s="336">
        <v>3500</v>
      </c>
      <c r="AK291" s="334">
        <v>1068.1220000000001</v>
      </c>
      <c r="AL291" s="336">
        <v>3520</v>
      </c>
      <c r="AM291" s="334">
        <v>1067.703</v>
      </c>
      <c r="AN291" s="336">
        <v>3520</v>
      </c>
      <c r="AO291" s="334">
        <v>1068.1869999999999</v>
      </c>
      <c r="AP291" s="336">
        <v>3510</v>
      </c>
      <c r="AQ291" s="334">
        <v>1066.769</v>
      </c>
      <c r="AR291" s="336">
        <v>3520</v>
      </c>
      <c r="AS291" s="334">
        <v>1066.6079999999999</v>
      </c>
      <c r="AT291" s="336">
        <v>3520</v>
      </c>
      <c r="AU291" s="334">
        <v>1065.1759999999999</v>
      </c>
      <c r="AV291" s="336">
        <v>3520</v>
      </c>
      <c r="AW291" s="334">
        <v>1064.847</v>
      </c>
      <c r="AX291" s="336">
        <v>3510</v>
      </c>
      <c r="AY291" s="334">
        <v>988.97</v>
      </c>
      <c r="AZ291" s="336">
        <v>3520</v>
      </c>
      <c r="BA291" s="337">
        <v>990.18200000000002</v>
      </c>
      <c r="BB291" s="336">
        <v>3500</v>
      </c>
      <c r="BC291" s="334">
        <v>280.09899999999999</v>
      </c>
      <c r="BD291" s="336">
        <v>3500</v>
      </c>
      <c r="BE291" s="334">
        <v>292.61200000000002</v>
      </c>
    </row>
    <row r="292" spans="22:57">
      <c r="V292" s="346">
        <v>3530</v>
      </c>
      <c r="W292" s="333">
        <v>587.58299999999997</v>
      </c>
      <c r="X292" s="346">
        <v>3540</v>
      </c>
      <c r="Y292" s="334">
        <v>583.29200000000003</v>
      </c>
      <c r="Z292" s="335">
        <v>3530</v>
      </c>
      <c r="AA292" s="334">
        <v>1244.9480000000001</v>
      </c>
      <c r="AB292" s="336">
        <v>3530</v>
      </c>
      <c r="AC292" s="334">
        <v>1243.825</v>
      </c>
      <c r="AD292" s="336">
        <v>3530</v>
      </c>
      <c r="AE292" s="334">
        <v>1065.9760000000001</v>
      </c>
      <c r="AF292" s="336">
        <v>3530</v>
      </c>
      <c r="AG292" s="334">
        <v>1065.741</v>
      </c>
      <c r="AH292" s="336">
        <v>3530</v>
      </c>
      <c r="AI292" s="334">
        <v>1065.768</v>
      </c>
      <c r="AJ292" s="336">
        <v>3510</v>
      </c>
      <c r="AK292" s="334">
        <v>1066.923</v>
      </c>
      <c r="AL292" s="336">
        <v>3530</v>
      </c>
      <c r="AM292" s="334">
        <v>1066.5039999999999</v>
      </c>
      <c r="AN292" s="336">
        <v>3530</v>
      </c>
      <c r="AO292" s="334">
        <v>1066.989</v>
      </c>
      <c r="AP292" s="336">
        <v>3520</v>
      </c>
      <c r="AQ292" s="334">
        <v>1065.5730000000001</v>
      </c>
      <c r="AR292" s="336">
        <v>3530</v>
      </c>
      <c r="AS292" s="334">
        <v>1065.4110000000001</v>
      </c>
      <c r="AT292" s="336">
        <v>3530</v>
      </c>
      <c r="AU292" s="334">
        <v>1063.9780000000001</v>
      </c>
      <c r="AV292" s="336">
        <v>3530</v>
      </c>
      <c r="AW292" s="334">
        <v>1063.652</v>
      </c>
      <c r="AX292" s="336">
        <v>3520</v>
      </c>
      <c r="AY292" s="334">
        <v>987.77300000000002</v>
      </c>
      <c r="AZ292" s="336">
        <v>3530</v>
      </c>
      <c r="BA292" s="337">
        <v>988.98599999999999</v>
      </c>
      <c r="BB292" s="336">
        <v>3510</v>
      </c>
      <c r="BC292" s="334">
        <v>279.70800000000003</v>
      </c>
      <c r="BD292" s="336">
        <v>3510</v>
      </c>
      <c r="BE292" s="334">
        <v>292.20699999999999</v>
      </c>
    </row>
    <row r="293" spans="22:57">
      <c r="V293" s="346">
        <v>3540</v>
      </c>
      <c r="W293" s="333">
        <v>586.79</v>
      </c>
      <c r="X293" s="346">
        <v>3550</v>
      </c>
      <c r="Y293" s="334">
        <v>582.505</v>
      </c>
      <c r="Z293" s="335">
        <v>3540</v>
      </c>
      <c r="AA293" s="334">
        <v>1243.4570000000001</v>
      </c>
      <c r="AB293" s="336">
        <v>3540</v>
      </c>
      <c r="AC293" s="334">
        <v>1242.337</v>
      </c>
      <c r="AD293" s="336">
        <v>3540</v>
      </c>
      <c r="AE293" s="334">
        <v>1064.7760000000001</v>
      </c>
      <c r="AF293" s="336">
        <v>3540</v>
      </c>
      <c r="AG293" s="334">
        <v>1064.5409999999999</v>
      </c>
      <c r="AH293" s="336">
        <v>3540</v>
      </c>
      <c r="AI293" s="334">
        <v>1064.568</v>
      </c>
      <c r="AJ293" s="336">
        <v>3520</v>
      </c>
      <c r="AK293" s="334">
        <v>1065.7239999999999</v>
      </c>
      <c r="AL293" s="336">
        <v>3540</v>
      </c>
      <c r="AM293" s="334">
        <v>1065.3040000000001</v>
      </c>
      <c r="AN293" s="336">
        <v>3540</v>
      </c>
      <c r="AO293" s="334">
        <v>1065.79</v>
      </c>
      <c r="AP293" s="336">
        <v>3530</v>
      </c>
      <c r="AQ293" s="334">
        <v>1064.376</v>
      </c>
      <c r="AR293" s="336">
        <v>3540</v>
      </c>
      <c r="AS293" s="334">
        <v>1064.2139999999999</v>
      </c>
      <c r="AT293" s="336">
        <v>3540</v>
      </c>
      <c r="AU293" s="334">
        <v>1062.7809999999999</v>
      </c>
      <c r="AV293" s="336">
        <v>3540</v>
      </c>
      <c r="AW293" s="334">
        <v>1062.4559999999999</v>
      </c>
      <c r="AX293" s="336">
        <v>3530</v>
      </c>
      <c r="AY293" s="334">
        <v>986.57600000000002</v>
      </c>
      <c r="AZ293" s="336">
        <v>3540</v>
      </c>
      <c r="BA293" s="337">
        <v>987.79100000000005</v>
      </c>
      <c r="BB293" s="336">
        <v>3520</v>
      </c>
      <c r="BC293" s="334">
        <v>279.31700000000001</v>
      </c>
      <c r="BD293" s="336">
        <v>3520</v>
      </c>
      <c r="BE293" s="334">
        <v>291.80099999999999</v>
      </c>
    </row>
    <row r="294" spans="22:57">
      <c r="V294" s="346">
        <v>3550</v>
      </c>
      <c r="W294" s="333">
        <v>585.99800000000005</v>
      </c>
      <c r="X294" s="346">
        <v>3560</v>
      </c>
      <c r="Y294" s="334">
        <v>581.71799999999996</v>
      </c>
      <c r="Z294" s="335">
        <v>3550</v>
      </c>
      <c r="AA294" s="334">
        <v>1241.9659999999999</v>
      </c>
      <c r="AB294" s="336">
        <v>3550</v>
      </c>
      <c r="AC294" s="334">
        <v>1240.8499999999999</v>
      </c>
      <c r="AD294" s="336">
        <v>3550</v>
      </c>
      <c r="AE294" s="334">
        <v>1063.576</v>
      </c>
      <c r="AF294" s="336">
        <v>3550</v>
      </c>
      <c r="AG294" s="334">
        <v>1063.3399999999999</v>
      </c>
      <c r="AH294" s="336">
        <v>3550</v>
      </c>
      <c r="AI294" s="334">
        <v>1063.3679999999999</v>
      </c>
      <c r="AJ294" s="336">
        <v>3530</v>
      </c>
      <c r="AK294" s="334">
        <v>1064.5239999999999</v>
      </c>
      <c r="AL294" s="336">
        <v>3550</v>
      </c>
      <c r="AM294" s="334">
        <v>1064.105</v>
      </c>
      <c r="AN294" s="336">
        <v>3550</v>
      </c>
      <c r="AO294" s="334">
        <v>1064.5909999999999</v>
      </c>
      <c r="AP294" s="336">
        <v>3540</v>
      </c>
      <c r="AQ294" s="334">
        <v>1063.1790000000001</v>
      </c>
      <c r="AR294" s="336">
        <v>3550</v>
      </c>
      <c r="AS294" s="334">
        <v>1063.0160000000001</v>
      </c>
      <c r="AT294" s="336">
        <v>3550</v>
      </c>
      <c r="AU294" s="334">
        <v>1061.5830000000001</v>
      </c>
      <c r="AV294" s="336">
        <v>3550</v>
      </c>
      <c r="AW294" s="334">
        <v>1061.26</v>
      </c>
      <c r="AX294" s="336">
        <v>3540</v>
      </c>
      <c r="AY294" s="334">
        <v>985.37900000000002</v>
      </c>
      <c r="AZ294" s="336">
        <v>3550</v>
      </c>
      <c r="BA294" s="337">
        <v>986.59400000000005</v>
      </c>
      <c r="BB294" s="336">
        <v>3530</v>
      </c>
      <c r="BC294" s="334">
        <v>278.92599999999999</v>
      </c>
      <c r="BD294" s="336">
        <v>3530</v>
      </c>
      <c r="BE294" s="334">
        <v>291.39600000000002</v>
      </c>
    </row>
    <row r="295" spans="22:57">
      <c r="V295" s="346">
        <v>3560</v>
      </c>
      <c r="W295" s="333">
        <v>585.20500000000004</v>
      </c>
      <c r="X295" s="346">
        <v>3570</v>
      </c>
      <c r="Y295" s="334">
        <v>580.93100000000004</v>
      </c>
      <c r="Z295" s="335">
        <v>3560</v>
      </c>
      <c r="AA295" s="334">
        <v>1240.4739999999999</v>
      </c>
      <c r="AB295" s="336">
        <v>3560</v>
      </c>
      <c r="AC295" s="334">
        <v>1239.3610000000001</v>
      </c>
      <c r="AD295" s="336">
        <v>3560</v>
      </c>
      <c r="AE295" s="334">
        <v>1062.376</v>
      </c>
      <c r="AF295" s="336">
        <v>3560</v>
      </c>
      <c r="AG295" s="334">
        <v>1062.1389999999999</v>
      </c>
      <c r="AH295" s="336">
        <v>3560</v>
      </c>
      <c r="AI295" s="334">
        <v>1062.1679999999999</v>
      </c>
      <c r="AJ295" s="336">
        <v>3540</v>
      </c>
      <c r="AK295" s="334">
        <v>1063.325</v>
      </c>
      <c r="AL295" s="336">
        <v>3560</v>
      </c>
      <c r="AM295" s="334">
        <v>1062.905</v>
      </c>
      <c r="AN295" s="336">
        <v>3560</v>
      </c>
      <c r="AO295" s="334">
        <v>1063.3920000000001</v>
      </c>
      <c r="AP295" s="336">
        <v>3550</v>
      </c>
      <c r="AQ295" s="334">
        <v>1061.982</v>
      </c>
      <c r="AR295" s="336">
        <v>3560</v>
      </c>
      <c r="AS295" s="334">
        <v>1061.818</v>
      </c>
      <c r="AT295" s="336">
        <v>3560</v>
      </c>
      <c r="AU295" s="334">
        <v>1060.385</v>
      </c>
      <c r="AV295" s="336">
        <v>3560</v>
      </c>
      <c r="AW295" s="334">
        <v>1060.0640000000001</v>
      </c>
      <c r="AX295" s="336">
        <v>3550</v>
      </c>
      <c r="AY295" s="334">
        <v>984.18100000000004</v>
      </c>
      <c r="AZ295" s="336">
        <v>3560</v>
      </c>
      <c r="BA295" s="337">
        <v>985.39800000000002</v>
      </c>
      <c r="BB295" s="336">
        <v>3540</v>
      </c>
      <c r="BC295" s="334">
        <v>278.53399999999999</v>
      </c>
      <c r="BD295" s="336">
        <v>3540</v>
      </c>
      <c r="BE295" s="334">
        <v>290.99099999999999</v>
      </c>
    </row>
    <row r="296" spans="22:57">
      <c r="V296" s="346">
        <v>3570</v>
      </c>
      <c r="W296" s="333">
        <v>584.41200000000003</v>
      </c>
      <c r="X296" s="346">
        <v>3580</v>
      </c>
      <c r="Y296" s="334">
        <v>580.14400000000001</v>
      </c>
      <c r="Z296" s="335">
        <v>3570</v>
      </c>
      <c r="AA296" s="334">
        <v>1238.9829999999999</v>
      </c>
      <c r="AB296" s="336">
        <v>3570</v>
      </c>
      <c r="AC296" s="334">
        <v>1237.873</v>
      </c>
      <c r="AD296" s="336">
        <v>3570</v>
      </c>
      <c r="AE296" s="334">
        <v>1061.1759999999999</v>
      </c>
      <c r="AF296" s="336">
        <v>3570</v>
      </c>
      <c r="AG296" s="334">
        <v>1060.9380000000001</v>
      </c>
      <c r="AH296" s="336">
        <v>3570</v>
      </c>
      <c r="AI296" s="334">
        <v>1060.9680000000001</v>
      </c>
      <c r="AJ296" s="336">
        <v>3550</v>
      </c>
      <c r="AK296" s="334">
        <v>1062.125</v>
      </c>
      <c r="AL296" s="336">
        <v>3570</v>
      </c>
      <c r="AM296" s="334">
        <v>1061.7049999999999</v>
      </c>
      <c r="AN296" s="336">
        <v>3570</v>
      </c>
      <c r="AO296" s="334">
        <v>1062.192</v>
      </c>
      <c r="AP296" s="336">
        <v>3560</v>
      </c>
      <c r="AQ296" s="334">
        <v>1060.7850000000001</v>
      </c>
      <c r="AR296" s="336">
        <v>3570</v>
      </c>
      <c r="AS296" s="334">
        <v>1060.6210000000001</v>
      </c>
      <c r="AT296" s="336">
        <v>3570</v>
      </c>
      <c r="AU296" s="334">
        <v>1059.1859999999999</v>
      </c>
      <c r="AV296" s="336">
        <v>3570</v>
      </c>
      <c r="AW296" s="334">
        <v>1058.8679999999999</v>
      </c>
      <c r="AX296" s="336">
        <v>3560</v>
      </c>
      <c r="AY296" s="334">
        <v>982.98400000000004</v>
      </c>
      <c r="AZ296" s="336">
        <v>3570</v>
      </c>
      <c r="BA296" s="337">
        <v>984.202</v>
      </c>
      <c r="BB296" s="336">
        <v>3550</v>
      </c>
      <c r="BC296" s="334">
        <v>278.14299999999997</v>
      </c>
      <c r="BD296" s="336">
        <v>3550</v>
      </c>
      <c r="BE296" s="334">
        <v>290.58499999999998</v>
      </c>
    </row>
    <row r="297" spans="22:57">
      <c r="V297" s="346">
        <v>3580</v>
      </c>
      <c r="W297" s="333">
        <v>583.61900000000003</v>
      </c>
      <c r="X297" s="346">
        <v>3590</v>
      </c>
      <c r="Y297" s="334">
        <v>579.35699999999997</v>
      </c>
      <c r="Z297" s="335">
        <v>3580</v>
      </c>
      <c r="AA297" s="334">
        <v>1237.49</v>
      </c>
      <c r="AB297" s="336">
        <v>3580</v>
      </c>
      <c r="AC297" s="334">
        <v>1236.384</v>
      </c>
      <c r="AD297" s="336">
        <v>3580</v>
      </c>
      <c r="AE297" s="334">
        <v>1059.9749999999999</v>
      </c>
      <c r="AF297" s="336">
        <v>3580</v>
      </c>
      <c r="AG297" s="334">
        <v>1059.7370000000001</v>
      </c>
      <c r="AH297" s="336">
        <v>3580</v>
      </c>
      <c r="AI297" s="334">
        <v>1059.7670000000001</v>
      </c>
      <c r="AJ297" s="336">
        <v>3560</v>
      </c>
      <c r="AK297" s="334">
        <v>1060.925</v>
      </c>
      <c r="AL297" s="336">
        <v>3580</v>
      </c>
      <c r="AM297" s="334">
        <v>1060.5050000000001</v>
      </c>
      <c r="AN297" s="336">
        <v>3580</v>
      </c>
      <c r="AO297" s="334">
        <v>1060.9929999999999</v>
      </c>
      <c r="AP297" s="336">
        <v>3570</v>
      </c>
      <c r="AQ297" s="334">
        <v>1059.587</v>
      </c>
      <c r="AR297" s="336">
        <v>3580</v>
      </c>
      <c r="AS297" s="334">
        <v>1059.422</v>
      </c>
      <c r="AT297" s="336">
        <v>3580</v>
      </c>
      <c r="AU297" s="334">
        <v>1057.9880000000001</v>
      </c>
      <c r="AV297" s="336">
        <v>3580</v>
      </c>
      <c r="AW297" s="334">
        <v>1057.671</v>
      </c>
      <c r="AX297" s="336">
        <v>3570</v>
      </c>
      <c r="AY297" s="334">
        <v>981.78499999999997</v>
      </c>
      <c r="AZ297" s="336">
        <v>3580</v>
      </c>
      <c r="BA297" s="337">
        <v>983.005</v>
      </c>
      <c r="BB297" s="336">
        <v>3560</v>
      </c>
      <c r="BC297" s="334">
        <v>277.75099999999998</v>
      </c>
      <c r="BD297" s="336">
        <v>3560</v>
      </c>
      <c r="BE297" s="334">
        <v>290.18</v>
      </c>
    </row>
    <row r="298" spans="22:57">
      <c r="V298" s="346">
        <v>3590</v>
      </c>
      <c r="W298" s="333">
        <v>582.82600000000002</v>
      </c>
      <c r="X298" s="346">
        <v>3600</v>
      </c>
      <c r="Y298" s="334">
        <v>578.56899999999996</v>
      </c>
      <c r="Z298" s="335">
        <v>3590</v>
      </c>
      <c r="AA298" s="334">
        <v>1235.998</v>
      </c>
      <c r="AB298" s="336">
        <v>3590</v>
      </c>
      <c r="AC298" s="334">
        <v>1234.895</v>
      </c>
      <c r="AD298" s="336">
        <v>3590</v>
      </c>
      <c r="AE298" s="334">
        <v>1058.7739999999999</v>
      </c>
      <c r="AF298" s="336">
        <v>3590</v>
      </c>
      <c r="AG298" s="334">
        <v>1058.5350000000001</v>
      </c>
      <c r="AH298" s="336">
        <v>3590</v>
      </c>
      <c r="AI298" s="334">
        <v>1058.566</v>
      </c>
      <c r="AJ298" s="336">
        <v>3570</v>
      </c>
      <c r="AK298" s="334">
        <v>1059.7239999999999</v>
      </c>
      <c r="AL298" s="336">
        <v>3590</v>
      </c>
      <c r="AM298" s="334">
        <v>1059.3040000000001</v>
      </c>
      <c r="AN298" s="336">
        <v>3590</v>
      </c>
      <c r="AO298" s="334">
        <v>1059.7929999999999</v>
      </c>
      <c r="AP298" s="336">
        <v>3580</v>
      </c>
      <c r="AQ298" s="334">
        <v>1058.3889999999999</v>
      </c>
      <c r="AR298" s="336">
        <v>3590</v>
      </c>
      <c r="AS298" s="334">
        <v>1058.2239999999999</v>
      </c>
      <c r="AT298" s="336">
        <v>3590</v>
      </c>
      <c r="AU298" s="334">
        <v>1056.789</v>
      </c>
      <c r="AV298" s="336">
        <v>3590</v>
      </c>
      <c r="AW298" s="334">
        <v>1056.4739999999999</v>
      </c>
      <c r="AX298" s="336">
        <v>3580</v>
      </c>
      <c r="AY298" s="334">
        <v>980.58699999999999</v>
      </c>
      <c r="AZ298" s="336">
        <v>3590</v>
      </c>
      <c r="BA298" s="337">
        <v>981.80799999999999</v>
      </c>
      <c r="BB298" s="336">
        <v>3570</v>
      </c>
      <c r="BC298" s="334">
        <v>277.35899999999998</v>
      </c>
      <c r="BD298" s="336">
        <v>3570</v>
      </c>
      <c r="BE298" s="334">
        <v>289.774</v>
      </c>
    </row>
    <row r="299" spans="22:57">
      <c r="V299" s="346">
        <v>3600</v>
      </c>
      <c r="W299" s="333">
        <v>582.03300000000002</v>
      </c>
      <c r="X299" s="346">
        <v>3610</v>
      </c>
      <c r="Y299" s="334">
        <v>577.78200000000004</v>
      </c>
      <c r="Z299" s="335">
        <v>3600</v>
      </c>
      <c r="AA299" s="334">
        <v>1234.5050000000001</v>
      </c>
      <c r="AB299" s="336">
        <v>3600</v>
      </c>
      <c r="AC299" s="334">
        <v>1233.405</v>
      </c>
      <c r="AD299" s="336">
        <v>3600</v>
      </c>
      <c r="AE299" s="334">
        <v>1057.5730000000001</v>
      </c>
      <c r="AF299" s="336">
        <v>3600</v>
      </c>
      <c r="AG299" s="334">
        <v>1057.3330000000001</v>
      </c>
      <c r="AH299" s="336">
        <v>3600</v>
      </c>
      <c r="AI299" s="334">
        <v>1057.365</v>
      </c>
      <c r="AJ299" s="336">
        <v>3580</v>
      </c>
      <c r="AK299" s="334">
        <v>1058.5239999999999</v>
      </c>
      <c r="AL299" s="336">
        <v>3600</v>
      </c>
      <c r="AM299" s="334">
        <v>1058.1030000000001</v>
      </c>
      <c r="AN299" s="336">
        <v>3600</v>
      </c>
      <c r="AO299" s="334">
        <v>1058.5920000000001</v>
      </c>
      <c r="AP299" s="336">
        <v>3590</v>
      </c>
      <c r="AQ299" s="334">
        <v>1057.191</v>
      </c>
      <c r="AR299" s="336">
        <v>3600</v>
      </c>
      <c r="AS299" s="334">
        <v>1057.0250000000001</v>
      </c>
      <c r="AT299" s="336">
        <v>3600</v>
      </c>
      <c r="AU299" s="334">
        <v>1055.5899999999999</v>
      </c>
      <c r="AV299" s="336">
        <v>3600</v>
      </c>
      <c r="AW299" s="334">
        <v>1055.277</v>
      </c>
      <c r="AX299" s="336">
        <v>3590</v>
      </c>
      <c r="AY299" s="334">
        <v>979.38900000000001</v>
      </c>
      <c r="AZ299" s="336">
        <v>3600</v>
      </c>
      <c r="BA299" s="337">
        <v>980.61099999999999</v>
      </c>
      <c r="BB299" s="336">
        <v>3580</v>
      </c>
      <c r="BC299" s="334">
        <v>276.96800000000002</v>
      </c>
      <c r="BD299" s="336">
        <v>3580</v>
      </c>
      <c r="BE299" s="334">
        <v>289.36799999999999</v>
      </c>
    </row>
    <row r="300" spans="22:57">
      <c r="V300" s="346">
        <v>3610</v>
      </c>
      <c r="W300" s="333">
        <v>581.23900000000003</v>
      </c>
      <c r="X300" s="346">
        <v>3620</v>
      </c>
      <c r="Y300" s="334">
        <v>576.99400000000003</v>
      </c>
      <c r="Z300" s="335">
        <v>3610</v>
      </c>
      <c r="AA300" s="334">
        <v>1233.0119999999999</v>
      </c>
      <c r="AB300" s="336">
        <v>3610</v>
      </c>
      <c r="AC300" s="334">
        <v>1231.915</v>
      </c>
      <c r="AD300" s="336">
        <v>3610</v>
      </c>
      <c r="AE300" s="334">
        <v>1056.3720000000001</v>
      </c>
      <c r="AF300" s="336">
        <v>3610</v>
      </c>
      <c r="AG300" s="334">
        <v>1056.1310000000001</v>
      </c>
      <c r="AH300" s="336">
        <v>3610</v>
      </c>
      <c r="AI300" s="334">
        <v>1056.164</v>
      </c>
      <c r="AJ300" s="336">
        <v>3590</v>
      </c>
      <c r="AK300" s="334">
        <v>1057.3230000000001</v>
      </c>
      <c r="AL300" s="336">
        <v>3610</v>
      </c>
      <c r="AM300" s="334">
        <v>1056.903</v>
      </c>
      <c r="AN300" s="336">
        <v>3610</v>
      </c>
      <c r="AO300" s="334">
        <v>1057.3920000000001</v>
      </c>
      <c r="AP300" s="336">
        <v>3600</v>
      </c>
      <c r="AQ300" s="334">
        <v>1055.9929999999999</v>
      </c>
      <c r="AR300" s="336">
        <v>3610</v>
      </c>
      <c r="AS300" s="334">
        <v>1055.826</v>
      </c>
      <c r="AT300" s="336">
        <v>3610</v>
      </c>
      <c r="AU300" s="334">
        <v>1054.3900000000001</v>
      </c>
      <c r="AV300" s="336">
        <v>3610</v>
      </c>
      <c r="AW300" s="334">
        <v>1054.08</v>
      </c>
      <c r="AX300" s="336">
        <v>3600</v>
      </c>
      <c r="AY300" s="334">
        <v>978.19</v>
      </c>
      <c r="AZ300" s="336">
        <v>3610</v>
      </c>
      <c r="BA300" s="337">
        <v>979.41300000000001</v>
      </c>
      <c r="BB300" s="336">
        <v>3590</v>
      </c>
      <c r="BC300" s="334">
        <v>276.57600000000002</v>
      </c>
      <c r="BD300" s="336">
        <v>3590</v>
      </c>
      <c r="BE300" s="334">
        <v>288.96199999999999</v>
      </c>
    </row>
    <row r="301" spans="22:57">
      <c r="V301" s="346">
        <v>3620</v>
      </c>
      <c r="W301" s="333">
        <v>580.44500000000005</v>
      </c>
      <c r="X301" s="346">
        <v>3630</v>
      </c>
      <c r="Y301" s="334">
        <v>576.20600000000002</v>
      </c>
      <c r="Z301" s="335">
        <v>3620</v>
      </c>
      <c r="AA301" s="334">
        <v>1231.519</v>
      </c>
      <c r="AB301" s="336">
        <v>3620</v>
      </c>
      <c r="AC301" s="334">
        <v>1230.425</v>
      </c>
      <c r="AD301" s="336">
        <v>3620</v>
      </c>
      <c r="AE301" s="334">
        <v>1055.17</v>
      </c>
      <c r="AF301" s="336">
        <v>3620</v>
      </c>
      <c r="AG301" s="334">
        <v>1054.9290000000001</v>
      </c>
      <c r="AH301" s="336">
        <v>3620</v>
      </c>
      <c r="AI301" s="334">
        <v>1054.962</v>
      </c>
      <c r="AJ301" s="336">
        <v>3600</v>
      </c>
      <c r="AK301" s="334">
        <v>1056.1220000000001</v>
      </c>
      <c r="AL301" s="336">
        <v>3620</v>
      </c>
      <c r="AM301" s="334">
        <v>1055.701</v>
      </c>
      <c r="AN301" s="336">
        <v>3620</v>
      </c>
      <c r="AO301" s="334">
        <v>1056.191</v>
      </c>
      <c r="AP301" s="336">
        <v>3610</v>
      </c>
      <c r="AQ301" s="334">
        <v>1054.7940000000001</v>
      </c>
      <c r="AR301" s="336">
        <v>3620</v>
      </c>
      <c r="AS301" s="334">
        <v>1054.627</v>
      </c>
      <c r="AT301" s="336">
        <v>3620</v>
      </c>
      <c r="AU301" s="334">
        <v>1053.191</v>
      </c>
      <c r="AV301" s="336">
        <v>3620</v>
      </c>
      <c r="AW301" s="334">
        <v>1052.8820000000001</v>
      </c>
      <c r="AX301" s="336">
        <v>3610</v>
      </c>
      <c r="AY301" s="334">
        <v>976.99099999999999</v>
      </c>
      <c r="AZ301" s="336">
        <v>3620</v>
      </c>
      <c r="BA301" s="337">
        <v>978.21500000000003</v>
      </c>
      <c r="BB301" s="336">
        <v>3600</v>
      </c>
      <c r="BC301" s="334">
        <v>276.18400000000003</v>
      </c>
      <c r="BD301" s="336">
        <v>3600</v>
      </c>
      <c r="BE301" s="334">
        <v>288.55599999999998</v>
      </c>
    </row>
    <row r="302" spans="22:57">
      <c r="V302" s="346">
        <v>3630</v>
      </c>
      <c r="W302" s="333">
        <v>579.65200000000004</v>
      </c>
      <c r="X302" s="346">
        <v>3640</v>
      </c>
      <c r="Y302" s="334">
        <v>575.41800000000001</v>
      </c>
      <c r="Z302" s="335">
        <v>3630</v>
      </c>
      <c r="AA302" s="334">
        <v>1230.0250000000001</v>
      </c>
      <c r="AB302" s="336">
        <v>3630</v>
      </c>
      <c r="AC302" s="334">
        <v>1228.9349999999999</v>
      </c>
      <c r="AD302" s="336">
        <v>3630</v>
      </c>
      <c r="AE302" s="334">
        <v>1053.9680000000001</v>
      </c>
      <c r="AF302" s="336">
        <v>3630</v>
      </c>
      <c r="AG302" s="334">
        <v>1053.7260000000001</v>
      </c>
      <c r="AH302" s="336">
        <v>3630</v>
      </c>
      <c r="AI302" s="334">
        <v>1053.76</v>
      </c>
      <c r="AJ302" s="336">
        <v>3610</v>
      </c>
      <c r="AK302" s="334">
        <v>1054.92</v>
      </c>
      <c r="AL302" s="336">
        <v>3630</v>
      </c>
      <c r="AM302" s="334">
        <v>1054.5</v>
      </c>
      <c r="AN302" s="336">
        <v>3630</v>
      </c>
      <c r="AO302" s="334">
        <v>1054.99</v>
      </c>
      <c r="AP302" s="336">
        <v>3620</v>
      </c>
      <c r="AQ302" s="334">
        <v>1053.596</v>
      </c>
      <c r="AR302" s="336">
        <v>3630</v>
      </c>
      <c r="AS302" s="334">
        <v>1053.4280000000001</v>
      </c>
      <c r="AT302" s="336">
        <v>3630</v>
      </c>
      <c r="AU302" s="334">
        <v>1051.991</v>
      </c>
      <c r="AV302" s="336">
        <v>3630</v>
      </c>
      <c r="AW302" s="334">
        <v>1051.684</v>
      </c>
      <c r="AX302" s="336">
        <v>3620</v>
      </c>
      <c r="AY302" s="334">
        <v>975.79100000000005</v>
      </c>
      <c r="AZ302" s="336">
        <v>3630</v>
      </c>
      <c r="BA302" s="337">
        <v>977.01700000000005</v>
      </c>
      <c r="BB302" s="336">
        <v>3610</v>
      </c>
      <c r="BC302" s="334">
        <v>275.79199999999997</v>
      </c>
      <c r="BD302" s="336">
        <v>3610</v>
      </c>
      <c r="BE302" s="334">
        <v>288.14999999999998</v>
      </c>
    </row>
    <row r="303" spans="22:57">
      <c r="V303" s="346">
        <v>3640</v>
      </c>
      <c r="W303" s="333">
        <v>578.85699999999997</v>
      </c>
      <c r="X303" s="346">
        <v>3650</v>
      </c>
      <c r="Y303" s="334">
        <v>574.63</v>
      </c>
      <c r="Z303" s="335">
        <v>3640</v>
      </c>
      <c r="AA303" s="334">
        <v>1228.5309999999999</v>
      </c>
      <c r="AB303" s="336">
        <v>3640</v>
      </c>
      <c r="AC303" s="334">
        <v>1227.444</v>
      </c>
      <c r="AD303" s="336">
        <v>3640</v>
      </c>
      <c r="AE303" s="334">
        <v>1052.7660000000001</v>
      </c>
      <c r="AF303" s="336">
        <v>3640</v>
      </c>
      <c r="AG303" s="334">
        <v>1052.5239999999999</v>
      </c>
      <c r="AH303" s="336">
        <v>3640</v>
      </c>
      <c r="AI303" s="334">
        <v>1052.558</v>
      </c>
      <c r="AJ303" s="336">
        <v>3620</v>
      </c>
      <c r="AK303" s="334">
        <v>1053.7190000000001</v>
      </c>
      <c r="AL303" s="336">
        <v>3640</v>
      </c>
      <c r="AM303" s="334">
        <v>1053.298</v>
      </c>
      <c r="AN303" s="336">
        <v>3640</v>
      </c>
      <c r="AO303" s="334">
        <v>1053.789</v>
      </c>
      <c r="AP303" s="336">
        <v>3630</v>
      </c>
      <c r="AQ303" s="334">
        <v>1052.3969999999999</v>
      </c>
      <c r="AR303" s="336">
        <v>3640</v>
      </c>
      <c r="AS303" s="334">
        <v>1052.2280000000001</v>
      </c>
      <c r="AT303" s="336">
        <v>3640</v>
      </c>
      <c r="AU303" s="334">
        <v>1050.7909999999999</v>
      </c>
      <c r="AV303" s="336">
        <v>3640</v>
      </c>
      <c r="AW303" s="334">
        <v>1050.4860000000001</v>
      </c>
      <c r="AX303" s="336">
        <v>3630</v>
      </c>
      <c r="AY303" s="334">
        <v>974.59199999999998</v>
      </c>
      <c r="AZ303" s="336">
        <v>3640</v>
      </c>
      <c r="BA303" s="337">
        <v>975.81899999999996</v>
      </c>
      <c r="BB303" s="336">
        <v>3620</v>
      </c>
      <c r="BC303" s="334">
        <v>275.39999999999998</v>
      </c>
      <c r="BD303" s="336">
        <v>3620</v>
      </c>
      <c r="BE303" s="334">
        <v>287.74400000000003</v>
      </c>
    </row>
    <row r="304" spans="22:57">
      <c r="V304" s="346">
        <v>3650</v>
      </c>
      <c r="W304" s="333">
        <v>578.06299999999999</v>
      </c>
      <c r="X304" s="346">
        <v>3660</v>
      </c>
      <c r="Y304" s="334">
        <v>573.84100000000001</v>
      </c>
      <c r="Z304" s="335">
        <v>3650</v>
      </c>
      <c r="AA304" s="334">
        <v>1227.037</v>
      </c>
      <c r="AB304" s="336">
        <v>3650</v>
      </c>
      <c r="AC304" s="334">
        <v>1225.953</v>
      </c>
      <c r="AD304" s="336">
        <v>3650</v>
      </c>
      <c r="AE304" s="334">
        <v>1051.5640000000001</v>
      </c>
      <c r="AF304" s="336">
        <v>3650</v>
      </c>
      <c r="AG304" s="334">
        <v>1051.3209999999999</v>
      </c>
      <c r="AH304" s="336">
        <v>3650</v>
      </c>
      <c r="AI304" s="334">
        <v>1051.356</v>
      </c>
      <c r="AJ304" s="336">
        <v>3630</v>
      </c>
      <c r="AK304" s="334">
        <v>1052.5170000000001</v>
      </c>
      <c r="AL304" s="336">
        <v>3650</v>
      </c>
      <c r="AM304" s="334">
        <v>1052.096</v>
      </c>
      <c r="AN304" s="336">
        <v>3650</v>
      </c>
      <c r="AO304" s="334">
        <v>1052.588</v>
      </c>
      <c r="AP304" s="336">
        <v>3640</v>
      </c>
      <c r="AQ304" s="334">
        <v>1051.1969999999999</v>
      </c>
      <c r="AR304" s="336">
        <v>3650</v>
      </c>
      <c r="AS304" s="334">
        <v>1051.029</v>
      </c>
      <c r="AT304" s="336">
        <v>3650</v>
      </c>
      <c r="AU304" s="334">
        <v>1049.5909999999999</v>
      </c>
      <c r="AV304" s="336">
        <v>3650</v>
      </c>
      <c r="AW304" s="334">
        <v>1049.288</v>
      </c>
      <c r="AX304" s="336">
        <v>3640</v>
      </c>
      <c r="AY304" s="334">
        <v>973.39200000000005</v>
      </c>
      <c r="AZ304" s="336">
        <v>3650</v>
      </c>
      <c r="BA304" s="337">
        <v>974.62099999999998</v>
      </c>
      <c r="BB304" s="336">
        <v>3630</v>
      </c>
      <c r="BC304" s="334">
        <v>275.00700000000001</v>
      </c>
      <c r="BD304" s="336">
        <v>3630</v>
      </c>
      <c r="BE304" s="334">
        <v>287.33800000000002</v>
      </c>
    </row>
    <row r="305" spans="22:57">
      <c r="V305" s="346">
        <v>3660</v>
      </c>
      <c r="W305" s="333">
        <v>577.26900000000001</v>
      </c>
      <c r="X305" s="346">
        <v>3670</v>
      </c>
      <c r="Y305" s="334">
        <v>573.05200000000002</v>
      </c>
      <c r="Z305" s="335">
        <v>3660</v>
      </c>
      <c r="AA305" s="334">
        <v>1225.5429999999999</v>
      </c>
      <c r="AB305" s="336">
        <v>3660</v>
      </c>
      <c r="AC305" s="334">
        <v>1224.462</v>
      </c>
      <c r="AD305" s="336">
        <v>3660</v>
      </c>
      <c r="AE305" s="334">
        <v>1050.3610000000001</v>
      </c>
      <c r="AF305" s="336">
        <v>3660</v>
      </c>
      <c r="AG305" s="334">
        <v>1050.117</v>
      </c>
      <c r="AH305" s="336">
        <v>3660</v>
      </c>
      <c r="AI305" s="334">
        <v>1050.153</v>
      </c>
      <c r="AJ305" s="336">
        <v>3640</v>
      </c>
      <c r="AK305" s="334">
        <v>1051.3150000000001</v>
      </c>
      <c r="AL305" s="336">
        <v>3660</v>
      </c>
      <c r="AM305" s="334">
        <v>1050.894</v>
      </c>
      <c r="AN305" s="336">
        <v>3660</v>
      </c>
      <c r="AO305" s="334">
        <v>1051.386</v>
      </c>
      <c r="AP305" s="336">
        <v>3650</v>
      </c>
      <c r="AQ305" s="334">
        <v>1049.998</v>
      </c>
      <c r="AR305" s="336">
        <v>3660</v>
      </c>
      <c r="AS305" s="334">
        <v>1049.828</v>
      </c>
      <c r="AT305" s="336">
        <v>3660</v>
      </c>
      <c r="AU305" s="334">
        <v>1048.3900000000001</v>
      </c>
      <c r="AV305" s="336">
        <v>3660</v>
      </c>
      <c r="AW305" s="334">
        <v>1048.0889999999999</v>
      </c>
      <c r="AX305" s="336">
        <v>3650</v>
      </c>
      <c r="AY305" s="334">
        <v>972.19200000000001</v>
      </c>
      <c r="AZ305" s="336">
        <v>3660</v>
      </c>
      <c r="BA305" s="337">
        <v>973.42200000000003</v>
      </c>
      <c r="BB305" s="336">
        <v>3640</v>
      </c>
      <c r="BC305" s="334">
        <v>274.61500000000001</v>
      </c>
      <c r="BD305" s="336">
        <v>3640</v>
      </c>
      <c r="BE305" s="334">
        <v>286.93099999999998</v>
      </c>
    </row>
    <row r="306" spans="22:57">
      <c r="V306" s="346">
        <v>3670</v>
      </c>
      <c r="W306" s="333">
        <v>576.47400000000005</v>
      </c>
      <c r="X306" s="346">
        <v>3680</v>
      </c>
      <c r="Y306" s="334">
        <v>572.26300000000003</v>
      </c>
      <c r="Z306" s="335">
        <v>3670</v>
      </c>
      <c r="AA306" s="334">
        <v>1224.048</v>
      </c>
      <c r="AB306" s="336">
        <v>3670</v>
      </c>
      <c r="AC306" s="334">
        <v>1222.97</v>
      </c>
      <c r="AD306" s="336">
        <v>3670</v>
      </c>
      <c r="AE306" s="334">
        <v>1049.1590000000001</v>
      </c>
      <c r="AF306" s="336">
        <v>3670</v>
      </c>
      <c r="AG306" s="334">
        <v>1048.914</v>
      </c>
      <c r="AH306" s="336">
        <v>3670</v>
      </c>
      <c r="AI306" s="334">
        <v>1048.95</v>
      </c>
      <c r="AJ306" s="336">
        <v>3650</v>
      </c>
      <c r="AK306" s="334">
        <v>1050.1130000000001</v>
      </c>
      <c r="AL306" s="336">
        <v>3670</v>
      </c>
      <c r="AM306" s="334">
        <v>1049.692</v>
      </c>
      <c r="AN306" s="336">
        <v>3670</v>
      </c>
      <c r="AO306" s="334">
        <v>1050.184</v>
      </c>
      <c r="AP306" s="336">
        <v>3660</v>
      </c>
      <c r="AQ306" s="334">
        <v>1048.798</v>
      </c>
      <c r="AR306" s="336">
        <v>3670</v>
      </c>
      <c r="AS306" s="334">
        <v>1048.6279999999999</v>
      </c>
      <c r="AT306" s="336">
        <v>3670</v>
      </c>
      <c r="AU306" s="334">
        <v>1047.1890000000001</v>
      </c>
      <c r="AV306" s="336">
        <v>3670</v>
      </c>
      <c r="AW306" s="334">
        <v>1046.8910000000001</v>
      </c>
      <c r="AX306" s="336">
        <v>3660</v>
      </c>
      <c r="AY306" s="334">
        <v>970.99199999999996</v>
      </c>
      <c r="AZ306" s="336">
        <v>3670</v>
      </c>
      <c r="BA306" s="337">
        <v>972.22299999999996</v>
      </c>
      <c r="BB306" s="336">
        <v>3650</v>
      </c>
      <c r="BC306" s="334">
        <v>274.22300000000001</v>
      </c>
      <c r="BD306" s="336">
        <v>3650</v>
      </c>
      <c r="BE306" s="334">
        <v>286.52499999999998</v>
      </c>
    </row>
    <row r="307" spans="22:57">
      <c r="V307" s="346">
        <v>3680</v>
      </c>
      <c r="W307" s="333">
        <v>575.67999999999995</v>
      </c>
      <c r="X307" s="346">
        <v>3690</v>
      </c>
      <c r="Y307" s="334">
        <v>571.47400000000005</v>
      </c>
      <c r="Z307" s="335">
        <v>3680</v>
      </c>
      <c r="AA307" s="334">
        <v>1222.5530000000001</v>
      </c>
      <c r="AB307" s="336">
        <v>3680</v>
      </c>
      <c r="AC307" s="334">
        <v>1221.479</v>
      </c>
      <c r="AD307" s="336">
        <v>3680</v>
      </c>
      <c r="AE307" s="334">
        <v>1047.9559999999999</v>
      </c>
      <c r="AF307" s="336">
        <v>3680</v>
      </c>
      <c r="AG307" s="334">
        <v>1047.71</v>
      </c>
      <c r="AH307" s="336">
        <v>3680</v>
      </c>
      <c r="AI307" s="334">
        <v>1047.748</v>
      </c>
      <c r="AJ307" s="336">
        <v>3660</v>
      </c>
      <c r="AK307" s="334">
        <v>1048.9100000000001</v>
      </c>
      <c r="AL307" s="336">
        <v>3680</v>
      </c>
      <c r="AM307" s="334">
        <v>1048.489</v>
      </c>
      <c r="AN307" s="336">
        <v>3680</v>
      </c>
      <c r="AO307" s="334">
        <v>1048.982</v>
      </c>
      <c r="AP307" s="336">
        <v>3670</v>
      </c>
      <c r="AQ307" s="334">
        <v>1047.598</v>
      </c>
      <c r="AR307" s="336">
        <v>3680</v>
      </c>
      <c r="AS307" s="334">
        <v>1047.4269999999999</v>
      </c>
      <c r="AT307" s="336">
        <v>3680</v>
      </c>
      <c r="AU307" s="334">
        <v>1045.9880000000001</v>
      </c>
      <c r="AV307" s="336">
        <v>3680</v>
      </c>
      <c r="AW307" s="334">
        <v>1045.692</v>
      </c>
      <c r="AX307" s="336">
        <v>3670</v>
      </c>
      <c r="AY307" s="334">
        <v>969.79100000000005</v>
      </c>
      <c r="AZ307" s="336">
        <v>3680</v>
      </c>
      <c r="BA307" s="337">
        <v>971.024</v>
      </c>
      <c r="BB307" s="336">
        <v>3660</v>
      </c>
      <c r="BC307" s="334">
        <v>273.83</v>
      </c>
      <c r="BD307" s="336">
        <v>3660</v>
      </c>
      <c r="BE307" s="334">
        <v>286.11799999999999</v>
      </c>
    </row>
    <row r="308" spans="22:57">
      <c r="V308" s="346">
        <v>3690</v>
      </c>
      <c r="W308" s="333">
        <v>574.88499999999999</v>
      </c>
      <c r="X308" s="346">
        <v>3700</v>
      </c>
      <c r="Y308" s="334">
        <v>570.68499999999995</v>
      </c>
      <c r="Z308" s="335">
        <v>3690</v>
      </c>
      <c r="AA308" s="334">
        <v>1221.058</v>
      </c>
      <c r="AB308" s="336">
        <v>3690</v>
      </c>
      <c r="AC308" s="334">
        <v>1219.9860000000001</v>
      </c>
      <c r="AD308" s="336">
        <v>3690</v>
      </c>
      <c r="AE308" s="334">
        <v>1046.752</v>
      </c>
      <c r="AF308" s="336">
        <v>3690</v>
      </c>
      <c r="AG308" s="334">
        <v>1046.5060000000001</v>
      </c>
      <c r="AH308" s="336">
        <v>3690</v>
      </c>
      <c r="AI308" s="334">
        <v>1046.5440000000001</v>
      </c>
      <c r="AJ308" s="336">
        <v>3670</v>
      </c>
      <c r="AK308" s="334">
        <v>1047.7070000000001</v>
      </c>
      <c r="AL308" s="336">
        <v>3690</v>
      </c>
      <c r="AM308" s="334">
        <v>1047.2860000000001</v>
      </c>
      <c r="AN308" s="336">
        <v>3690</v>
      </c>
      <c r="AO308" s="334">
        <v>1047.78</v>
      </c>
      <c r="AP308" s="336">
        <v>3680</v>
      </c>
      <c r="AQ308" s="334">
        <v>1046.3979999999999</v>
      </c>
      <c r="AR308" s="336">
        <v>3690</v>
      </c>
      <c r="AS308" s="334">
        <v>1046.2270000000001</v>
      </c>
      <c r="AT308" s="336">
        <v>3690</v>
      </c>
      <c r="AU308" s="334">
        <v>1044.787</v>
      </c>
      <c r="AV308" s="336">
        <v>3690</v>
      </c>
      <c r="AW308" s="334">
        <v>1044.492</v>
      </c>
      <c r="AX308" s="336">
        <v>3680</v>
      </c>
      <c r="AY308" s="334">
        <v>968.59100000000001</v>
      </c>
      <c r="AZ308" s="336">
        <v>3690</v>
      </c>
      <c r="BA308" s="337">
        <v>969.82399999999996</v>
      </c>
      <c r="BB308" s="336">
        <v>3670</v>
      </c>
      <c r="BC308" s="334">
        <v>273.43799999999999</v>
      </c>
      <c r="BD308" s="336">
        <v>3670</v>
      </c>
      <c r="BE308" s="334">
        <v>285.71199999999999</v>
      </c>
    </row>
    <row r="309" spans="22:57">
      <c r="V309" s="346">
        <v>3700</v>
      </c>
      <c r="W309" s="333">
        <v>574.08900000000006</v>
      </c>
      <c r="X309" s="346">
        <v>3710</v>
      </c>
      <c r="Y309" s="334">
        <v>569.89599999999996</v>
      </c>
      <c r="Z309" s="335">
        <v>3700</v>
      </c>
      <c r="AA309" s="334">
        <v>1219.5619999999999</v>
      </c>
      <c r="AB309" s="336">
        <v>3700</v>
      </c>
      <c r="AC309" s="334">
        <v>1218.4939999999999</v>
      </c>
      <c r="AD309" s="336">
        <v>3700</v>
      </c>
      <c r="AE309" s="334">
        <v>1045.549</v>
      </c>
      <c r="AF309" s="336">
        <v>3700</v>
      </c>
      <c r="AG309" s="334">
        <v>1045.3019999999999</v>
      </c>
      <c r="AH309" s="336">
        <v>3700</v>
      </c>
      <c r="AI309" s="334">
        <v>1045.3409999999999</v>
      </c>
      <c r="AJ309" s="336">
        <v>3680</v>
      </c>
      <c r="AK309" s="334">
        <v>1046.5039999999999</v>
      </c>
      <c r="AL309" s="336">
        <v>3700</v>
      </c>
      <c r="AM309" s="334">
        <v>1046.0830000000001</v>
      </c>
      <c r="AN309" s="336">
        <v>3700</v>
      </c>
      <c r="AO309" s="334">
        <v>1046.578</v>
      </c>
      <c r="AP309" s="336">
        <v>3690</v>
      </c>
      <c r="AQ309" s="334">
        <v>1045.1969999999999</v>
      </c>
      <c r="AR309" s="336">
        <v>3700</v>
      </c>
      <c r="AS309" s="334">
        <v>1045.0260000000001</v>
      </c>
      <c r="AT309" s="336">
        <v>3700</v>
      </c>
      <c r="AU309" s="334">
        <v>1043.586</v>
      </c>
      <c r="AV309" s="336">
        <v>3700</v>
      </c>
      <c r="AW309" s="334">
        <v>1043.2929999999999</v>
      </c>
      <c r="AX309" s="336">
        <v>3690</v>
      </c>
      <c r="AY309" s="334">
        <v>967.39</v>
      </c>
      <c r="AZ309" s="336">
        <v>3700</v>
      </c>
      <c r="BA309" s="337">
        <v>968.625</v>
      </c>
      <c r="BB309" s="336">
        <v>3680</v>
      </c>
      <c r="BC309" s="334">
        <v>273.04500000000002</v>
      </c>
      <c r="BD309" s="336">
        <v>3680</v>
      </c>
      <c r="BE309" s="334">
        <v>285.30500000000001</v>
      </c>
    </row>
    <row r="310" spans="22:57">
      <c r="V310" s="346">
        <v>3710</v>
      </c>
      <c r="W310" s="333">
        <v>573.29399999999998</v>
      </c>
      <c r="X310" s="346">
        <v>3720</v>
      </c>
      <c r="Y310" s="334">
        <v>569.10599999999999</v>
      </c>
      <c r="Z310" s="335">
        <v>3710</v>
      </c>
      <c r="AA310" s="334">
        <v>1218.066</v>
      </c>
      <c r="AB310" s="336">
        <v>3710</v>
      </c>
      <c r="AC310" s="334">
        <v>1217.001</v>
      </c>
      <c r="AD310" s="336">
        <v>3710</v>
      </c>
      <c r="AE310" s="334">
        <v>1044.345</v>
      </c>
      <c r="AF310" s="336">
        <v>3710</v>
      </c>
      <c r="AG310" s="334">
        <v>1044.097</v>
      </c>
      <c r="AH310" s="336">
        <v>3710</v>
      </c>
      <c r="AI310" s="334">
        <v>1044.1369999999999</v>
      </c>
      <c r="AJ310" s="336">
        <v>3690</v>
      </c>
      <c r="AK310" s="334">
        <v>1045.3009999999999</v>
      </c>
      <c r="AL310" s="336">
        <v>3710</v>
      </c>
      <c r="AM310" s="334">
        <v>1044.8800000000001</v>
      </c>
      <c r="AN310" s="336">
        <v>3710</v>
      </c>
      <c r="AO310" s="334">
        <v>1045.375</v>
      </c>
      <c r="AP310" s="336">
        <v>3700</v>
      </c>
      <c r="AQ310" s="334">
        <v>1043.9970000000001</v>
      </c>
      <c r="AR310" s="336">
        <v>3710</v>
      </c>
      <c r="AS310" s="334">
        <v>1043.8240000000001</v>
      </c>
      <c r="AT310" s="336">
        <v>3710</v>
      </c>
      <c r="AU310" s="334">
        <v>1042.384</v>
      </c>
      <c r="AV310" s="336">
        <v>3710</v>
      </c>
      <c r="AW310" s="334">
        <v>1042.0930000000001</v>
      </c>
      <c r="AX310" s="336">
        <v>3700</v>
      </c>
      <c r="AY310" s="334">
        <v>966.18899999999996</v>
      </c>
      <c r="AZ310" s="336">
        <v>3710</v>
      </c>
      <c r="BA310" s="337">
        <v>967.42499999999995</v>
      </c>
      <c r="BB310" s="336">
        <v>3690</v>
      </c>
      <c r="BC310" s="334">
        <v>272.65199999999999</v>
      </c>
      <c r="BD310" s="336">
        <v>3690</v>
      </c>
      <c r="BE310" s="334">
        <v>284.89800000000002</v>
      </c>
    </row>
    <row r="311" spans="22:57">
      <c r="V311" s="346">
        <v>3720</v>
      </c>
      <c r="W311" s="333">
        <v>572.49900000000002</v>
      </c>
      <c r="X311" s="346">
        <v>3730</v>
      </c>
      <c r="Y311" s="334">
        <v>568.31600000000003</v>
      </c>
      <c r="Z311" s="335">
        <v>3720</v>
      </c>
      <c r="AA311" s="334">
        <v>1216.3699999999999</v>
      </c>
      <c r="AB311" s="336">
        <v>3720</v>
      </c>
      <c r="AC311" s="334">
        <v>1215.508</v>
      </c>
      <c r="AD311" s="336">
        <v>3720</v>
      </c>
      <c r="AE311" s="334">
        <v>1043.1410000000001</v>
      </c>
      <c r="AF311" s="336">
        <v>3720</v>
      </c>
      <c r="AG311" s="334">
        <v>1042.8920000000001</v>
      </c>
      <c r="AH311" s="336">
        <v>3720</v>
      </c>
      <c r="AI311" s="334">
        <v>1042.933</v>
      </c>
      <c r="AJ311" s="336">
        <v>3700</v>
      </c>
      <c r="AK311" s="334">
        <v>1044.098</v>
      </c>
      <c r="AL311" s="336">
        <v>3720</v>
      </c>
      <c r="AM311" s="334">
        <v>1043.6759999999999</v>
      </c>
      <c r="AN311" s="336">
        <v>3720</v>
      </c>
      <c r="AO311" s="334">
        <v>1044.172</v>
      </c>
      <c r="AP311" s="336">
        <v>3710</v>
      </c>
      <c r="AQ311" s="334">
        <v>1042.796</v>
      </c>
      <c r="AR311" s="336">
        <v>3720</v>
      </c>
      <c r="AS311" s="334">
        <v>1042.623</v>
      </c>
      <c r="AT311" s="336">
        <v>3720</v>
      </c>
      <c r="AU311" s="334">
        <v>1041.182</v>
      </c>
      <c r="AV311" s="336">
        <v>3720</v>
      </c>
      <c r="AW311" s="334">
        <v>1040.893</v>
      </c>
      <c r="AX311" s="336">
        <v>3710</v>
      </c>
      <c r="AY311" s="334">
        <v>964.98699999999997</v>
      </c>
      <c r="AZ311" s="336">
        <v>3720</v>
      </c>
      <c r="BA311" s="337">
        <v>966.22500000000002</v>
      </c>
      <c r="BB311" s="336">
        <v>3700</v>
      </c>
      <c r="BC311" s="334">
        <v>272.25900000000001</v>
      </c>
      <c r="BD311" s="336">
        <v>3700</v>
      </c>
      <c r="BE311" s="334">
        <v>284.49200000000002</v>
      </c>
    </row>
    <row r="312" spans="22:57">
      <c r="V312" s="346">
        <v>3730</v>
      </c>
      <c r="W312" s="333">
        <v>571.70299999999997</v>
      </c>
      <c r="X312" s="346">
        <v>3740</v>
      </c>
      <c r="Y312" s="334">
        <v>567.52599999999995</v>
      </c>
      <c r="Z312" s="335">
        <v>3730</v>
      </c>
      <c r="AA312" s="334">
        <v>1215.0730000000001</v>
      </c>
      <c r="AB312" s="336">
        <v>3730</v>
      </c>
      <c r="AC312" s="334">
        <v>1214.0139999999999</v>
      </c>
      <c r="AD312" s="336">
        <v>3730</v>
      </c>
      <c r="AE312" s="334">
        <v>1041.9369999999999</v>
      </c>
      <c r="AF312" s="336">
        <v>3730</v>
      </c>
      <c r="AG312" s="334">
        <v>1041.6869999999999</v>
      </c>
      <c r="AH312" s="336">
        <v>3730</v>
      </c>
      <c r="AI312" s="334">
        <v>1041.729</v>
      </c>
      <c r="AJ312" s="336">
        <v>3710</v>
      </c>
      <c r="AK312" s="334">
        <v>1042.894</v>
      </c>
      <c r="AL312" s="336">
        <v>3730</v>
      </c>
      <c r="AM312" s="334">
        <v>1042.472</v>
      </c>
      <c r="AN312" s="336">
        <v>3730</v>
      </c>
      <c r="AO312" s="334">
        <v>1042.9680000000001</v>
      </c>
      <c r="AP312" s="336">
        <v>3720</v>
      </c>
      <c r="AQ312" s="334">
        <v>1041.5940000000001</v>
      </c>
      <c r="AR312" s="336">
        <v>3730</v>
      </c>
      <c r="AS312" s="334">
        <v>1041.421</v>
      </c>
      <c r="AT312" s="336">
        <v>3730</v>
      </c>
      <c r="AU312" s="334">
        <v>1039.98</v>
      </c>
      <c r="AV312" s="336">
        <v>3730</v>
      </c>
      <c r="AW312" s="334">
        <v>1039.693</v>
      </c>
      <c r="AX312" s="336">
        <v>3720</v>
      </c>
      <c r="AY312" s="334">
        <v>963.78499999999997</v>
      </c>
      <c r="AZ312" s="336">
        <v>3730</v>
      </c>
      <c r="BA312" s="337">
        <v>965.024</v>
      </c>
      <c r="BB312" s="336">
        <v>3710</v>
      </c>
      <c r="BC312" s="334">
        <v>271.86599999999999</v>
      </c>
      <c r="BD312" s="336">
        <v>3710</v>
      </c>
      <c r="BE312" s="334">
        <v>284.08499999999998</v>
      </c>
    </row>
    <row r="313" spans="22:57">
      <c r="V313" s="346">
        <v>3740</v>
      </c>
      <c r="W313" s="333">
        <v>570.90700000000004</v>
      </c>
      <c r="X313" s="346">
        <v>3750</v>
      </c>
      <c r="Y313" s="334">
        <v>566.73599999999999</v>
      </c>
      <c r="Z313" s="335">
        <v>3740</v>
      </c>
      <c r="AA313" s="334">
        <v>1213.576</v>
      </c>
      <c r="AB313" s="336">
        <v>3740</v>
      </c>
      <c r="AC313" s="334">
        <v>1212.521</v>
      </c>
      <c r="AD313" s="336">
        <v>3740</v>
      </c>
      <c r="AE313" s="334">
        <v>1040.7329999999999</v>
      </c>
      <c r="AF313" s="336">
        <v>3740</v>
      </c>
      <c r="AG313" s="334">
        <v>1040.482</v>
      </c>
      <c r="AH313" s="336">
        <v>3740</v>
      </c>
      <c r="AI313" s="334">
        <v>1040.5239999999999</v>
      </c>
      <c r="AJ313" s="336">
        <v>3720</v>
      </c>
      <c r="AK313" s="334">
        <v>1041.69</v>
      </c>
      <c r="AL313" s="336">
        <v>3740</v>
      </c>
      <c r="AM313" s="334">
        <v>1041.268</v>
      </c>
      <c r="AN313" s="336">
        <v>3740</v>
      </c>
      <c r="AO313" s="334">
        <v>1041.7650000000001</v>
      </c>
      <c r="AP313" s="336">
        <v>3730</v>
      </c>
      <c r="AQ313" s="334">
        <v>1040.393</v>
      </c>
      <c r="AR313" s="336">
        <v>3740</v>
      </c>
      <c r="AS313" s="334">
        <v>1040.2190000000001</v>
      </c>
      <c r="AT313" s="336">
        <v>3740</v>
      </c>
      <c r="AU313" s="334">
        <v>1038.777</v>
      </c>
      <c r="AV313" s="336">
        <v>3740</v>
      </c>
      <c r="AW313" s="334">
        <v>1038.492</v>
      </c>
      <c r="AX313" s="336">
        <v>3730</v>
      </c>
      <c r="AY313" s="334">
        <v>962.58299999999997</v>
      </c>
      <c r="AZ313" s="336">
        <v>3740</v>
      </c>
      <c r="BA313" s="337">
        <v>963.82299999999998</v>
      </c>
      <c r="BB313" s="336">
        <v>3720</v>
      </c>
      <c r="BC313" s="334">
        <v>271.47300000000001</v>
      </c>
      <c r="BD313" s="336">
        <v>3720</v>
      </c>
      <c r="BE313" s="334">
        <v>283.678</v>
      </c>
    </row>
    <row r="314" spans="22:57">
      <c r="V314" s="346">
        <v>3750</v>
      </c>
      <c r="W314" s="333">
        <v>570.11099999999999</v>
      </c>
      <c r="X314" s="346">
        <v>3760</v>
      </c>
      <c r="Y314" s="334">
        <v>565.94600000000003</v>
      </c>
      <c r="Z314" s="335">
        <v>3750</v>
      </c>
      <c r="AA314" s="334">
        <v>1212.079</v>
      </c>
      <c r="AB314" s="336">
        <v>3750</v>
      </c>
      <c r="AC314" s="334">
        <v>1211.027</v>
      </c>
      <c r="AD314" s="336">
        <v>3750</v>
      </c>
      <c r="AE314" s="334">
        <v>1039.528</v>
      </c>
      <c r="AF314" s="336">
        <v>3750</v>
      </c>
      <c r="AG314" s="334">
        <v>1039.277</v>
      </c>
      <c r="AH314" s="336">
        <v>3750</v>
      </c>
      <c r="AI314" s="334">
        <v>1039.32</v>
      </c>
      <c r="AJ314" s="336">
        <v>3730</v>
      </c>
      <c r="AK314" s="334">
        <v>1040.4860000000001</v>
      </c>
      <c r="AL314" s="336">
        <v>3750</v>
      </c>
      <c r="AM314" s="334">
        <v>1040.0640000000001</v>
      </c>
      <c r="AN314" s="336">
        <v>3750</v>
      </c>
      <c r="AO314" s="334">
        <v>1040.5609999999999</v>
      </c>
      <c r="AP314" s="336">
        <v>3740</v>
      </c>
      <c r="AQ314" s="334">
        <v>1039.191</v>
      </c>
      <c r="AR314" s="336">
        <v>3750</v>
      </c>
      <c r="AS314" s="334">
        <v>1039.0170000000001</v>
      </c>
      <c r="AT314" s="336">
        <v>3750</v>
      </c>
      <c r="AU314" s="334">
        <v>1037.575</v>
      </c>
      <c r="AV314" s="336">
        <v>3750</v>
      </c>
      <c r="AW314" s="334">
        <v>1037.2919999999999</v>
      </c>
      <c r="AX314" s="336">
        <v>3740</v>
      </c>
      <c r="AY314" s="334">
        <v>961.38099999999997</v>
      </c>
      <c r="AZ314" s="336">
        <v>3750</v>
      </c>
      <c r="BA314" s="337">
        <v>962.62300000000005</v>
      </c>
      <c r="BB314" s="336">
        <v>3730</v>
      </c>
      <c r="BC314" s="334">
        <v>271.08</v>
      </c>
      <c r="BD314" s="336">
        <v>3730</v>
      </c>
      <c r="BE314" s="334">
        <v>283.27</v>
      </c>
    </row>
    <row r="315" spans="22:57">
      <c r="V315" s="346">
        <v>3760</v>
      </c>
      <c r="W315" s="333">
        <v>569.31500000000005</v>
      </c>
      <c r="X315" s="346">
        <v>3770</v>
      </c>
      <c r="Y315" s="334">
        <v>565.15499999999997</v>
      </c>
      <c r="Z315" s="335">
        <v>3760</v>
      </c>
      <c r="AA315" s="334">
        <v>1210.5820000000001</v>
      </c>
      <c r="AB315" s="336">
        <v>3760</v>
      </c>
      <c r="AC315" s="334">
        <v>1209.5319999999999</v>
      </c>
      <c r="AD315" s="336">
        <v>3760</v>
      </c>
      <c r="AE315" s="334">
        <v>1038.3230000000001</v>
      </c>
      <c r="AF315" s="336">
        <v>3760</v>
      </c>
      <c r="AG315" s="334">
        <v>1038.0709999999999</v>
      </c>
      <c r="AH315" s="336">
        <v>3760</v>
      </c>
      <c r="AI315" s="334">
        <v>1038.115</v>
      </c>
      <c r="AJ315" s="336">
        <v>3740</v>
      </c>
      <c r="AK315" s="334">
        <v>1039.2809999999999</v>
      </c>
      <c r="AL315" s="336">
        <v>3760</v>
      </c>
      <c r="AM315" s="334">
        <v>1038.8589999999999</v>
      </c>
      <c r="AN315" s="336">
        <v>3760</v>
      </c>
      <c r="AO315" s="334">
        <v>1039.357</v>
      </c>
      <c r="AP315" s="336">
        <v>3750</v>
      </c>
      <c r="AQ315" s="334">
        <v>1037.989</v>
      </c>
      <c r="AR315" s="336">
        <v>3760</v>
      </c>
      <c r="AS315" s="334">
        <v>1037.8140000000001</v>
      </c>
      <c r="AT315" s="336">
        <v>3760</v>
      </c>
      <c r="AU315" s="334">
        <v>1036.3720000000001</v>
      </c>
      <c r="AV315" s="336">
        <v>3760</v>
      </c>
      <c r="AW315" s="334">
        <v>1036.0909999999999</v>
      </c>
      <c r="AX315" s="336">
        <v>3750</v>
      </c>
      <c r="AY315" s="334">
        <v>960.17899999999997</v>
      </c>
      <c r="AZ315" s="336">
        <v>3760</v>
      </c>
      <c r="BA315" s="337">
        <v>961.42100000000005</v>
      </c>
      <c r="BB315" s="336">
        <v>3740</v>
      </c>
      <c r="BC315" s="334">
        <v>270.68700000000001</v>
      </c>
      <c r="BD315" s="336">
        <v>3740</v>
      </c>
      <c r="BE315" s="334">
        <v>282.863</v>
      </c>
    </row>
    <row r="316" spans="22:57">
      <c r="V316" s="346">
        <v>3770</v>
      </c>
      <c r="W316" s="333">
        <v>568.51900000000001</v>
      </c>
      <c r="X316" s="346">
        <v>3780</v>
      </c>
      <c r="Y316" s="334">
        <v>564.36500000000001</v>
      </c>
      <c r="Z316" s="335">
        <v>3770</v>
      </c>
      <c r="AA316" s="334">
        <v>1209.0840000000001</v>
      </c>
      <c r="AB316" s="336">
        <v>3770</v>
      </c>
      <c r="AC316" s="334">
        <v>1208.038</v>
      </c>
      <c r="AD316" s="336">
        <v>3770</v>
      </c>
      <c r="AE316" s="334">
        <v>1037.1179999999999</v>
      </c>
      <c r="AF316" s="336">
        <v>3770</v>
      </c>
      <c r="AG316" s="334">
        <v>1036.865</v>
      </c>
      <c r="AH316" s="336">
        <v>3770</v>
      </c>
      <c r="AI316" s="334">
        <v>1036.9100000000001</v>
      </c>
      <c r="AJ316" s="336">
        <v>3750</v>
      </c>
      <c r="AK316" s="334">
        <v>1038.077</v>
      </c>
      <c r="AL316" s="336">
        <v>3770</v>
      </c>
      <c r="AM316" s="334">
        <v>1037.654</v>
      </c>
      <c r="AN316" s="336">
        <v>3770</v>
      </c>
      <c r="AO316" s="334">
        <v>1038.153</v>
      </c>
      <c r="AP316" s="336">
        <v>3760</v>
      </c>
      <c r="AQ316" s="334">
        <v>1036.787</v>
      </c>
      <c r="AR316" s="336">
        <v>3770</v>
      </c>
      <c r="AS316" s="334">
        <v>1036.6110000000001</v>
      </c>
      <c r="AT316" s="336">
        <v>3770</v>
      </c>
      <c r="AU316" s="334">
        <v>1035.1679999999999</v>
      </c>
      <c r="AV316" s="336">
        <v>3770</v>
      </c>
      <c r="AW316" s="334">
        <v>1034.8889999999999</v>
      </c>
      <c r="AX316" s="336">
        <v>3760</v>
      </c>
      <c r="AY316" s="334">
        <v>958.976</v>
      </c>
      <c r="AZ316" s="336">
        <v>3770</v>
      </c>
      <c r="BA316" s="337">
        <v>960.22</v>
      </c>
      <c r="BB316" s="336">
        <v>3750</v>
      </c>
      <c r="BC316" s="334">
        <v>270.29399999999998</v>
      </c>
      <c r="BD316" s="336">
        <v>3750</v>
      </c>
      <c r="BE316" s="334">
        <v>282.45600000000002</v>
      </c>
    </row>
    <row r="317" spans="22:57">
      <c r="V317" s="346">
        <v>3780</v>
      </c>
      <c r="W317" s="333">
        <v>567.72199999999998</v>
      </c>
      <c r="X317" s="346">
        <v>3790</v>
      </c>
      <c r="Y317" s="334">
        <v>563.57399999999996</v>
      </c>
      <c r="Z317" s="335">
        <v>3780</v>
      </c>
      <c r="AA317" s="334">
        <v>1207.586</v>
      </c>
      <c r="AB317" s="336">
        <v>3780</v>
      </c>
      <c r="AC317" s="334">
        <v>1206.5429999999999</v>
      </c>
      <c r="AD317" s="336">
        <v>3780</v>
      </c>
      <c r="AE317" s="334">
        <v>1035.913</v>
      </c>
      <c r="AF317" s="336">
        <v>3780</v>
      </c>
      <c r="AG317" s="334">
        <v>1035.6590000000001</v>
      </c>
      <c r="AH317" s="336">
        <v>3780</v>
      </c>
      <c r="AI317" s="334">
        <v>1035.704</v>
      </c>
      <c r="AJ317" s="336">
        <v>3760</v>
      </c>
      <c r="AK317" s="334">
        <v>1036.8720000000001</v>
      </c>
      <c r="AL317" s="336">
        <v>3780</v>
      </c>
      <c r="AM317" s="334">
        <v>1036.4490000000001</v>
      </c>
      <c r="AN317" s="336">
        <v>3780</v>
      </c>
      <c r="AO317" s="334">
        <v>1036.9480000000001</v>
      </c>
      <c r="AP317" s="336">
        <v>3770</v>
      </c>
      <c r="AQ317" s="334">
        <v>1035.585</v>
      </c>
      <c r="AR317" s="336">
        <v>3780</v>
      </c>
      <c r="AS317" s="334">
        <v>1035.4079999999999</v>
      </c>
      <c r="AT317" s="336">
        <v>3780</v>
      </c>
      <c r="AU317" s="334">
        <v>1033.9649999999999</v>
      </c>
      <c r="AV317" s="336">
        <v>3780</v>
      </c>
      <c r="AW317" s="334">
        <v>1033.6880000000001</v>
      </c>
      <c r="AX317" s="336">
        <v>3770</v>
      </c>
      <c r="AY317" s="334">
        <v>957.77300000000002</v>
      </c>
      <c r="AZ317" s="336">
        <v>3780</v>
      </c>
      <c r="BA317" s="337">
        <v>959.01800000000003</v>
      </c>
      <c r="BB317" s="336">
        <v>3760</v>
      </c>
      <c r="BC317" s="334">
        <v>269.89999999999998</v>
      </c>
      <c r="BD317" s="336">
        <v>3760</v>
      </c>
      <c r="BE317" s="334">
        <v>282.048</v>
      </c>
    </row>
    <row r="318" spans="22:57">
      <c r="V318" s="346">
        <v>3790</v>
      </c>
      <c r="W318" s="333">
        <v>566.92600000000004</v>
      </c>
      <c r="X318" s="346">
        <v>3800</v>
      </c>
      <c r="Y318" s="334">
        <v>562.78300000000002</v>
      </c>
      <c r="Z318" s="335">
        <v>3790</v>
      </c>
      <c r="AA318" s="334">
        <v>1206.087</v>
      </c>
      <c r="AB318" s="336">
        <v>3790</v>
      </c>
      <c r="AC318" s="334">
        <v>1205.047</v>
      </c>
      <c r="AD318" s="336">
        <v>3790</v>
      </c>
      <c r="AE318" s="334">
        <v>1034.7070000000001</v>
      </c>
      <c r="AF318" s="336">
        <v>3790</v>
      </c>
      <c r="AG318" s="334">
        <v>1034.452</v>
      </c>
      <c r="AH318" s="336">
        <v>3790</v>
      </c>
      <c r="AI318" s="334">
        <v>1034.499</v>
      </c>
      <c r="AJ318" s="336">
        <v>3770</v>
      </c>
      <c r="AK318" s="334">
        <v>1035.6669999999999</v>
      </c>
      <c r="AL318" s="336">
        <v>3790</v>
      </c>
      <c r="AM318" s="334">
        <v>1035.2439999999999</v>
      </c>
      <c r="AN318" s="336">
        <v>3790</v>
      </c>
      <c r="AO318" s="334">
        <v>1035.7429999999999</v>
      </c>
      <c r="AP318" s="336">
        <v>3780</v>
      </c>
      <c r="AQ318" s="334">
        <v>1034.3820000000001</v>
      </c>
      <c r="AR318" s="336">
        <v>3790</v>
      </c>
      <c r="AS318" s="334">
        <v>1034.2049999999999</v>
      </c>
      <c r="AT318" s="336">
        <v>3790</v>
      </c>
      <c r="AU318" s="334">
        <v>1032.761</v>
      </c>
      <c r="AV318" s="336">
        <v>3790</v>
      </c>
      <c r="AW318" s="334">
        <v>1032.4860000000001</v>
      </c>
      <c r="AX318" s="336">
        <v>3780</v>
      </c>
      <c r="AY318" s="334">
        <v>956.57</v>
      </c>
      <c r="AZ318" s="336">
        <v>3790</v>
      </c>
      <c r="BA318" s="337">
        <v>957.81700000000001</v>
      </c>
      <c r="BB318" s="336">
        <v>3770</v>
      </c>
      <c r="BC318" s="334">
        <v>269.50700000000001</v>
      </c>
      <c r="BD318" s="336">
        <v>3770</v>
      </c>
      <c r="BE318" s="334">
        <v>281.64100000000002</v>
      </c>
    </row>
    <row r="319" spans="22:57">
      <c r="V319" s="346">
        <v>3800</v>
      </c>
      <c r="W319" s="333">
        <v>566.12900000000002</v>
      </c>
      <c r="X319" s="346">
        <v>3810</v>
      </c>
      <c r="Y319" s="334">
        <v>561.99199999999996</v>
      </c>
      <c r="Z319" s="335">
        <v>3800</v>
      </c>
      <c r="AA319" s="334">
        <v>1204.5889999999999</v>
      </c>
      <c r="AB319" s="336">
        <v>3800</v>
      </c>
      <c r="AC319" s="334">
        <v>1203.5519999999999</v>
      </c>
      <c r="AD319" s="336">
        <v>3800</v>
      </c>
      <c r="AE319" s="334">
        <v>1033.501</v>
      </c>
      <c r="AF319" s="336">
        <v>3800</v>
      </c>
      <c r="AG319" s="334">
        <v>1033.2460000000001</v>
      </c>
      <c r="AH319" s="336">
        <v>3800</v>
      </c>
      <c r="AI319" s="334">
        <v>1033.2929999999999</v>
      </c>
      <c r="AJ319" s="336">
        <v>3780</v>
      </c>
      <c r="AK319" s="334">
        <v>1034.461</v>
      </c>
      <c r="AL319" s="336">
        <v>3800</v>
      </c>
      <c r="AM319" s="334">
        <v>1034.038</v>
      </c>
      <c r="AN319" s="336">
        <v>3800</v>
      </c>
      <c r="AO319" s="334">
        <v>1034.538</v>
      </c>
      <c r="AP319" s="336">
        <v>3790</v>
      </c>
      <c r="AQ319" s="334">
        <v>1033.1790000000001</v>
      </c>
      <c r="AR319" s="336">
        <v>3800</v>
      </c>
      <c r="AS319" s="334">
        <v>1033.001</v>
      </c>
      <c r="AT319" s="336">
        <v>3800</v>
      </c>
      <c r="AU319" s="334">
        <v>1031.557</v>
      </c>
      <c r="AV319" s="336">
        <v>3800</v>
      </c>
      <c r="AW319" s="334">
        <v>1031.2840000000001</v>
      </c>
      <c r="AX319" s="336">
        <v>3790</v>
      </c>
      <c r="AY319" s="334">
        <v>955.36699999999996</v>
      </c>
      <c r="AZ319" s="336">
        <v>3800</v>
      </c>
      <c r="BA319" s="337">
        <v>956.61400000000003</v>
      </c>
      <c r="BB319" s="336">
        <v>3780</v>
      </c>
      <c r="BC319" s="334">
        <v>269.113</v>
      </c>
      <c r="BD319" s="336">
        <v>3780</v>
      </c>
      <c r="BE319" s="334">
        <v>281.233</v>
      </c>
    </row>
    <row r="320" spans="22:57">
      <c r="V320" s="346">
        <v>3810</v>
      </c>
      <c r="W320" s="333">
        <v>565.33199999999999</v>
      </c>
      <c r="X320" s="346">
        <v>3820</v>
      </c>
      <c r="Y320" s="334">
        <v>561.20000000000005</v>
      </c>
      <c r="Z320" s="335">
        <v>3810</v>
      </c>
      <c r="AA320" s="334">
        <v>1203.0899999999999</v>
      </c>
      <c r="AB320" s="336">
        <v>3810</v>
      </c>
      <c r="AC320" s="334">
        <v>1202.056</v>
      </c>
      <c r="AD320" s="336">
        <v>3810</v>
      </c>
      <c r="AE320" s="334">
        <v>1032.2950000000001</v>
      </c>
      <c r="AF320" s="336">
        <v>3810</v>
      </c>
      <c r="AG320" s="334">
        <v>1032.039</v>
      </c>
      <c r="AH320" s="336">
        <v>3810</v>
      </c>
      <c r="AI320" s="334">
        <v>1032.086</v>
      </c>
      <c r="AJ320" s="336">
        <v>3790</v>
      </c>
      <c r="AK320" s="334">
        <v>1033.2550000000001</v>
      </c>
      <c r="AL320" s="336">
        <v>3810</v>
      </c>
      <c r="AM320" s="334">
        <v>1032.8330000000001</v>
      </c>
      <c r="AN320" s="336">
        <v>3810</v>
      </c>
      <c r="AO320" s="334">
        <v>1033.3330000000001</v>
      </c>
      <c r="AP320" s="336">
        <v>3800</v>
      </c>
      <c r="AQ320" s="334">
        <v>1031.9760000000001</v>
      </c>
      <c r="AR320" s="336">
        <v>3810</v>
      </c>
      <c r="AS320" s="334">
        <v>1031.798</v>
      </c>
      <c r="AT320" s="336">
        <v>3810</v>
      </c>
      <c r="AU320" s="334">
        <v>1030.3530000000001</v>
      </c>
      <c r="AV320" s="336">
        <v>3810</v>
      </c>
      <c r="AW320" s="334">
        <v>1030.0820000000001</v>
      </c>
      <c r="AX320" s="336">
        <v>3800</v>
      </c>
      <c r="AY320" s="334">
        <v>954.16300000000001</v>
      </c>
      <c r="AZ320" s="336">
        <v>3810</v>
      </c>
      <c r="BA320" s="337">
        <v>955.41200000000003</v>
      </c>
      <c r="BB320" s="336">
        <v>3790</v>
      </c>
      <c r="BC320" s="334">
        <v>268.71899999999999</v>
      </c>
      <c r="BD320" s="336">
        <v>3790</v>
      </c>
      <c r="BE320" s="334">
        <v>280.82499999999999</v>
      </c>
    </row>
    <row r="321" spans="22:57">
      <c r="V321" s="346">
        <v>3820</v>
      </c>
      <c r="W321" s="333">
        <v>564.53499999999997</v>
      </c>
      <c r="X321" s="346">
        <v>3830</v>
      </c>
      <c r="Y321" s="334">
        <v>560.40899999999999</v>
      </c>
      <c r="Z321" s="335">
        <v>3820</v>
      </c>
      <c r="AA321" s="334">
        <v>1201.5909999999999</v>
      </c>
      <c r="AB321" s="336">
        <v>3820</v>
      </c>
      <c r="AC321" s="334">
        <v>1200.56</v>
      </c>
      <c r="AD321" s="336">
        <v>3820</v>
      </c>
      <c r="AE321" s="334">
        <v>1031.0889999999999</v>
      </c>
      <c r="AF321" s="336">
        <v>3820</v>
      </c>
      <c r="AG321" s="334">
        <v>1030.8309999999999</v>
      </c>
      <c r="AH321" s="336">
        <v>3820</v>
      </c>
      <c r="AI321" s="334">
        <v>1030.8800000000001</v>
      </c>
      <c r="AJ321" s="336">
        <v>3800</v>
      </c>
      <c r="AK321" s="334">
        <v>1032.05</v>
      </c>
      <c r="AL321" s="336">
        <v>3820</v>
      </c>
      <c r="AM321" s="334">
        <v>1031.626</v>
      </c>
      <c r="AN321" s="336">
        <v>3820</v>
      </c>
      <c r="AO321" s="334">
        <v>1032.127</v>
      </c>
      <c r="AP321" s="336">
        <v>3810</v>
      </c>
      <c r="AQ321" s="334">
        <v>1030.7729999999999</v>
      </c>
      <c r="AR321" s="336">
        <v>3820</v>
      </c>
      <c r="AS321" s="334">
        <v>1030.5940000000001</v>
      </c>
      <c r="AT321" s="336">
        <v>3820</v>
      </c>
      <c r="AU321" s="334">
        <v>1029.1489999999999</v>
      </c>
      <c r="AV321" s="336">
        <v>3820</v>
      </c>
      <c r="AW321" s="334">
        <v>1028.8800000000001</v>
      </c>
      <c r="AX321" s="336">
        <v>3810</v>
      </c>
      <c r="AY321" s="334">
        <v>952.95899999999995</v>
      </c>
      <c r="AZ321" s="336">
        <v>3820</v>
      </c>
      <c r="BA321" s="337">
        <v>954.20899999999995</v>
      </c>
      <c r="BB321" s="336">
        <v>3800</v>
      </c>
      <c r="BC321" s="334">
        <v>268.32600000000002</v>
      </c>
      <c r="BD321" s="336">
        <v>3800</v>
      </c>
      <c r="BE321" s="334">
        <v>280.41800000000001</v>
      </c>
    </row>
    <row r="322" spans="22:57">
      <c r="V322" s="346">
        <v>3830</v>
      </c>
      <c r="W322" s="333">
        <v>563.73699999999997</v>
      </c>
      <c r="X322" s="346">
        <v>3840</v>
      </c>
      <c r="Y322" s="334">
        <v>559.61699999999996</v>
      </c>
      <c r="Z322" s="335">
        <v>3830</v>
      </c>
      <c r="AA322" s="334">
        <v>1200.0909999999999</v>
      </c>
      <c r="AB322" s="336">
        <v>3830</v>
      </c>
      <c r="AC322" s="334">
        <v>1199.0630000000001</v>
      </c>
      <c r="AD322" s="336">
        <v>3830</v>
      </c>
      <c r="AE322" s="334">
        <v>1029.8820000000001</v>
      </c>
      <c r="AF322" s="336">
        <v>3830</v>
      </c>
      <c r="AG322" s="334">
        <v>1029.624</v>
      </c>
      <c r="AH322" s="336">
        <v>3830</v>
      </c>
      <c r="AI322" s="334">
        <v>1029.674</v>
      </c>
      <c r="AJ322" s="336">
        <v>3810</v>
      </c>
      <c r="AK322" s="334">
        <v>1030.8430000000001</v>
      </c>
      <c r="AL322" s="336">
        <v>3830</v>
      </c>
      <c r="AM322" s="334">
        <v>1030.42</v>
      </c>
      <c r="AN322" s="336">
        <v>3830</v>
      </c>
      <c r="AO322" s="334">
        <v>1030.922</v>
      </c>
      <c r="AP322" s="336">
        <v>3820</v>
      </c>
      <c r="AQ322" s="334">
        <v>1029.569</v>
      </c>
      <c r="AR322" s="336">
        <v>3830</v>
      </c>
      <c r="AS322" s="334">
        <v>1029.3889999999999</v>
      </c>
      <c r="AT322" s="336">
        <v>3830</v>
      </c>
      <c r="AU322" s="334">
        <v>1027.944</v>
      </c>
      <c r="AV322" s="336">
        <v>3830</v>
      </c>
      <c r="AW322" s="334">
        <v>1027.6769999999999</v>
      </c>
      <c r="AX322" s="336">
        <v>3820</v>
      </c>
      <c r="AY322" s="334">
        <v>951.755</v>
      </c>
      <c r="AZ322" s="336">
        <v>3830</v>
      </c>
      <c r="BA322" s="337">
        <v>953.00699999999995</v>
      </c>
      <c r="BB322" s="336">
        <v>3810</v>
      </c>
      <c r="BC322" s="334">
        <v>267.93200000000002</v>
      </c>
      <c r="BD322" s="336">
        <v>3810</v>
      </c>
      <c r="BE322" s="334">
        <v>280.01</v>
      </c>
    </row>
    <row r="323" spans="22:57">
      <c r="V323" s="346">
        <v>3840</v>
      </c>
      <c r="W323" s="333">
        <v>562.94000000000005</v>
      </c>
      <c r="X323" s="346">
        <v>3850</v>
      </c>
      <c r="Y323" s="334">
        <v>558.82500000000005</v>
      </c>
      <c r="Z323" s="335">
        <v>3840</v>
      </c>
      <c r="AA323" s="334">
        <v>1198.5909999999999</v>
      </c>
      <c r="AB323" s="336">
        <v>3840</v>
      </c>
      <c r="AC323" s="334">
        <v>1197.567</v>
      </c>
      <c r="AD323" s="336">
        <v>3840</v>
      </c>
      <c r="AE323" s="334">
        <v>1028.6759999999999</v>
      </c>
      <c r="AF323" s="336">
        <v>3840</v>
      </c>
      <c r="AG323" s="334">
        <v>1028.4159999999999</v>
      </c>
      <c r="AH323" s="336">
        <v>3840</v>
      </c>
      <c r="AI323" s="334">
        <v>1028.4670000000001</v>
      </c>
      <c r="AJ323" s="336">
        <v>3820</v>
      </c>
      <c r="AK323" s="334">
        <v>1029.6369999999999</v>
      </c>
      <c r="AL323" s="336">
        <v>3840</v>
      </c>
      <c r="AM323" s="334">
        <v>1029.2139999999999</v>
      </c>
      <c r="AN323" s="336">
        <v>3840</v>
      </c>
      <c r="AO323" s="334">
        <v>1029.7159999999999</v>
      </c>
      <c r="AP323" s="336">
        <v>3830</v>
      </c>
      <c r="AQ323" s="334">
        <v>1028.365</v>
      </c>
      <c r="AR323" s="336">
        <v>3840</v>
      </c>
      <c r="AS323" s="334">
        <v>1028.1849999999999</v>
      </c>
      <c r="AT323" s="336">
        <v>3840</v>
      </c>
      <c r="AU323" s="334">
        <v>1026.74</v>
      </c>
      <c r="AV323" s="336">
        <v>3840</v>
      </c>
      <c r="AW323" s="334">
        <v>1026.4739999999999</v>
      </c>
      <c r="AX323" s="336">
        <v>3830</v>
      </c>
      <c r="AY323" s="334">
        <v>950.55100000000004</v>
      </c>
      <c r="AZ323" s="336">
        <v>3840</v>
      </c>
      <c r="BA323" s="337">
        <v>951.803</v>
      </c>
      <c r="BB323" s="336">
        <v>3820</v>
      </c>
      <c r="BC323" s="334">
        <v>267.53800000000001</v>
      </c>
      <c r="BD323" s="336">
        <v>3820</v>
      </c>
      <c r="BE323" s="334">
        <v>279.60199999999998</v>
      </c>
    </row>
    <row r="324" spans="22:57">
      <c r="V324" s="346">
        <v>3850</v>
      </c>
      <c r="W324" s="333">
        <v>562.14200000000005</v>
      </c>
      <c r="X324" s="346">
        <v>3860</v>
      </c>
      <c r="Y324" s="334">
        <v>558.03300000000002</v>
      </c>
      <c r="Z324" s="335">
        <v>3850</v>
      </c>
      <c r="AA324" s="334">
        <v>1197.0909999999999</v>
      </c>
      <c r="AB324" s="336">
        <v>3850</v>
      </c>
      <c r="AC324" s="334">
        <v>1196.07</v>
      </c>
      <c r="AD324" s="336">
        <v>3850</v>
      </c>
      <c r="AE324" s="334">
        <v>1027.4680000000001</v>
      </c>
      <c r="AF324" s="336">
        <v>3850</v>
      </c>
      <c r="AG324" s="334">
        <v>1027.2080000000001</v>
      </c>
      <c r="AH324" s="336">
        <v>3850</v>
      </c>
      <c r="AI324" s="334">
        <v>1027.26</v>
      </c>
      <c r="AJ324" s="336">
        <v>3830</v>
      </c>
      <c r="AK324" s="334">
        <v>1028.43</v>
      </c>
      <c r="AL324" s="336">
        <v>3850</v>
      </c>
      <c r="AM324" s="334">
        <v>1028.0070000000001</v>
      </c>
      <c r="AN324" s="336">
        <v>3850</v>
      </c>
      <c r="AO324" s="334">
        <v>1028.51</v>
      </c>
      <c r="AP324" s="336">
        <v>3840</v>
      </c>
      <c r="AQ324" s="334">
        <v>1027.1610000000001</v>
      </c>
      <c r="AR324" s="336">
        <v>3850</v>
      </c>
      <c r="AS324" s="334">
        <v>1026.98</v>
      </c>
      <c r="AT324" s="336">
        <v>3850</v>
      </c>
      <c r="AU324" s="334">
        <v>1025.5340000000001</v>
      </c>
      <c r="AV324" s="336">
        <v>3850</v>
      </c>
      <c r="AW324" s="334">
        <v>1025.271</v>
      </c>
      <c r="AX324" s="336">
        <v>3840</v>
      </c>
      <c r="AY324" s="334">
        <v>949.346</v>
      </c>
      <c r="AZ324" s="336">
        <v>3850</v>
      </c>
      <c r="BA324" s="337">
        <v>950.6</v>
      </c>
      <c r="BB324" s="336">
        <v>3830</v>
      </c>
      <c r="BC324" s="334">
        <v>267.14400000000001</v>
      </c>
      <c r="BD324" s="336">
        <v>3830</v>
      </c>
      <c r="BE324" s="334">
        <v>279.19400000000002</v>
      </c>
    </row>
    <row r="325" spans="22:57">
      <c r="V325" s="346">
        <v>3860</v>
      </c>
      <c r="W325" s="333">
        <v>561.34400000000005</v>
      </c>
      <c r="X325" s="346">
        <v>3870</v>
      </c>
      <c r="Y325" s="334">
        <v>557.24</v>
      </c>
      <c r="Z325" s="335">
        <v>3860</v>
      </c>
      <c r="AA325" s="334">
        <v>1195.5909999999999</v>
      </c>
      <c r="AB325" s="336">
        <v>3860</v>
      </c>
      <c r="AC325" s="334">
        <v>1194.5719999999999</v>
      </c>
      <c r="AD325" s="336">
        <v>3860</v>
      </c>
      <c r="AE325" s="334">
        <v>1026.261</v>
      </c>
      <c r="AF325" s="336">
        <v>3860</v>
      </c>
      <c r="AG325" s="334">
        <v>1026</v>
      </c>
      <c r="AH325" s="336">
        <v>3860</v>
      </c>
      <c r="AI325" s="334">
        <v>1026.0519999999999</v>
      </c>
      <c r="AJ325" s="336">
        <v>3840</v>
      </c>
      <c r="AK325" s="334">
        <v>1027.2239999999999</v>
      </c>
      <c r="AL325" s="336">
        <v>3860</v>
      </c>
      <c r="AM325" s="334">
        <v>1026.8</v>
      </c>
      <c r="AN325" s="336">
        <v>3860</v>
      </c>
      <c r="AO325" s="334">
        <v>1027.3030000000001</v>
      </c>
      <c r="AP325" s="336">
        <v>3850</v>
      </c>
      <c r="AQ325" s="334">
        <v>1025.9570000000001</v>
      </c>
      <c r="AR325" s="336">
        <v>3860</v>
      </c>
      <c r="AS325" s="334">
        <v>1025.7750000000001</v>
      </c>
      <c r="AT325" s="336">
        <v>3860</v>
      </c>
      <c r="AU325" s="334">
        <v>1024.329</v>
      </c>
      <c r="AV325" s="336">
        <v>3860</v>
      </c>
      <c r="AW325" s="334">
        <v>1024.067</v>
      </c>
      <c r="AX325" s="336">
        <v>3850</v>
      </c>
      <c r="AY325" s="334">
        <v>948.14200000000005</v>
      </c>
      <c r="AZ325" s="336">
        <v>3860</v>
      </c>
      <c r="BA325" s="337">
        <v>949.39700000000005</v>
      </c>
      <c r="BB325" s="336">
        <v>3840</v>
      </c>
      <c r="BC325" s="334">
        <v>266.74900000000002</v>
      </c>
      <c r="BD325" s="336">
        <v>3840</v>
      </c>
      <c r="BE325" s="334">
        <v>278.786</v>
      </c>
    </row>
    <row r="326" spans="22:57">
      <c r="V326" s="346">
        <v>3870</v>
      </c>
      <c r="W326" s="333">
        <v>560.54600000000005</v>
      </c>
      <c r="X326" s="346">
        <v>3880</v>
      </c>
      <c r="Y326" s="334">
        <v>556.44799999999998</v>
      </c>
      <c r="Z326" s="335">
        <v>3870</v>
      </c>
      <c r="AA326" s="334">
        <v>1194.0899999999999</v>
      </c>
      <c r="AB326" s="336">
        <v>3870</v>
      </c>
      <c r="AC326" s="334">
        <v>1193.0740000000001</v>
      </c>
      <c r="AD326" s="336">
        <v>3870</v>
      </c>
      <c r="AE326" s="334">
        <v>1025.0540000000001</v>
      </c>
      <c r="AF326" s="336">
        <v>3870</v>
      </c>
      <c r="AG326" s="334">
        <v>1024.7919999999999</v>
      </c>
      <c r="AH326" s="336">
        <v>3870</v>
      </c>
      <c r="AI326" s="334">
        <v>1024.845</v>
      </c>
      <c r="AJ326" s="336">
        <v>3850</v>
      </c>
      <c r="AK326" s="334">
        <v>1026.0170000000001</v>
      </c>
      <c r="AL326" s="336">
        <v>3870</v>
      </c>
      <c r="AM326" s="334">
        <v>1025.5930000000001</v>
      </c>
      <c r="AN326" s="336">
        <v>3870</v>
      </c>
      <c r="AO326" s="334">
        <v>1026.096</v>
      </c>
      <c r="AP326" s="336">
        <v>3860</v>
      </c>
      <c r="AQ326" s="334">
        <v>1024.752</v>
      </c>
      <c r="AR326" s="336">
        <v>3870</v>
      </c>
      <c r="AS326" s="334">
        <v>1024.57</v>
      </c>
      <c r="AT326" s="336">
        <v>3870</v>
      </c>
      <c r="AU326" s="334">
        <v>1023.124</v>
      </c>
      <c r="AV326" s="336">
        <v>3870</v>
      </c>
      <c r="AW326" s="334">
        <v>1022.864</v>
      </c>
      <c r="AX326" s="336">
        <v>3860</v>
      </c>
      <c r="AY326" s="334">
        <v>946.93700000000001</v>
      </c>
      <c r="AZ326" s="336">
        <v>3870</v>
      </c>
      <c r="BA326" s="337">
        <v>948.19299999999998</v>
      </c>
      <c r="BB326" s="336">
        <v>3850</v>
      </c>
      <c r="BC326" s="334">
        <v>266.35500000000002</v>
      </c>
      <c r="BD326" s="336">
        <v>3850</v>
      </c>
      <c r="BE326" s="334">
        <v>278.37700000000001</v>
      </c>
    </row>
    <row r="327" spans="22:57">
      <c r="V327" s="346">
        <v>3880</v>
      </c>
      <c r="W327" s="333">
        <v>559.74800000000005</v>
      </c>
      <c r="X327" s="346">
        <v>3890</v>
      </c>
      <c r="Y327" s="334">
        <v>555.65499999999997</v>
      </c>
      <c r="Z327" s="335">
        <v>3880</v>
      </c>
      <c r="AA327" s="334">
        <v>1192.5889999999999</v>
      </c>
      <c r="AB327" s="336">
        <v>3880</v>
      </c>
      <c r="AC327" s="334">
        <v>1191.576</v>
      </c>
      <c r="AD327" s="336">
        <v>3880</v>
      </c>
      <c r="AE327" s="334">
        <v>1023.846</v>
      </c>
      <c r="AF327" s="336">
        <v>3880</v>
      </c>
      <c r="AG327" s="334">
        <v>1023.583</v>
      </c>
      <c r="AH327" s="336">
        <v>3880</v>
      </c>
      <c r="AI327" s="334">
        <v>1023.6369999999999</v>
      </c>
      <c r="AJ327" s="336">
        <v>3860</v>
      </c>
      <c r="AK327" s="334">
        <v>1024.809</v>
      </c>
      <c r="AL327" s="336">
        <v>3880</v>
      </c>
      <c r="AM327" s="334">
        <v>1024.385</v>
      </c>
      <c r="AN327" s="336">
        <v>3880</v>
      </c>
      <c r="AO327" s="334">
        <v>1024.8900000000001</v>
      </c>
      <c r="AP327" s="336">
        <v>3870</v>
      </c>
      <c r="AQ327" s="334">
        <v>1023.547</v>
      </c>
      <c r="AR327" s="336">
        <v>3880</v>
      </c>
      <c r="AS327" s="334">
        <v>1023.364</v>
      </c>
      <c r="AT327" s="336">
        <v>3880</v>
      </c>
      <c r="AU327" s="334">
        <v>1021.918</v>
      </c>
      <c r="AV327" s="336">
        <v>3880</v>
      </c>
      <c r="AW327" s="334">
        <v>1021.66</v>
      </c>
      <c r="AX327" s="336">
        <v>3870</v>
      </c>
      <c r="AY327" s="334">
        <v>945.73099999999999</v>
      </c>
      <c r="AZ327" s="336">
        <v>3880</v>
      </c>
      <c r="BA327" s="337">
        <v>946.98900000000003</v>
      </c>
      <c r="BB327" s="336">
        <v>3860</v>
      </c>
      <c r="BC327" s="334">
        <v>265.96100000000001</v>
      </c>
      <c r="BD327" s="336">
        <v>3860</v>
      </c>
      <c r="BE327" s="334">
        <v>277.96899999999999</v>
      </c>
    </row>
    <row r="328" spans="22:57">
      <c r="V328" s="346">
        <v>3890</v>
      </c>
      <c r="W328" s="333">
        <v>558.95000000000005</v>
      </c>
      <c r="X328" s="346">
        <v>3900</v>
      </c>
      <c r="Y328" s="334">
        <v>554.86300000000006</v>
      </c>
      <c r="Z328" s="335">
        <v>3890</v>
      </c>
      <c r="AA328" s="334">
        <v>1191.088</v>
      </c>
      <c r="AB328" s="336">
        <v>3890</v>
      </c>
      <c r="AC328" s="334">
        <v>1190.078</v>
      </c>
      <c r="AD328" s="336">
        <v>3890</v>
      </c>
      <c r="AE328" s="334">
        <v>1022.638</v>
      </c>
      <c r="AF328" s="336">
        <v>3890</v>
      </c>
      <c r="AG328" s="334">
        <v>1022.374</v>
      </c>
      <c r="AH328" s="336">
        <v>3890</v>
      </c>
      <c r="AI328" s="334">
        <v>1022.429</v>
      </c>
      <c r="AJ328" s="336">
        <v>3870</v>
      </c>
      <c r="AK328" s="334">
        <v>1023.602</v>
      </c>
      <c r="AL328" s="336">
        <v>3890</v>
      </c>
      <c r="AM328" s="334">
        <v>1023.178</v>
      </c>
      <c r="AN328" s="336">
        <v>3890</v>
      </c>
      <c r="AO328" s="334">
        <v>1023.682</v>
      </c>
      <c r="AP328" s="336">
        <v>3880</v>
      </c>
      <c r="AQ328" s="334">
        <v>1022.342</v>
      </c>
      <c r="AR328" s="336">
        <v>3890</v>
      </c>
      <c r="AS328" s="334">
        <v>1022.159</v>
      </c>
      <c r="AT328" s="336">
        <v>3890</v>
      </c>
      <c r="AU328" s="334">
        <v>1020.712</v>
      </c>
      <c r="AV328" s="336">
        <v>3890</v>
      </c>
      <c r="AW328" s="334">
        <v>1020.456</v>
      </c>
      <c r="AX328" s="336">
        <v>3880</v>
      </c>
      <c r="AY328" s="334">
        <v>944.52599999999995</v>
      </c>
      <c r="AZ328" s="336">
        <v>3890</v>
      </c>
      <c r="BA328" s="337">
        <v>945.78399999999999</v>
      </c>
      <c r="BB328" s="336">
        <v>3870</v>
      </c>
      <c r="BC328" s="334">
        <v>265.56700000000001</v>
      </c>
      <c r="BD328" s="336">
        <v>3870</v>
      </c>
      <c r="BE328" s="334">
        <v>277.56099999999998</v>
      </c>
    </row>
    <row r="329" spans="22:57">
      <c r="V329" s="346">
        <v>3900</v>
      </c>
      <c r="W329" s="333">
        <v>558.15099999999995</v>
      </c>
      <c r="X329" s="346">
        <v>3910</v>
      </c>
      <c r="Y329" s="334">
        <v>554.07000000000005</v>
      </c>
      <c r="Z329" s="335">
        <v>3900</v>
      </c>
      <c r="AA329" s="334">
        <v>1189.586</v>
      </c>
      <c r="AB329" s="336">
        <v>3900</v>
      </c>
      <c r="AC329" s="334">
        <v>1188.579</v>
      </c>
      <c r="AD329" s="336">
        <v>3900</v>
      </c>
      <c r="AE329" s="334">
        <v>1021.43</v>
      </c>
      <c r="AF329" s="336">
        <v>3900</v>
      </c>
      <c r="AG329" s="334">
        <v>1021.165</v>
      </c>
      <c r="AH329" s="336">
        <v>3900</v>
      </c>
      <c r="AI329" s="334">
        <v>1021.221</v>
      </c>
      <c r="AJ329" s="336">
        <v>3880</v>
      </c>
      <c r="AK329" s="334">
        <v>1022.394</v>
      </c>
      <c r="AL329" s="336">
        <v>3900</v>
      </c>
      <c r="AM329" s="334">
        <v>1021.97</v>
      </c>
      <c r="AN329" s="336">
        <v>3900</v>
      </c>
      <c r="AO329" s="334">
        <v>1022.475</v>
      </c>
      <c r="AP329" s="336">
        <v>3890</v>
      </c>
      <c r="AQ329" s="334">
        <v>1021.1369999999999</v>
      </c>
      <c r="AR329" s="336">
        <v>3900</v>
      </c>
      <c r="AS329" s="334">
        <v>1020.953</v>
      </c>
      <c r="AT329" s="336">
        <v>3900</v>
      </c>
      <c r="AU329" s="334">
        <v>1019.505</v>
      </c>
      <c r="AV329" s="336">
        <v>3900</v>
      </c>
      <c r="AW329" s="334">
        <v>1019.251</v>
      </c>
      <c r="AX329" s="336">
        <v>3890</v>
      </c>
      <c r="AY329" s="334">
        <v>943.32</v>
      </c>
      <c r="AZ329" s="336">
        <v>3900</v>
      </c>
      <c r="BA329" s="337">
        <v>944.58</v>
      </c>
      <c r="BB329" s="336">
        <v>3880</v>
      </c>
      <c r="BC329" s="334">
        <v>265.17200000000003</v>
      </c>
      <c r="BD329" s="336">
        <v>3880</v>
      </c>
      <c r="BE329" s="334">
        <v>277.15199999999999</v>
      </c>
    </row>
    <row r="330" spans="22:57">
      <c r="V330" s="346">
        <v>3910</v>
      </c>
      <c r="W330" s="333">
        <v>557.35299999999995</v>
      </c>
      <c r="X330" s="346">
        <v>3920</v>
      </c>
      <c r="Y330" s="334">
        <v>553.27599999999995</v>
      </c>
      <c r="Z330" s="335">
        <v>3910</v>
      </c>
      <c r="AA330" s="334">
        <v>1188.0840000000001</v>
      </c>
      <c r="AB330" s="336">
        <v>3910</v>
      </c>
      <c r="AC330" s="334">
        <v>1187.0809999999999</v>
      </c>
      <c r="AD330" s="336">
        <v>3910</v>
      </c>
      <c r="AE330" s="334">
        <v>1020.221</v>
      </c>
      <c r="AF330" s="336">
        <v>3910</v>
      </c>
      <c r="AG330" s="334">
        <v>1019.956</v>
      </c>
      <c r="AH330" s="336">
        <v>3910</v>
      </c>
      <c r="AI330" s="334">
        <v>1020.0119999999999</v>
      </c>
      <c r="AJ330" s="336">
        <v>3890</v>
      </c>
      <c r="AK330" s="334">
        <v>1021.186</v>
      </c>
      <c r="AL330" s="336">
        <v>3910</v>
      </c>
      <c r="AM330" s="334">
        <v>1020.7619999999999</v>
      </c>
      <c r="AN330" s="336">
        <v>3910</v>
      </c>
      <c r="AO330" s="334">
        <v>1021.2670000000001</v>
      </c>
      <c r="AP330" s="336">
        <v>3900</v>
      </c>
      <c r="AQ330" s="334">
        <v>1019.931</v>
      </c>
      <c r="AR330" s="336">
        <v>3910</v>
      </c>
      <c r="AS330" s="334">
        <v>1019.746</v>
      </c>
      <c r="AT330" s="336">
        <v>3910</v>
      </c>
      <c r="AU330" s="334">
        <v>1018.299</v>
      </c>
      <c r="AV330" s="336">
        <v>3910</v>
      </c>
      <c r="AW330" s="334">
        <v>1018.047</v>
      </c>
      <c r="AX330" s="336">
        <v>3900</v>
      </c>
      <c r="AY330" s="334">
        <v>942.11400000000003</v>
      </c>
      <c r="AZ330" s="336">
        <v>3910</v>
      </c>
      <c r="BA330" s="337">
        <v>943.375</v>
      </c>
      <c r="BB330" s="336">
        <v>3890</v>
      </c>
      <c r="BC330" s="334">
        <v>264.77699999999999</v>
      </c>
      <c r="BD330" s="336">
        <v>3890</v>
      </c>
      <c r="BE330" s="334">
        <v>276.74299999999999</v>
      </c>
    </row>
    <row r="331" spans="22:57">
      <c r="V331" s="346">
        <v>3920</v>
      </c>
      <c r="W331" s="333">
        <v>556.55399999999997</v>
      </c>
      <c r="X331" s="346">
        <v>3930</v>
      </c>
      <c r="Y331" s="334">
        <v>552.48299999999995</v>
      </c>
      <c r="Z331" s="335">
        <v>3920</v>
      </c>
      <c r="AA331" s="334">
        <v>1186.5820000000001</v>
      </c>
      <c r="AB331" s="336">
        <v>3920</v>
      </c>
      <c r="AC331" s="334">
        <v>1185.5809999999999</v>
      </c>
      <c r="AD331" s="336">
        <v>3920</v>
      </c>
      <c r="AE331" s="334">
        <v>1019.013</v>
      </c>
      <c r="AF331" s="336">
        <v>3920</v>
      </c>
      <c r="AG331" s="334">
        <v>1018.746</v>
      </c>
      <c r="AH331" s="336">
        <v>3920</v>
      </c>
      <c r="AI331" s="334">
        <v>1018.803</v>
      </c>
      <c r="AJ331" s="336">
        <v>3900</v>
      </c>
      <c r="AK331" s="334">
        <v>1019.978</v>
      </c>
      <c r="AL331" s="336">
        <v>3920</v>
      </c>
      <c r="AM331" s="334">
        <v>1019.553</v>
      </c>
      <c r="AN331" s="336">
        <v>3920</v>
      </c>
      <c r="AO331" s="334">
        <v>1020.059</v>
      </c>
      <c r="AP331" s="336">
        <v>3910</v>
      </c>
      <c r="AQ331" s="334">
        <v>1018.725</v>
      </c>
      <c r="AR331" s="336">
        <v>3920</v>
      </c>
      <c r="AS331" s="334">
        <v>1018.54</v>
      </c>
      <c r="AT331" s="336">
        <v>3920</v>
      </c>
      <c r="AU331" s="334">
        <v>1017.092</v>
      </c>
      <c r="AV331" s="336">
        <v>3920</v>
      </c>
      <c r="AW331" s="334">
        <v>1016.842</v>
      </c>
      <c r="AX331" s="336">
        <v>3910</v>
      </c>
      <c r="AY331" s="334">
        <v>940.90800000000002</v>
      </c>
      <c r="AZ331" s="336">
        <v>3920</v>
      </c>
      <c r="BA331" s="337">
        <v>942.17</v>
      </c>
      <c r="BB331" s="336">
        <v>3900</v>
      </c>
      <c r="BC331" s="334">
        <v>264.38299999999998</v>
      </c>
      <c r="BD331" s="336">
        <v>3900</v>
      </c>
      <c r="BE331" s="334">
        <v>276.33499999999998</v>
      </c>
    </row>
    <row r="332" spans="22:57">
      <c r="V332" s="346">
        <v>3930</v>
      </c>
      <c r="W332" s="333">
        <v>555.755</v>
      </c>
      <c r="X332" s="346">
        <v>3940</v>
      </c>
      <c r="Y332" s="334">
        <v>551.69000000000005</v>
      </c>
      <c r="Z332" s="335">
        <v>3930</v>
      </c>
      <c r="AA332" s="334">
        <v>1185.079</v>
      </c>
      <c r="AB332" s="336">
        <v>3930</v>
      </c>
      <c r="AC332" s="334">
        <v>1184.0820000000001</v>
      </c>
      <c r="AD332" s="336">
        <v>3930</v>
      </c>
      <c r="AE332" s="334">
        <v>1017.804</v>
      </c>
      <c r="AF332" s="336">
        <v>3930</v>
      </c>
      <c r="AG332" s="334">
        <v>1017.5359999999999</v>
      </c>
      <c r="AH332" s="336">
        <v>3930</v>
      </c>
      <c r="AI332" s="334">
        <v>1017.5940000000001</v>
      </c>
      <c r="AJ332" s="336">
        <v>3910</v>
      </c>
      <c r="AK332" s="334">
        <v>1018.769</v>
      </c>
      <c r="AL332" s="336">
        <v>3930</v>
      </c>
      <c r="AM332" s="334">
        <v>1018.345</v>
      </c>
      <c r="AN332" s="336">
        <v>3930</v>
      </c>
      <c r="AO332" s="334">
        <v>1018.851</v>
      </c>
      <c r="AP332" s="336">
        <v>3920</v>
      </c>
      <c r="AQ332" s="334">
        <v>1017.519</v>
      </c>
      <c r="AR332" s="336">
        <v>3930</v>
      </c>
      <c r="AS332" s="334">
        <v>1017.333</v>
      </c>
      <c r="AT332" s="336">
        <v>3930</v>
      </c>
      <c r="AU332" s="334">
        <v>1015.885</v>
      </c>
      <c r="AV332" s="336">
        <v>3930</v>
      </c>
      <c r="AW332" s="334">
        <v>1015.636</v>
      </c>
      <c r="AX332" s="336">
        <v>3920</v>
      </c>
      <c r="AY332" s="334">
        <v>939.70100000000002</v>
      </c>
      <c r="AZ332" s="336">
        <v>3930</v>
      </c>
      <c r="BA332" s="337">
        <v>940.96500000000003</v>
      </c>
      <c r="BB332" s="336">
        <v>3910</v>
      </c>
      <c r="BC332" s="334">
        <v>263.988</v>
      </c>
      <c r="BD332" s="336">
        <v>3910</v>
      </c>
      <c r="BE332" s="334">
        <v>275.92599999999999</v>
      </c>
    </row>
    <row r="333" spans="22:57">
      <c r="V333" s="346">
        <v>3940</v>
      </c>
      <c r="W333" s="333">
        <v>554.95600000000002</v>
      </c>
      <c r="X333" s="346">
        <v>3950</v>
      </c>
      <c r="Y333" s="334">
        <v>550.89599999999996</v>
      </c>
      <c r="Z333" s="335">
        <v>3940</v>
      </c>
      <c r="AA333" s="334">
        <v>1183.577</v>
      </c>
      <c r="AB333" s="336">
        <v>3940</v>
      </c>
      <c r="AC333" s="334">
        <v>1182.5820000000001</v>
      </c>
      <c r="AD333" s="336">
        <v>3940</v>
      </c>
      <c r="AE333" s="334">
        <v>1016.595</v>
      </c>
      <c r="AF333" s="336">
        <v>3940</v>
      </c>
      <c r="AG333" s="334">
        <v>1016.326</v>
      </c>
      <c r="AH333" s="336">
        <v>3940</v>
      </c>
      <c r="AI333" s="334">
        <v>1016.385</v>
      </c>
      <c r="AJ333" s="336">
        <v>3920</v>
      </c>
      <c r="AK333" s="334">
        <v>1017.56</v>
      </c>
      <c r="AL333" s="336">
        <v>3940</v>
      </c>
      <c r="AM333" s="334">
        <v>1017.136</v>
      </c>
      <c r="AN333" s="336">
        <v>3940</v>
      </c>
      <c r="AO333" s="334">
        <v>1017.643</v>
      </c>
      <c r="AP333" s="336">
        <v>3930</v>
      </c>
      <c r="AQ333" s="334">
        <v>1016.313</v>
      </c>
      <c r="AR333" s="336">
        <v>3940</v>
      </c>
      <c r="AS333" s="334">
        <v>1016.126</v>
      </c>
      <c r="AT333" s="336">
        <v>3940</v>
      </c>
      <c r="AU333" s="334">
        <v>1014.678</v>
      </c>
      <c r="AV333" s="336">
        <v>3940</v>
      </c>
      <c r="AW333" s="334">
        <v>1014.431</v>
      </c>
      <c r="AX333" s="336">
        <v>3930</v>
      </c>
      <c r="AY333" s="334">
        <v>938.495</v>
      </c>
      <c r="AZ333" s="336">
        <v>3940</v>
      </c>
      <c r="BA333" s="337">
        <v>939.75900000000001</v>
      </c>
      <c r="BB333" s="336">
        <v>3920</v>
      </c>
      <c r="BC333" s="334">
        <v>263.59300000000002</v>
      </c>
      <c r="BD333" s="336">
        <v>3920</v>
      </c>
      <c r="BE333" s="334">
        <v>275.517</v>
      </c>
    </row>
    <row r="334" spans="22:57">
      <c r="V334" s="346">
        <v>3950</v>
      </c>
      <c r="W334" s="333">
        <v>554.15599999999995</v>
      </c>
      <c r="X334" s="346">
        <v>3960</v>
      </c>
      <c r="Y334" s="334">
        <v>550.10199999999998</v>
      </c>
      <c r="Z334" s="335">
        <v>3950</v>
      </c>
      <c r="AA334" s="334">
        <v>1182.0740000000001</v>
      </c>
      <c r="AB334" s="336">
        <v>3950</v>
      </c>
      <c r="AC334" s="334">
        <v>1181.0820000000001</v>
      </c>
      <c r="AD334" s="336">
        <v>3950</v>
      </c>
      <c r="AE334" s="334">
        <v>1015.385</v>
      </c>
      <c r="AF334" s="336">
        <v>3950</v>
      </c>
      <c r="AG334" s="334">
        <v>1015.116</v>
      </c>
      <c r="AH334" s="336">
        <v>3950</v>
      </c>
      <c r="AI334" s="334">
        <v>1015.176</v>
      </c>
      <c r="AJ334" s="336">
        <v>3930</v>
      </c>
      <c r="AK334" s="334">
        <v>1016.351</v>
      </c>
      <c r="AL334" s="336">
        <v>3950</v>
      </c>
      <c r="AM334" s="334">
        <v>1015.926</v>
      </c>
      <c r="AN334" s="336">
        <v>3950</v>
      </c>
      <c r="AO334" s="334">
        <v>1016.434</v>
      </c>
      <c r="AP334" s="336">
        <v>3940</v>
      </c>
      <c r="AQ334" s="334">
        <v>1015.106</v>
      </c>
      <c r="AR334" s="336">
        <v>3950</v>
      </c>
      <c r="AS334" s="334">
        <v>1014.919</v>
      </c>
      <c r="AT334" s="336">
        <v>3950</v>
      </c>
      <c r="AU334" s="334">
        <v>1013.47</v>
      </c>
      <c r="AV334" s="336">
        <v>3950</v>
      </c>
      <c r="AW334" s="334">
        <v>1013.225</v>
      </c>
      <c r="AX334" s="336">
        <v>3940</v>
      </c>
      <c r="AY334" s="334">
        <v>937.28800000000001</v>
      </c>
      <c r="AZ334" s="336">
        <v>3950</v>
      </c>
      <c r="BA334" s="337">
        <v>938.553</v>
      </c>
      <c r="BB334" s="336">
        <v>3930</v>
      </c>
      <c r="BC334" s="334">
        <v>263.19799999999998</v>
      </c>
      <c r="BD334" s="336">
        <v>3930</v>
      </c>
      <c r="BE334" s="334">
        <v>275.108</v>
      </c>
    </row>
    <row r="335" spans="22:57">
      <c r="V335" s="346">
        <v>3960</v>
      </c>
      <c r="W335" s="333">
        <v>553.35699999999997</v>
      </c>
      <c r="X335" s="346">
        <v>3970</v>
      </c>
      <c r="Y335" s="334">
        <v>549.30799999999999</v>
      </c>
      <c r="Z335" s="335">
        <v>3960</v>
      </c>
      <c r="AA335" s="334">
        <v>1180.57</v>
      </c>
      <c r="AB335" s="336">
        <v>3960</v>
      </c>
      <c r="AC335" s="334">
        <v>1179.5809999999999</v>
      </c>
      <c r="AD335" s="336">
        <v>3960</v>
      </c>
      <c r="AE335" s="334">
        <v>1014.176</v>
      </c>
      <c r="AF335" s="336">
        <v>3960</v>
      </c>
      <c r="AG335" s="334">
        <v>1013.905</v>
      </c>
      <c r="AH335" s="336">
        <v>3960</v>
      </c>
      <c r="AI335" s="334">
        <v>1013.966</v>
      </c>
      <c r="AJ335" s="336">
        <v>3940</v>
      </c>
      <c r="AK335" s="334">
        <v>1015.1420000000001</v>
      </c>
      <c r="AL335" s="336">
        <v>3960</v>
      </c>
      <c r="AM335" s="334">
        <v>1014.717</v>
      </c>
      <c r="AN335" s="336">
        <v>3960</v>
      </c>
      <c r="AO335" s="334">
        <v>1015.225</v>
      </c>
      <c r="AP335" s="336">
        <v>3950</v>
      </c>
      <c r="AQ335" s="334">
        <v>1013.899</v>
      </c>
      <c r="AR335" s="336">
        <v>3960</v>
      </c>
      <c r="AS335" s="334">
        <v>1013.712</v>
      </c>
      <c r="AT335" s="336">
        <v>3960</v>
      </c>
      <c r="AU335" s="334">
        <v>1012.263</v>
      </c>
      <c r="AV335" s="336">
        <v>3960</v>
      </c>
      <c r="AW335" s="334">
        <v>1012.02</v>
      </c>
      <c r="AX335" s="336">
        <v>3950</v>
      </c>
      <c r="AY335" s="334">
        <v>936.08</v>
      </c>
      <c r="AZ335" s="336">
        <v>3960</v>
      </c>
      <c r="BA335" s="337">
        <v>937.34699999999998</v>
      </c>
      <c r="BB335" s="336">
        <v>3940</v>
      </c>
      <c r="BC335" s="334">
        <v>262.803</v>
      </c>
      <c r="BD335" s="336">
        <v>3940</v>
      </c>
      <c r="BE335" s="334">
        <v>274.69900000000001</v>
      </c>
    </row>
    <row r="336" spans="22:57">
      <c r="V336" s="346">
        <v>3970</v>
      </c>
      <c r="W336" s="333">
        <v>552.55700000000002</v>
      </c>
      <c r="X336" s="346">
        <v>3980</v>
      </c>
      <c r="Y336" s="370">
        <v>548.51400000000001</v>
      </c>
      <c r="Z336" s="335">
        <v>3970</v>
      </c>
      <c r="AA336" s="334">
        <v>1179.066</v>
      </c>
      <c r="AB336" s="336">
        <v>3970</v>
      </c>
      <c r="AC336" s="334">
        <v>1178.0809999999999</v>
      </c>
      <c r="AD336" s="336">
        <v>3970</v>
      </c>
      <c r="AE336" s="334">
        <v>1012.966</v>
      </c>
      <c r="AF336" s="336">
        <v>3970</v>
      </c>
      <c r="AG336" s="334">
        <v>1012.694</v>
      </c>
      <c r="AH336" s="336">
        <v>3970</v>
      </c>
      <c r="AI336" s="334">
        <v>1012.756</v>
      </c>
      <c r="AJ336" s="336">
        <v>3950</v>
      </c>
      <c r="AK336" s="334">
        <v>1013.933</v>
      </c>
      <c r="AL336" s="336">
        <v>3970</v>
      </c>
      <c r="AM336" s="334">
        <v>1013.5069999999999</v>
      </c>
      <c r="AN336" s="336">
        <v>3970</v>
      </c>
      <c r="AO336" s="334">
        <v>1014.016</v>
      </c>
      <c r="AP336" s="336">
        <v>3960</v>
      </c>
      <c r="AQ336" s="334">
        <v>1012.692</v>
      </c>
      <c r="AR336" s="336">
        <v>3970</v>
      </c>
      <c r="AS336" s="334">
        <v>1012.504</v>
      </c>
      <c r="AT336" s="336">
        <v>3970</v>
      </c>
      <c r="AU336" s="334">
        <v>1011.0549999999999</v>
      </c>
      <c r="AV336" s="336">
        <v>3970</v>
      </c>
      <c r="AW336" s="334">
        <v>1010.813</v>
      </c>
      <c r="AX336" s="336">
        <v>3960</v>
      </c>
      <c r="AY336" s="334">
        <v>934.87300000000005</v>
      </c>
      <c r="AZ336" s="336">
        <v>3970</v>
      </c>
      <c r="BA336" s="337">
        <v>936.14099999999996</v>
      </c>
      <c r="BB336" s="336">
        <v>3950</v>
      </c>
      <c r="BC336" s="334">
        <v>262.40800000000002</v>
      </c>
      <c r="BD336" s="336">
        <v>3950</v>
      </c>
      <c r="BE336" s="334">
        <v>274.29000000000002</v>
      </c>
    </row>
    <row r="337" spans="22:57">
      <c r="V337" s="346">
        <v>3980</v>
      </c>
      <c r="W337" s="333">
        <v>551.75699999999995</v>
      </c>
      <c r="X337" s="346">
        <v>3990</v>
      </c>
      <c r="Y337" s="334">
        <v>547.71900000000005</v>
      </c>
      <c r="Z337" s="335">
        <v>3980</v>
      </c>
      <c r="AA337" s="334">
        <v>1177.5619999999999</v>
      </c>
      <c r="AB337" s="336">
        <v>3980</v>
      </c>
      <c r="AC337" s="334">
        <v>1176.58</v>
      </c>
      <c r="AD337" s="336">
        <v>3980</v>
      </c>
      <c r="AE337" s="334">
        <v>1011.756</v>
      </c>
      <c r="AF337" s="336">
        <v>3980</v>
      </c>
      <c r="AG337" s="334">
        <v>1011.4829999999999</v>
      </c>
      <c r="AH337" s="336">
        <v>3980</v>
      </c>
      <c r="AI337" s="334">
        <v>1011.546</v>
      </c>
      <c r="AJ337" s="336">
        <v>3960</v>
      </c>
      <c r="AK337" s="334">
        <v>1012.723</v>
      </c>
      <c r="AL337" s="336">
        <v>3980</v>
      </c>
      <c r="AM337" s="334">
        <v>1012.298</v>
      </c>
      <c r="AN337" s="336">
        <v>3980</v>
      </c>
      <c r="AO337" s="334">
        <v>1012.807</v>
      </c>
      <c r="AP337" s="336">
        <v>3970</v>
      </c>
      <c r="AQ337" s="334">
        <v>1011.485</v>
      </c>
      <c r="AR337" s="336">
        <v>3980</v>
      </c>
      <c r="AS337" s="334">
        <v>1011.296</v>
      </c>
      <c r="AT337" s="336">
        <v>3980</v>
      </c>
      <c r="AU337" s="334">
        <v>1009.846</v>
      </c>
      <c r="AV337" s="336">
        <v>3980</v>
      </c>
      <c r="AW337" s="334">
        <v>1009.607</v>
      </c>
      <c r="AX337" s="336">
        <v>3970</v>
      </c>
      <c r="AY337" s="334">
        <v>933.66499999999996</v>
      </c>
      <c r="AZ337" s="336">
        <v>3980</v>
      </c>
      <c r="BA337" s="337">
        <v>934.93499999999995</v>
      </c>
      <c r="BB337" s="336">
        <v>3960</v>
      </c>
      <c r="BC337" s="334">
        <v>262.01299999999998</v>
      </c>
      <c r="BD337" s="336">
        <v>3960</v>
      </c>
      <c r="BE337" s="334">
        <v>273.88</v>
      </c>
    </row>
    <row r="338" spans="22:57">
      <c r="V338" s="346">
        <v>3990</v>
      </c>
      <c r="W338" s="333">
        <v>550.95699999999999</v>
      </c>
      <c r="X338" s="346">
        <v>4000</v>
      </c>
      <c r="Y338" s="334">
        <v>546.92499999999995</v>
      </c>
      <c r="Z338" s="335">
        <v>3990</v>
      </c>
      <c r="AA338" s="334">
        <v>1176.058</v>
      </c>
      <c r="AB338" s="336">
        <v>3990</v>
      </c>
      <c r="AC338" s="334">
        <v>1175.078</v>
      </c>
      <c r="AD338" s="336">
        <v>3990</v>
      </c>
      <c r="AE338" s="334">
        <v>1010.545</v>
      </c>
      <c r="AF338" s="336">
        <v>3990</v>
      </c>
      <c r="AG338" s="334">
        <v>1010.272</v>
      </c>
      <c r="AH338" s="336">
        <v>3990</v>
      </c>
      <c r="AI338" s="334">
        <v>1010.335</v>
      </c>
      <c r="AJ338" s="336">
        <v>3970</v>
      </c>
      <c r="AK338" s="334">
        <v>1011.513</v>
      </c>
      <c r="AL338" s="336">
        <v>3990</v>
      </c>
      <c r="AM338" s="334">
        <v>1011.087</v>
      </c>
      <c r="AN338" s="336">
        <v>3990</v>
      </c>
      <c r="AO338" s="334">
        <v>1011.597</v>
      </c>
      <c r="AP338" s="336">
        <v>3980</v>
      </c>
      <c r="AQ338" s="334">
        <v>1010.277</v>
      </c>
      <c r="AR338" s="336">
        <v>3990</v>
      </c>
      <c r="AS338" s="334">
        <v>1010.088</v>
      </c>
      <c r="AT338" s="336">
        <v>3990</v>
      </c>
      <c r="AU338" s="334">
        <v>1008.638</v>
      </c>
      <c r="AV338" s="336">
        <v>3990</v>
      </c>
      <c r="AW338" s="334">
        <v>1008.401</v>
      </c>
      <c r="AX338" s="336">
        <v>3980</v>
      </c>
      <c r="AY338" s="334">
        <v>932.45699999999999</v>
      </c>
      <c r="AZ338" s="336">
        <v>3990</v>
      </c>
      <c r="BA338" s="337">
        <v>933.72799999999995</v>
      </c>
      <c r="BB338" s="336">
        <v>3970</v>
      </c>
      <c r="BC338" s="334">
        <v>261.61700000000002</v>
      </c>
      <c r="BD338" s="336">
        <v>3970</v>
      </c>
      <c r="BE338" s="334">
        <v>273.471</v>
      </c>
    </row>
    <row r="339" spans="22:57">
      <c r="V339" s="346">
        <v>4000</v>
      </c>
      <c r="W339" s="333">
        <v>550.15700000000004</v>
      </c>
      <c r="X339" s="346">
        <v>4010</v>
      </c>
      <c r="Y339" s="334">
        <v>546.13</v>
      </c>
      <c r="Z339" s="335">
        <v>4000</v>
      </c>
      <c r="AA339" s="334">
        <v>1174.5540000000001</v>
      </c>
      <c r="AB339" s="336">
        <v>4000</v>
      </c>
      <c r="AC339" s="334">
        <v>1173.576</v>
      </c>
      <c r="AD339" s="336">
        <v>4000</v>
      </c>
      <c r="AE339" s="334">
        <v>1009.335</v>
      </c>
      <c r="AF339" s="336">
        <v>4000</v>
      </c>
      <c r="AG339" s="334">
        <v>1009.06</v>
      </c>
      <c r="AH339" s="336">
        <v>4000</v>
      </c>
      <c r="AI339" s="334">
        <v>1009.125</v>
      </c>
      <c r="AJ339" s="336">
        <v>3980</v>
      </c>
      <c r="AK339" s="334">
        <v>1010.303</v>
      </c>
      <c r="AL339" s="336">
        <v>4000</v>
      </c>
      <c r="AM339" s="334">
        <v>1009.877</v>
      </c>
      <c r="AN339" s="336">
        <v>4000</v>
      </c>
      <c r="AO339" s="334">
        <v>1010.3869999999999</v>
      </c>
      <c r="AP339" s="336">
        <v>3990</v>
      </c>
      <c r="AQ339" s="334">
        <v>1009.07</v>
      </c>
      <c r="AR339" s="336">
        <v>4000</v>
      </c>
      <c r="AS339" s="334">
        <v>1008.879</v>
      </c>
      <c r="AT339" s="336">
        <v>4000</v>
      </c>
      <c r="AU339" s="334">
        <v>1007.429</v>
      </c>
      <c r="AV339" s="336">
        <v>4000</v>
      </c>
      <c r="AW339" s="334">
        <v>1007.194</v>
      </c>
      <c r="AX339" s="336">
        <v>3990</v>
      </c>
      <c r="AY339" s="334">
        <v>931.24900000000002</v>
      </c>
      <c r="AZ339" s="336">
        <v>4000</v>
      </c>
      <c r="BA339" s="337">
        <v>932.52099999999996</v>
      </c>
      <c r="BB339" s="336">
        <v>3980</v>
      </c>
      <c r="BC339" s="334">
        <v>261.22199999999998</v>
      </c>
      <c r="BD339" s="336">
        <v>3980</v>
      </c>
      <c r="BE339" s="334">
        <v>273.06200000000001</v>
      </c>
    </row>
    <row r="340" spans="22:57">
      <c r="V340" s="346">
        <v>4010</v>
      </c>
      <c r="W340" s="333">
        <v>549.35699999999997</v>
      </c>
      <c r="X340" s="346">
        <v>4020</v>
      </c>
      <c r="Y340" s="334">
        <v>545.33500000000004</v>
      </c>
      <c r="Z340" s="335">
        <v>4010</v>
      </c>
      <c r="AA340" s="334">
        <v>1173.049</v>
      </c>
      <c r="AB340" s="336">
        <v>4010</v>
      </c>
      <c r="AC340" s="334">
        <v>1172.075</v>
      </c>
      <c r="AD340" s="336">
        <v>4010</v>
      </c>
      <c r="AE340" s="334">
        <v>1008.124</v>
      </c>
      <c r="AF340" s="336">
        <v>4010</v>
      </c>
      <c r="AG340" s="334">
        <v>1007.848</v>
      </c>
      <c r="AH340" s="336">
        <v>4010</v>
      </c>
      <c r="AI340" s="334">
        <v>1007.914</v>
      </c>
      <c r="AJ340" s="336">
        <v>3990</v>
      </c>
      <c r="AK340" s="334">
        <v>1009.092</v>
      </c>
      <c r="AL340" s="336">
        <v>4010</v>
      </c>
      <c r="AM340" s="334">
        <v>1008.667</v>
      </c>
      <c r="AN340" s="336">
        <v>4010</v>
      </c>
      <c r="AO340" s="334">
        <v>1009.177</v>
      </c>
      <c r="AP340" s="336">
        <v>4000</v>
      </c>
      <c r="AQ340" s="334">
        <v>1007.862</v>
      </c>
      <c r="AR340" s="336">
        <v>4010</v>
      </c>
      <c r="AS340" s="334">
        <v>1007.671</v>
      </c>
      <c r="AT340" s="336">
        <v>4010</v>
      </c>
      <c r="AU340" s="334">
        <v>1006.22</v>
      </c>
      <c r="AV340" s="336">
        <v>4010</v>
      </c>
      <c r="AW340" s="334">
        <v>1005.987</v>
      </c>
      <c r="AX340" s="336">
        <v>4000</v>
      </c>
      <c r="AY340" s="334">
        <v>930.04100000000005</v>
      </c>
      <c r="AZ340" s="336">
        <v>4010</v>
      </c>
      <c r="BA340" s="337">
        <v>931.31399999999996</v>
      </c>
      <c r="BB340" s="336">
        <v>3990</v>
      </c>
      <c r="BC340" s="334">
        <v>260.82600000000002</v>
      </c>
      <c r="BD340" s="336">
        <v>3990</v>
      </c>
      <c r="BE340" s="334">
        <v>272.65199999999999</v>
      </c>
    </row>
    <row r="341" spans="22:57">
      <c r="V341" s="346">
        <v>4020</v>
      </c>
      <c r="W341" s="333">
        <v>548.55600000000004</v>
      </c>
      <c r="X341" s="346">
        <v>4030</v>
      </c>
      <c r="Y341" s="334">
        <v>544.54</v>
      </c>
      <c r="Z341" s="335">
        <v>4020</v>
      </c>
      <c r="AA341" s="334">
        <v>1171.5429999999999</v>
      </c>
      <c r="AB341" s="336">
        <v>4020</v>
      </c>
      <c r="AC341" s="334">
        <v>1170.5719999999999</v>
      </c>
      <c r="AD341" s="336">
        <v>4020</v>
      </c>
      <c r="AE341" s="334">
        <v>1006.913</v>
      </c>
      <c r="AF341" s="336">
        <v>4020</v>
      </c>
      <c r="AG341" s="334">
        <v>1006.636</v>
      </c>
      <c r="AH341" s="336">
        <v>4020</v>
      </c>
      <c r="AI341" s="334">
        <v>1006.703</v>
      </c>
      <c r="AJ341" s="336">
        <v>4000</v>
      </c>
      <c r="AK341" s="334">
        <v>1007.8819999999999</v>
      </c>
      <c r="AL341" s="336">
        <v>4020</v>
      </c>
      <c r="AM341" s="334">
        <v>1007.456</v>
      </c>
      <c r="AN341" s="336">
        <v>4020</v>
      </c>
      <c r="AO341" s="334">
        <v>1007.967</v>
      </c>
      <c r="AP341" s="336">
        <v>4010</v>
      </c>
      <c r="AQ341" s="334">
        <v>1006.653</v>
      </c>
      <c r="AR341" s="336">
        <v>4020</v>
      </c>
      <c r="AS341" s="334">
        <v>1006.462</v>
      </c>
      <c r="AT341" s="336">
        <v>4020</v>
      </c>
      <c r="AU341" s="334">
        <v>1005.011</v>
      </c>
      <c r="AV341" s="336">
        <v>4020</v>
      </c>
      <c r="AW341" s="334">
        <v>1004.779</v>
      </c>
      <c r="AX341" s="336">
        <v>4010</v>
      </c>
      <c r="AY341" s="334">
        <v>928.83199999999999</v>
      </c>
      <c r="AZ341" s="336">
        <v>4020</v>
      </c>
      <c r="BA341" s="337">
        <v>930.10599999999999</v>
      </c>
      <c r="BB341" s="336">
        <v>4000</v>
      </c>
      <c r="BC341" s="334">
        <v>260.43099999999998</v>
      </c>
      <c r="BD341" s="336">
        <v>4000</v>
      </c>
      <c r="BE341" s="334">
        <v>272.24200000000002</v>
      </c>
    </row>
    <row r="342" spans="22:57">
      <c r="V342" s="346">
        <v>4030</v>
      </c>
      <c r="W342" s="333">
        <v>547.755</v>
      </c>
      <c r="X342" s="346">
        <v>4040</v>
      </c>
      <c r="Y342" s="334">
        <v>543.745</v>
      </c>
      <c r="Z342" s="335">
        <v>4030</v>
      </c>
      <c r="AA342" s="334">
        <v>1170.038</v>
      </c>
      <c r="AB342" s="336">
        <v>4030</v>
      </c>
      <c r="AC342" s="334">
        <v>1169.07</v>
      </c>
      <c r="AD342" s="336">
        <v>4030</v>
      </c>
      <c r="AE342" s="334">
        <v>1005.702</v>
      </c>
      <c r="AF342" s="336">
        <v>4030</v>
      </c>
      <c r="AG342" s="334">
        <v>1005.424</v>
      </c>
      <c r="AH342" s="336">
        <v>4030</v>
      </c>
      <c r="AI342" s="334">
        <v>1005.491</v>
      </c>
      <c r="AJ342" s="336">
        <v>4010</v>
      </c>
      <c r="AK342" s="334">
        <v>1006.671</v>
      </c>
      <c r="AL342" s="336">
        <v>4030</v>
      </c>
      <c r="AM342" s="334">
        <v>1006.245</v>
      </c>
      <c r="AN342" s="336">
        <v>4030</v>
      </c>
      <c r="AO342" s="334">
        <v>1006.756</v>
      </c>
      <c r="AP342" s="336">
        <v>4020</v>
      </c>
      <c r="AQ342" s="334">
        <v>1005.4450000000001</v>
      </c>
      <c r="AR342" s="336">
        <v>4030</v>
      </c>
      <c r="AS342" s="334">
        <v>1005.253</v>
      </c>
      <c r="AT342" s="336">
        <v>4030</v>
      </c>
      <c r="AU342" s="334">
        <v>1003.802</v>
      </c>
      <c r="AV342" s="336">
        <v>4030</v>
      </c>
      <c r="AW342" s="334">
        <v>1003.572</v>
      </c>
      <c r="AX342" s="336">
        <v>4020</v>
      </c>
      <c r="AY342" s="334">
        <v>927.62300000000005</v>
      </c>
      <c r="AZ342" s="336">
        <v>4030</v>
      </c>
      <c r="BA342" s="337">
        <v>928.899</v>
      </c>
      <c r="BB342" s="336">
        <v>4010</v>
      </c>
      <c r="BC342" s="334">
        <v>260.03500000000003</v>
      </c>
      <c r="BD342" s="336">
        <v>4010</v>
      </c>
      <c r="BE342" s="334">
        <v>271.83300000000003</v>
      </c>
    </row>
    <row r="343" spans="22:57">
      <c r="V343" s="346">
        <v>4040</v>
      </c>
      <c r="W343" s="333">
        <v>546.95399999999995</v>
      </c>
      <c r="X343" s="346">
        <v>4050</v>
      </c>
      <c r="Y343" s="334">
        <v>542.94899999999996</v>
      </c>
      <c r="Z343" s="335">
        <v>4040</v>
      </c>
      <c r="AA343" s="334">
        <v>1168.5319999999999</v>
      </c>
      <c r="AB343" s="336">
        <v>4040</v>
      </c>
      <c r="AC343" s="334">
        <v>1167.567</v>
      </c>
      <c r="AD343" s="336">
        <v>4040</v>
      </c>
      <c r="AE343" s="334">
        <v>1004.49</v>
      </c>
      <c r="AF343" s="336">
        <v>4040</v>
      </c>
      <c r="AG343" s="334">
        <v>1004.211</v>
      </c>
      <c r="AH343" s="336">
        <v>4040</v>
      </c>
      <c r="AI343" s="334">
        <v>1004.28</v>
      </c>
      <c r="AJ343" s="336">
        <v>4020</v>
      </c>
      <c r="AK343" s="334">
        <v>1005.46</v>
      </c>
      <c r="AL343" s="336">
        <v>4040</v>
      </c>
      <c r="AM343" s="334">
        <v>1005.033</v>
      </c>
      <c r="AN343" s="336">
        <v>4040</v>
      </c>
      <c r="AO343" s="334">
        <v>1005.546</v>
      </c>
      <c r="AP343" s="336">
        <v>4030</v>
      </c>
      <c r="AQ343" s="334">
        <v>1004.236</v>
      </c>
      <c r="AR343" s="336">
        <v>4040</v>
      </c>
      <c r="AS343" s="334">
        <v>1004.043</v>
      </c>
      <c r="AT343" s="336">
        <v>4040</v>
      </c>
      <c r="AU343" s="334">
        <v>1002.592</v>
      </c>
      <c r="AV343" s="336">
        <v>4040</v>
      </c>
      <c r="AW343" s="334">
        <v>1002.364</v>
      </c>
      <c r="AX343" s="336">
        <v>4030</v>
      </c>
      <c r="AY343" s="334">
        <v>926.41399999999999</v>
      </c>
      <c r="AZ343" s="336">
        <v>4040</v>
      </c>
      <c r="BA343" s="337">
        <v>927.69100000000003</v>
      </c>
      <c r="BB343" s="336">
        <v>4020</v>
      </c>
      <c r="BC343" s="334">
        <v>259.63900000000001</v>
      </c>
      <c r="BD343" s="336">
        <v>4020</v>
      </c>
      <c r="BE343" s="334">
        <v>271.423</v>
      </c>
    </row>
    <row r="344" spans="22:57">
      <c r="V344" s="346">
        <v>4050</v>
      </c>
      <c r="W344" s="333">
        <v>546.15300000000002</v>
      </c>
      <c r="X344" s="346">
        <v>4060</v>
      </c>
      <c r="Y344" s="334">
        <v>542.154</v>
      </c>
      <c r="Z344" s="335">
        <v>4050</v>
      </c>
      <c r="AA344" s="334">
        <v>1167.0260000000001</v>
      </c>
      <c r="AB344" s="336">
        <v>4050</v>
      </c>
      <c r="AC344" s="334">
        <v>1166.0640000000001</v>
      </c>
      <c r="AD344" s="336">
        <v>4050</v>
      </c>
      <c r="AE344" s="334">
        <v>1003.279</v>
      </c>
      <c r="AF344" s="336">
        <v>4050</v>
      </c>
      <c r="AG344" s="334">
        <v>1002.998</v>
      </c>
      <c r="AH344" s="336">
        <v>4050</v>
      </c>
      <c r="AI344" s="334">
        <v>1003.068</v>
      </c>
      <c r="AJ344" s="336">
        <v>4030</v>
      </c>
      <c r="AK344" s="334">
        <v>1004.248</v>
      </c>
      <c r="AL344" s="336">
        <v>4050</v>
      </c>
      <c r="AM344" s="334">
        <v>1003.822</v>
      </c>
      <c r="AN344" s="336">
        <v>4050</v>
      </c>
      <c r="AO344" s="334">
        <v>1004.3339999999999</v>
      </c>
      <c r="AP344" s="336">
        <v>4040</v>
      </c>
      <c r="AQ344" s="334">
        <v>1003.027</v>
      </c>
      <c r="AR344" s="336">
        <v>4050</v>
      </c>
      <c r="AS344" s="334">
        <v>1002.8339999999999</v>
      </c>
      <c r="AT344" s="336">
        <v>4050</v>
      </c>
      <c r="AU344" s="334">
        <v>1001.3819999999999</v>
      </c>
      <c r="AV344" s="336">
        <v>4050</v>
      </c>
      <c r="AW344" s="334">
        <v>1001.1559999999999</v>
      </c>
      <c r="AX344" s="336">
        <v>4040</v>
      </c>
      <c r="AY344" s="334">
        <v>925.20500000000004</v>
      </c>
      <c r="AZ344" s="336">
        <v>4050</v>
      </c>
      <c r="BA344" s="337">
        <v>926.48299999999995</v>
      </c>
      <c r="BB344" s="336">
        <v>4030</v>
      </c>
      <c r="BC344" s="334">
        <v>259.24299999999999</v>
      </c>
      <c r="BD344" s="336">
        <v>4030</v>
      </c>
      <c r="BE344" s="334">
        <v>271.01299999999998</v>
      </c>
    </row>
    <row r="345" spans="22:57">
      <c r="V345" s="346">
        <v>4060</v>
      </c>
      <c r="W345" s="333">
        <v>545.35199999999998</v>
      </c>
      <c r="X345" s="346">
        <v>4070</v>
      </c>
      <c r="Y345" s="334">
        <v>541.35799999999995</v>
      </c>
      <c r="Z345" s="335">
        <v>4060</v>
      </c>
      <c r="AA345" s="334">
        <v>1165.52</v>
      </c>
      <c r="AB345" s="336">
        <v>4060</v>
      </c>
      <c r="AC345" s="334">
        <v>1164.5609999999999</v>
      </c>
      <c r="AD345" s="336">
        <v>4060</v>
      </c>
      <c r="AE345" s="334">
        <v>1002.067</v>
      </c>
      <c r="AF345" s="336">
        <v>4060</v>
      </c>
      <c r="AG345" s="334">
        <v>1001.785</v>
      </c>
      <c r="AH345" s="336">
        <v>4060</v>
      </c>
      <c r="AI345" s="334">
        <v>1001.856</v>
      </c>
      <c r="AJ345" s="336">
        <v>4040</v>
      </c>
      <c r="AK345" s="334">
        <v>1003.037</v>
      </c>
      <c r="AL345" s="336">
        <v>4060</v>
      </c>
      <c r="AM345" s="334">
        <v>1002.61</v>
      </c>
      <c r="AN345" s="336">
        <v>4060</v>
      </c>
      <c r="AO345" s="334">
        <v>1003.123</v>
      </c>
      <c r="AP345" s="336">
        <v>4050</v>
      </c>
      <c r="AQ345" s="334">
        <v>1001.818</v>
      </c>
      <c r="AR345" s="336">
        <v>4060</v>
      </c>
      <c r="AS345" s="334">
        <v>1001.624</v>
      </c>
      <c r="AT345" s="336">
        <v>4060</v>
      </c>
      <c r="AU345" s="334">
        <v>1000.172</v>
      </c>
      <c r="AV345" s="336">
        <v>4060</v>
      </c>
      <c r="AW345" s="334">
        <v>999.947</v>
      </c>
      <c r="AX345" s="336">
        <v>4050</v>
      </c>
      <c r="AY345" s="334">
        <v>923.995</v>
      </c>
      <c r="AZ345" s="336">
        <v>4060</v>
      </c>
      <c r="BA345" s="337">
        <v>925.274</v>
      </c>
      <c r="BB345" s="336">
        <v>4040</v>
      </c>
      <c r="BC345" s="334">
        <v>258.84699999999998</v>
      </c>
      <c r="BD345" s="336">
        <v>4040</v>
      </c>
      <c r="BE345" s="334">
        <v>270.60300000000001</v>
      </c>
    </row>
    <row r="346" spans="22:57">
      <c r="V346" s="346">
        <v>4070</v>
      </c>
      <c r="W346" s="333">
        <v>544.55100000000004</v>
      </c>
      <c r="X346" s="346">
        <v>4080</v>
      </c>
      <c r="Y346" s="334">
        <v>540.56200000000001</v>
      </c>
      <c r="Z346" s="335">
        <v>4070</v>
      </c>
      <c r="AA346" s="334">
        <v>1164.0129999999999</v>
      </c>
      <c r="AB346" s="336">
        <v>4070</v>
      </c>
      <c r="AC346" s="334">
        <v>1163.057</v>
      </c>
      <c r="AD346" s="336">
        <v>4070</v>
      </c>
      <c r="AE346" s="334">
        <v>1000.854</v>
      </c>
      <c r="AF346" s="336">
        <v>4070</v>
      </c>
      <c r="AG346" s="334">
        <v>1000.572</v>
      </c>
      <c r="AH346" s="336">
        <v>4070</v>
      </c>
      <c r="AI346" s="334">
        <v>1000.643</v>
      </c>
      <c r="AJ346" s="336">
        <v>4050</v>
      </c>
      <c r="AK346" s="334">
        <v>1001.825</v>
      </c>
      <c r="AL346" s="336">
        <v>4070</v>
      </c>
      <c r="AM346" s="334">
        <v>1001.398</v>
      </c>
      <c r="AN346" s="336">
        <v>4070</v>
      </c>
      <c r="AO346" s="334">
        <v>1001.912</v>
      </c>
      <c r="AP346" s="336">
        <v>4060</v>
      </c>
      <c r="AQ346" s="334">
        <v>1000.6079999999999</v>
      </c>
      <c r="AR346" s="336">
        <v>4070</v>
      </c>
      <c r="AS346" s="334">
        <v>1000.414</v>
      </c>
      <c r="AT346" s="336">
        <v>4070</v>
      </c>
      <c r="AU346" s="334">
        <v>998.96199999999999</v>
      </c>
      <c r="AV346" s="336">
        <v>4070</v>
      </c>
      <c r="AW346" s="334">
        <v>998.73900000000003</v>
      </c>
      <c r="AX346" s="336">
        <v>4060</v>
      </c>
      <c r="AY346" s="334">
        <v>922.78499999999997</v>
      </c>
      <c r="AZ346" s="336">
        <v>4070</v>
      </c>
      <c r="BA346" s="337">
        <v>924.06500000000005</v>
      </c>
      <c r="BB346" s="336">
        <v>4050</v>
      </c>
      <c r="BC346" s="334">
        <v>258.45100000000002</v>
      </c>
      <c r="BD346" s="336">
        <v>4050</v>
      </c>
      <c r="BE346" s="334">
        <v>270.19299999999998</v>
      </c>
    </row>
    <row r="347" spans="22:57">
      <c r="V347" s="346">
        <v>4080</v>
      </c>
      <c r="W347" s="333">
        <v>543.74900000000002</v>
      </c>
      <c r="X347" s="346">
        <v>4090</v>
      </c>
      <c r="Y347" s="334">
        <v>539.76599999999996</v>
      </c>
      <c r="Z347" s="335">
        <v>4080</v>
      </c>
      <c r="AA347" s="334">
        <v>1162.5060000000001</v>
      </c>
      <c r="AB347" s="336">
        <v>4080</v>
      </c>
      <c r="AC347" s="334">
        <v>1161.5530000000001</v>
      </c>
      <c r="AD347" s="336">
        <v>4080</v>
      </c>
      <c r="AE347" s="334">
        <v>999.64200000000005</v>
      </c>
      <c r="AF347" s="336">
        <v>4080</v>
      </c>
      <c r="AG347" s="334">
        <v>999.35900000000004</v>
      </c>
      <c r="AH347" s="336">
        <v>4080</v>
      </c>
      <c r="AI347" s="334">
        <v>999.43100000000004</v>
      </c>
      <c r="AJ347" s="336">
        <v>4060</v>
      </c>
      <c r="AK347" s="334">
        <v>1000.6130000000001</v>
      </c>
      <c r="AL347" s="336">
        <v>4080</v>
      </c>
      <c r="AM347" s="334">
        <v>1000.186</v>
      </c>
      <c r="AN347" s="336">
        <v>4080</v>
      </c>
      <c r="AO347" s="334">
        <v>1000.7</v>
      </c>
      <c r="AP347" s="336">
        <v>4070</v>
      </c>
      <c r="AQ347" s="334">
        <v>999.399</v>
      </c>
      <c r="AR347" s="336">
        <v>4080</v>
      </c>
      <c r="AS347" s="334">
        <v>999.20399999999995</v>
      </c>
      <c r="AT347" s="336">
        <v>4080</v>
      </c>
      <c r="AU347" s="334">
        <v>997.75099999999998</v>
      </c>
      <c r="AV347" s="336">
        <v>4080</v>
      </c>
      <c r="AW347" s="334">
        <v>997.33</v>
      </c>
      <c r="AX347" s="336">
        <v>4070</v>
      </c>
      <c r="AY347" s="334">
        <v>921.57500000000005</v>
      </c>
      <c r="AZ347" s="336">
        <v>4080</v>
      </c>
      <c r="BA347" s="337">
        <v>922.85599999999999</v>
      </c>
      <c r="BB347" s="336">
        <v>4060</v>
      </c>
      <c r="BC347" s="334">
        <v>258.05500000000001</v>
      </c>
      <c r="BD347" s="336">
        <v>4060</v>
      </c>
      <c r="BE347" s="334">
        <v>269.78300000000002</v>
      </c>
    </row>
    <row r="348" spans="22:57">
      <c r="V348" s="346">
        <v>4090</v>
      </c>
      <c r="W348" s="333">
        <v>542.947</v>
      </c>
      <c r="X348" s="346">
        <v>4100</v>
      </c>
      <c r="Y348" s="334">
        <v>538.96900000000005</v>
      </c>
      <c r="Z348" s="335">
        <v>4090</v>
      </c>
      <c r="AA348" s="334">
        <v>1160.999</v>
      </c>
      <c r="AB348" s="336">
        <v>4090</v>
      </c>
      <c r="AC348" s="334">
        <v>1160.05</v>
      </c>
      <c r="AD348" s="336">
        <v>4090</v>
      </c>
      <c r="AE348" s="334">
        <v>998.42899999999997</v>
      </c>
      <c r="AF348" s="336">
        <v>4090</v>
      </c>
      <c r="AG348" s="334">
        <v>998.14499999999998</v>
      </c>
      <c r="AH348" s="336">
        <v>4090</v>
      </c>
      <c r="AI348" s="334">
        <v>998.21799999999996</v>
      </c>
      <c r="AJ348" s="336">
        <v>4070</v>
      </c>
      <c r="AK348" s="334">
        <v>999.4</v>
      </c>
      <c r="AL348" s="336">
        <v>4090</v>
      </c>
      <c r="AM348" s="334">
        <v>998.97299999999996</v>
      </c>
      <c r="AN348" s="336">
        <v>4090</v>
      </c>
      <c r="AO348" s="334">
        <v>999.48800000000006</v>
      </c>
      <c r="AP348" s="336">
        <v>4080</v>
      </c>
      <c r="AQ348" s="334">
        <v>998.18899999999996</v>
      </c>
      <c r="AR348" s="336">
        <v>4090</v>
      </c>
      <c r="AS348" s="334">
        <v>997.99300000000005</v>
      </c>
      <c r="AT348" s="336">
        <v>4090</v>
      </c>
      <c r="AU348" s="334">
        <v>996.54</v>
      </c>
      <c r="AV348" s="336">
        <v>4090</v>
      </c>
      <c r="AW348" s="334">
        <v>996.32100000000003</v>
      </c>
      <c r="AX348" s="336">
        <v>4080</v>
      </c>
      <c r="AY348" s="334">
        <v>920.36500000000001</v>
      </c>
      <c r="AZ348" s="336">
        <v>4090</v>
      </c>
      <c r="BA348" s="337">
        <v>921.64700000000005</v>
      </c>
      <c r="BB348" s="336">
        <v>4070</v>
      </c>
      <c r="BC348" s="334">
        <v>257.65899999999999</v>
      </c>
      <c r="BD348" s="336">
        <v>4070</v>
      </c>
      <c r="BE348" s="334">
        <v>269.37200000000001</v>
      </c>
    </row>
    <row r="349" spans="22:57">
      <c r="V349" s="346">
        <v>4100</v>
      </c>
      <c r="W349" s="333">
        <v>542.14599999999996</v>
      </c>
      <c r="X349" s="346">
        <v>4110</v>
      </c>
      <c r="Y349" s="334">
        <v>538.173</v>
      </c>
      <c r="Z349" s="335">
        <v>4100</v>
      </c>
      <c r="AA349" s="334">
        <v>1159.491</v>
      </c>
      <c r="AB349" s="336">
        <v>4100</v>
      </c>
      <c r="AC349" s="334">
        <v>1158.546</v>
      </c>
      <c r="AD349" s="336">
        <v>4100</v>
      </c>
      <c r="AE349" s="334">
        <v>997.21600000000001</v>
      </c>
      <c r="AF349" s="336">
        <v>4100</v>
      </c>
      <c r="AG349" s="334">
        <v>996.93100000000004</v>
      </c>
      <c r="AH349" s="336">
        <v>4100</v>
      </c>
      <c r="AI349" s="334">
        <v>997.005</v>
      </c>
      <c r="AJ349" s="336">
        <v>4080</v>
      </c>
      <c r="AK349" s="334">
        <v>998.18799999999999</v>
      </c>
      <c r="AL349" s="336">
        <v>4100</v>
      </c>
      <c r="AM349" s="334">
        <v>997.76099999999997</v>
      </c>
      <c r="AN349" s="336">
        <v>4100</v>
      </c>
      <c r="AO349" s="334">
        <v>998.27599999999995</v>
      </c>
      <c r="AP349" s="336">
        <v>4090</v>
      </c>
      <c r="AQ349" s="334">
        <v>996.97900000000004</v>
      </c>
      <c r="AR349" s="336">
        <v>4100</v>
      </c>
      <c r="AS349" s="334">
        <v>996.78200000000004</v>
      </c>
      <c r="AT349" s="336">
        <v>4100</v>
      </c>
      <c r="AU349" s="334">
        <v>995.33</v>
      </c>
      <c r="AV349" s="336">
        <v>4100</v>
      </c>
      <c r="AW349" s="334">
        <v>995.11199999999997</v>
      </c>
      <c r="AX349" s="336">
        <v>4090</v>
      </c>
      <c r="AY349" s="334">
        <v>919.154</v>
      </c>
      <c r="AZ349" s="336">
        <v>4100</v>
      </c>
      <c r="BA349" s="337">
        <v>920.43799999999999</v>
      </c>
      <c r="BB349" s="336">
        <v>4080</v>
      </c>
      <c r="BC349" s="334">
        <v>257.26299999999998</v>
      </c>
      <c r="BD349" s="336">
        <v>4080</v>
      </c>
      <c r="BE349" s="334">
        <v>268.96199999999999</v>
      </c>
    </row>
    <row r="350" spans="22:57">
      <c r="V350" s="346">
        <v>4110</v>
      </c>
      <c r="W350" s="333">
        <v>541.34400000000005</v>
      </c>
      <c r="X350" s="346">
        <v>4120</v>
      </c>
      <c r="Y350" s="334">
        <v>537.37699999999995</v>
      </c>
      <c r="Z350" s="335">
        <v>4110</v>
      </c>
      <c r="AA350" s="334">
        <v>1157.9839999999999</v>
      </c>
      <c r="AB350" s="336">
        <v>4110</v>
      </c>
      <c r="AC350" s="334">
        <v>1157.0419999999999</v>
      </c>
      <c r="AD350" s="336">
        <v>4110</v>
      </c>
      <c r="AE350" s="334">
        <v>996.00300000000004</v>
      </c>
      <c r="AF350" s="336">
        <v>4110</v>
      </c>
      <c r="AG350" s="334">
        <v>995.71799999999996</v>
      </c>
      <c r="AH350" s="336">
        <v>4110</v>
      </c>
      <c r="AI350" s="334">
        <v>995.79200000000003</v>
      </c>
      <c r="AJ350" s="336">
        <v>4090</v>
      </c>
      <c r="AK350" s="334">
        <v>996.97500000000002</v>
      </c>
      <c r="AL350" s="336">
        <v>4110</v>
      </c>
      <c r="AM350" s="334">
        <v>996.548</v>
      </c>
      <c r="AN350" s="336">
        <v>4110</v>
      </c>
      <c r="AO350" s="334">
        <v>997.06399999999996</v>
      </c>
      <c r="AP350" s="336">
        <v>4100</v>
      </c>
      <c r="AQ350" s="334">
        <v>995.77</v>
      </c>
      <c r="AR350" s="336">
        <v>4110</v>
      </c>
      <c r="AS350" s="334">
        <v>995.572</v>
      </c>
      <c r="AT350" s="336">
        <v>4110</v>
      </c>
      <c r="AU350" s="334">
        <v>994.11800000000005</v>
      </c>
      <c r="AV350" s="336">
        <v>4110</v>
      </c>
      <c r="AW350" s="334">
        <v>993.90200000000004</v>
      </c>
      <c r="AX350" s="336">
        <v>4100</v>
      </c>
      <c r="AY350" s="334">
        <v>917.94399999999996</v>
      </c>
      <c r="AZ350" s="336">
        <v>4110</v>
      </c>
      <c r="BA350" s="337">
        <v>919.22799999999995</v>
      </c>
      <c r="BB350" s="336">
        <v>4090</v>
      </c>
      <c r="BC350" s="334">
        <v>256.86700000000002</v>
      </c>
      <c r="BD350" s="336">
        <v>4090</v>
      </c>
      <c r="BE350" s="334">
        <v>268.55200000000002</v>
      </c>
    </row>
    <row r="351" spans="22:57">
      <c r="V351" s="346">
        <v>4120</v>
      </c>
      <c r="W351" s="333">
        <v>540.54200000000003</v>
      </c>
      <c r="X351" s="346">
        <v>4130</v>
      </c>
      <c r="Y351" s="334">
        <v>536.58100000000002</v>
      </c>
      <c r="Z351" s="335">
        <v>4120</v>
      </c>
      <c r="AA351" s="334">
        <v>1156.4749999999999</v>
      </c>
      <c r="AB351" s="336">
        <v>4120</v>
      </c>
      <c r="AC351" s="334">
        <v>1155.539</v>
      </c>
      <c r="AD351" s="336">
        <v>4120</v>
      </c>
      <c r="AE351" s="334">
        <v>994.79</v>
      </c>
      <c r="AF351" s="336">
        <v>4120</v>
      </c>
      <c r="AG351" s="334">
        <v>994.50400000000002</v>
      </c>
      <c r="AH351" s="336">
        <v>4120</v>
      </c>
      <c r="AI351" s="334">
        <v>994.57899999999995</v>
      </c>
      <c r="AJ351" s="336">
        <v>4100</v>
      </c>
      <c r="AK351" s="334">
        <v>995.76199999999994</v>
      </c>
      <c r="AL351" s="336">
        <v>4120</v>
      </c>
      <c r="AM351" s="334">
        <v>995.33500000000004</v>
      </c>
      <c r="AN351" s="336">
        <v>4120</v>
      </c>
      <c r="AO351" s="334">
        <v>995.851</v>
      </c>
      <c r="AP351" s="336">
        <v>4110</v>
      </c>
      <c r="AQ351" s="334">
        <v>994.56</v>
      </c>
      <c r="AR351" s="336">
        <v>4120</v>
      </c>
      <c r="AS351" s="334">
        <v>994.36099999999999</v>
      </c>
      <c r="AT351" s="336">
        <v>4120</v>
      </c>
      <c r="AU351" s="334">
        <v>992.90700000000004</v>
      </c>
      <c r="AV351" s="336">
        <v>4120</v>
      </c>
      <c r="AW351" s="334">
        <v>992.69200000000001</v>
      </c>
      <c r="AX351" s="336">
        <v>4110</v>
      </c>
      <c r="AY351" s="334">
        <v>916.73299999999995</v>
      </c>
      <c r="AZ351" s="336">
        <v>4120</v>
      </c>
      <c r="BA351" s="337">
        <v>918.01900000000001</v>
      </c>
      <c r="BB351" s="336">
        <v>4100</v>
      </c>
      <c r="BC351" s="334">
        <v>256.47000000000003</v>
      </c>
      <c r="BD351" s="336">
        <v>4100</v>
      </c>
      <c r="BE351" s="334">
        <v>268.142</v>
      </c>
    </row>
    <row r="352" spans="22:57">
      <c r="V352" s="346">
        <v>4130</v>
      </c>
      <c r="W352" s="333">
        <v>539.74</v>
      </c>
      <c r="X352" s="346">
        <v>4140</v>
      </c>
      <c r="Y352" s="334">
        <v>535.78499999999997</v>
      </c>
      <c r="Z352" s="335">
        <v>4130</v>
      </c>
      <c r="AA352" s="334">
        <v>1154.9670000000001</v>
      </c>
      <c r="AB352" s="336">
        <v>4130</v>
      </c>
      <c r="AC352" s="334">
        <v>1154.0350000000001</v>
      </c>
      <c r="AD352" s="336">
        <v>4130</v>
      </c>
      <c r="AE352" s="334">
        <v>993.577</v>
      </c>
      <c r="AF352" s="336">
        <v>4130</v>
      </c>
      <c r="AG352" s="334">
        <v>993.29</v>
      </c>
      <c r="AH352" s="336">
        <v>4130</v>
      </c>
      <c r="AI352" s="334">
        <v>993.36599999999999</v>
      </c>
      <c r="AJ352" s="336">
        <v>4110</v>
      </c>
      <c r="AK352" s="334">
        <v>994.54899999999998</v>
      </c>
      <c r="AL352" s="336">
        <v>4130</v>
      </c>
      <c r="AM352" s="334">
        <v>994.12199999999996</v>
      </c>
      <c r="AN352" s="336">
        <v>4130</v>
      </c>
      <c r="AO352" s="334">
        <v>994.63900000000001</v>
      </c>
      <c r="AP352" s="336">
        <v>4120</v>
      </c>
      <c r="AQ352" s="334">
        <v>993.35</v>
      </c>
      <c r="AR352" s="336">
        <v>4130</v>
      </c>
      <c r="AS352" s="334">
        <v>993.15</v>
      </c>
      <c r="AT352" s="336">
        <v>4130</v>
      </c>
      <c r="AU352" s="334">
        <v>991.69500000000005</v>
      </c>
      <c r="AV352" s="336">
        <v>4130</v>
      </c>
      <c r="AW352" s="334">
        <v>991.48299999999995</v>
      </c>
      <c r="AX352" s="336">
        <v>4120</v>
      </c>
      <c r="AY352" s="334">
        <v>915.52300000000002</v>
      </c>
      <c r="AZ352" s="336">
        <v>4130</v>
      </c>
      <c r="BA352" s="337">
        <v>916.80899999999997</v>
      </c>
      <c r="BB352" s="336">
        <v>4110</v>
      </c>
      <c r="BC352" s="334">
        <v>256.07400000000001</v>
      </c>
      <c r="BD352" s="336">
        <v>4110</v>
      </c>
      <c r="BE352" s="334">
        <v>267.73200000000003</v>
      </c>
    </row>
    <row r="353" spans="22:57">
      <c r="V353" s="346">
        <v>4140</v>
      </c>
      <c r="W353" s="333">
        <v>538.93899999999996</v>
      </c>
      <c r="X353" s="346">
        <v>4150</v>
      </c>
      <c r="Y353" s="334">
        <v>534.98900000000003</v>
      </c>
      <c r="Z353" s="335">
        <v>4140</v>
      </c>
      <c r="AA353" s="334">
        <v>1153.4590000000001</v>
      </c>
      <c r="AB353" s="336">
        <v>4140</v>
      </c>
      <c r="AC353" s="334">
        <v>1152.5319999999999</v>
      </c>
      <c r="AD353" s="336">
        <v>4140</v>
      </c>
      <c r="AE353" s="334">
        <v>992.36400000000003</v>
      </c>
      <c r="AF353" s="336">
        <v>4140</v>
      </c>
      <c r="AG353" s="334">
        <v>992.077</v>
      </c>
      <c r="AH353" s="336">
        <v>4140</v>
      </c>
      <c r="AI353" s="334">
        <v>992.15300000000002</v>
      </c>
      <c r="AJ353" s="336">
        <v>4120</v>
      </c>
      <c r="AK353" s="334">
        <v>993.33600000000001</v>
      </c>
      <c r="AL353" s="336">
        <v>4140</v>
      </c>
      <c r="AM353" s="334">
        <v>992.90800000000002</v>
      </c>
      <c r="AN353" s="336">
        <v>4140</v>
      </c>
      <c r="AO353" s="334">
        <v>993.42700000000002</v>
      </c>
      <c r="AP353" s="336">
        <v>4130</v>
      </c>
      <c r="AQ353" s="334">
        <v>992.14099999999996</v>
      </c>
      <c r="AR353" s="336">
        <v>4140</v>
      </c>
      <c r="AS353" s="334">
        <v>991.94</v>
      </c>
      <c r="AT353" s="336">
        <v>4140</v>
      </c>
      <c r="AU353" s="334">
        <v>990.48400000000004</v>
      </c>
      <c r="AV353" s="336">
        <v>4140</v>
      </c>
      <c r="AW353" s="334">
        <v>990.27300000000002</v>
      </c>
      <c r="AX353" s="336">
        <v>4130</v>
      </c>
      <c r="AY353" s="334">
        <v>914.31200000000001</v>
      </c>
      <c r="AZ353" s="336">
        <v>4140</v>
      </c>
      <c r="BA353" s="337">
        <v>915.6</v>
      </c>
      <c r="BB353" s="336">
        <v>4120</v>
      </c>
      <c r="BC353" s="334">
        <v>255.678</v>
      </c>
      <c r="BD353" s="336">
        <v>4120</v>
      </c>
      <c r="BE353" s="334">
        <v>267.32100000000003</v>
      </c>
    </row>
    <row r="354" spans="22:57">
      <c r="V354" s="346">
        <v>4150</v>
      </c>
      <c r="W354" s="333">
        <v>538.13699999999994</v>
      </c>
      <c r="X354" s="346">
        <v>4160</v>
      </c>
      <c r="Y354" s="334">
        <v>534.19399999999996</v>
      </c>
      <c r="Z354" s="335">
        <v>4150</v>
      </c>
      <c r="AA354" s="334">
        <v>1151.951</v>
      </c>
      <c r="AB354" s="336">
        <v>4150</v>
      </c>
      <c r="AC354" s="334">
        <v>1151.029</v>
      </c>
      <c r="AD354" s="336">
        <v>4150</v>
      </c>
      <c r="AE354" s="334">
        <v>991.15</v>
      </c>
      <c r="AF354" s="336">
        <v>4150</v>
      </c>
      <c r="AG354" s="334">
        <v>990.86300000000006</v>
      </c>
      <c r="AH354" s="336">
        <v>4150</v>
      </c>
      <c r="AI354" s="334">
        <v>990.94</v>
      </c>
      <c r="AJ354" s="336">
        <v>4130</v>
      </c>
      <c r="AK354" s="334">
        <v>992.12199999999996</v>
      </c>
      <c r="AL354" s="336">
        <v>4150</v>
      </c>
      <c r="AM354" s="334">
        <v>991.69500000000005</v>
      </c>
      <c r="AN354" s="336">
        <v>4150</v>
      </c>
      <c r="AO354" s="334">
        <v>992.21400000000006</v>
      </c>
      <c r="AP354" s="336">
        <v>4140</v>
      </c>
      <c r="AQ354" s="334">
        <v>990.93100000000004</v>
      </c>
      <c r="AR354" s="336">
        <v>4150</v>
      </c>
      <c r="AS354" s="334">
        <v>990.72900000000004</v>
      </c>
      <c r="AT354" s="336">
        <v>4150</v>
      </c>
      <c r="AU354" s="334">
        <v>989.27200000000005</v>
      </c>
      <c r="AV354" s="336">
        <v>4150</v>
      </c>
      <c r="AW354" s="334">
        <v>989.06299999999999</v>
      </c>
      <c r="AX354" s="336">
        <v>4140</v>
      </c>
      <c r="AY354" s="334">
        <v>913.101</v>
      </c>
      <c r="AZ354" s="336">
        <v>4150</v>
      </c>
      <c r="BA354" s="337">
        <v>914.39</v>
      </c>
      <c r="BB354" s="336">
        <v>4130</v>
      </c>
      <c r="BC354" s="334">
        <v>255.28100000000001</v>
      </c>
      <c r="BD354" s="336">
        <v>4130</v>
      </c>
      <c r="BE354" s="334">
        <v>266.911</v>
      </c>
    </row>
    <row r="355" spans="22:57">
      <c r="V355" s="346">
        <v>4160</v>
      </c>
      <c r="W355" s="333">
        <v>537.33600000000001</v>
      </c>
      <c r="X355" s="346">
        <v>4170</v>
      </c>
      <c r="Y355" s="334">
        <v>533.39800000000002</v>
      </c>
      <c r="Z355" s="335">
        <v>4160</v>
      </c>
      <c r="AA355" s="334">
        <v>1150.443</v>
      </c>
      <c r="AB355" s="336">
        <v>4160</v>
      </c>
      <c r="AC355" s="334">
        <v>1149.5260000000001</v>
      </c>
      <c r="AD355" s="336">
        <v>4160</v>
      </c>
      <c r="AE355" s="334">
        <v>989.93700000000001</v>
      </c>
      <c r="AF355" s="336">
        <v>4160</v>
      </c>
      <c r="AG355" s="334">
        <v>989.649</v>
      </c>
      <c r="AH355" s="336">
        <v>4160</v>
      </c>
      <c r="AI355" s="334">
        <v>989.72699999999998</v>
      </c>
      <c r="AJ355" s="336">
        <v>4140</v>
      </c>
      <c r="AK355" s="334">
        <v>990.90899999999999</v>
      </c>
      <c r="AL355" s="336">
        <v>4160</v>
      </c>
      <c r="AM355" s="334">
        <v>990.48199999999997</v>
      </c>
      <c r="AN355" s="336">
        <v>4160</v>
      </c>
      <c r="AO355" s="334">
        <v>991.00199999999995</v>
      </c>
      <c r="AP355" s="336">
        <v>4150</v>
      </c>
      <c r="AQ355" s="334">
        <v>989.721</v>
      </c>
      <c r="AR355" s="336">
        <v>4160</v>
      </c>
      <c r="AS355" s="334">
        <v>989.51800000000003</v>
      </c>
      <c r="AT355" s="336">
        <v>4160</v>
      </c>
      <c r="AU355" s="334">
        <v>988.06100000000004</v>
      </c>
      <c r="AV355" s="336">
        <v>4160</v>
      </c>
      <c r="AW355" s="334">
        <v>987.85299999999995</v>
      </c>
      <c r="AX355" s="336">
        <v>4150</v>
      </c>
      <c r="AY355" s="334">
        <v>911.89</v>
      </c>
      <c r="AZ355" s="336">
        <v>4160</v>
      </c>
      <c r="BA355" s="337">
        <v>913.18100000000004</v>
      </c>
      <c r="BB355" s="336">
        <v>4140</v>
      </c>
      <c r="BC355" s="334">
        <v>254.88499999999999</v>
      </c>
      <c r="BD355" s="336">
        <v>4140</v>
      </c>
      <c r="BE355" s="334">
        <v>266.50099999999998</v>
      </c>
    </row>
    <row r="356" spans="22:57">
      <c r="V356" s="346">
        <v>4170</v>
      </c>
      <c r="W356" s="333">
        <v>536.53399999999999</v>
      </c>
      <c r="X356" s="346">
        <v>4180</v>
      </c>
      <c r="Y356" s="334">
        <v>532.60299999999995</v>
      </c>
      <c r="Z356" s="335">
        <v>4170</v>
      </c>
      <c r="AA356" s="334">
        <v>1148.9349999999999</v>
      </c>
      <c r="AB356" s="336">
        <v>4170</v>
      </c>
      <c r="AC356" s="334">
        <v>1148.0229999999999</v>
      </c>
      <c r="AD356" s="336">
        <v>4170</v>
      </c>
      <c r="AE356" s="334">
        <v>988.72400000000005</v>
      </c>
      <c r="AF356" s="336">
        <v>4170</v>
      </c>
      <c r="AG356" s="334">
        <v>988.43600000000004</v>
      </c>
      <c r="AH356" s="336">
        <v>4170</v>
      </c>
      <c r="AI356" s="334">
        <v>988.51400000000001</v>
      </c>
      <c r="AJ356" s="336">
        <v>4150</v>
      </c>
      <c r="AK356" s="334">
        <v>989.69600000000003</v>
      </c>
      <c r="AL356" s="336">
        <v>4170</v>
      </c>
      <c r="AM356" s="334">
        <v>989.26900000000001</v>
      </c>
      <c r="AN356" s="336">
        <v>4170</v>
      </c>
      <c r="AO356" s="334">
        <v>989.79</v>
      </c>
      <c r="AP356" s="336">
        <v>4160</v>
      </c>
      <c r="AQ356" s="334">
        <v>988.51199999999994</v>
      </c>
      <c r="AR356" s="336">
        <v>4170</v>
      </c>
      <c r="AS356" s="334">
        <v>988.30799999999999</v>
      </c>
      <c r="AT356" s="336">
        <v>4170</v>
      </c>
      <c r="AU356" s="334">
        <v>986.84900000000005</v>
      </c>
      <c r="AV356" s="336">
        <v>4170</v>
      </c>
      <c r="AW356" s="334">
        <v>986.64300000000003</v>
      </c>
      <c r="AX356" s="336">
        <v>4160</v>
      </c>
      <c r="AY356" s="334">
        <v>910.67899999999997</v>
      </c>
      <c r="AZ356" s="336">
        <v>4170</v>
      </c>
      <c r="BA356" s="337">
        <v>911.971</v>
      </c>
      <c r="BB356" s="336">
        <v>4150</v>
      </c>
      <c r="BC356" s="334">
        <v>254.489</v>
      </c>
      <c r="BD356" s="336">
        <v>4150</v>
      </c>
      <c r="BE356" s="334">
        <v>266.09100000000001</v>
      </c>
    </row>
    <row r="357" spans="22:57">
      <c r="V357" s="346">
        <v>4180</v>
      </c>
      <c r="W357" s="333">
        <v>535.73299999999995</v>
      </c>
      <c r="X357" s="346">
        <v>4190</v>
      </c>
      <c r="Y357" s="334">
        <v>531.80799999999999</v>
      </c>
      <c r="Z357" s="335">
        <v>4180</v>
      </c>
      <c r="AA357" s="334">
        <v>1147.4269999999999</v>
      </c>
      <c r="AB357" s="336">
        <v>4180</v>
      </c>
      <c r="AC357" s="334">
        <v>1146.52</v>
      </c>
      <c r="AD357" s="336">
        <v>4180</v>
      </c>
      <c r="AE357" s="334">
        <v>987.51</v>
      </c>
      <c r="AF357" s="336">
        <v>4180</v>
      </c>
      <c r="AG357" s="334">
        <v>987.22199999999998</v>
      </c>
      <c r="AH357" s="336">
        <v>4180</v>
      </c>
      <c r="AI357" s="334">
        <v>987.30100000000004</v>
      </c>
      <c r="AJ357" s="336">
        <v>4160</v>
      </c>
      <c r="AK357" s="334">
        <v>988.48199999999997</v>
      </c>
      <c r="AL357" s="336">
        <v>4180</v>
      </c>
      <c r="AM357" s="334">
        <v>988.05600000000004</v>
      </c>
      <c r="AN357" s="336">
        <v>4180</v>
      </c>
      <c r="AO357" s="334">
        <v>988.57799999999997</v>
      </c>
      <c r="AP357" s="336">
        <v>4170</v>
      </c>
      <c r="AQ357" s="334">
        <v>987.30200000000002</v>
      </c>
      <c r="AR357" s="336">
        <v>4180</v>
      </c>
      <c r="AS357" s="334">
        <v>987.09699999999998</v>
      </c>
      <c r="AT357" s="336">
        <v>4180</v>
      </c>
      <c r="AU357" s="334">
        <v>985.63800000000003</v>
      </c>
      <c r="AV357" s="336">
        <v>4180</v>
      </c>
      <c r="AW357" s="334">
        <v>985.43299999999999</v>
      </c>
      <c r="AX357" s="336">
        <v>4170</v>
      </c>
      <c r="AY357" s="334">
        <v>909.46799999999996</v>
      </c>
      <c r="AZ357" s="336">
        <v>4180</v>
      </c>
      <c r="BA357" s="337">
        <v>910.76199999999994</v>
      </c>
      <c r="BB357" s="336">
        <v>4160</v>
      </c>
      <c r="BC357" s="334">
        <v>254.09200000000001</v>
      </c>
      <c r="BD357" s="336">
        <v>4160</v>
      </c>
      <c r="BE357" s="334">
        <v>265.68</v>
      </c>
    </row>
    <row r="358" spans="22:57">
      <c r="V358" s="346">
        <v>4190</v>
      </c>
      <c r="W358" s="333">
        <v>534.93299999999999</v>
      </c>
      <c r="X358" s="346">
        <v>4200</v>
      </c>
      <c r="Y358" s="334">
        <v>531.01300000000003</v>
      </c>
      <c r="Z358" s="335">
        <v>4190</v>
      </c>
      <c r="AA358" s="334">
        <v>1145.92</v>
      </c>
      <c r="AB358" s="336">
        <v>4190</v>
      </c>
      <c r="AC358" s="334">
        <v>1145.0170000000001</v>
      </c>
      <c r="AD358" s="336">
        <v>4190</v>
      </c>
      <c r="AE358" s="334">
        <v>986.29700000000003</v>
      </c>
      <c r="AF358" s="336">
        <v>4190</v>
      </c>
      <c r="AG358" s="334">
        <v>986.00800000000004</v>
      </c>
      <c r="AH358" s="336">
        <v>4190</v>
      </c>
      <c r="AI358" s="334">
        <v>986.08799999999997</v>
      </c>
      <c r="AJ358" s="336">
        <v>4170</v>
      </c>
      <c r="AK358" s="334">
        <v>987.26900000000001</v>
      </c>
      <c r="AL358" s="336">
        <v>4190</v>
      </c>
      <c r="AM358" s="334">
        <v>986.84299999999996</v>
      </c>
      <c r="AN358" s="336">
        <v>4190</v>
      </c>
      <c r="AO358" s="334">
        <v>987.36500000000001</v>
      </c>
      <c r="AP358" s="336">
        <v>4180</v>
      </c>
      <c r="AQ358" s="334">
        <v>986.09199999999998</v>
      </c>
      <c r="AR358" s="336">
        <v>4190</v>
      </c>
      <c r="AS358" s="334">
        <v>985.88599999999997</v>
      </c>
      <c r="AT358" s="336">
        <v>4190</v>
      </c>
      <c r="AU358" s="334">
        <v>984.42600000000004</v>
      </c>
      <c r="AV358" s="336">
        <v>4190</v>
      </c>
      <c r="AW358" s="334">
        <v>984.22299999999996</v>
      </c>
      <c r="AX358" s="336">
        <v>4180</v>
      </c>
      <c r="AY358" s="334">
        <v>908.25800000000004</v>
      </c>
      <c r="AZ358" s="336">
        <v>4190</v>
      </c>
      <c r="BA358" s="337">
        <v>909.55200000000002</v>
      </c>
      <c r="BB358" s="336">
        <v>4170</v>
      </c>
      <c r="BC358" s="334">
        <v>253.696</v>
      </c>
      <c r="BD358" s="336">
        <v>4170</v>
      </c>
      <c r="BE358" s="334">
        <v>265.27</v>
      </c>
    </row>
    <row r="359" spans="22:57">
      <c r="V359" s="346">
        <v>4200</v>
      </c>
      <c r="W359" s="333">
        <v>534.13199999999995</v>
      </c>
      <c r="X359" s="346">
        <v>4210</v>
      </c>
      <c r="Y359" s="334">
        <v>530.21799999999996</v>
      </c>
      <c r="Z359" s="335">
        <v>4200</v>
      </c>
      <c r="AA359" s="334">
        <v>1144.412</v>
      </c>
      <c r="AB359" s="336">
        <v>4200</v>
      </c>
      <c r="AC359" s="334">
        <v>1143.5150000000001</v>
      </c>
      <c r="AD359" s="336">
        <v>4200</v>
      </c>
      <c r="AE359" s="334">
        <v>985.08399999999995</v>
      </c>
      <c r="AF359" s="336">
        <v>4200</v>
      </c>
      <c r="AG359" s="334">
        <v>984.79399999999998</v>
      </c>
      <c r="AH359" s="336">
        <v>4200</v>
      </c>
      <c r="AI359" s="334">
        <v>984.875</v>
      </c>
      <c r="AJ359" s="336">
        <v>4180</v>
      </c>
      <c r="AK359" s="334">
        <v>986.05600000000004</v>
      </c>
      <c r="AL359" s="336">
        <v>4200</v>
      </c>
      <c r="AM359" s="334">
        <v>985.63</v>
      </c>
      <c r="AN359" s="336">
        <v>4200</v>
      </c>
      <c r="AO359" s="334">
        <v>986.15300000000002</v>
      </c>
      <c r="AP359" s="336">
        <v>4190</v>
      </c>
      <c r="AQ359" s="334">
        <v>984.88300000000004</v>
      </c>
      <c r="AR359" s="336">
        <v>4200</v>
      </c>
      <c r="AS359" s="334">
        <v>984.67600000000004</v>
      </c>
      <c r="AT359" s="336">
        <v>4200</v>
      </c>
      <c r="AU359" s="334">
        <v>983.21400000000006</v>
      </c>
      <c r="AV359" s="336">
        <v>4200</v>
      </c>
      <c r="AW359" s="334">
        <v>983.01300000000003</v>
      </c>
      <c r="AX359" s="336">
        <v>4190</v>
      </c>
      <c r="AY359" s="334">
        <v>907.04700000000003</v>
      </c>
      <c r="AZ359" s="336">
        <v>4200</v>
      </c>
      <c r="BA359" s="337">
        <v>908.34299999999996</v>
      </c>
      <c r="BB359" s="336">
        <v>4180</v>
      </c>
      <c r="BC359" s="334">
        <v>253.3</v>
      </c>
      <c r="BD359" s="336">
        <v>4180</v>
      </c>
      <c r="BE359" s="334">
        <v>264.86</v>
      </c>
    </row>
    <row r="360" spans="22:57">
      <c r="V360" s="346">
        <v>4210</v>
      </c>
      <c r="W360" s="333">
        <v>533.33100000000002</v>
      </c>
      <c r="X360" s="346">
        <v>4220</v>
      </c>
      <c r="Y360" s="334">
        <v>529.42399999999998</v>
      </c>
      <c r="Z360" s="335">
        <v>4210</v>
      </c>
      <c r="AA360" s="334">
        <v>1142.905</v>
      </c>
      <c r="AB360" s="336">
        <v>4210</v>
      </c>
      <c r="AC360" s="334">
        <v>1142.0119999999999</v>
      </c>
      <c r="AD360" s="336">
        <v>4210</v>
      </c>
      <c r="AE360" s="334">
        <v>983.87</v>
      </c>
      <c r="AF360" s="336">
        <v>4210</v>
      </c>
      <c r="AG360" s="334">
        <v>983.58100000000002</v>
      </c>
      <c r="AH360" s="336">
        <v>4210</v>
      </c>
      <c r="AI360" s="334">
        <v>983.66200000000003</v>
      </c>
      <c r="AJ360" s="336">
        <v>4190</v>
      </c>
      <c r="AK360" s="334">
        <v>984.84299999999996</v>
      </c>
      <c r="AL360" s="336">
        <v>4210</v>
      </c>
      <c r="AM360" s="334">
        <v>984.41700000000003</v>
      </c>
      <c r="AN360" s="336">
        <v>4210</v>
      </c>
      <c r="AO360" s="334">
        <v>984.94</v>
      </c>
      <c r="AP360" s="336">
        <v>4200</v>
      </c>
      <c r="AQ360" s="334">
        <v>983.673</v>
      </c>
      <c r="AR360" s="336">
        <v>4210</v>
      </c>
      <c r="AS360" s="334">
        <v>983.46500000000003</v>
      </c>
      <c r="AT360" s="336">
        <v>4210</v>
      </c>
      <c r="AU360" s="334">
        <v>982.00300000000004</v>
      </c>
      <c r="AV360" s="336">
        <v>4210</v>
      </c>
      <c r="AW360" s="334">
        <v>981.803</v>
      </c>
      <c r="AX360" s="336">
        <v>4200</v>
      </c>
      <c r="AY360" s="334">
        <v>905.83600000000001</v>
      </c>
      <c r="AZ360" s="336">
        <v>4210</v>
      </c>
      <c r="BA360" s="337">
        <v>907.13300000000004</v>
      </c>
      <c r="BB360" s="336">
        <v>4190</v>
      </c>
      <c r="BC360" s="334">
        <v>252.90299999999999</v>
      </c>
      <c r="BD360" s="336">
        <v>4190</v>
      </c>
      <c r="BE360" s="334">
        <v>264.45</v>
      </c>
    </row>
    <row r="361" spans="22:57">
      <c r="V361" s="346">
        <v>4220</v>
      </c>
      <c r="W361" s="333">
        <v>532.53099999999995</v>
      </c>
      <c r="X361" s="346">
        <v>4230</v>
      </c>
      <c r="Y361" s="334">
        <v>528.62900000000002</v>
      </c>
      <c r="Z361" s="335">
        <v>4220</v>
      </c>
      <c r="AA361" s="334">
        <v>1141.3979999999999</v>
      </c>
      <c r="AB361" s="336">
        <v>4220</v>
      </c>
      <c r="AC361" s="334">
        <v>1140.51</v>
      </c>
      <c r="AD361" s="336">
        <v>4220</v>
      </c>
      <c r="AE361" s="334">
        <v>982.65700000000004</v>
      </c>
      <c r="AF361" s="336">
        <v>4220</v>
      </c>
      <c r="AG361" s="334">
        <v>982.36699999999996</v>
      </c>
      <c r="AH361" s="336">
        <v>4220</v>
      </c>
      <c r="AI361" s="334">
        <v>982.44899999999996</v>
      </c>
      <c r="AJ361" s="336">
        <v>4200</v>
      </c>
      <c r="AK361" s="334">
        <v>983.62900000000002</v>
      </c>
      <c r="AL361" s="336">
        <v>4220</v>
      </c>
      <c r="AM361" s="334">
        <v>983.20399999999995</v>
      </c>
      <c r="AN361" s="336">
        <v>4220</v>
      </c>
      <c r="AO361" s="334">
        <v>983.72799999999995</v>
      </c>
      <c r="AP361" s="336">
        <v>4210</v>
      </c>
      <c r="AQ361" s="334">
        <v>982.46299999999997</v>
      </c>
      <c r="AR361" s="336">
        <v>4220</v>
      </c>
      <c r="AS361" s="334">
        <v>982.25400000000002</v>
      </c>
      <c r="AT361" s="336">
        <v>4220</v>
      </c>
      <c r="AU361" s="334">
        <v>980.79100000000005</v>
      </c>
      <c r="AV361" s="336">
        <v>4220</v>
      </c>
      <c r="AW361" s="334">
        <v>980.59299999999996</v>
      </c>
      <c r="AX361" s="336">
        <v>4210</v>
      </c>
      <c r="AY361" s="334">
        <v>904.625</v>
      </c>
      <c r="AZ361" s="336">
        <v>4220</v>
      </c>
      <c r="BA361" s="337">
        <v>905.92399999999998</v>
      </c>
      <c r="BB361" s="336">
        <v>4200</v>
      </c>
      <c r="BC361" s="334">
        <v>252.50700000000001</v>
      </c>
      <c r="BD361" s="336">
        <v>4200</v>
      </c>
      <c r="BE361" s="334">
        <v>264.04000000000002</v>
      </c>
    </row>
    <row r="362" spans="22:57">
      <c r="V362" s="346">
        <v>4230</v>
      </c>
      <c r="W362" s="333">
        <v>531.73099999999999</v>
      </c>
      <c r="X362" s="346">
        <v>4240</v>
      </c>
      <c r="Y362" s="334">
        <v>527.83500000000004</v>
      </c>
      <c r="Z362" s="335">
        <v>4230</v>
      </c>
      <c r="AA362" s="334">
        <v>1139.8900000000001</v>
      </c>
      <c r="AB362" s="336">
        <v>4230</v>
      </c>
      <c r="AC362" s="334">
        <v>1139.0070000000001</v>
      </c>
      <c r="AD362" s="336">
        <v>4230</v>
      </c>
      <c r="AE362" s="334">
        <v>981.44399999999996</v>
      </c>
      <c r="AF362" s="336">
        <v>4230</v>
      </c>
      <c r="AG362" s="334">
        <v>981.15300000000002</v>
      </c>
      <c r="AH362" s="336">
        <v>4230</v>
      </c>
      <c r="AI362" s="334">
        <v>981.23599999999999</v>
      </c>
      <c r="AJ362" s="336">
        <v>4210</v>
      </c>
      <c r="AK362" s="334">
        <v>982.41600000000005</v>
      </c>
      <c r="AL362" s="336">
        <v>4230</v>
      </c>
      <c r="AM362" s="334">
        <v>981.99</v>
      </c>
      <c r="AN362" s="336">
        <v>4230</v>
      </c>
      <c r="AO362" s="334">
        <v>982.51599999999996</v>
      </c>
      <c r="AP362" s="336">
        <v>4220</v>
      </c>
      <c r="AQ362" s="334">
        <v>981.25400000000002</v>
      </c>
      <c r="AR362" s="336">
        <v>4230</v>
      </c>
      <c r="AS362" s="334">
        <v>981.04300000000001</v>
      </c>
      <c r="AT362" s="336">
        <v>4230</v>
      </c>
      <c r="AU362" s="334">
        <v>979.58</v>
      </c>
      <c r="AV362" s="336">
        <v>4230</v>
      </c>
      <c r="AW362" s="334">
        <v>979.38300000000004</v>
      </c>
      <c r="AX362" s="336">
        <v>4220</v>
      </c>
      <c r="AY362" s="334">
        <v>903.41399999999999</v>
      </c>
      <c r="AZ362" s="336">
        <v>4230</v>
      </c>
      <c r="BA362" s="337">
        <v>904.71400000000006</v>
      </c>
      <c r="BB362" s="336">
        <v>4210</v>
      </c>
      <c r="BC362" s="334">
        <v>252.11099999999999</v>
      </c>
      <c r="BD362" s="336">
        <v>4210</v>
      </c>
      <c r="BE362" s="334">
        <v>263.62900000000002</v>
      </c>
    </row>
    <row r="363" spans="22:57">
      <c r="V363" s="346">
        <v>4240</v>
      </c>
      <c r="W363" s="333">
        <v>530.93100000000004</v>
      </c>
      <c r="X363" s="346">
        <v>4250</v>
      </c>
      <c r="Y363" s="334">
        <v>527.04100000000005</v>
      </c>
      <c r="Z363" s="335">
        <v>4240</v>
      </c>
      <c r="AA363" s="334">
        <v>1138.383</v>
      </c>
      <c r="AB363" s="336">
        <v>4240</v>
      </c>
      <c r="AC363" s="334">
        <v>1137.5050000000001</v>
      </c>
      <c r="AD363" s="336">
        <v>4240</v>
      </c>
      <c r="AE363" s="334">
        <v>980.23</v>
      </c>
      <c r="AF363" s="336">
        <v>4240</v>
      </c>
      <c r="AG363" s="334">
        <v>979.94</v>
      </c>
      <c r="AH363" s="336">
        <v>4240</v>
      </c>
      <c r="AI363" s="334">
        <v>980.02300000000002</v>
      </c>
      <c r="AJ363" s="336">
        <v>4220</v>
      </c>
      <c r="AK363" s="334">
        <v>981.20299999999997</v>
      </c>
      <c r="AL363" s="336">
        <v>4240</v>
      </c>
      <c r="AM363" s="334">
        <v>980.77700000000004</v>
      </c>
      <c r="AN363" s="336">
        <v>4240</v>
      </c>
      <c r="AO363" s="334">
        <v>981.30399999999997</v>
      </c>
      <c r="AP363" s="336">
        <v>4230</v>
      </c>
      <c r="AQ363" s="334">
        <v>980.04399999999998</v>
      </c>
      <c r="AR363" s="336">
        <v>4240</v>
      </c>
      <c r="AS363" s="334">
        <v>979.83299999999997</v>
      </c>
      <c r="AT363" s="336">
        <v>4240</v>
      </c>
      <c r="AU363" s="334">
        <v>978.36800000000005</v>
      </c>
      <c r="AV363" s="336">
        <v>4240</v>
      </c>
      <c r="AW363" s="334">
        <v>978.173</v>
      </c>
      <c r="AX363" s="336">
        <v>4230</v>
      </c>
      <c r="AY363" s="334">
        <v>902.20299999999997</v>
      </c>
      <c r="AZ363" s="336">
        <v>4240</v>
      </c>
      <c r="BA363" s="337">
        <v>903.505</v>
      </c>
      <c r="BB363" s="336">
        <v>4220</v>
      </c>
      <c r="BC363" s="334">
        <v>251.714</v>
      </c>
      <c r="BD363" s="336">
        <v>4220</v>
      </c>
      <c r="BE363" s="334">
        <v>263.21899999999999</v>
      </c>
    </row>
    <row r="364" spans="22:57">
      <c r="V364" s="346">
        <v>4250</v>
      </c>
      <c r="W364" s="333">
        <v>530.13099999999997</v>
      </c>
      <c r="X364" s="346">
        <v>4260</v>
      </c>
      <c r="Y364" s="334">
        <v>526.24699999999996</v>
      </c>
      <c r="Z364" s="335">
        <v>4250</v>
      </c>
      <c r="AA364" s="334">
        <v>1136.877</v>
      </c>
      <c r="AB364" s="336">
        <v>4250</v>
      </c>
      <c r="AC364" s="334">
        <v>1136.0029999999999</v>
      </c>
      <c r="AD364" s="336">
        <v>4250</v>
      </c>
      <c r="AE364" s="334">
        <v>979.01700000000005</v>
      </c>
      <c r="AF364" s="336">
        <v>4250</v>
      </c>
      <c r="AG364" s="334">
        <v>978.726</v>
      </c>
      <c r="AH364" s="336">
        <v>4250</v>
      </c>
      <c r="AI364" s="334">
        <v>978.81</v>
      </c>
      <c r="AJ364" s="336">
        <v>4230</v>
      </c>
      <c r="AK364" s="334">
        <v>979.99</v>
      </c>
      <c r="AL364" s="336">
        <v>4250</v>
      </c>
      <c r="AM364" s="334">
        <v>979.56399999999996</v>
      </c>
      <c r="AN364" s="336">
        <v>4250</v>
      </c>
      <c r="AO364" s="334">
        <v>980.09100000000001</v>
      </c>
      <c r="AP364" s="336">
        <v>4240</v>
      </c>
      <c r="AQ364" s="334">
        <v>978.83399999999995</v>
      </c>
      <c r="AR364" s="336">
        <v>4250</v>
      </c>
      <c r="AS364" s="334">
        <v>978.62199999999996</v>
      </c>
      <c r="AT364" s="336">
        <v>4250</v>
      </c>
      <c r="AU364" s="334">
        <v>977.15700000000004</v>
      </c>
      <c r="AV364" s="336">
        <v>4250</v>
      </c>
      <c r="AW364" s="334">
        <v>976.96400000000006</v>
      </c>
      <c r="AX364" s="336">
        <v>4240</v>
      </c>
      <c r="AY364" s="334">
        <v>900.99300000000005</v>
      </c>
      <c r="AZ364" s="336">
        <v>4250</v>
      </c>
      <c r="BA364" s="337">
        <v>902.29499999999996</v>
      </c>
      <c r="BB364" s="336">
        <v>4230</v>
      </c>
      <c r="BC364" s="334">
        <v>251.31800000000001</v>
      </c>
      <c r="BD364" s="336">
        <v>4230</v>
      </c>
      <c r="BE364" s="334">
        <v>262.80900000000003</v>
      </c>
    </row>
    <row r="365" spans="22:57">
      <c r="V365" s="346">
        <v>4260</v>
      </c>
      <c r="W365" s="333">
        <v>529.33100000000002</v>
      </c>
      <c r="X365" s="346">
        <v>4270</v>
      </c>
      <c r="Y365" s="334">
        <v>525.45299999999997</v>
      </c>
      <c r="Z365" s="335">
        <v>4260</v>
      </c>
      <c r="AA365" s="334">
        <v>1135.3699999999999</v>
      </c>
      <c r="AB365" s="336">
        <v>4260</v>
      </c>
      <c r="AC365" s="334">
        <v>1134.501</v>
      </c>
      <c r="AD365" s="336">
        <v>4260</v>
      </c>
      <c r="AE365" s="334">
        <v>977.80399999999997</v>
      </c>
      <c r="AF365" s="336">
        <v>4260</v>
      </c>
      <c r="AG365" s="334">
        <v>977.51199999999994</v>
      </c>
      <c r="AH365" s="336">
        <v>4260</v>
      </c>
      <c r="AI365" s="334">
        <v>977.59699999999998</v>
      </c>
      <c r="AJ365" s="336">
        <v>4240</v>
      </c>
      <c r="AK365" s="334">
        <v>978.77599999999995</v>
      </c>
      <c r="AL365" s="336">
        <v>4260</v>
      </c>
      <c r="AM365" s="334">
        <v>978.351</v>
      </c>
      <c r="AN365" s="336">
        <v>4260</v>
      </c>
      <c r="AO365" s="334">
        <v>978.87900000000002</v>
      </c>
      <c r="AP365" s="336">
        <v>4250</v>
      </c>
      <c r="AQ365" s="334">
        <v>977.625</v>
      </c>
      <c r="AR365" s="336">
        <v>4260</v>
      </c>
      <c r="AS365" s="334">
        <v>977.41099999999994</v>
      </c>
      <c r="AT365" s="336">
        <v>4260</v>
      </c>
      <c r="AU365" s="334">
        <v>975.94500000000005</v>
      </c>
      <c r="AV365" s="336">
        <v>4260</v>
      </c>
      <c r="AW365" s="334">
        <v>975.75400000000002</v>
      </c>
      <c r="AX365" s="336">
        <v>4250</v>
      </c>
      <c r="AY365" s="334">
        <v>899.78200000000004</v>
      </c>
      <c r="AZ365" s="336">
        <v>4260</v>
      </c>
      <c r="BA365" s="337">
        <v>901.08600000000001</v>
      </c>
      <c r="BB365" s="336">
        <v>4240</v>
      </c>
      <c r="BC365" s="334">
        <v>250.922</v>
      </c>
      <c r="BD365" s="336">
        <v>4240</v>
      </c>
      <c r="BE365" s="334">
        <v>262.399</v>
      </c>
    </row>
    <row r="366" spans="22:57">
      <c r="V366" s="346">
        <v>4270</v>
      </c>
      <c r="W366" s="333">
        <v>528.53200000000004</v>
      </c>
      <c r="X366" s="346">
        <v>4280</v>
      </c>
      <c r="Y366" s="334">
        <v>524.66</v>
      </c>
      <c r="Z366" s="335">
        <v>4270</v>
      </c>
      <c r="AA366" s="334">
        <v>1133.8630000000001</v>
      </c>
      <c r="AB366" s="336">
        <v>4270</v>
      </c>
      <c r="AC366" s="334">
        <v>1132.999</v>
      </c>
      <c r="AD366" s="336">
        <v>4270</v>
      </c>
      <c r="AE366" s="334">
        <v>976.59100000000001</v>
      </c>
      <c r="AF366" s="336">
        <v>4270</v>
      </c>
      <c r="AG366" s="334">
        <v>976.298</v>
      </c>
      <c r="AH366" s="336">
        <v>4270</v>
      </c>
      <c r="AI366" s="334">
        <v>976.38400000000001</v>
      </c>
      <c r="AJ366" s="336">
        <v>4250</v>
      </c>
      <c r="AK366" s="334">
        <v>977.56299999999999</v>
      </c>
      <c r="AL366" s="336">
        <v>4270</v>
      </c>
      <c r="AM366" s="334">
        <v>977.13800000000003</v>
      </c>
      <c r="AN366" s="336">
        <v>4270</v>
      </c>
      <c r="AO366" s="334">
        <v>977.66700000000003</v>
      </c>
      <c r="AP366" s="336">
        <v>4260</v>
      </c>
      <c r="AQ366" s="334">
        <v>976.41499999999996</v>
      </c>
      <c r="AR366" s="336">
        <v>4270</v>
      </c>
      <c r="AS366" s="334">
        <v>976.20100000000002</v>
      </c>
      <c r="AT366" s="336">
        <v>4270</v>
      </c>
      <c r="AU366" s="334">
        <v>974.73400000000004</v>
      </c>
      <c r="AV366" s="336">
        <v>4270</v>
      </c>
      <c r="AW366" s="334">
        <v>974.54399999999998</v>
      </c>
      <c r="AX366" s="336">
        <v>4260</v>
      </c>
      <c r="AY366" s="334">
        <v>898.57100000000003</v>
      </c>
      <c r="AZ366" s="336">
        <v>4270</v>
      </c>
      <c r="BA366" s="337">
        <v>899.87599999999998</v>
      </c>
      <c r="BB366" s="336">
        <v>4250</v>
      </c>
      <c r="BC366" s="334">
        <v>250.52500000000001</v>
      </c>
      <c r="BD366" s="336">
        <v>4250</v>
      </c>
      <c r="BE366" s="334">
        <v>261.988</v>
      </c>
    </row>
    <row r="367" spans="22:57">
      <c r="V367" s="346">
        <v>4280</v>
      </c>
      <c r="W367" s="333">
        <v>527.73299999999995</v>
      </c>
      <c r="X367" s="346">
        <v>4290</v>
      </c>
      <c r="Y367" s="334">
        <v>523.86699999999996</v>
      </c>
      <c r="Z367" s="335">
        <v>4280</v>
      </c>
      <c r="AA367" s="334">
        <v>1132.357</v>
      </c>
      <c r="AB367" s="336">
        <v>4280</v>
      </c>
      <c r="AC367" s="334">
        <v>1131.498</v>
      </c>
      <c r="AD367" s="336">
        <v>4280</v>
      </c>
      <c r="AE367" s="334">
        <v>975.37699999999995</v>
      </c>
      <c r="AF367" s="336">
        <v>4280</v>
      </c>
      <c r="AG367" s="334">
        <v>975.08500000000004</v>
      </c>
      <c r="AH367" s="336">
        <v>4280</v>
      </c>
      <c r="AI367" s="334">
        <v>975.17100000000005</v>
      </c>
      <c r="AJ367" s="336">
        <v>4260</v>
      </c>
      <c r="AK367" s="334">
        <v>976.35</v>
      </c>
      <c r="AL367" s="336">
        <v>4280</v>
      </c>
      <c r="AM367" s="334">
        <v>975.92499999999995</v>
      </c>
      <c r="AN367" s="336">
        <v>4280</v>
      </c>
      <c r="AO367" s="334">
        <v>976.45399999999995</v>
      </c>
      <c r="AP367" s="336">
        <v>4270</v>
      </c>
      <c r="AQ367" s="334">
        <v>975.20500000000004</v>
      </c>
      <c r="AR367" s="336">
        <v>4280</v>
      </c>
      <c r="AS367" s="334">
        <v>974.99</v>
      </c>
      <c r="AT367" s="336">
        <v>4280</v>
      </c>
      <c r="AU367" s="334">
        <v>973.52200000000005</v>
      </c>
      <c r="AV367" s="336">
        <v>4280</v>
      </c>
      <c r="AW367" s="334">
        <v>973.33399999999995</v>
      </c>
      <c r="AX367" s="336">
        <v>4270</v>
      </c>
      <c r="AY367" s="334">
        <v>897.36</v>
      </c>
      <c r="AZ367" s="336">
        <v>4280</v>
      </c>
      <c r="BA367" s="337">
        <v>898.66700000000003</v>
      </c>
      <c r="BB367" s="336">
        <v>4260</v>
      </c>
      <c r="BC367" s="334">
        <v>250.12899999999999</v>
      </c>
      <c r="BD367" s="336">
        <v>4260</v>
      </c>
      <c r="BE367" s="334">
        <v>261.57799999999997</v>
      </c>
    </row>
    <row r="368" spans="22:57">
      <c r="V368" s="346">
        <v>4290</v>
      </c>
      <c r="W368" s="333">
        <v>526.93399999999997</v>
      </c>
      <c r="X368" s="346">
        <v>4300</v>
      </c>
      <c r="Y368" s="334">
        <v>523.07299999999998</v>
      </c>
      <c r="Z368" s="335">
        <v>4290</v>
      </c>
      <c r="AA368" s="334">
        <v>1130.8510000000001</v>
      </c>
      <c r="AB368" s="336">
        <v>4290</v>
      </c>
      <c r="AC368" s="334">
        <v>1129.9960000000001</v>
      </c>
      <c r="AD368" s="336">
        <v>4290</v>
      </c>
      <c r="AE368" s="334">
        <v>974.16399999999999</v>
      </c>
      <c r="AF368" s="336">
        <v>4290</v>
      </c>
      <c r="AG368" s="334">
        <v>973.87099999999998</v>
      </c>
      <c r="AH368" s="336">
        <v>4290</v>
      </c>
      <c r="AI368" s="334">
        <v>973.95799999999997</v>
      </c>
      <c r="AJ368" s="336">
        <v>4270</v>
      </c>
      <c r="AK368" s="334">
        <v>975.13699999999994</v>
      </c>
      <c r="AL368" s="336">
        <v>4290</v>
      </c>
      <c r="AM368" s="334">
        <v>974.71199999999999</v>
      </c>
      <c r="AN368" s="336">
        <v>4290</v>
      </c>
      <c r="AO368" s="334">
        <v>975.24199999999996</v>
      </c>
      <c r="AP368" s="336">
        <v>4280</v>
      </c>
      <c r="AQ368" s="334">
        <v>973.99599999999998</v>
      </c>
      <c r="AR368" s="336">
        <v>4290</v>
      </c>
      <c r="AS368" s="334">
        <v>973.779</v>
      </c>
      <c r="AT368" s="336">
        <v>4290</v>
      </c>
      <c r="AU368" s="334">
        <v>972.31100000000004</v>
      </c>
      <c r="AV368" s="336">
        <v>4290</v>
      </c>
      <c r="AW368" s="334">
        <v>972.12400000000002</v>
      </c>
      <c r="AX368" s="336">
        <v>4280</v>
      </c>
      <c r="AY368" s="334">
        <v>896.149</v>
      </c>
      <c r="AZ368" s="336">
        <v>4290</v>
      </c>
      <c r="BA368" s="337">
        <v>897.45699999999999</v>
      </c>
      <c r="BB368" s="336">
        <v>4270</v>
      </c>
      <c r="BC368" s="334">
        <v>249.733</v>
      </c>
      <c r="BD368" s="336">
        <v>4270</v>
      </c>
      <c r="BE368" s="334">
        <v>261.16800000000001</v>
      </c>
    </row>
    <row r="369" spans="22:57">
      <c r="V369" s="346">
        <v>4300</v>
      </c>
      <c r="W369" s="333">
        <v>526.13499999999999</v>
      </c>
      <c r="X369" s="346">
        <v>4310</v>
      </c>
      <c r="Y369" s="334">
        <v>522.28</v>
      </c>
      <c r="Z369" s="335">
        <v>4300</v>
      </c>
      <c r="AA369" s="334">
        <v>1129.3440000000001</v>
      </c>
      <c r="AB369" s="336">
        <v>4300</v>
      </c>
      <c r="AC369" s="334">
        <v>1128.4949999999999</v>
      </c>
      <c r="AD369" s="336">
        <v>4300</v>
      </c>
      <c r="AE369" s="334">
        <v>972.95100000000002</v>
      </c>
      <c r="AF369" s="336">
        <v>4300</v>
      </c>
      <c r="AG369" s="334">
        <v>972.65700000000004</v>
      </c>
      <c r="AH369" s="336">
        <v>4300</v>
      </c>
      <c r="AI369" s="334">
        <v>972.745</v>
      </c>
      <c r="AJ369" s="336">
        <v>4280</v>
      </c>
      <c r="AK369" s="334">
        <v>973.923</v>
      </c>
      <c r="AL369" s="336">
        <v>4300</v>
      </c>
      <c r="AM369" s="334">
        <v>973.49900000000002</v>
      </c>
      <c r="AN369" s="336">
        <v>4300</v>
      </c>
      <c r="AO369" s="334">
        <v>974.03</v>
      </c>
      <c r="AP369" s="336">
        <v>4290</v>
      </c>
      <c r="AQ369" s="334">
        <v>972.78599999999994</v>
      </c>
      <c r="AR369" s="336">
        <v>4300</v>
      </c>
      <c r="AS369" s="334">
        <v>972.56899999999996</v>
      </c>
      <c r="AT369" s="336">
        <v>4300</v>
      </c>
      <c r="AU369" s="334">
        <v>971.09900000000005</v>
      </c>
      <c r="AV369" s="336">
        <v>4300</v>
      </c>
      <c r="AW369" s="334">
        <v>970.91399999999999</v>
      </c>
      <c r="AX369" s="336">
        <v>4290</v>
      </c>
      <c r="AY369" s="334">
        <v>894.93799999999999</v>
      </c>
      <c r="AZ369" s="336">
        <v>4300</v>
      </c>
      <c r="BA369" s="337">
        <v>896.24800000000005</v>
      </c>
      <c r="BB369" s="336">
        <v>4280</v>
      </c>
      <c r="BC369" s="334">
        <v>249.33600000000001</v>
      </c>
      <c r="BD369" s="336">
        <v>4280</v>
      </c>
      <c r="BE369" s="334">
        <v>260.75799999999998</v>
      </c>
    </row>
    <row r="370" spans="22:57">
      <c r="V370" s="346">
        <v>4310</v>
      </c>
      <c r="W370" s="333">
        <v>525.33600000000001</v>
      </c>
      <c r="X370" s="346">
        <v>4320</v>
      </c>
      <c r="Y370" s="334">
        <v>521.48699999999997</v>
      </c>
      <c r="Z370" s="335">
        <v>4310</v>
      </c>
      <c r="AA370" s="334">
        <v>1127.838</v>
      </c>
      <c r="AB370" s="336">
        <v>4310</v>
      </c>
      <c r="AC370" s="334">
        <v>1126.9929999999999</v>
      </c>
      <c r="AD370" s="336">
        <v>4310</v>
      </c>
      <c r="AE370" s="334">
        <v>971.73699999999997</v>
      </c>
      <c r="AF370" s="336">
        <v>4310</v>
      </c>
      <c r="AG370" s="334">
        <v>971.44399999999996</v>
      </c>
      <c r="AH370" s="336">
        <v>4310</v>
      </c>
      <c r="AI370" s="334">
        <v>971.53200000000004</v>
      </c>
      <c r="AJ370" s="336">
        <v>4290</v>
      </c>
      <c r="AK370" s="334">
        <v>972.71</v>
      </c>
      <c r="AL370" s="336">
        <v>4310</v>
      </c>
      <c r="AM370" s="334">
        <v>972.28599999999994</v>
      </c>
      <c r="AN370" s="336">
        <v>4310</v>
      </c>
      <c r="AO370" s="334">
        <v>972.81700000000001</v>
      </c>
      <c r="AP370" s="336">
        <v>4300</v>
      </c>
      <c r="AQ370" s="334">
        <v>971.57600000000002</v>
      </c>
      <c r="AR370" s="336">
        <v>4310</v>
      </c>
      <c r="AS370" s="334">
        <v>971.35799999999995</v>
      </c>
      <c r="AT370" s="336">
        <v>4310</v>
      </c>
      <c r="AU370" s="334">
        <v>969.88800000000003</v>
      </c>
      <c r="AV370" s="336">
        <v>4310</v>
      </c>
      <c r="AW370" s="334">
        <v>969.70399999999995</v>
      </c>
      <c r="AX370" s="336">
        <v>4300</v>
      </c>
      <c r="AY370" s="334">
        <v>893.72799999999995</v>
      </c>
      <c r="AZ370" s="336">
        <v>4310</v>
      </c>
      <c r="BA370" s="337">
        <v>895.03800000000001</v>
      </c>
      <c r="BB370" s="336">
        <v>4290</v>
      </c>
      <c r="BC370" s="334">
        <v>248.94</v>
      </c>
      <c r="BD370" s="336">
        <v>4290</v>
      </c>
      <c r="BE370" s="334">
        <v>260.34800000000001</v>
      </c>
    </row>
    <row r="371" spans="22:57">
      <c r="V371" s="346">
        <v>4320</v>
      </c>
      <c r="W371" s="333">
        <v>524.53700000000003</v>
      </c>
      <c r="X371" s="346">
        <v>4330</v>
      </c>
      <c r="Y371" s="334">
        <v>520.69500000000005</v>
      </c>
      <c r="Z371" s="335">
        <v>4320</v>
      </c>
      <c r="AA371" s="334">
        <v>1126.3320000000001</v>
      </c>
      <c r="AB371" s="336">
        <v>4320</v>
      </c>
      <c r="AC371" s="334">
        <v>1125.492</v>
      </c>
      <c r="AD371" s="336">
        <v>4320</v>
      </c>
      <c r="AE371" s="334">
        <v>970.524</v>
      </c>
      <c r="AF371" s="336">
        <v>4320</v>
      </c>
      <c r="AG371" s="334">
        <v>970.23</v>
      </c>
      <c r="AH371" s="336">
        <v>4320</v>
      </c>
      <c r="AI371" s="334">
        <v>970.31899999999996</v>
      </c>
      <c r="AJ371" s="336">
        <v>4300</v>
      </c>
      <c r="AK371" s="334">
        <v>971.49699999999996</v>
      </c>
      <c r="AL371" s="336">
        <v>4320</v>
      </c>
      <c r="AM371" s="334">
        <v>971.07299999999998</v>
      </c>
      <c r="AN371" s="336">
        <v>4320</v>
      </c>
      <c r="AO371" s="334">
        <v>971.60500000000002</v>
      </c>
      <c r="AP371" s="336">
        <v>4310</v>
      </c>
      <c r="AQ371" s="334">
        <v>970.36599999999999</v>
      </c>
      <c r="AR371" s="336">
        <v>4320</v>
      </c>
      <c r="AS371" s="334">
        <v>970.14700000000005</v>
      </c>
      <c r="AT371" s="336">
        <v>4320</v>
      </c>
      <c r="AU371" s="334">
        <v>968.67600000000004</v>
      </c>
      <c r="AV371" s="336">
        <v>4320</v>
      </c>
      <c r="AW371" s="334">
        <v>968.49400000000003</v>
      </c>
      <c r="AX371" s="336">
        <v>4310</v>
      </c>
      <c r="AY371" s="334">
        <v>892.51700000000005</v>
      </c>
      <c r="AZ371" s="336">
        <v>4320</v>
      </c>
      <c r="BA371" s="337">
        <v>893.82899999999995</v>
      </c>
      <c r="BB371" s="336">
        <v>4300</v>
      </c>
      <c r="BC371" s="334">
        <v>248.54400000000001</v>
      </c>
      <c r="BD371" s="336">
        <v>4300</v>
      </c>
      <c r="BE371" s="334">
        <v>259.93799999999999</v>
      </c>
    </row>
    <row r="372" spans="22:57">
      <c r="V372" s="346">
        <v>4330</v>
      </c>
      <c r="W372" s="333">
        <v>523.73900000000003</v>
      </c>
      <c r="X372" s="346">
        <v>4340</v>
      </c>
      <c r="Y372" s="334">
        <v>519.90200000000004</v>
      </c>
      <c r="Z372" s="335">
        <v>4330</v>
      </c>
      <c r="AA372" s="334">
        <v>1124.827</v>
      </c>
      <c r="AB372" s="336">
        <v>4330</v>
      </c>
      <c r="AC372" s="334">
        <v>1123.991</v>
      </c>
      <c r="AD372" s="336">
        <v>4330</v>
      </c>
      <c r="AE372" s="334">
        <v>969.31100000000004</v>
      </c>
      <c r="AF372" s="336">
        <v>4330</v>
      </c>
      <c r="AG372" s="334">
        <v>969.01599999999996</v>
      </c>
      <c r="AH372" s="336">
        <v>4330</v>
      </c>
      <c r="AI372" s="334">
        <v>969.10599999999999</v>
      </c>
      <c r="AJ372" s="336">
        <v>4310</v>
      </c>
      <c r="AK372" s="334">
        <v>970.28399999999999</v>
      </c>
      <c r="AL372" s="336">
        <v>4330</v>
      </c>
      <c r="AM372" s="334">
        <v>969.86</v>
      </c>
      <c r="AN372" s="336">
        <v>4330</v>
      </c>
      <c r="AO372" s="334">
        <v>970.39300000000003</v>
      </c>
      <c r="AP372" s="336">
        <v>4320</v>
      </c>
      <c r="AQ372" s="334">
        <v>969.15700000000004</v>
      </c>
      <c r="AR372" s="336">
        <v>4330</v>
      </c>
      <c r="AS372" s="334">
        <v>968.93700000000001</v>
      </c>
      <c r="AT372" s="336">
        <v>4330</v>
      </c>
      <c r="AU372" s="334">
        <v>967.46500000000003</v>
      </c>
      <c r="AV372" s="336">
        <v>4330</v>
      </c>
      <c r="AW372" s="334">
        <v>967.28399999999999</v>
      </c>
      <c r="AX372" s="336">
        <v>4320</v>
      </c>
      <c r="AY372" s="334">
        <v>891.30600000000004</v>
      </c>
      <c r="AZ372" s="336">
        <v>4330</v>
      </c>
      <c r="BA372" s="337">
        <v>892.61900000000003</v>
      </c>
      <c r="BB372" s="336">
        <v>4310</v>
      </c>
      <c r="BC372" s="334">
        <v>248.148</v>
      </c>
      <c r="BD372" s="336">
        <v>4310</v>
      </c>
      <c r="BE372" s="334">
        <v>259.52699999999999</v>
      </c>
    </row>
    <row r="373" spans="22:57">
      <c r="V373" s="346">
        <v>4340</v>
      </c>
      <c r="W373" s="333">
        <v>522.94000000000005</v>
      </c>
      <c r="X373" s="346">
        <v>4350</v>
      </c>
      <c r="Y373" s="334">
        <v>519.11</v>
      </c>
      <c r="Z373" s="335">
        <v>4340</v>
      </c>
      <c r="AA373" s="334">
        <v>1123.3209999999999</v>
      </c>
      <c r="AB373" s="336">
        <v>4340</v>
      </c>
      <c r="AC373" s="334">
        <v>1122.49</v>
      </c>
      <c r="AD373" s="336">
        <v>4340</v>
      </c>
      <c r="AE373" s="334">
        <v>968.09799999999996</v>
      </c>
      <c r="AF373" s="336">
        <v>4340</v>
      </c>
      <c r="AG373" s="334">
        <v>967.80200000000002</v>
      </c>
      <c r="AH373" s="336">
        <v>4340</v>
      </c>
      <c r="AI373" s="334">
        <v>967.89300000000003</v>
      </c>
      <c r="AJ373" s="336">
        <v>4320</v>
      </c>
      <c r="AK373" s="334">
        <v>969.07</v>
      </c>
      <c r="AL373" s="336">
        <v>4340</v>
      </c>
      <c r="AM373" s="334">
        <v>968.64599999999996</v>
      </c>
      <c r="AN373" s="336">
        <v>4340</v>
      </c>
      <c r="AO373" s="334">
        <v>969.18</v>
      </c>
      <c r="AP373" s="336">
        <v>4330</v>
      </c>
      <c r="AQ373" s="334">
        <v>967.947</v>
      </c>
      <c r="AR373" s="336">
        <v>4340</v>
      </c>
      <c r="AS373" s="334">
        <v>967.726</v>
      </c>
      <c r="AT373" s="336">
        <v>4340</v>
      </c>
      <c r="AU373" s="334">
        <v>966.25300000000004</v>
      </c>
      <c r="AV373" s="336">
        <v>4340</v>
      </c>
      <c r="AW373" s="334">
        <v>966.07399999999996</v>
      </c>
      <c r="AX373" s="336">
        <v>4330</v>
      </c>
      <c r="AY373" s="334">
        <v>890.09500000000003</v>
      </c>
      <c r="AZ373" s="336">
        <v>4340</v>
      </c>
      <c r="BA373" s="337">
        <v>891.40899999999999</v>
      </c>
      <c r="BB373" s="336">
        <v>4320</v>
      </c>
      <c r="BC373" s="334">
        <v>247.751</v>
      </c>
      <c r="BD373" s="336">
        <v>4320</v>
      </c>
      <c r="BE373" s="334">
        <v>259.11700000000002</v>
      </c>
    </row>
    <row r="374" spans="22:57">
      <c r="V374" s="346">
        <v>4350</v>
      </c>
      <c r="W374" s="333">
        <v>522.14200000000005</v>
      </c>
      <c r="X374" s="346">
        <v>4360</v>
      </c>
      <c r="Y374" s="334">
        <v>518.31799999999998</v>
      </c>
      <c r="Z374" s="335">
        <v>4350</v>
      </c>
      <c r="AA374" s="334">
        <v>1121.8150000000001</v>
      </c>
      <c r="AB374" s="336">
        <v>4350</v>
      </c>
      <c r="AC374" s="334">
        <v>1120.989</v>
      </c>
      <c r="AD374" s="336">
        <v>4350</v>
      </c>
      <c r="AE374" s="334">
        <v>966.88400000000001</v>
      </c>
      <c r="AF374" s="336">
        <v>4350</v>
      </c>
      <c r="AG374" s="334">
        <v>966.58900000000006</v>
      </c>
      <c r="AH374" s="336">
        <v>4350</v>
      </c>
      <c r="AI374" s="334">
        <v>966.68</v>
      </c>
      <c r="AJ374" s="336">
        <v>4330</v>
      </c>
      <c r="AK374" s="334">
        <v>967.85699999999997</v>
      </c>
      <c r="AL374" s="336">
        <v>4350</v>
      </c>
      <c r="AM374" s="334">
        <v>967.43299999999999</v>
      </c>
      <c r="AN374" s="336">
        <v>4350</v>
      </c>
      <c r="AO374" s="334">
        <v>967.96799999999996</v>
      </c>
      <c r="AP374" s="336">
        <v>4340</v>
      </c>
      <c r="AQ374" s="334">
        <v>966.73699999999997</v>
      </c>
      <c r="AR374" s="336">
        <v>4350</v>
      </c>
      <c r="AS374" s="334">
        <v>966.51499999999999</v>
      </c>
      <c r="AT374" s="336">
        <v>4350</v>
      </c>
      <c r="AU374" s="334">
        <v>965.04200000000003</v>
      </c>
      <c r="AV374" s="336">
        <v>4350</v>
      </c>
      <c r="AW374" s="334">
        <v>964.86400000000003</v>
      </c>
      <c r="AX374" s="336">
        <v>4340</v>
      </c>
      <c r="AY374" s="334">
        <v>888.88400000000001</v>
      </c>
      <c r="AZ374" s="336">
        <v>4350</v>
      </c>
      <c r="BA374" s="337">
        <v>890.2</v>
      </c>
      <c r="BB374" s="336">
        <v>4330</v>
      </c>
      <c r="BC374" s="334">
        <v>247.35499999999999</v>
      </c>
      <c r="BD374" s="336">
        <v>4330</v>
      </c>
      <c r="BE374" s="334">
        <v>258.70699999999999</v>
      </c>
    </row>
    <row r="375" spans="22:57">
      <c r="V375" s="346">
        <v>4360</v>
      </c>
      <c r="W375" s="333">
        <v>521.34400000000005</v>
      </c>
      <c r="X375" s="346">
        <v>4370</v>
      </c>
      <c r="Y375" s="334">
        <v>517.52499999999998</v>
      </c>
      <c r="Z375" s="335">
        <v>4360</v>
      </c>
      <c r="AA375" s="334">
        <v>1120.31</v>
      </c>
      <c r="AB375" s="336">
        <v>4360</v>
      </c>
      <c r="AC375" s="334">
        <v>1119.4880000000001</v>
      </c>
      <c r="AD375" s="336">
        <v>4360</v>
      </c>
      <c r="AE375" s="334">
        <v>965.67100000000005</v>
      </c>
      <c r="AF375" s="336">
        <v>4360</v>
      </c>
      <c r="AG375" s="334">
        <v>965.375</v>
      </c>
      <c r="AH375" s="336">
        <v>4360</v>
      </c>
      <c r="AI375" s="334">
        <v>965.46699999999998</v>
      </c>
      <c r="AJ375" s="336">
        <v>4340</v>
      </c>
      <c r="AK375" s="334">
        <v>966.64400000000001</v>
      </c>
      <c r="AL375" s="336">
        <v>4360</v>
      </c>
      <c r="AM375" s="334">
        <v>966.22</v>
      </c>
      <c r="AN375" s="336">
        <v>4360</v>
      </c>
      <c r="AO375" s="334">
        <v>966.75599999999997</v>
      </c>
      <c r="AP375" s="336">
        <v>4350</v>
      </c>
      <c r="AQ375" s="334">
        <v>965.52800000000002</v>
      </c>
      <c r="AR375" s="336">
        <v>4360</v>
      </c>
      <c r="AS375" s="334">
        <v>965.30399999999997</v>
      </c>
      <c r="AT375" s="336">
        <v>4360</v>
      </c>
      <c r="AU375" s="334">
        <v>963.83</v>
      </c>
      <c r="AV375" s="336">
        <v>4360</v>
      </c>
      <c r="AW375" s="334">
        <v>963.654</v>
      </c>
      <c r="AX375" s="336">
        <v>4350</v>
      </c>
      <c r="AY375" s="334">
        <v>887.673</v>
      </c>
      <c r="AZ375" s="336">
        <v>4360</v>
      </c>
      <c r="BA375" s="337">
        <v>888.99</v>
      </c>
      <c r="BB375" s="336">
        <v>4340</v>
      </c>
      <c r="BC375" s="334">
        <v>246.959</v>
      </c>
      <c r="BD375" s="336">
        <v>4340</v>
      </c>
      <c r="BE375" s="334">
        <v>258.29700000000003</v>
      </c>
    </row>
    <row r="376" spans="22:57">
      <c r="V376" s="346">
        <v>4370</v>
      </c>
      <c r="W376" s="333">
        <v>520.54700000000003</v>
      </c>
      <c r="X376" s="346">
        <v>4380</v>
      </c>
      <c r="Y376" s="334">
        <v>516.73400000000004</v>
      </c>
      <c r="Z376" s="335">
        <v>4370</v>
      </c>
      <c r="AA376" s="334">
        <v>1118.8050000000001</v>
      </c>
      <c r="AB376" s="336">
        <v>4370</v>
      </c>
      <c r="AC376" s="334">
        <v>1117.9880000000001</v>
      </c>
      <c r="AD376" s="336">
        <v>4370</v>
      </c>
      <c r="AE376" s="334">
        <v>964.45799999999997</v>
      </c>
      <c r="AF376" s="336">
        <v>4370</v>
      </c>
      <c r="AG376" s="334">
        <v>964.16099999999994</v>
      </c>
      <c r="AH376" s="336">
        <v>4370</v>
      </c>
      <c r="AI376" s="334">
        <v>964.25400000000002</v>
      </c>
      <c r="AJ376" s="336">
        <v>4350</v>
      </c>
      <c r="AK376" s="334">
        <v>965.43100000000004</v>
      </c>
      <c r="AL376" s="336">
        <v>4370</v>
      </c>
      <c r="AM376" s="334">
        <v>965.00699999999995</v>
      </c>
      <c r="AN376" s="336">
        <v>4370</v>
      </c>
      <c r="AO376" s="334">
        <v>965.54399999999998</v>
      </c>
      <c r="AP376" s="336">
        <v>4360</v>
      </c>
      <c r="AQ376" s="334">
        <v>964.31799999999998</v>
      </c>
      <c r="AR376" s="336">
        <v>4370</v>
      </c>
      <c r="AS376" s="334">
        <v>964.09400000000005</v>
      </c>
      <c r="AT376" s="336">
        <v>4370</v>
      </c>
      <c r="AU376" s="334">
        <v>962.61900000000003</v>
      </c>
      <c r="AV376" s="336">
        <v>4370</v>
      </c>
      <c r="AW376" s="334">
        <v>962.44399999999996</v>
      </c>
      <c r="AX376" s="336">
        <v>4360</v>
      </c>
      <c r="AY376" s="334">
        <v>886.46299999999997</v>
      </c>
      <c r="AZ376" s="336">
        <v>4370</v>
      </c>
      <c r="BA376" s="337">
        <v>887.78099999999995</v>
      </c>
      <c r="BB376" s="336">
        <v>4350</v>
      </c>
      <c r="BC376" s="334">
        <v>246.56299999999999</v>
      </c>
      <c r="BD376" s="336">
        <v>4350</v>
      </c>
      <c r="BE376" s="334">
        <v>257.887</v>
      </c>
    </row>
    <row r="377" spans="22:57">
      <c r="V377" s="346">
        <v>4380</v>
      </c>
      <c r="W377" s="333">
        <v>519.74900000000002</v>
      </c>
      <c r="X377" s="346">
        <v>4390</v>
      </c>
      <c r="Y377" s="334">
        <v>515.94200000000001</v>
      </c>
      <c r="Z377" s="335">
        <v>4380</v>
      </c>
      <c r="AA377" s="334">
        <v>1117.299</v>
      </c>
      <c r="AB377" s="336">
        <v>4380</v>
      </c>
      <c r="AC377" s="334">
        <v>1116.4870000000001</v>
      </c>
      <c r="AD377" s="336">
        <v>4380</v>
      </c>
      <c r="AE377" s="334">
        <v>963.24400000000003</v>
      </c>
      <c r="AF377" s="336">
        <v>4380</v>
      </c>
      <c r="AG377" s="334">
        <v>962.94799999999998</v>
      </c>
      <c r="AH377" s="336">
        <v>4380</v>
      </c>
      <c r="AI377" s="334">
        <v>963.04200000000003</v>
      </c>
      <c r="AJ377" s="336">
        <v>4360</v>
      </c>
      <c r="AK377" s="334">
        <v>964.21799999999996</v>
      </c>
      <c r="AL377" s="336">
        <v>4380</v>
      </c>
      <c r="AM377" s="334">
        <v>963.79399999999998</v>
      </c>
      <c r="AN377" s="336">
        <v>4380</v>
      </c>
      <c r="AO377" s="334">
        <v>964.33100000000002</v>
      </c>
      <c r="AP377" s="336">
        <v>4370</v>
      </c>
      <c r="AQ377" s="334">
        <v>963.10799999999995</v>
      </c>
      <c r="AR377" s="336">
        <v>4380</v>
      </c>
      <c r="AS377" s="334">
        <v>962.88300000000004</v>
      </c>
      <c r="AT377" s="336">
        <v>4380</v>
      </c>
      <c r="AU377" s="334">
        <v>961.40700000000004</v>
      </c>
      <c r="AV377" s="336">
        <v>4380</v>
      </c>
      <c r="AW377" s="334">
        <v>961.23400000000004</v>
      </c>
      <c r="AX377" s="336">
        <v>4370</v>
      </c>
      <c r="AY377" s="334">
        <v>885.25199999999995</v>
      </c>
      <c r="AZ377" s="336">
        <v>4380</v>
      </c>
      <c r="BA377" s="337">
        <v>886.57100000000003</v>
      </c>
      <c r="BB377" s="336">
        <v>4360</v>
      </c>
      <c r="BC377" s="334">
        <v>246.166</v>
      </c>
      <c r="BD377" s="336">
        <v>4360</v>
      </c>
      <c r="BE377" s="334">
        <v>257.47699999999998</v>
      </c>
    </row>
    <row r="378" spans="22:57">
      <c r="V378" s="346">
        <v>4390</v>
      </c>
      <c r="W378" s="333">
        <v>518.952</v>
      </c>
      <c r="X378" s="346">
        <v>4400</v>
      </c>
      <c r="Y378" s="334">
        <v>515.15</v>
      </c>
      <c r="Z378" s="335">
        <v>4390</v>
      </c>
      <c r="AA378" s="334">
        <v>1115.7940000000001</v>
      </c>
      <c r="AB378" s="336">
        <v>4390</v>
      </c>
      <c r="AC378" s="334">
        <v>1114.9870000000001</v>
      </c>
      <c r="AD378" s="336">
        <v>4390</v>
      </c>
      <c r="AE378" s="334">
        <v>962.03099999999995</v>
      </c>
      <c r="AF378" s="336">
        <v>4390</v>
      </c>
      <c r="AG378" s="334">
        <v>961.73400000000004</v>
      </c>
      <c r="AH378" s="336">
        <v>4390</v>
      </c>
      <c r="AI378" s="334">
        <v>961.82899999999995</v>
      </c>
      <c r="AJ378" s="336">
        <v>4370</v>
      </c>
      <c r="AK378" s="334">
        <v>963.00400000000002</v>
      </c>
      <c r="AL378" s="336">
        <v>4390</v>
      </c>
      <c r="AM378" s="334">
        <v>962.58100000000002</v>
      </c>
      <c r="AN378" s="336">
        <v>4390</v>
      </c>
      <c r="AO378" s="334">
        <v>963.11900000000003</v>
      </c>
      <c r="AP378" s="336">
        <v>4380</v>
      </c>
      <c r="AQ378" s="334">
        <v>961.899</v>
      </c>
      <c r="AR378" s="336">
        <v>4390</v>
      </c>
      <c r="AS378" s="334">
        <v>961.67200000000003</v>
      </c>
      <c r="AT378" s="336">
        <v>4390</v>
      </c>
      <c r="AU378" s="334">
        <v>960.19600000000003</v>
      </c>
      <c r="AV378" s="336">
        <v>4390</v>
      </c>
      <c r="AW378" s="334">
        <v>960.02499999999998</v>
      </c>
      <c r="AX378" s="336">
        <v>4380</v>
      </c>
      <c r="AY378" s="334">
        <v>884.04100000000005</v>
      </c>
      <c r="AZ378" s="336">
        <v>4390</v>
      </c>
      <c r="BA378" s="337">
        <v>885.36199999999997</v>
      </c>
      <c r="BB378" s="336">
        <v>4370</v>
      </c>
      <c r="BC378" s="334">
        <v>245.77</v>
      </c>
      <c r="BD378" s="336">
        <v>4370</v>
      </c>
      <c r="BE378" s="334">
        <v>257.06700000000001</v>
      </c>
    </row>
    <row r="379" spans="22:57">
      <c r="V379" s="346">
        <v>4400</v>
      </c>
      <c r="W379" s="333">
        <v>518.154</v>
      </c>
      <c r="X379" s="346">
        <v>4410</v>
      </c>
      <c r="Y379" s="334">
        <v>514.35900000000004</v>
      </c>
      <c r="Z379" s="335">
        <v>4400</v>
      </c>
      <c r="AA379" s="334">
        <v>1114.289</v>
      </c>
      <c r="AB379" s="336">
        <v>4400</v>
      </c>
      <c r="AC379" s="334">
        <v>1113.4860000000001</v>
      </c>
      <c r="AD379" s="336">
        <v>4400</v>
      </c>
      <c r="AE379" s="334">
        <v>960.81799999999998</v>
      </c>
      <c r="AF379" s="336">
        <v>4400</v>
      </c>
      <c r="AG379" s="334">
        <v>960.52</v>
      </c>
      <c r="AH379" s="336">
        <v>4400</v>
      </c>
      <c r="AI379" s="334">
        <v>960.61599999999999</v>
      </c>
      <c r="AJ379" s="336">
        <v>4380</v>
      </c>
      <c r="AK379" s="334">
        <v>961.79100000000005</v>
      </c>
      <c r="AL379" s="336">
        <v>4400</v>
      </c>
      <c r="AM379" s="334">
        <v>961.36800000000005</v>
      </c>
      <c r="AN379" s="336">
        <v>4400</v>
      </c>
      <c r="AO379" s="334">
        <v>961.90700000000004</v>
      </c>
      <c r="AP379" s="336">
        <v>4390</v>
      </c>
      <c r="AQ379" s="334">
        <v>960.68899999999996</v>
      </c>
      <c r="AR379" s="336">
        <v>4400</v>
      </c>
      <c r="AS379" s="334">
        <v>960.46199999999999</v>
      </c>
      <c r="AT379" s="336">
        <v>4400</v>
      </c>
      <c r="AU379" s="334">
        <v>958.98400000000004</v>
      </c>
      <c r="AV379" s="336">
        <v>4400</v>
      </c>
      <c r="AW379" s="334">
        <v>958.81500000000005</v>
      </c>
      <c r="AX379" s="336">
        <v>4390</v>
      </c>
      <c r="AY379" s="334">
        <v>882.83</v>
      </c>
      <c r="AZ379" s="336">
        <v>4400</v>
      </c>
      <c r="BA379" s="337">
        <v>884.15200000000004</v>
      </c>
      <c r="BB379" s="336">
        <v>4380</v>
      </c>
      <c r="BC379" s="334">
        <v>245.374</v>
      </c>
      <c r="BD379" s="336">
        <v>4380</v>
      </c>
      <c r="BE379" s="334">
        <v>256.65699999999998</v>
      </c>
    </row>
    <row r="380" spans="22:57">
      <c r="V380" s="346">
        <v>4410</v>
      </c>
      <c r="W380" s="333">
        <v>517.35699999999997</v>
      </c>
      <c r="X380" s="346">
        <v>4420</v>
      </c>
      <c r="Y380" s="334">
        <v>513.56799999999998</v>
      </c>
      <c r="Z380" s="335">
        <v>4410</v>
      </c>
      <c r="AA380" s="334">
        <v>1112.7850000000001</v>
      </c>
      <c r="AB380" s="336">
        <v>4410</v>
      </c>
      <c r="AC380" s="334">
        <v>1111.9860000000001</v>
      </c>
      <c r="AD380" s="336">
        <v>4410</v>
      </c>
      <c r="AE380" s="334">
        <v>959.60500000000002</v>
      </c>
      <c r="AF380" s="336">
        <v>4410</v>
      </c>
      <c r="AG380" s="334">
        <v>959.30600000000004</v>
      </c>
      <c r="AH380" s="336">
        <v>4410</v>
      </c>
      <c r="AI380" s="334">
        <v>959.40300000000002</v>
      </c>
      <c r="AJ380" s="336">
        <v>4390</v>
      </c>
      <c r="AK380" s="334">
        <v>960.57799999999997</v>
      </c>
      <c r="AL380" s="336">
        <v>4410</v>
      </c>
      <c r="AM380" s="334">
        <v>960.15499999999997</v>
      </c>
      <c r="AN380" s="336">
        <v>4410</v>
      </c>
      <c r="AO380" s="334">
        <v>960.69399999999996</v>
      </c>
      <c r="AP380" s="336">
        <v>4400</v>
      </c>
      <c r="AQ380" s="334">
        <v>959.47900000000004</v>
      </c>
      <c r="AR380" s="336">
        <v>4410</v>
      </c>
      <c r="AS380" s="334">
        <v>959.25099999999998</v>
      </c>
      <c r="AT380" s="336">
        <v>4410</v>
      </c>
      <c r="AU380" s="334">
        <v>957.77300000000002</v>
      </c>
      <c r="AV380" s="336">
        <v>4410</v>
      </c>
      <c r="AW380" s="334">
        <v>957.60500000000002</v>
      </c>
      <c r="AX380" s="336">
        <v>4400</v>
      </c>
      <c r="AY380" s="334">
        <v>881.61900000000003</v>
      </c>
      <c r="AZ380" s="336">
        <v>4410</v>
      </c>
      <c r="BA380" s="337">
        <v>882.94299999999998</v>
      </c>
      <c r="BB380" s="336">
        <v>4390</v>
      </c>
      <c r="BC380" s="334">
        <v>244.97800000000001</v>
      </c>
      <c r="BD380" s="336">
        <v>4390</v>
      </c>
      <c r="BE380" s="334">
        <v>256.24599999999998</v>
      </c>
    </row>
    <row r="381" spans="22:57">
      <c r="V381" s="346">
        <v>4420</v>
      </c>
      <c r="W381" s="333">
        <v>516.55999999999995</v>
      </c>
      <c r="X381" s="346">
        <v>4430</v>
      </c>
      <c r="Y381" s="334">
        <v>512.77700000000004</v>
      </c>
      <c r="Z381" s="335">
        <v>4420</v>
      </c>
      <c r="AA381" s="334">
        <v>1111.28</v>
      </c>
      <c r="AB381" s="336">
        <v>4420</v>
      </c>
      <c r="AC381" s="334">
        <v>1110.4860000000001</v>
      </c>
      <c r="AD381" s="336">
        <v>4420</v>
      </c>
      <c r="AE381" s="334">
        <v>958.39099999999996</v>
      </c>
      <c r="AF381" s="336">
        <v>4420</v>
      </c>
      <c r="AG381" s="334">
        <v>958.09299999999996</v>
      </c>
      <c r="AH381" s="336">
        <v>4420</v>
      </c>
      <c r="AI381" s="334">
        <v>958.19</v>
      </c>
      <c r="AJ381" s="336">
        <v>4400</v>
      </c>
      <c r="AK381" s="334">
        <v>959.36500000000001</v>
      </c>
      <c r="AL381" s="336">
        <v>4420</v>
      </c>
      <c r="AM381" s="334">
        <v>958.94200000000001</v>
      </c>
      <c r="AN381" s="336">
        <v>4420</v>
      </c>
      <c r="AO381" s="334">
        <v>959.48199999999997</v>
      </c>
      <c r="AP381" s="336">
        <v>4410</v>
      </c>
      <c r="AQ381" s="334">
        <v>958.27</v>
      </c>
      <c r="AR381" s="336">
        <v>4420</v>
      </c>
      <c r="AS381" s="334">
        <v>958.04</v>
      </c>
      <c r="AT381" s="336">
        <v>4420</v>
      </c>
      <c r="AU381" s="334">
        <v>956.56100000000004</v>
      </c>
      <c r="AV381" s="336">
        <v>4420</v>
      </c>
      <c r="AW381" s="334">
        <v>956.39499999999998</v>
      </c>
      <c r="AX381" s="336">
        <v>4410</v>
      </c>
      <c r="AY381" s="334">
        <v>880.40899999999999</v>
      </c>
      <c r="AZ381" s="336">
        <v>4420</v>
      </c>
      <c r="BA381" s="337">
        <v>881.73299999999995</v>
      </c>
      <c r="BB381" s="336">
        <v>4400</v>
      </c>
      <c r="BC381" s="334">
        <v>244.58199999999999</v>
      </c>
      <c r="BD381" s="336">
        <v>4400</v>
      </c>
      <c r="BE381" s="334">
        <v>255.83600000000001</v>
      </c>
    </row>
    <row r="382" spans="22:57">
      <c r="V382" s="346">
        <v>4430</v>
      </c>
      <c r="W382" s="333">
        <v>515.76400000000001</v>
      </c>
      <c r="X382" s="346">
        <v>4440</v>
      </c>
      <c r="Y382" s="334">
        <v>511.98599999999999</v>
      </c>
      <c r="Z382" s="335">
        <v>4430</v>
      </c>
      <c r="AA382" s="334">
        <v>1109.7750000000001</v>
      </c>
      <c r="AB382" s="336">
        <v>4430</v>
      </c>
      <c r="AC382" s="334">
        <v>1108.9860000000001</v>
      </c>
      <c r="AD382" s="336">
        <v>4430</v>
      </c>
      <c r="AE382" s="334">
        <v>957.178</v>
      </c>
      <c r="AF382" s="336">
        <v>4430</v>
      </c>
      <c r="AG382" s="334">
        <v>956.87900000000002</v>
      </c>
      <c r="AH382" s="336">
        <v>4430</v>
      </c>
      <c r="AI382" s="334">
        <v>956.97699999999998</v>
      </c>
      <c r="AJ382" s="336">
        <v>4410</v>
      </c>
      <c r="AK382" s="334">
        <v>958.15099999999995</v>
      </c>
      <c r="AL382" s="336">
        <v>4430</v>
      </c>
      <c r="AM382" s="334">
        <v>957.72900000000004</v>
      </c>
      <c r="AN382" s="336">
        <v>4430</v>
      </c>
      <c r="AO382" s="334">
        <v>958.27</v>
      </c>
      <c r="AP382" s="336">
        <v>4420</v>
      </c>
      <c r="AQ382" s="334">
        <v>957.06</v>
      </c>
      <c r="AR382" s="336">
        <v>4430</v>
      </c>
      <c r="AS382" s="334">
        <v>956.82899999999995</v>
      </c>
      <c r="AT382" s="336">
        <v>4430</v>
      </c>
      <c r="AU382" s="334">
        <v>955.35</v>
      </c>
      <c r="AV382" s="336">
        <v>4430</v>
      </c>
      <c r="AW382" s="334">
        <v>955.18499999999995</v>
      </c>
      <c r="AX382" s="336">
        <v>4420</v>
      </c>
      <c r="AY382" s="334">
        <v>879.19799999999998</v>
      </c>
      <c r="AZ382" s="336">
        <v>4430</v>
      </c>
      <c r="BA382" s="337">
        <v>880.52300000000002</v>
      </c>
      <c r="BB382" s="336">
        <v>4410</v>
      </c>
      <c r="BC382" s="334">
        <v>244.18600000000001</v>
      </c>
      <c r="BD382" s="336">
        <v>4410</v>
      </c>
      <c r="BE382" s="334">
        <v>255.42599999999999</v>
      </c>
    </row>
    <row r="383" spans="22:57">
      <c r="V383" s="346">
        <v>4440</v>
      </c>
      <c r="W383" s="333">
        <v>514.96699999999998</v>
      </c>
      <c r="X383" s="346">
        <v>4450</v>
      </c>
      <c r="Y383" s="334">
        <v>511.19499999999999</v>
      </c>
      <c r="Z383" s="335">
        <v>4440</v>
      </c>
      <c r="AA383" s="334">
        <v>1108.271</v>
      </c>
      <c r="AB383" s="336">
        <v>4440</v>
      </c>
      <c r="AC383" s="334">
        <v>1107.4860000000001</v>
      </c>
      <c r="AD383" s="336">
        <v>4440</v>
      </c>
      <c r="AE383" s="334">
        <v>955.96500000000003</v>
      </c>
      <c r="AF383" s="336">
        <v>4440</v>
      </c>
      <c r="AG383" s="334">
        <v>955.66499999999996</v>
      </c>
      <c r="AH383" s="336">
        <v>4440</v>
      </c>
      <c r="AI383" s="334">
        <v>955.76400000000001</v>
      </c>
      <c r="AJ383" s="336">
        <v>4420</v>
      </c>
      <c r="AK383" s="334">
        <v>956.93799999999999</v>
      </c>
      <c r="AL383" s="336">
        <v>4440</v>
      </c>
      <c r="AM383" s="334">
        <v>956.51599999999996</v>
      </c>
      <c r="AN383" s="336">
        <v>4440</v>
      </c>
      <c r="AO383" s="334">
        <v>957.05799999999999</v>
      </c>
      <c r="AP383" s="336">
        <v>4430</v>
      </c>
      <c r="AQ383" s="334">
        <v>955.85</v>
      </c>
      <c r="AR383" s="336">
        <v>4440</v>
      </c>
      <c r="AS383" s="334">
        <v>955.61900000000003</v>
      </c>
      <c r="AT383" s="336">
        <v>4440</v>
      </c>
      <c r="AU383" s="334">
        <v>954.13800000000003</v>
      </c>
      <c r="AV383" s="336">
        <v>4440</v>
      </c>
      <c r="AW383" s="334">
        <v>953.97500000000002</v>
      </c>
      <c r="AX383" s="336">
        <v>4430</v>
      </c>
      <c r="AY383" s="334">
        <v>877.98699999999997</v>
      </c>
      <c r="AZ383" s="336">
        <v>4440</v>
      </c>
      <c r="BA383" s="337">
        <v>879.31399999999996</v>
      </c>
      <c r="BB383" s="336">
        <v>4420</v>
      </c>
      <c r="BC383" s="334">
        <v>243.78899999999999</v>
      </c>
      <c r="BD383" s="336">
        <v>4420</v>
      </c>
      <c r="BE383" s="334">
        <v>255.01599999999999</v>
      </c>
    </row>
    <row r="384" spans="22:57">
      <c r="V384" s="346">
        <v>4450</v>
      </c>
      <c r="W384" s="333">
        <v>514.17100000000005</v>
      </c>
      <c r="X384" s="346">
        <v>4460</v>
      </c>
      <c r="Y384" s="334">
        <v>510.40499999999997</v>
      </c>
      <c r="Z384" s="335">
        <v>4450</v>
      </c>
      <c r="AA384" s="334">
        <v>1106.7670000000001</v>
      </c>
      <c r="AB384" s="336">
        <v>4450</v>
      </c>
      <c r="AC384" s="334">
        <v>1105.9870000000001</v>
      </c>
      <c r="AD384" s="336">
        <v>4450</v>
      </c>
      <c r="AE384" s="334">
        <v>954.75199999999995</v>
      </c>
      <c r="AF384" s="336">
        <v>4450</v>
      </c>
      <c r="AG384" s="334">
        <v>954.452</v>
      </c>
      <c r="AH384" s="336">
        <v>4450</v>
      </c>
      <c r="AI384" s="334">
        <v>954.55100000000004</v>
      </c>
      <c r="AJ384" s="336">
        <v>4430</v>
      </c>
      <c r="AK384" s="334">
        <v>955.72500000000002</v>
      </c>
      <c r="AL384" s="336">
        <v>4450</v>
      </c>
      <c r="AM384" s="334">
        <v>955.303</v>
      </c>
      <c r="AN384" s="336">
        <v>4450</v>
      </c>
      <c r="AO384" s="334">
        <v>955.84500000000003</v>
      </c>
      <c r="AP384" s="336">
        <v>4440</v>
      </c>
      <c r="AQ384" s="334">
        <v>954.64</v>
      </c>
      <c r="AR384" s="336">
        <v>4450</v>
      </c>
      <c r="AS384" s="334">
        <v>954.40800000000002</v>
      </c>
      <c r="AT384" s="336">
        <v>4450</v>
      </c>
      <c r="AU384" s="334">
        <v>952.92700000000002</v>
      </c>
      <c r="AV384" s="336">
        <v>4450</v>
      </c>
      <c r="AW384" s="334">
        <v>952.76499999999999</v>
      </c>
      <c r="AX384" s="336">
        <v>4440</v>
      </c>
      <c r="AY384" s="334">
        <v>876.77599999999995</v>
      </c>
      <c r="AZ384" s="336">
        <v>4450</v>
      </c>
      <c r="BA384" s="337">
        <v>878.10400000000004</v>
      </c>
      <c r="BB384" s="336">
        <v>4430</v>
      </c>
      <c r="BC384" s="334">
        <v>243.393</v>
      </c>
      <c r="BD384" s="336">
        <v>4430</v>
      </c>
      <c r="BE384" s="334">
        <v>254.60599999999999</v>
      </c>
    </row>
    <row r="385" spans="22:57">
      <c r="V385" s="346">
        <v>4460</v>
      </c>
      <c r="W385" s="333">
        <v>513.375</v>
      </c>
      <c r="X385" s="346">
        <v>4470</v>
      </c>
      <c r="Y385" s="334">
        <v>509.61399999999998</v>
      </c>
      <c r="Z385" s="335">
        <v>4460</v>
      </c>
      <c r="AA385" s="334">
        <v>1105.2629999999999</v>
      </c>
      <c r="AB385" s="336">
        <v>4460</v>
      </c>
      <c r="AC385" s="334">
        <v>1104.4870000000001</v>
      </c>
      <c r="AD385" s="336">
        <v>4460</v>
      </c>
      <c r="AE385" s="334">
        <v>953.53899999999999</v>
      </c>
      <c r="AF385" s="336">
        <v>4460</v>
      </c>
      <c r="AG385" s="334">
        <v>953.23800000000006</v>
      </c>
      <c r="AH385" s="336">
        <v>4460</v>
      </c>
      <c r="AI385" s="334">
        <v>953.33799999999997</v>
      </c>
      <c r="AJ385" s="336">
        <v>4440</v>
      </c>
      <c r="AK385" s="334">
        <v>954.51199999999994</v>
      </c>
      <c r="AL385" s="336">
        <v>4460</v>
      </c>
      <c r="AM385" s="334">
        <v>954.09</v>
      </c>
      <c r="AN385" s="336">
        <v>4460</v>
      </c>
      <c r="AO385" s="334">
        <v>954.63300000000004</v>
      </c>
      <c r="AP385" s="336">
        <v>4450</v>
      </c>
      <c r="AQ385" s="334">
        <v>953.43100000000004</v>
      </c>
      <c r="AR385" s="336">
        <v>4460</v>
      </c>
      <c r="AS385" s="334">
        <v>953.197</v>
      </c>
      <c r="AT385" s="336">
        <v>4460</v>
      </c>
      <c r="AU385" s="334">
        <v>951.71500000000003</v>
      </c>
      <c r="AV385" s="336">
        <v>4460</v>
      </c>
      <c r="AW385" s="334">
        <v>951.55499999999995</v>
      </c>
      <c r="AX385" s="336">
        <v>4450</v>
      </c>
      <c r="AY385" s="334">
        <v>875.56500000000005</v>
      </c>
      <c r="AZ385" s="336">
        <v>4460</v>
      </c>
      <c r="BA385" s="337">
        <v>876.89499999999998</v>
      </c>
      <c r="BB385" s="336">
        <v>4440</v>
      </c>
      <c r="BC385" s="334">
        <v>242.99700000000001</v>
      </c>
      <c r="BD385" s="336">
        <v>4440</v>
      </c>
      <c r="BE385" s="334">
        <v>254.196</v>
      </c>
    </row>
    <row r="386" spans="22:57">
      <c r="V386" s="346">
        <v>4470</v>
      </c>
      <c r="W386" s="333">
        <v>512.57899999999995</v>
      </c>
      <c r="X386" s="346">
        <v>4480</v>
      </c>
      <c r="Y386" s="370">
        <v>508.82400000000001</v>
      </c>
      <c r="Z386" s="335">
        <v>4470</v>
      </c>
      <c r="AA386" s="334">
        <v>1103.759</v>
      </c>
      <c r="AB386" s="336">
        <v>4470</v>
      </c>
      <c r="AC386" s="334">
        <v>1102.9880000000001</v>
      </c>
      <c r="AD386" s="336">
        <v>4470</v>
      </c>
      <c r="AE386" s="334">
        <v>952.32500000000005</v>
      </c>
      <c r="AF386" s="336">
        <v>4470</v>
      </c>
      <c r="AG386" s="334">
        <v>952.024</v>
      </c>
      <c r="AH386" s="336">
        <v>4470</v>
      </c>
      <c r="AI386" s="334">
        <v>952.125</v>
      </c>
      <c r="AJ386" s="336">
        <v>4450</v>
      </c>
      <c r="AK386" s="334">
        <v>953.29899999999998</v>
      </c>
      <c r="AL386" s="336">
        <v>4470</v>
      </c>
      <c r="AM386" s="334">
        <v>952.87699999999995</v>
      </c>
      <c r="AN386" s="336">
        <v>4470</v>
      </c>
      <c r="AO386" s="334">
        <v>953.42100000000005</v>
      </c>
      <c r="AP386" s="336">
        <v>4460</v>
      </c>
      <c r="AQ386" s="334">
        <v>952.221</v>
      </c>
      <c r="AR386" s="336">
        <v>4470</v>
      </c>
      <c r="AS386" s="334">
        <v>951.98699999999997</v>
      </c>
      <c r="AT386" s="336">
        <v>4470</v>
      </c>
      <c r="AU386" s="334">
        <v>950.50400000000002</v>
      </c>
      <c r="AV386" s="336">
        <v>4470</v>
      </c>
      <c r="AW386" s="334">
        <v>950.34500000000003</v>
      </c>
      <c r="AX386" s="336">
        <v>4460</v>
      </c>
      <c r="AY386" s="334">
        <v>874.35500000000002</v>
      </c>
      <c r="AZ386" s="336">
        <v>4470</v>
      </c>
      <c r="BA386" s="337">
        <v>875.68499999999995</v>
      </c>
      <c r="BB386" s="336">
        <v>4450</v>
      </c>
      <c r="BC386" s="334">
        <v>242.601</v>
      </c>
      <c r="BD386" s="336">
        <v>4450</v>
      </c>
      <c r="BE386" s="334">
        <v>253.786</v>
      </c>
    </row>
    <row r="387" spans="22:57">
      <c r="V387" s="346">
        <v>4480</v>
      </c>
      <c r="W387" s="333">
        <v>511.78300000000002</v>
      </c>
      <c r="X387" s="346">
        <v>4490</v>
      </c>
      <c r="Y387" s="334">
        <v>508.03399999999999</v>
      </c>
      <c r="Z387" s="335">
        <v>4480</v>
      </c>
      <c r="AA387" s="334">
        <v>1102.2550000000001</v>
      </c>
      <c r="AB387" s="336">
        <v>4480</v>
      </c>
      <c r="AC387" s="334">
        <v>1101.4880000000001</v>
      </c>
      <c r="AD387" s="336">
        <v>4480</v>
      </c>
      <c r="AE387" s="334">
        <v>951.11199999999997</v>
      </c>
      <c r="AF387" s="336">
        <v>4480</v>
      </c>
      <c r="AG387" s="334">
        <v>950.81100000000004</v>
      </c>
      <c r="AH387" s="336">
        <v>4480</v>
      </c>
      <c r="AI387" s="334">
        <v>950.91200000000003</v>
      </c>
      <c r="AJ387" s="336">
        <v>4460</v>
      </c>
      <c r="AK387" s="334">
        <v>952.08500000000004</v>
      </c>
      <c r="AL387" s="336">
        <v>4480</v>
      </c>
      <c r="AM387" s="334">
        <v>951.66399999999999</v>
      </c>
      <c r="AN387" s="336">
        <v>4480</v>
      </c>
      <c r="AO387" s="334">
        <v>952.20799999999997</v>
      </c>
      <c r="AP387" s="336">
        <v>4470</v>
      </c>
      <c r="AQ387" s="334">
        <v>951.01099999999997</v>
      </c>
      <c r="AR387" s="336">
        <v>4480</v>
      </c>
      <c r="AS387" s="334">
        <v>950.77599999999995</v>
      </c>
      <c r="AT387" s="336">
        <v>4480</v>
      </c>
      <c r="AU387" s="334">
        <v>949.29200000000003</v>
      </c>
      <c r="AV387" s="336">
        <v>4480</v>
      </c>
      <c r="AW387" s="334">
        <v>949.13499999999999</v>
      </c>
      <c r="AX387" s="336">
        <v>4470</v>
      </c>
      <c r="AY387" s="334">
        <v>873.14400000000001</v>
      </c>
      <c r="AZ387" s="336">
        <v>4480</v>
      </c>
      <c r="BA387" s="337">
        <v>874.476</v>
      </c>
      <c r="BB387" s="336">
        <v>4460</v>
      </c>
      <c r="BC387" s="334">
        <v>242.20500000000001</v>
      </c>
      <c r="BD387" s="336">
        <v>4460</v>
      </c>
      <c r="BE387" s="334">
        <v>253.376</v>
      </c>
    </row>
    <row r="388" spans="22:57">
      <c r="V388" s="346">
        <v>4490</v>
      </c>
      <c r="W388" s="333">
        <v>510.98700000000002</v>
      </c>
      <c r="X388" s="346">
        <v>4500</v>
      </c>
      <c r="Y388" s="334">
        <v>507.24400000000003</v>
      </c>
      <c r="Z388" s="335">
        <v>4490</v>
      </c>
      <c r="AA388" s="334">
        <v>1100.751</v>
      </c>
      <c r="AB388" s="336">
        <v>4490</v>
      </c>
      <c r="AC388" s="334">
        <v>1099.989</v>
      </c>
      <c r="AD388" s="336">
        <v>4490</v>
      </c>
      <c r="AE388" s="334">
        <v>949.899</v>
      </c>
      <c r="AF388" s="336">
        <v>4490</v>
      </c>
      <c r="AG388" s="334">
        <v>949.59699999999998</v>
      </c>
      <c r="AH388" s="336">
        <v>4490</v>
      </c>
      <c r="AI388" s="334">
        <v>949.69899999999996</v>
      </c>
      <c r="AJ388" s="336">
        <v>4470</v>
      </c>
      <c r="AK388" s="334">
        <v>950.87199999999996</v>
      </c>
      <c r="AL388" s="336">
        <v>4490</v>
      </c>
      <c r="AM388" s="334">
        <v>950.45100000000002</v>
      </c>
      <c r="AN388" s="336">
        <v>4490</v>
      </c>
      <c r="AO388" s="334">
        <v>950.99599999999998</v>
      </c>
      <c r="AP388" s="336">
        <v>4480</v>
      </c>
      <c r="AQ388" s="334">
        <v>949.80200000000002</v>
      </c>
      <c r="AR388" s="336">
        <v>4490</v>
      </c>
      <c r="AS388" s="334">
        <v>949.56500000000005</v>
      </c>
      <c r="AT388" s="336">
        <v>4490</v>
      </c>
      <c r="AU388" s="334">
        <v>948.08100000000002</v>
      </c>
      <c r="AV388" s="336">
        <v>4490</v>
      </c>
      <c r="AW388" s="334">
        <v>947.92499999999995</v>
      </c>
      <c r="AX388" s="336">
        <v>4480</v>
      </c>
      <c r="AY388" s="334">
        <v>871.93299999999999</v>
      </c>
      <c r="AZ388" s="336">
        <v>4490</v>
      </c>
      <c r="BA388" s="337">
        <v>873.26599999999996</v>
      </c>
      <c r="BB388" s="336">
        <v>4470</v>
      </c>
      <c r="BC388" s="334">
        <v>241.809</v>
      </c>
      <c r="BD388" s="336">
        <v>4470</v>
      </c>
      <c r="BE388" s="334">
        <v>252.96600000000001</v>
      </c>
    </row>
    <row r="389" spans="22:57">
      <c r="V389" s="346">
        <v>4500</v>
      </c>
      <c r="W389" s="333">
        <v>510.19099999999997</v>
      </c>
      <c r="X389" s="346">
        <v>4510</v>
      </c>
      <c r="Y389" s="334">
        <v>506.45499999999998</v>
      </c>
      <c r="Z389" s="335">
        <v>4500</v>
      </c>
      <c r="AA389" s="334">
        <v>1099.2470000000001</v>
      </c>
      <c r="AB389" s="336">
        <v>4500</v>
      </c>
      <c r="AC389" s="334">
        <v>1098.49</v>
      </c>
      <c r="AD389" s="336">
        <v>4500</v>
      </c>
      <c r="AE389" s="334">
        <v>948.68600000000004</v>
      </c>
      <c r="AF389" s="336">
        <v>4500</v>
      </c>
      <c r="AG389" s="334">
        <v>948.38300000000004</v>
      </c>
      <c r="AH389" s="336">
        <v>4500</v>
      </c>
      <c r="AI389" s="334">
        <v>948.48599999999999</v>
      </c>
      <c r="AJ389" s="336">
        <v>4480</v>
      </c>
      <c r="AK389" s="334">
        <v>949.65899999999999</v>
      </c>
      <c r="AL389" s="336">
        <v>4500</v>
      </c>
      <c r="AM389" s="334">
        <v>949.23800000000006</v>
      </c>
      <c r="AN389" s="336">
        <v>4500</v>
      </c>
      <c r="AO389" s="334">
        <v>949.78399999999999</v>
      </c>
      <c r="AP389" s="336">
        <v>4490</v>
      </c>
      <c r="AQ389" s="334">
        <v>948.59199999999998</v>
      </c>
      <c r="AR389" s="336">
        <v>4500</v>
      </c>
      <c r="AS389" s="334">
        <v>948.35400000000004</v>
      </c>
      <c r="AT389" s="336">
        <v>4500</v>
      </c>
      <c r="AU389" s="334">
        <v>946.86900000000003</v>
      </c>
      <c r="AV389" s="336">
        <v>4500</v>
      </c>
      <c r="AW389" s="334">
        <v>946.71500000000003</v>
      </c>
      <c r="AX389" s="336">
        <v>4490</v>
      </c>
      <c r="AY389" s="334">
        <v>870.72199999999998</v>
      </c>
      <c r="AZ389" s="336">
        <v>4500</v>
      </c>
      <c r="BA389" s="337">
        <v>872.05700000000002</v>
      </c>
      <c r="BB389" s="336">
        <v>4480</v>
      </c>
      <c r="BC389" s="334">
        <v>241.41300000000001</v>
      </c>
      <c r="BD389" s="336">
        <v>4480</v>
      </c>
      <c r="BE389" s="334">
        <v>252.55600000000001</v>
      </c>
    </row>
    <row r="390" spans="22:57">
      <c r="V390" s="346">
        <v>4510</v>
      </c>
      <c r="W390" s="333">
        <v>509.39600000000002</v>
      </c>
      <c r="X390" s="346">
        <v>4520</v>
      </c>
      <c r="Y390" s="334">
        <v>505.66500000000002</v>
      </c>
      <c r="Z390" s="335">
        <v>4510</v>
      </c>
      <c r="AA390" s="334">
        <v>1097.7439999999999</v>
      </c>
      <c r="AB390" s="336">
        <v>4510</v>
      </c>
      <c r="AC390" s="334">
        <v>1096.991</v>
      </c>
      <c r="AD390" s="336">
        <v>4510</v>
      </c>
      <c r="AE390" s="334">
        <v>947.47199999999998</v>
      </c>
      <c r="AF390" s="336">
        <v>4510</v>
      </c>
      <c r="AG390" s="334">
        <v>947.16899999999998</v>
      </c>
      <c r="AH390" s="336">
        <v>4510</v>
      </c>
      <c r="AI390" s="334">
        <v>947.274</v>
      </c>
      <c r="AJ390" s="336">
        <v>4490</v>
      </c>
      <c r="AK390" s="334">
        <v>948.44600000000003</v>
      </c>
      <c r="AL390" s="336">
        <v>4510</v>
      </c>
      <c r="AM390" s="334">
        <v>948.02499999999998</v>
      </c>
      <c r="AN390" s="336">
        <v>4510</v>
      </c>
      <c r="AO390" s="334">
        <v>948.57100000000003</v>
      </c>
      <c r="AP390" s="336">
        <v>4500</v>
      </c>
      <c r="AQ390" s="334">
        <v>947.38199999999995</v>
      </c>
      <c r="AR390" s="336">
        <v>4510</v>
      </c>
      <c r="AS390" s="334">
        <v>947.14400000000001</v>
      </c>
      <c r="AT390" s="336">
        <v>4510</v>
      </c>
      <c r="AU390" s="334">
        <v>945.65800000000002</v>
      </c>
      <c r="AV390" s="336">
        <v>4510</v>
      </c>
      <c r="AW390" s="334">
        <v>945.505</v>
      </c>
      <c r="AX390" s="336">
        <v>4500</v>
      </c>
      <c r="AY390" s="334">
        <v>869.51099999999997</v>
      </c>
      <c r="AZ390" s="336">
        <v>4510</v>
      </c>
      <c r="BA390" s="337">
        <v>870.84699999999998</v>
      </c>
      <c r="BB390" s="336">
        <v>4490</v>
      </c>
      <c r="BC390" s="334">
        <v>241.017</v>
      </c>
      <c r="BD390" s="336">
        <v>4490</v>
      </c>
      <c r="BE390" s="334">
        <v>252.14599999999999</v>
      </c>
    </row>
    <row r="391" spans="22:57">
      <c r="V391" s="346">
        <v>4520</v>
      </c>
      <c r="W391" s="333">
        <v>508.601</v>
      </c>
      <c r="X391" s="346">
        <v>4530</v>
      </c>
      <c r="Y391" s="334">
        <v>504.87599999999998</v>
      </c>
      <c r="Z391" s="335">
        <v>4520</v>
      </c>
      <c r="AA391" s="334">
        <v>1096.24</v>
      </c>
      <c r="AB391" s="336">
        <v>4520</v>
      </c>
      <c r="AC391" s="334">
        <v>1095.492</v>
      </c>
      <c r="AD391" s="336">
        <v>4520</v>
      </c>
      <c r="AE391" s="334">
        <v>946.25900000000001</v>
      </c>
      <c r="AF391" s="336">
        <v>4520</v>
      </c>
      <c r="AG391" s="334">
        <v>945.95600000000002</v>
      </c>
      <c r="AH391" s="336">
        <v>4520</v>
      </c>
      <c r="AI391" s="334">
        <v>946.06100000000004</v>
      </c>
      <c r="AJ391" s="336">
        <v>4500</v>
      </c>
      <c r="AK391" s="334">
        <v>947.23299999999995</v>
      </c>
      <c r="AL391" s="336">
        <v>4520</v>
      </c>
      <c r="AM391" s="334">
        <v>946.81200000000001</v>
      </c>
      <c r="AN391" s="336">
        <v>4520</v>
      </c>
      <c r="AO391" s="334">
        <v>947.35900000000004</v>
      </c>
      <c r="AP391" s="336">
        <v>4510</v>
      </c>
      <c r="AQ391" s="334">
        <v>946.17200000000003</v>
      </c>
      <c r="AR391" s="336">
        <v>4520</v>
      </c>
      <c r="AS391" s="334">
        <v>945.93299999999999</v>
      </c>
      <c r="AT391" s="336">
        <v>4520</v>
      </c>
      <c r="AU391" s="334">
        <v>944.44600000000003</v>
      </c>
      <c r="AV391" s="336">
        <v>4520</v>
      </c>
      <c r="AW391" s="334">
        <v>944.29499999999996</v>
      </c>
      <c r="AX391" s="336">
        <v>4510</v>
      </c>
      <c r="AY391" s="334">
        <v>868.3</v>
      </c>
      <c r="AZ391" s="336">
        <v>4520</v>
      </c>
      <c r="BA391" s="337">
        <v>869.63699999999994</v>
      </c>
      <c r="BB391" s="336">
        <v>4500</v>
      </c>
      <c r="BC391" s="334">
        <v>240.62100000000001</v>
      </c>
      <c r="BD391" s="336">
        <v>4500</v>
      </c>
      <c r="BE391" s="334">
        <v>251.73599999999999</v>
      </c>
    </row>
    <row r="392" spans="22:57">
      <c r="V392" s="346">
        <v>4530</v>
      </c>
      <c r="W392" s="333">
        <v>507.80599999999998</v>
      </c>
      <c r="X392" s="346">
        <v>4540</v>
      </c>
      <c r="Y392" s="334">
        <v>504.08699999999999</v>
      </c>
      <c r="Z392" s="335">
        <v>4530</v>
      </c>
      <c r="AA392" s="334">
        <v>1094.7370000000001</v>
      </c>
      <c r="AB392" s="336">
        <v>4530</v>
      </c>
      <c r="AC392" s="334">
        <v>1093.9929999999999</v>
      </c>
      <c r="AD392" s="336">
        <v>4530</v>
      </c>
      <c r="AE392" s="334">
        <v>945.04600000000005</v>
      </c>
      <c r="AF392" s="336">
        <v>4530</v>
      </c>
      <c r="AG392" s="334">
        <v>944.74199999999996</v>
      </c>
      <c r="AH392" s="336">
        <v>4530</v>
      </c>
      <c r="AI392" s="334">
        <v>944.84799999999996</v>
      </c>
      <c r="AJ392" s="336">
        <v>4510</v>
      </c>
      <c r="AK392" s="334">
        <v>946.01900000000001</v>
      </c>
      <c r="AL392" s="336">
        <v>4530</v>
      </c>
      <c r="AM392" s="334">
        <v>945.59900000000005</v>
      </c>
      <c r="AN392" s="336">
        <v>4530</v>
      </c>
      <c r="AO392" s="334">
        <v>946.14700000000005</v>
      </c>
      <c r="AP392" s="336">
        <v>4520</v>
      </c>
      <c r="AQ392" s="334">
        <v>944.96299999999997</v>
      </c>
      <c r="AR392" s="336">
        <v>4530</v>
      </c>
      <c r="AS392" s="334">
        <v>944.72199999999998</v>
      </c>
      <c r="AT392" s="336">
        <v>4530</v>
      </c>
      <c r="AU392" s="334">
        <v>943.23500000000001</v>
      </c>
      <c r="AV392" s="336">
        <v>4530</v>
      </c>
      <c r="AW392" s="334">
        <v>943.08500000000004</v>
      </c>
      <c r="AX392" s="336">
        <v>4520</v>
      </c>
      <c r="AY392" s="334">
        <v>867.09</v>
      </c>
      <c r="AZ392" s="336">
        <v>4530</v>
      </c>
      <c r="BA392" s="337">
        <v>868.428</v>
      </c>
      <c r="BB392" s="336">
        <v>4510</v>
      </c>
      <c r="BC392" s="334">
        <v>240.22499999999999</v>
      </c>
      <c r="BD392" s="336">
        <v>4510</v>
      </c>
      <c r="BE392" s="334">
        <v>251.32599999999999</v>
      </c>
    </row>
    <row r="393" spans="22:57">
      <c r="V393" s="346">
        <v>4540</v>
      </c>
      <c r="W393" s="333">
        <v>507.01100000000002</v>
      </c>
      <c r="X393" s="346">
        <v>4550</v>
      </c>
      <c r="Y393" s="334">
        <v>503.298</v>
      </c>
      <c r="Z393" s="335">
        <v>4540</v>
      </c>
      <c r="AA393" s="334">
        <v>1093.2339999999999</v>
      </c>
      <c r="AB393" s="336">
        <v>4540</v>
      </c>
      <c r="AC393" s="334">
        <v>1092.4939999999999</v>
      </c>
      <c r="AD393" s="336">
        <v>4540</v>
      </c>
      <c r="AE393" s="334">
        <v>943.83299999999997</v>
      </c>
      <c r="AF393" s="336">
        <v>4540</v>
      </c>
      <c r="AG393" s="334">
        <v>943.52800000000002</v>
      </c>
      <c r="AH393" s="336">
        <v>4540</v>
      </c>
      <c r="AI393" s="334">
        <v>943.63499999999999</v>
      </c>
      <c r="AJ393" s="336">
        <v>4520</v>
      </c>
      <c r="AK393" s="334">
        <v>944.80600000000004</v>
      </c>
      <c r="AL393" s="336">
        <v>4540</v>
      </c>
      <c r="AM393" s="334">
        <v>944.38599999999997</v>
      </c>
      <c r="AN393" s="336">
        <v>4540</v>
      </c>
      <c r="AO393" s="334">
        <v>944.93499999999995</v>
      </c>
      <c r="AP393" s="336">
        <v>4530</v>
      </c>
      <c r="AQ393" s="334">
        <v>943.75300000000004</v>
      </c>
      <c r="AR393" s="336">
        <v>4540</v>
      </c>
      <c r="AS393" s="334">
        <v>943.51099999999997</v>
      </c>
      <c r="AT393" s="336">
        <v>4540</v>
      </c>
      <c r="AU393" s="334">
        <v>942.02300000000002</v>
      </c>
      <c r="AV393" s="336">
        <v>4540</v>
      </c>
      <c r="AW393" s="334">
        <v>941.87599999999998</v>
      </c>
      <c r="AX393" s="336">
        <v>4530</v>
      </c>
      <c r="AY393" s="334">
        <v>865.87900000000002</v>
      </c>
      <c r="AZ393" s="336">
        <v>4540</v>
      </c>
      <c r="BA393" s="337">
        <v>867.21799999999996</v>
      </c>
      <c r="BB393" s="336">
        <v>4520</v>
      </c>
      <c r="BC393" s="334">
        <v>239.82900000000001</v>
      </c>
      <c r="BD393" s="336">
        <v>4520</v>
      </c>
      <c r="BE393" s="334">
        <v>250.917</v>
      </c>
    </row>
    <row r="394" spans="22:57">
      <c r="V394" s="346">
        <v>4550</v>
      </c>
      <c r="W394" s="333">
        <v>506.21699999999998</v>
      </c>
      <c r="X394" s="346">
        <v>4560</v>
      </c>
      <c r="Y394" s="334">
        <v>502.50900000000001</v>
      </c>
      <c r="Z394" s="335">
        <v>4550</v>
      </c>
      <c r="AA394" s="334">
        <v>1091.731</v>
      </c>
      <c r="AB394" s="336">
        <v>4550</v>
      </c>
      <c r="AC394" s="334">
        <v>1090.9960000000001</v>
      </c>
      <c r="AD394" s="336">
        <v>4550</v>
      </c>
      <c r="AE394" s="334">
        <v>942.62</v>
      </c>
      <c r="AF394" s="336">
        <v>4550</v>
      </c>
      <c r="AG394" s="334">
        <v>942.31500000000005</v>
      </c>
      <c r="AH394" s="336">
        <v>4550</v>
      </c>
      <c r="AI394" s="334">
        <v>942.42200000000003</v>
      </c>
      <c r="AJ394" s="336">
        <v>4530</v>
      </c>
      <c r="AK394" s="334">
        <v>943.59299999999996</v>
      </c>
      <c r="AL394" s="336">
        <v>4550</v>
      </c>
      <c r="AM394" s="334">
        <v>943.17200000000003</v>
      </c>
      <c r="AN394" s="336">
        <v>4550</v>
      </c>
      <c r="AO394" s="334">
        <v>943.72199999999998</v>
      </c>
      <c r="AP394" s="336">
        <v>4540</v>
      </c>
      <c r="AQ394" s="334">
        <v>942.54300000000001</v>
      </c>
      <c r="AR394" s="336">
        <v>4550</v>
      </c>
      <c r="AS394" s="334">
        <v>942.30100000000004</v>
      </c>
      <c r="AT394" s="336">
        <v>4550</v>
      </c>
      <c r="AU394" s="334">
        <v>940.81200000000001</v>
      </c>
      <c r="AV394" s="336">
        <v>4550</v>
      </c>
      <c r="AW394" s="334">
        <v>940.66600000000005</v>
      </c>
      <c r="AX394" s="336">
        <v>4540</v>
      </c>
      <c r="AY394" s="334">
        <v>864.66800000000001</v>
      </c>
      <c r="AZ394" s="336">
        <v>4550</v>
      </c>
      <c r="BA394" s="337">
        <v>866.00900000000001</v>
      </c>
      <c r="BB394" s="336">
        <v>4530</v>
      </c>
      <c r="BC394" s="334">
        <v>239.43299999999999</v>
      </c>
      <c r="BD394" s="336">
        <v>4530</v>
      </c>
      <c r="BE394" s="334">
        <v>250.50700000000001</v>
      </c>
    </row>
    <row r="395" spans="22:57">
      <c r="V395" s="346">
        <v>4560</v>
      </c>
      <c r="W395" s="333">
        <v>505.42200000000003</v>
      </c>
      <c r="X395" s="346">
        <v>4570</v>
      </c>
      <c r="Y395" s="334">
        <v>501.72</v>
      </c>
      <c r="Z395" s="335">
        <v>4560</v>
      </c>
      <c r="AA395" s="334">
        <v>1090.2280000000001</v>
      </c>
      <c r="AB395" s="336">
        <v>4560</v>
      </c>
      <c r="AC395" s="334">
        <v>1089.4970000000001</v>
      </c>
      <c r="AD395" s="336">
        <v>4560</v>
      </c>
      <c r="AE395" s="334">
        <v>941.40599999999995</v>
      </c>
      <c r="AF395" s="336">
        <v>4560</v>
      </c>
      <c r="AG395" s="334">
        <v>941.101</v>
      </c>
      <c r="AH395" s="336">
        <v>4560</v>
      </c>
      <c r="AI395" s="334">
        <v>941.20899999999995</v>
      </c>
      <c r="AJ395" s="336">
        <v>4540</v>
      </c>
      <c r="AK395" s="334">
        <v>942.38</v>
      </c>
      <c r="AL395" s="336">
        <v>4560</v>
      </c>
      <c r="AM395" s="334">
        <v>941.96</v>
      </c>
      <c r="AN395" s="336">
        <v>4560</v>
      </c>
      <c r="AO395" s="334">
        <v>942.51</v>
      </c>
      <c r="AP395" s="336">
        <v>4550</v>
      </c>
      <c r="AQ395" s="334">
        <v>941.33299999999997</v>
      </c>
      <c r="AR395" s="336">
        <v>4560</v>
      </c>
      <c r="AS395" s="334">
        <v>941.09</v>
      </c>
      <c r="AT395" s="336">
        <v>4560</v>
      </c>
      <c r="AU395" s="334">
        <v>939.6</v>
      </c>
      <c r="AV395" s="336">
        <v>4560</v>
      </c>
      <c r="AW395" s="334">
        <v>939.45600000000002</v>
      </c>
      <c r="AX395" s="336">
        <v>4550</v>
      </c>
      <c r="AY395" s="334">
        <v>863.45699999999999</v>
      </c>
      <c r="AZ395" s="336">
        <v>4560</v>
      </c>
      <c r="BA395" s="337">
        <v>864.79899999999998</v>
      </c>
      <c r="BB395" s="336">
        <v>4540</v>
      </c>
      <c r="BC395" s="334">
        <v>239.03700000000001</v>
      </c>
      <c r="BD395" s="336">
        <v>4540</v>
      </c>
      <c r="BE395" s="334">
        <v>250.09700000000001</v>
      </c>
    </row>
    <row r="396" spans="22:57">
      <c r="V396" s="346">
        <v>4570</v>
      </c>
      <c r="W396" s="333">
        <v>504.62799999999999</v>
      </c>
      <c r="X396" s="346">
        <v>4580</v>
      </c>
      <c r="Y396" s="334">
        <v>500.93200000000002</v>
      </c>
      <c r="Z396" s="335">
        <v>4570</v>
      </c>
      <c r="AA396" s="334">
        <v>1088.7249999999999</v>
      </c>
      <c r="AB396" s="336">
        <v>4570</v>
      </c>
      <c r="AC396" s="334">
        <v>1087.999</v>
      </c>
      <c r="AD396" s="336">
        <v>4570</v>
      </c>
      <c r="AE396" s="334">
        <v>940.19299999999998</v>
      </c>
      <c r="AF396" s="336">
        <v>4570</v>
      </c>
      <c r="AG396" s="334">
        <v>939.88699999999994</v>
      </c>
      <c r="AH396" s="336">
        <v>4570</v>
      </c>
      <c r="AI396" s="334">
        <v>939.99599999999998</v>
      </c>
      <c r="AJ396" s="336">
        <v>4550</v>
      </c>
      <c r="AK396" s="334">
        <v>941.16700000000003</v>
      </c>
      <c r="AL396" s="336">
        <v>4570</v>
      </c>
      <c r="AM396" s="334">
        <v>940.74599999999998</v>
      </c>
      <c r="AN396" s="336">
        <v>4570</v>
      </c>
      <c r="AO396" s="334">
        <v>941.298</v>
      </c>
      <c r="AP396" s="336">
        <v>4560</v>
      </c>
      <c r="AQ396" s="334">
        <v>940.12400000000002</v>
      </c>
      <c r="AR396" s="336">
        <v>4570</v>
      </c>
      <c r="AS396" s="334">
        <v>939.87900000000002</v>
      </c>
      <c r="AT396" s="336">
        <v>4570</v>
      </c>
      <c r="AU396" s="334">
        <v>938.38900000000001</v>
      </c>
      <c r="AV396" s="336">
        <v>4570</v>
      </c>
      <c r="AW396" s="334">
        <v>938.24599999999998</v>
      </c>
      <c r="AX396" s="336">
        <v>4560</v>
      </c>
      <c r="AY396" s="334">
        <v>862.24599999999998</v>
      </c>
      <c r="AZ396" s="336">
        <v>4570</v>
      </c>
      <c r="BA396" s="337">
        <v>863.59</v>
      </c>
      <c r="BB396" s="336">
        <v>4550</v>
      </c>
      <c r="BC396" s="334">
        <v>238.64099999999999</v>
      </c>
      <c r="BD396" s="336">
        <v>4550</v>
      </c>
      <c r="BE396" s="334">
        <v>249.68700000000001</v>
      </c>
    </row>
    <row r="397" spans="22:57">
      <c r="V397" s="346">
        <v>4580</v>
      </c>
      <c r="W397" s="333">
        <v>503.834</v>
      </c>
      <c r="X397" s="346">
        <v>4590</v>
      </c>
      <c r="Y397" s="334">
        <v>500.14299999999997</v>
      </c>
      <c r="Z397" s="335">
        <v>4580</v>
      </c>
      <c r="AA397" s="334">
        <v>1087.223</v>
      </c>
      <c r="AB397" s="336">
        <v>4580</v>
      </c>
      <c r="AC397" s="334">
        <v>1086.501</v>
      </c>
      <c r="AD397" s="336">
        <v>4580</v>
      </c>
      <c r="AE397" s="334">
        <v>938.98</v>
      </c>
      <c r="AF397" s="336">
        <v>4580</v>
      </c>
      <c r="AG397" s="334">
        <v>938.67399999999998</v>
      </c>
      <c r="AH397" s="336">
        <v>4580</v>
      </c>
      <c r="AI397" s="334">
        <v>938.78300000000002</v>
      </c>
      <c r="AJ397" s="336">
        <v>4560</v>
      </c>
      <c r="AK397" s="334">
        <v>939.95299999999997</v>
      </c>
      <c r="AL397" s="336">
        <v>4580</v>
      </c>
      <c r="AM397" s="334">
        <v>939.53300000000002</v>
      </c>
      <c r="AN397" s="336">
        <v>4580</v>
      </c>
      <c r="AO397" s="334">
        <v>940.08500000000004</v>
      </c>
      <c r="AP397" s="336">
        <v>4570</v>
      </c>
      <c r="AQ397" s="334">
        <v>938.91399999999999</v>
      </c>
      <c r="AR397" s="336">
        <v>4580</v>
      </c>
      <c r="AS397" s="334">
        <v>938.66899999999998</v>
      </c>
      <c r="AT397" s="336">
        <v>4580</v>
      </c>
      <c r="AU397" s="334">
        <v>937.17700000000002</v>
      </c>
      <c r="AV397" s="336">
        <v>4580</v>
      </c>
      <c r="AW397" s="334">
        <v>937.03599999999994</v>
      </c>
      <c r="AX397" s="336">
        <v>4570</v>
      </c>
      <c r="AY397" s="334">
        <v>861.03599999999994</v>
      </c>
      <c r="AZ397" s="336">
        <v>4580</v>
      </c>
      <c r="BA397" s="337">
        <v>862.38</v>
      </c>
      <c r="BB397" s="336">
        <v>4560</v>
      </c>
      <c r="BC397" s="334">
        <v>238.245</v>
      </c>
      <c r="BD397" s="336">
        <v>4560</v>
      </c>
      <c r="BE397" s="334">
        <v>249.27699999999999</v>
      </c>
    </row>
    <row r="398" spans="22:57">
      <c r="V398" s="346">
        <v>4590</v>
      </c>
      <c r="W398" s="333">
        <v>503.04</v>
      </c>
      <c r="X398" s="346">
        <v>4600</v>
      </c>
      <c r="Y398" s="334">
        <v>499.35500000000002</v>
      </c>
      <c r="Z398" s="335">
        <v>4590</v>
      </c>
      <c r="AA398" s="334">
        <v>1085.72</v>
      </c>
      <c r="AB398" s="336">
        <v>4590</v>
      </c>
      <c r="AC398" s="334">
        <v>1085.0029999999999</v>
      </c>
      <c r="AD398" s="336">
        <v>4590</v>
      </c>
      <c r="AE398" s="334">
        <v>937.76700000000005</v>
      </c>
      <c r="AF398" s="336">
        <v>4590</v>
      </c>
      <c r="AG398" s="334">
        <v>937.46</v>
      </c>
      <c r="AH398" s="336">
        <v>4590</v>
      </c>
      <c r="AI398" s="334">
        <v>937.57</v>
      </c>
      <c r="AJ398" s="336">
        <v>4570</v>
      </c>
      <c r="AK398" s="334">
        <v>938.74</v>
      </c>
      <c r="AL398" s="336">
        <v>4590</v>
      </c>
      <c r="AM398" s="334">
        <v>938.32</v>
      </c>
      <c r="AN398" s="336">
        <v>4590</v>
      </c>
      <c r="AO398" s="334">
        <v>938.87300000000005</v>
      </c>
      <c r="AP398" s="336">
        <v>4580</v>
      </c>
      <c r="AQ398" s="334">
        <v>937.70399999999995</v>
      </c>
      <c r="AR398" s="336">
        <v>4590</v>
      </c>
      <c r="AS398" s="334">
        <v>937.45799999999997</v>
      </c>
      <c r="AT398" s="336">
        <v>4590</v>
      </c>
      <c r="AU398" s="334">
        <v>935.96600000000001</v>
      </c>
      <c r="AV398" s="336">
        <v>4590</v>
      </c>
      <c r="AW398" s="334">
        <v>935.82600000000002</v>
      </c>
      <c r="AX398" s="336">
        <v>4580</v>
      </c>
      <c r="AY398" s="334">
        <v>859.82500000000005</v>
      </c>
      <c r="AZ398" s="336">
        <v>4590</v>
      </c>
      <c r="BA398" s="337">
        <v>861.17</v>
      </c>
      <c r="BB398" s="336">
        <v>4570</v>
      </c>
      <c r="BC398" s="334">
        <v>237.84899999999999</v>
      </c>
      <c r="BD398" s="336">
        <v>4570</v>
      </c>
      <c r="BE398" s="334">
        <v>248.86699999999999</v>
      </c>
    </row>
    <row r="399" spans="22:57">
      <c r="V399" s="346">
        <v>4600</v>
      </c>
      <c r="W399" s="333">
        <v>502.24599999999998</v>
      </c>
      <c r="X399" s="346">
        <v>4610</v>
      </c>
      <c r="Y399" s="334">
        <v>498.56700000000001</v>
      </c>
      <c r="Z399" s="335">
        <v>4600</v>
      </c>
      <c r="AA399" s="334">
        <v>1084.2180000000001</v>
      </c>
      <c r="AB399" s="336">
        <v>4600</v>
      </c>
      <c r="AC399" s="334">
        <v>1083.5050000000001</v>
      </c>
      <c r="AD399" s="336">
        <v>4600</v>
      </c>
      <c r="AE399" s="334">
        <v>936.55399999999997</v>
      </c>
      <c r="AF399" s="336">
        <v>4600</v>
      </c>
      <c r="AG399" s="334">
        <v>936.24599999999998</v>
      </c>
      <c r="AH399" s="336">
        <v>4600</v>
      </c>
      <c r="AI399" s="334">
        <v>936.35699999999997</v>
      </c>
      <c r="AJ399" s="336">
        <v>4580</v>
      </c>
      <c r="AK399" s="334">
        <v>937.52700000000004</v>
      </c>
      <c r="AL399" s="336">
        <v>4600</v>
      </c>
      <c r="AM399" s="334">
        <v>937.10699999999997</v>
      </c>
      <c r="AN399" s="336">
        <v>4600</v>
      </c>
      <c r="AO399" s="334">
        <v>937.66099999999994</v>
      </c>
      <c r="AP399" s="336">
        <v>4590</v>
      </c>
      <c r="AQ399" s="334">
        <v>936.495</v>
      </c>
      <c r="AR399" s="336">
        <v>4600</v>
      </c>
      <c r="AS399" s="334">
        <v>936.24699999999996</v>
      </c>
      <c r="AT399" s="336">
        <v>4600</v>
      </c>
      <c r="AU399" s="334">
        <v>934.75400000000002</v>
      </c>
      <c r="AV399" s="336">
        <v>4600</v>
      </c>
      <c r="AW399" s="334">
        <v>934.61599999999999</v>
      </c>
      <c r="AX399" s="336">
        <v>4590</v>
      </c>
      <c r="AY399" s="334">
        <v>858.61400000000003</v>
      </c>
      <c r="AZ399" s="336">
        <v>4600</v>
      </c>
      <c r="BA399" s="337">
        <v>859.96100000000001</v>
      </c>
      <c r="BB399" s="336">
        <v>4580</v>
      </c>
      <c r="BC399" s="334">
        <v>237.453</v>
      </c>
      <c r="BD399" s="336">
        <v>4580</v>
      </c>
      <c r="BE399" s="334">
        <v>248.45699999999999</v>
      </c>
    </row>
    <row r="400" spans="22:57">
      <c r="V400" s="346">
        <v>4610</v>
      </c>
      <c r="W400" s="333">
        <v>501.452</v>
      </c>
      <c r="X400" s="346">
        <v>4620</v>
      </c>
      <c r="Y400" s="334">
        <v>497.779</v>
      </c>
      <c r="Z400" s="335">
        <v>4610</v>
      </c>
      <c r="AA400" s="334">
        <v>1082.7159999999999</v>
      </c>
      <c r="AB400" s="336">
        <v>4610</v>
      </c>
      <c r="AC400" s="334">
        <v>1082.0070000000001</v>
      </c>
      <c r="AD400" s="336">
        <v>4610</v>
      </c>
      <c r="AE400" s="334">
        <v>935.34100000000001</v>
      </c>
      <c r="AF400" s="336">
        <v>4610</v>
      </c>
      <c r="AG400" s="334">
        <v>935.03300000000002</v>
      </c>
      <c r="AH400" s="336">
        <v>4610</v>
      </c>
      <c r="AI400" s="334">
        <v>935.14499999999998</v>
      </c>
      <c r="AJ400" s="336">
        <v>4590</v>
      </c>
      <c r="AK400" s="334">
        <v>936.31399999999996</v>
      </c>
      <c r="AL400" s="336">
        <v>4610</v>
      </c>
      <c r="AM400" s="334">
        <v>935.89400000000001</v>
      </c>
      <c r="AN400" s="336">
        <v>4610</v>
      </c>
      <c r="AO400" s="334">
        <v>936.44799999999998</v>
      </c>
      <c r="AP400" s="336">
        <v>4600</v>
      </c>
      <c r="AQ400" s="334">
        <v>935.28499999999997</v>
      </c>
      <c r="AR400" s="336">
        <v>4610</v>
      </c>
      <c r="AS400" s="334">
        <v>935.03599999999994</v>
      </c>
      <c r="AT400" s="336">
        <v>4610</v>
      </c>
      <c r="AU400" s="334">
        <v>933.54300000000001</v>
      </c>
      <c r="AV400" s="336">
        <v>4610</v>
      </c>
      <c r="AW400" s="334">
        <v>933.40599999999995</v>
      </c>
      <c r="AX400" s="336">
        <v>4600</v>
      </c>
      <c r="AY400" s="334">
        <v>857.40300000000002</v>
      </c>
      <c r="AZ400" s="336">
        <v>4610</v>
      </c>
      <c r="BA400" s="337">
        <v>858.75099999999998</v>
      </c>
      <c r="BB400" s="336">
        <v>4590</v>
      </c>
      <c r="BC400" s="334">
        <v>237.05799999999999</v>
      </c>
      <c r="BD400" s="336">
        <v>4590</v>
      </c>
      <c r="BE400" s="334">
        <v>248.048</v>
      </c>
    </row>
    <row r="401" spans="22:57">
      <c r="V401" s="346">
        <v>4620</v>
      </c>
      <c r="W401" s="333">
        <v>500.65899999999999</v>
      </c>
      <c r="X401" s="346">
        <v>4630</v>
      </c>
      <c r="Y401" s="334">
        <v>496.99200000000002</v>
      </c>
      <c r="Z401" s="335">
        <v>4620</v>
      </c>
      <c r="AA401" s="334">
        <v>1081.213</v>
      </c>
      <c r="AB401" s="336">
        <v>4620</v>
      </c>
      <c r="AC401" s="334">
        <v>1080.509</v>
      </c>
      <c r="AD401" s="336">
        <v>4620</v>
      </c>
      <c r="AE401" s="334">
        <v>934.12699999999995</v>
      </c>
      <c r="AF401" s="336">
        <v>4620</v>
      </c>
      <c r="AG401" s="334">
        <v>933.81899999999996</v>
      </c>
      <c r="AH401" s="336">
        <v>4620</v>
      </c>
      <c r="AI401" s="334">
        <v>933.93200000000002</v>
      </c>
      <c r="AJ401" s="336">
        <v>4600</v>
      </c>
      <c r="AK401" s="334">
        <v>935.101</v>
      </c>
      <c r="AL401" s="336">
        <v>4620</v>
      </c>
      <c r="AM401" s="334">
        <v>934.68100000000004</v>
      </c>
      <c r="AN401" s="336">
        <v>4620</v>
      </c>
      <c r="AO401" s="334">
        <v>935.23599999999999</v>
      </c>
      <c r="AP401" s="336">
        <v>4610</v>
      </c>
      <c r="AQ401" s="334">
        <v>934.07500000000005</v>
      </c>
      <c r="AR401" s="336">
        <v>4620</v>
      </c>
      <c r="AS401" s="334">
        <v>933.82600000000002</v>
      </c>
      <c r="AT401" s="336">
        <v>4620</v>
      </c>
      <c r="AU401" s="334">
        <v>932.33100000000002</v>
      </c>
      <c r="AV401" s="336">
        <v>4620</v>
      </c>
      <c r="AW401" s="334">
        <v>932.19600000000003</v>
      </c>
      <c r="AX401" s="336">
        <v>4610</v>
      </c>
      <c r="AY401" s="334">
        <v>856.19200000000001</v>
      </c>
      <c r="AZ401" s="336">
        <v>4620</v>
      </c>
      <c r="BA401" s="337">
        <v>857.54200000000003</v>
      </c>
      <c r="BB401" s="336">
        <v>4600</v>
      </c>
      <c r="BC401" s="334">
        <v>236.66200000000001</v>
      </c>
      <c r="BD401" s="336">
        <v>4600</v>
      </c>
      <c r="BE401" s="334">
        <v>247.63800000000001</v>
      </c>
    </row>
    <row r="402" spans="22:57">
      <c r="V402" s="346">
        <v>4630</v>
      </c>
      <c r="W402" s="333">
        <v>499.86599999999999</v>
      </c>
      <c r="X402" s="346">
        <v>4640</v>
      </c>
      <c r="Y402" s="334">
        <v>496.20400000000001</v>
      </c>
      <c r="Z402" s="335">
        <v>4630</v>
      </c>
      <c r="AA402" s="334">
        <v>1079.711</v>
      </c>
      <c r="AB402" s="336">
        <v>4630</v>
      </c>
      <c r="AC402" s="334">
        <v>1079.011</v>
      </c>
      <c r="AD402" s="336">
        <v>4630</v>
      </c>
      <c r="AE402" s="334">
        <v>932.91399999999999</v>
      </c>
      <c r="AF402" s="336">
        <v>4630</v>
      </c>
      <c r="AG402" s="334">
        <v>932.60500000000002</v>
      </c>
      <c r="AH402" s="336">
        <v>4630</v>
      </c>
      <c r="AI402" s="334">
        <v>932.71900000000005</v>
      </c>
      <c r="AJ402" s="336">
        <v>4610</v>
      </c>
      <c r="AK402" s="334">
        <v>933.88800000000003</v>
      </c>
      <c r="AL402" s="336">
        <v>4630</v>
      </c>
      <c r="AM402" s="334">
        <v>933.46799999999996</v>
      </c>
      <c r="AN402" s="336">
        <v>4630</v>
      </c>
      <c r="AO402" s="334">
        <v>934.024</v>
      </c>
      <c r="AP402" s="336">
        <v>4620</v>
      </c>
      <c r="AQ402" s="334">
        <v>932.86500000000001</v>
      </c>
      <c r="AR402" s="336">
        <v>4630</v>
      </c>
      <c r="AS402" s="334">
        <v>932.61500000000001</v>
      </c>
      <c r="AT402" s="336">
        <v>4630</v>
      </c>
      <c r="AU402" s="334">
        <v>931.12</v>
      </c>
      <c r="AV402" s="336">
        <v>4630</v>
      </c>
      <c r="AW402" s="334">
        <v>930.98599999999999</v>
      </c>
      <c r="AX402" s="336">
        <v>4620</v>
      </c>
      <c r="AY402" s="334">
        <v>854.98199999999997</v>
      </c>
      <c r="AZ402" s="336">
        <v>4630</v>
      </c>
      <c r="BA402" s="337">
        <v>856.33199999999999</v>
      </c>
      <c r="BB402" s="336">
        <v>4610</v>
      </c>
      <c r="BC402" s="334">
        <v>236.26599999999999</v>
      </c>
      <c r="BD402" s="336">
        <v>4610</v>
      </c>
      <c r="BE402" s="334">
        <v>247.22800000000001</v>
      </c>
    </row>
    <row r="403" spans="22:57">
      <c r="V403" s="346">
        <v>4640</v>
      </c>
      <c r="W403" s="333">
        <v>499.07299999999998</v>
      </c>
      <c r="X403" s="346">
        <v>4650</v>
      </c>
      <c r="Y403" s="334">
        <v>495.41699999999997</v>
      </c>
      <c r="Z403" s="335">
        <v>4640</v>
      </c>
      <c r="AA403" s="334">
        <v>1078.21</v>
      </c>
      <c r="AB403" s="336">
        <v>4640</v>
      </c>
      <c r="AC403" s="334">
        <v>1077.5139999999999</v>
      </c>
      <c r="AD403" s="336">
        <v>4640</v>
      </c>
      <c r="AE403" s="334">
        <v>931.70100000000002</v>
      </c>
      <c r="AF403" s="336">
        <v>4640</v>
      </c>
      <c r="AG403" s="334">
        <v>931.39099999999996</v>
      </c>
      <c r="AH403" s="336">
        <v>4640</v>
      </c>
      <c r="AI403" s="334">
        <v>931.50599999999997</v>
      </c>
      <c r="AJ403" s="336">
        <v>4620</v>
      </c>
      <c r="AK403" s="334">
        <v>932.67399999999998</v>
      </c>
      <c r="AL403" s="336">
        <v>4640</v>
      </c>
      <c r="AM403" s="334">
        <v>932.255</v>
      </c>
      <c r="AN403" s="336">
        <v>4640</v>
      </c>
      <c r="AO403" s="334">
        <v>932.81200000000001</v>
      </c>
      <c r="AP403" s="336">
        <v>4630</v>
      </c>
      <c r="AQ403" s="334">
        <v>931.65599999999995</v>
      </c>
      <c r="AR403" s="336">
        <v>4640</v>
      </c>
      <c r="AS403" s="334">
        <v>931.404</v>
      </c>
      <c r="AT403" s="336">
        <v>4640</v>
      </c>
      <c r="AU403" s="334">
        <v>929.90800000000002</v>
      </c>
      <c r="AV403" s="336">
        <v>4640</v>
      </c>
      <c r="AW403" s="334">
        <v>929.77599999999995</v>
      </c>
      <c r="AX403" s="336">
        <v>4630</v>
      </c>
      <c r="AY403" s="334">
        <v>853.77099999999996</v>
      </c>
      <c r="AZ403" s="336">
        <v>4640</v>
      </c>
      <c r="BA403" s="337">
        <v>855.12199999999996</v>
      </c>
      <c r="BB403" s="336">
        <v>4620</v>
      </c>
      <c r="BC403" s="334">
        <v>235.87</v>
      </c>
      <c r="BD403" s="336">
        <v>4620</v>
      </c>
      <c r="BE403" s="334">
        <v>246.81899999999999</v>
      </c>
    </row>
    <row r="404" spans="22:57">
      <c r="V404" s="346">
        <v>4650</v>
      </c>
      <c r="W404" s="333">
        <v>498.28</v>
      </c>
      <c r="X404" s="346">
        <v>4660</v>
      </c>
      <c r="Y404" s="334">
        <v>494.63</v>
      </c>
      <c r="Z404" s="335">
        <v>4650</v>
      </c>
      <c r="AA404" s="334">
        <v>1076.7080000000001</v>
      </c>
      <c r="AB404" s="336">
        <v>4650</v>
      </c>
      <c r="AC404" s="334">
        <v>1076.0160000000001</v>
      </c>
      <c r="AD404" s="336">
        <v>4650</v>
      </c>
      <c r="AE404" s="334">
        <v>930.48800000000006</v>
      </c>
      <c r="AF404" s="336">
        <v>4650</v>
      </c>
      <c r="AG404" s="334">
        <v>930.178</v>
      </c>
      <c r="AH404" s="336">
        <v>4650</v>
      </c>
      <c r="AI404" s="334">
        <v>930.29300000000001</v>
      </c>
      <c r="AJ404" s="336">
        <v>4630</v>
      </c>
      <c r="AK404" s="334">
        <v>931.46100000000001</v>
      </c>
      <c r="AL404" s="336">
        <v>4650</v>
      </c>
      <c r="AM404" s="334">
        <v>931.04200000000003</v>
      </c>
      <c r="AN404" s="336">
        <v>4650</v>
      </c>
      <c r="AO404" s="334">
        <v>931.59900000000005</v>
      </c>
      <c r="AP404" s="336">
        <v>4640</v>
      </c>
      <c r="AQ404" s="334">
        <v>930.44600000000003</v>
      </c>
      <c r="AR404" s="336">
        <v>4650</v>
      </c>
      <c r="AS404" s="334">
        <v>930.19299999999998</v>
      </c>
      <c r="AT404" s="336">
        <v>4650</v>
      </c>
      <c r="AU404" s="334">
        <v>928.697</v>
      </c>
      <c r="AV404" s="336">
        <v>4650</v>
      </c>
      <c r="AW404" s="334">
        <v>928.56600000000003</v>
      </c>
      <c r="AX404" s="336">
        <v>4640</v>
      </c>
      <c r="AY404" s="334">
        <v>852.56</v>
      </c>
      <c r="AZ404" s="336">
        <v>4650</v>
      </c>
      <c r="BA404" s="337">
        <v>853.91300000000001</v>
      </c>
      <c r="BB404" s="336">
        <v>4630</v>
      </c>
      <c r="BC404" s="334">
        <v>235.47399999999999</v>
      </c>
      <c r="BD404" s="336">
        <v>4630</v>
      </c>
      <c r="BE404" s="334">
        <v>246.40899999999999</v>
      </c>
    </row>
    <row r="405" spans="22:57">
      <c r="V405" s="346">
        <v>4660</v>
      </c>
      <c r="W405" s="333">
        <v>497.48700000000002</v>
      </c>
      <c r="X405" s="346">
        <v>4670</v>
      </c>
      <c r="Y405" s="334">
        <v>493.84300000000002</v>
      </c>
      <c r="Z405" s="335">
        <v>4660</v>
      </c>
      <c r="AA405" s="334">
        <v>1075.2059999999999</v>
      </c>
      <c r="AB405" s="336">
        <v>4660</v>
      </c>
      <c r="AC405" s="334">
        <v>1074.519</v>
      </c>
      <c r="AD405" s="336">
        <v>4660</v>
      </c>
      <c r="AE405" s="334">
        <v>929.27499999999998</v>
      </c>
      <c r="AF405" s="336">
        <v>4660</v>
      </c>
      <c r="AG405" s="334">
        <v>928.96400000000006</v>
      </c>
      <c r="AH405" s="336">
        <v>4660</v>
      </c>
      <c r="AI405" s="334">
        <v>929.08</v>
      </c>
      <c r="AJ405" s="336">
        <v>4640</v>
      </c>
      <c r="AK405" s="334">
        <v>930.24800000000005</v>
      </c>
      <c r="AL405" s="336">
        <v>4660</v>
      </c>
      <c r="AM405" s="334">
        <v>929.82899999999995</v>
      </c>
      <c r="AN405" s="336">
        <v>4660</v>
      </c>
      <c r="AO405" s="334">
        <v>930.38699999999994</v>
      </c>
      <c r="AP405" s="336">
        <v>4650</v>
      </c>
      <c r="AQ405" s="334">
        <v>929.23599999999999</v>
      </c>
      <c r="AR405" s="336">
        <v>4660</v>
      </c>
      <c r="AS405" s="334">
        <v>928.98299999999995</v>
      </c>
      <c r="AT405" s="336">
        <v>4660</v>
      </c>
      <c r="AU405" s="334">
        <v>927.48599999999999</v>
      </c>
      <c r="AV405" s="336">
        <v>4660</v>
      </c>
      <c r="AW405" s="334">
        <v>927.35599999999999</v>
      </c>
      <c r="AX405" s="336">
        <v>4650</v>
      </c>
      <c r="AY405" s="334">
        <v>851.34900000000005</v>
      </c>
      <c r="AZ405" s="336">
        <v>4660</v>
      </c>
      <c r="BA405" s="337">
        <v>852.70299999999997</v>
      </c>
      <c r="BB405" s="336">
        <v>4640</v>
      </c>
      <c r="BC405" s="334">
        <v>235.07900000000001</v>
      </c>
      <c r="BD405" s="336">
        <v>4640</v>
      </c>
      <c r="BE405" s="334">
        <v>245.999</v>
      </c>
    </row>
    <row r="406" spans="22:57">
      <c r="V406" s="346">
        <v>4670</v>
      </c>
      <c r="W406" s="333">
        <v>496.69400000000002</v>
      </c>
      <c r="X406" s="346">
        <v>4680</v>
      </c>
      <c r="Y406" s="334">
        <v>493.05599999999998</v>
      </c>
      <c r="Z406" s="335">
        <v>4670</v>
      </c>
      <c r="AA406" s="334">
        <v>1073.7049999999999</v>
      </c>
      <c r="AB406" s="336">
        <v>4670</v>
      </c>
      <c r="AC406" s="334">
        <v>1073.0219999999999</v>
      </c>
      <c r="AD406" s="336">
        <v>4670</v>
      </c>
      <c r="AE406" s="334">
        <v>928.06200000000001</v>
      </c>
      <c r="AF406" s="336">
        <v>4670</v>
      </c>
      <c r="AG406" s="334">
        <v>927.75</v>
      </c>
      <c r="AH406" s="336">
        <v>4670</v>
      </c>
      <c r="AI406" s="334">
        <v>927.86699999999996</v>
      </c>
      <c r="AJ406" s="336">
        <v>4650</v>
      </c>
      <c r="AK406" s="334">
        <v>929.03499999999997</v>
      </c>
      <c r="AL406" s="336">
        <v>4670</v>
      </c>
      <c r="AM406" s="334">
        <v>928.61599999999999</v>
      </c>
      <c r="AN406" s="336">
        <v>4670</v>
      </c>
      <c r="AO406" s="334">
        <v>929.17499999999995</v>
      </c>
      <c r="AP406" s="336">
        <v>4660</v>
      </c>
      <c r="AQ406" s="334">
        <v>928.02599999999995</v>
      </c>
      <c r="AR406" s="336">
        <v>4670</v>
      </c>
      <c r="AS406" s="334">
        <v>927.77200000000005</v>
      </c>
      <c r="AT406" s="336">
        <v>4670</v>
      </c>
      <c r="AU406" s="334">
        <v>926.274</v>
      </c>
      <c r="AV406" s="336">
        <v>4670</v>
      </c>
      <c r="AW406" s="334">
        <v>926.14599999999996</v>
      </c>
      <c r="AX406" s="336">
        <v>4660</v>
      </c>
      <c r="AY406" s="334">
        <v>850.13800000000003</v>
      </c>
      <c r="AZ406" s="336">
        <v>4670</v>
      </c>
      <c r="BA406" s="337">
        <v>851.49400000000003</v>
      </c>
      <c r="BB406" s="336">
        <v>4650</v>
      </c>
      <c r="BC406" s="334">
        <v>234.68299999999999</v>
      </c>
      <c r="BD406" s="336">
        <v>4650</v>
      </c>
      <c r="BE406" s="334">
        <v>245.59</v>
      </c>
    </row>
    <row r="407" spans="22:57">
      <c r="V407" s="346">
        <v>4680</v>
      </c>
      <c r="W407" s="333">
        <v>495.90199999999999</v>
      </c>
      <c r="X407" s="346">
        <v>4690</v>
      </c>
      <c r="Y407" s="334">
        <v>492.27</v>
      </c>
      <c r="Z407" s="335">
        <v>4680</v>
      </c>
      <c r="AA407" s="334">
        <v>1072.203</v>
      </c>
      <c r="AB407" s="336">
        <v>4680</v>
      </c>
      <c r="AC407" s="334">
        <v>1071.5250000000001</v>
      </c>
      <c r="AD407" s="336">
        <v>4680</v>
      </c>
      <c r="AE407" s="334">
        <v>926.84799999999996</v>
      </c>
      <c r="AF407" s="336">
        <v>4680</v>
      </c>
      <c r="AG407" s="334">
        <v>926.53700000000003</v>
      </c>
      <c r="AH407" s="336">
        <v>4680</v>
      </c>
      <c r="AI407" s="334">
        <v>926.654</v>
      </c>
      <c r="AJ407" s="336">
        <v>4660</v>
      </c>
      <c r="AK407" s="334">
        <v>927.822</v>
      </c>
      <c r="AL407" s="336">
        <v>4680</v>
      </c>
      <c r="AM407" s="334">
        <v>927.40300000000002</v>
      </c>
      <c r="AN407" s="336">
        <v>4680</v>
      </c>
      <c r="AO407" s="334">
        <v>927.96199999999999</v>
      </c>
      <c r="AP407" s="336">
        <v>4670</v>
      </c>
      <c r="AQ407" s="334">
        <v>926.81700000000001</v>
      </c>
      <c r="AR407" s="336">
        <v>4680</v>
      </c>
      <c r="AS407" s="334">
        <v>926.56100000000004</v>
      </c>
      <c r="AT407" s="336">
        <v>4680</v>
      </c>
      <c r="AU407" s="334">
        <v>925.06299999999999</v>
      </c>
      <c r="AV407" s="336">
        <v>4680</v>
      </c>
      <c r="AW407" s="334">
        <v>924.93600000000004</v>
      </c>
      <c r="AX407" s="336">
        <v>4670</v>
      </c>
      <c r="AY407" s="334">
        <v>848.928</v>
      </c>
      <c r="AZ407" s="336">
        <v>4680</v>
      </c>
      <c r="BA407" s="337">
        <v>850.28399999999999</v>
      </c>
      <c r="BB407" s="336">
        <v>4660</v>
      </c>
      <c r="BC407" s="334">
        <v>234.28700000000001</v>
      </c>
      <c r="BD407" s="336">
        <v>4660</v>
      </c>
      <c r="BE407" s="334">
        <v>245.18</v>
      </c>
    </row>
    <row r="408" spans="22:57">
      <c r="V408" s="346">
        <v>4690</v>
      </c>
      <c r="W408" s="333">
        <v>495.11</v>
      </c>
      <c r="X408" s="346">
        <v>4700</v>
      </c>
      <c r="Y408" s="334">
        <v>491.483</v>
      </c>
      <c r="Z408" s="335">
        <v>4690</v>
      </c>
      <c r="AA408" s="334">
        <v>1070.702</v>
      </c>
      <c r="AB408" s="336">
        <v>4690</v>
      </c>
      <c r="AC408" s="334">
        <v>1070.028</v>
      </c>
      <c r="AD408" s="336">
        <v>4690</v>
      </c>
      <c r="AE408" s="334">
        <v>925.63499999999999</v>
      </c>
      <c r="AF408" s="336">
        <v>4690</v>
      </c>
      <c r="AG408" s="334">
        <v>925.32299999999998</v>
      </c>
      <c r="AH408" s="336">
        <v>4690</v>
      </c>
      <c r="AI408" s="334">
        <v>925.44200000000001</v>
      </c>
      <c r="AJ408" s="336">
        <v>4670</v>
      </c>
      <c r="AK408" s="334">
        <v>926.60900000000004</v>
      </c>
      <c r="AL408" s="336">
        <v>4690</v>
      </c>
      <c r="AM408" s="334">
        <v>926.19100000000003</v>
      </c>
      <c r="AN408" s="336">
        <v>4690</v>
      </c>
      <c r="AO408" s="334">
        <v>926.75</v>
      </c>
      <c r="AP408" s="336">
        <v>4680</v>
      </c>
      <c r="AQ408" s="334">
        <v>925.60699999999997</v>
      </c>
      <c r="AR408" s="336">
        <v>4690</v>
      </c>
      <c r="AS408" s="334">
        <v>925.351</v>
      </c>
      <c r="AT408" s="336">
        <v>4690</v>
      </c>
      <c r="AU408" s="334">
        <v>923.851</v>
      </c>
      <c r="AV408" s="336">
        <v>4690</v>
      </c>
      <c r="AW408" s="334">
        <v>923.72699999999998</v>
      </c>
      <c r="AX408" s="336">
        <v>4680</v>
      </c>
      <c r="AY408" s="334">
        <v>847.71699999999998</v>
      </c>
      <c r="AZ408" s="336">
        <v>4690</v>
      </c>
      <c r="BA408" s="337">
        <v>849.07399999999996</v>
      </c>
      <c r="BB408" s="336">
        <v>4670</v>
      </c>
      <c r="BC408" s="334">
        <v>233.892</v>
      </c>
      <c r="BD408" s="336">
        <v>4670</v>
      </c>
      <c r="BE408" s="334">
        <v>244.77</v>
      </c>
    </row>
    <row r="409" spans="22:57">
      <c r="V409" s="346">
        <v>4700</v>
      </c>
      <c r="W409" s="333">
        <v>494.31799999999998</v>
      </c>
      <c r="X409" s="346">
        <v>4710</v>
      </c>
      <c r="Y409" s="334">
        <v>490.697</v>
      </c>
      <c r="Z409" s="335">
        <v>4700</v>
      </c>
      <c r="AA409" s="334">
        <v>1069.201</v>
      </c>
      <c r="AB409" s="336">
        <v>4700</v>
      </c>
      <c r="AC409" s="334">
        <v>1068.5309999999999</v>
      </c>
      <c r="AD409" s="336">
        <v>4700</v>
      </c>
      <c r="AE409" s="334">
        <v>924.42200000000003</v>
      </c>
      <c r="AF409" s="336">
        <v>4700</v>
      </c>
      <c r="AG409" s="334">
        <v>924.10900000000004</v>
      </c>
      <c r="AH409" s="336">
        <v>4700</v>
      </c>
      <c r="AI409" s="334">
        <v>924.22900000000004</v>
      </c>
      <c r="AJ409" s="336">
        <v>4680</v>
      </c>
      <c r="AK409" s="334">
        <v>925.39599999999996</v>
      </c>
      <c r="AL409" s="336">
        <v>4700</v>
      </c>
      <c r="AM409" s="334">
        <v>924.97799999999995</v>
      </c>
      <c r="AN409" s="336">
        <v>4700</v>
      </c>
      <c r="AO409" s="334">
        <v>925.53800000000001</v>
      </c>
      <c r="AP409" s="336">
        <v>4690</v>
      </c>
      <c r="AQ409" s="334">
        <v>924.39700000000005</v>
      </c>
      <c r="AR409" s="336">
        <v>4700</v>
      </c>
      <c r="AS409" s="334">
        <v>924.14</v>
      </c>
      <c r="AT409" s="336">
        <v>4700</v>
      </c>
      <c r="AU409" s="334">
        <v>922.64</v>
      </c>
      <c r="AV409" s="336">
        <v>4700</v>
      </c>
      <c r="AW409" s="334">
        <v>922.51700000000005</v>
      </c>
      <c r="AX409" s="336">
        <v>4690</v>
      </c>
      <c r="AY409" s="334">
        <v>846.50599999999997</v>
      </c>
      <c r="AZ409" s="336">
        <v>4700</v>
      </c>
      <c r="BA409" s="337">
        <v>847.86500000000001</v>
      </c>
      <c r="BB409" s="336">
        <v>4680</v>
      </c>
      <c r="BC409" s="334">
        <v>233.49600000000001</v>
      </c>
      <c r="BD409" s="336">
        <v>4680</v>
      </c>
      <c r="BE409" s="334">
        <v>244.36099999999999</v>
      </c>
    </row>
    <row r="410" spans="22:57">
      <c r="V410" s="346">
        <v>4710</v>
      </c>
      <c r="W410" s="333">
        <v>493.52600000000001</v>
      </c>
      <c r="X410" s="346">
        <v>4720</v>
      </c>
      <c r="Y410" s="334">
        <v>489.911</v>
      </c>
      <c r="Z410" s="335">
        <v>4710</v>
      </c>
      <c r="AA410" s="334">
        <v>1067.7</v>
      </c>
      <c r="AB410" s="336">
        <v>4710</v>
      </c>
      <c r="AC410" s="334">
        <v>1067.0340000000001</v>
      </c>
      <c r="AD410" s="336">
        <v>4710</v>
      </c>
      <c r="AE410" s="334">
        <v>923.20899999999995</v>
      </c>
      <c r="AF410" s="336">
        <v>4710</v>
      </c>
      <c r="AG410" s="334">
        <v>922.89599999999996</v>
      </c>
      <c r="AH410" s="336">
        <v>4710</v>
      </c>
      <c r="AI410" s="334">
        <v>923.01599999999996</v>
      </c>
      <c r="AJ410" s="336">
        <v>4690</v>
      </c>
      <c r="AK410" s="334">
        <v>924.18200000000002</v>
      </c>
      <c r="AL410" s="336">
        <v>4710</v>
      </c>
      <c r="AM410" s="334">
        <v>923.76499999999999</v>
      </c>
      <c r="AN410" s="336">
        <v>4710</v>
      </c>
      <c r="AO410" s="334">
        <v>924.32600000000002</v>
      </c>
      <c r="AP410" s="336">
        <v>4700</v>
      </c>
      <c r="AQ410" s="334">
        <v>923.18700000000001</v>
      </c>
      <c r="AR410" s="336">
        <v>4710</v>
      </c>
      <c r="AS410" s="334">
        <v>922.92899999999997</v>
      </c>
      <c r="AT410" s="336">
        <v>4710</v>
      </c>
      <c r="AU410" s="334">
        <v>921.428</v>
      </c>
      <c r="AV410" s="336">
        <v>4710</v>
      </c>
      <c r="AW410" s="334">
        <v>921.30700000000002</v>
      </c>
      <c r="AX410" s="336">
        <v>4700</v>
      </c>
      <c r="AY410" s="334">
        <v>845.29499999999996</v>
      </c>
      <c r="AZ410" s="336">
        <v>4710</v>
      </c>
      <c r="BA410" s="337">
        <v>846.65499999999997</v>
      </c>
      <c r="BB410" s="336">
        <v>4690</v>
      </c>
      <c r="BC410" s="334">
        <v>233.101</v>
      </c>
      <c r="BD410" s="336">
        <v>4690</v>
      </c>
      <c r="BE410" s="334">
        <v>243.95099999999999</v>
      </c>
    </row>
    <row r="411" spans="22:57">
      <c r="V411" s="346">
        <v>4720</v>
      </c>
      <c r="W411" s="333">
        <v>492.73399999999998</v>
      </c>
      <c r="X411" s="346">
        <v>4730</v>
      </c>
      <c r="Y411" s="334">
        <v>489.125</v>
      </c>
      <c r="Z411" s="335">
        <v>4720</v>
      </c>
      <c r="AA411" s="334">
        <v>1066.1990000000001</v>
      </c>
      <c r="AB411" s="336">
        <v>4720</v>
      </c>
      <c r="AC411" s="334">
        <v>1065.538</v>
      </c>
      <c r="AD411" s="336">
        <v>4720</v>
      </c>
      <c r="AE411" s="334">
        <v>921.99599999999998</v>
      </c>
      <c r="AF411" s="336">
        <v>4720</v>
      </c>
      <c r="AG411" s="334">
        <v>921.68200000000002</v>
      </c>
      <c r="AH411" s="336">
        <v>4720</v>
      </c>
      <c r="AI411" s="334">
        <v>921.803</v>
      </c>
      <c r="AJ411" s="336">
        <v>4700</v>
      </c>
      <c r="AK411" s="334">
        <v>922.96900000000005</v>
      </c>
      <c r="AL411" s="336">
        <v>4720</v>
      </c>
      <c r="AM411" s="334">
        <v>922.55200000000002</v>
      </c>
      <c r="AN411" s="336">
        <v>4720</v>
      </c>
      <c r="AO411" s="334">
        <v>923.11300000000006</v>
      </c>
      <c r="AP411" s="336">
        <v>4710</v>
      </c>
      <c r="AQ411" s="334">
        <v>921.97799999999995</v>
      </c>
      <c r="AR411" s="336">
        <v>4720</v>
      </c>
      <c r="AS411" s="334">
        <v>921.71799999999996</v>
      </c>
      <c r="AT411" s="336">
        <v>4720</v>
      </c>
      <c r="AU411" s="334">
        <v>920.21699999999998</v>
      </c>
      <c r="AV411" s="336">
        <v>4720</v>
      </c>
      <c r="AW411" s="334">
        <v>920.09699999999998</v>
      </c>
      <c r="AX411" s="336">
        <v>4710</v>
      </c>
      <c r="AY411" s="334">
        <v>844.08399999999995</v>
      </c>
      <c r="AZ411" s="336">
        <v>4720</v>
      </c>
      <c r="BA411" s="337">
        <v>845.44600000000003</v>
      </c>
      <c r="BB411" s="336">
        <v>4700</v>
      </c>
      <c r="BC411" s="334">
        <v>232.70500000000001</v>
      </c>
      <c r="BD411" s="336">
        <v>4700</v>
      </c>
      <c r="BE411" s="334">
        <v>243.542</v>
      </c>
    </row>
    <row r="412" spans="22:57">
      <c r="V412" s="346">
        <v>4730</v>
      </c>
      <c r="W412" s="333">
        <v>491.94299999999998</v>
      </c>
      <c r="X412" s="346">
        <v>4740</v>
      </c>
      <c r="Y412" s="334">
        <v>488.339</v>
      </c>
      <c r="Z412" s="335">
        <v>4730</v>
      </c>
      <c r="AA412" s="334">
        <v>1064.6990000000001</v>
      </c>
      <c r="AB412" s="336">
        <v>4730</v>
      </c>
      <c r="AC412" s="334">
        <v>1064.0409999999999</v>
      </c>
      <c r="AD412" s="336">
        <v>4730</v>
      </c>
      <c r="AE412" s="334">
        <v>920.78300000000002</v>
      </c>
      <c r="AF412" s="336">
        <v>4730</v>
      </c>
      <c r="AG412" s="334">
        <v>920.46799999999996</v>
      </c>
      <c r="AH412" s="336">
        <v>4730</v>
      </c>
      <c r="AI412" s="334">
        <v>920.59</v>
      </c>
      <c r="AJ412" s="336">
        <v>4710</v>
      </c>
      <c r="AK412" s="334">
        <v>921.75599999999997</v>
      </c>
      <c r="AL412" s="336">
        <v>4730</v>
      </c>
      <c r="AM412" s="334">
        <v>921.33799999999997</v>
      </c>
      <c r="AN412" s="336">
        <v>4730</v>
      </c>
      <c r="AO412" s="334">
        <v>921.90099999999995</v>
      </c>
      <c r="AP412" s="336">
        <v>4720</v>
      </c>
      <c r="AQ412" s="334">
        <v>920.76800000000003</v>
      </c>
      <c r="AR412" s="336">
        <v>4730</v>
      </c>
      <c r="AS412" s="334">
        <v>920.50800000000004</v>
      </c>
      <c r="AT412" s="336">
        <v>4730</v>
      </c>
      <c r="AU412" s="334">
        <v>919.005</v>
      </c>
      <c r="AV412" s="336">
        <v>4730</v>
      </c>
      <c r="AW412" s="334">
        <v>918.88699999999994</v>
      </c>
      <c r="AX412" s="336">
        <v>4720</v>
      </c>
      <c r="AY412" s="334">
        <v>842.87400000000002</v>
      </c>
      <c r="AZ412" s="336">
        <v>4730</v>
      </c>
      <c r="BA412" s="337">
        <v>844.23599999999999</v>
      </c>
      <c r="BB412" s="336">
        <v>4710</v>
      </c>
      <c r="BC412" s="334">
        <v>232.309</v>
      </c>
      <c r="BD412" s="336">
        <v>4710</v>
      </c>
      <c r="BE412" s="334">
        <v>243.13200000000001</v>
      </c>
    </row>
    <row r="413" spans="22:57">
      <c r="V413" s="346">
        <v>4740</v>
      </c>
      <c r="W413" s="333">
        <v>491.15100000000001</v>
      </c>
      <c r="X413" s="346">
        <v>4750</v>
      </c>
      <c r="Y413" s="334">
        <v>487.55399999999997</v>
      </c>
      <c r="Z413" s="335">
        <v>4740</v>
      </c>
      <c r="AA413" s="334">
        <v>1063.1980000000001</v>
      </c>
      <c r="AB413" s="336">
        <v>4740</v>
      </c>
      <c r="AC413" s="334">
        <v>1062.5450000000001</v>
      </c>
      <c r="AD413" s="336">
        <v>4740</v>
      </c>
      <c r="AE413" s="334">
        <v>919.56899999999996</v>
      </c>
      <c r="AF413" s="336">
        <v>4740</v>
      </c>
      <c r="AG413" s="334">
        <v>919.255</v>
      </c>
      <c r="AH413" s="336">
        <v>4740</v>
      </c>
      <c r="AI413" s="334">
        <v>919.37699999999995</v>
      </c>
      <c r="AJ413" s="336">
        <v>4720</v>
      </c>
      <c r="AK413" s="334">
        <v>920.54300000000001</v>
      </c>
      <c r="AL413" s="336">
        <v>4740</v>
      </c>
      <c r="AM413" s="334">
        <v>920.12599999999998</v>
      </c>
      <c r="AN413" s="336">
        <v>4740</v>
      </c>
      <c r="AO413" s="334">
        <v>920.68899999999996</v>
      </c>
      <c r="AP413" s="336">
        <v>4730</v>
      </c>
      <c r="AQ413" s="334">
        <v>919.55799999999999</v>
      </c>
      <c r="AR413" s="336">
        <v>4740</v>
      </c>
      <c r="AS413" s="334">
        <v>919.29700000000003</v>
      </c>
      <c r="AT413" s="336">
        <v>4740</v>
      </c>
      <c r="AU413" s="334">
        <v>917.79399999999998</v>
      </c>
      <c r="AV413" s="336">
        <v>4740</v>
      </c>
      <c r="AW413" s="334">
        <v>917.67700000000002</v>
      </c>
      <c r="AX413" s="336">
        <v>4730</v>
      </c>
      <c r="AY413" s="334">
        <v>841.66300000000001</v>
      </c>
      <c r="AZ413" s="336">
        <v>4740</v>
      </c>
      <c r="BA413" s="337">
        <v>843.02599999999995</v>
      </c>
      <c r="BB413" s="336">
        <v>4720</v>
      </c>
      <c r="BC413" s="334">
        <v>231.91399999999999</v>
      </c>
      <c r="BD413" s="336">
        <v>4720</v>
      </c>
      <c r="BE413" s="334">
        <v>242.72300000000001</v>
      </c>
    </row>
    <row r="414" spans="22:57">
      <c r="V414" s="346">
        <v>4750</v>
      </c>
      <c r="W414" s="333">
        <v>490.36</v>
      </c>
      <c r="X414" s="346">
        <v>4760</v>
      </c>
      <c r="Y414" s="334">
        <v>486.76799999999997</v>
      </c>
      <c r="Z414" s="335">
        <v>4750</v>
      </c>
      <c r="AA414" s="334">
        <v>1061.6980000000001</v>
      </c>
      <c r="AB414" s="336">
        <v>4750</v>
      </c>
      <c r="AC414" s="334">
        <v>1061.049</v>
      </c>
      <c r="AD414" s="336">
        <v>4750</v>
      </c>
      <c r="AE414" s="334">
        <v>918.35599999999999</v>
      </c>
      <c r="AF414" s="336">
        <v>4750</v>
      </c>
      <c r="AG414" s="334">
        <v>918.04100000000005</v>
      </c>
      <c r="AH414" s="336">
        <v>4750</v>
      </c>
      <c r="AI414" s="334">
        <v>918.16399999999999</v>
      </c>
      <c r="AJ414" s="336">
        <v>4730</v>
      </c>
      <c r="AK414" s="334">
        <v>919.33</v>
      </c>
      <c r="AL414" s="336">
        <v>4750</v>
      </c>
      <c r="AM414" s="334">
        <v>918.91300000000001</v>
      </c>
      <c r="AN414" s="336">
        <v>4750</v>
      </c>
      <c r="AO414" s="334">
        <v>919.476</v>
      </c>
      <c r="AP414" s="336">
        <v>4740</v>
      </c>
      <c r="AQ414" s="334">
        <v>918.34799999999996</v>
      </c>
      <c r="AR414" s="336">
        <v>4750</v>
      </c>
      <c r="AS414" s="334">
        <v>918.08600000000001</v>
      </c>
      <c r="AT414" s="336">
        <v>4750</v>
      </c>
      <c r="AU414" s="334">
        <v>916.58199999999999</v>
      </c>
      <c r="AV414" s="336">
        <v>4750</v>
      </c>
      <c r="AW414" s="334">
        <v>916.46699999999998</v>
      </c>
      <c r="AX414" s="336">
        <v>4740</v>
      </c>
      <c r="AY414" s="334">
        <v>840.452</v>
      </c>
      <c r="AZ414" s="336">
        <v>4750</v>
      </c>
      <c r="BA414" s="337">
        <v>841.81700000000001</v>
      </c>
      <c r="BB414" s="336">
        <v>4730</v>
      </c>
      <c r="BC414" s="334">
        <v>231.518</v>
      </c>
      <c r="BD414" s="336">
        <v>4730</v>
      </c>
      <c r="BE414" s="334">
        <v>242.31299999999999</v>
      </c>
    </row>
    <row r="415" spans="22:57">
      <c r="V415" s="346">
        <v>4760</v>
      </c>
      <c r="W415" s="333">
        <v>489.56900000000002</v>
      </c>
      <c r="X415" s="346">
        <v>4770</v>
      </c>
      <c r="Y415" s="334">
        <v>485.983</v>
      </c>
      <c r="Z415" s="335">
        <v>4760</v>
      </c>
      <c r="AA415" s="334">
        <v>1060.1969999999999</v>
      </c>
      <c r="AB415" s="336">
        <v>4760</v>
      </c>
      <c r="AC415" s="334">
        <v>1059.5530000000001</v>
      </c>
      <c r="AD415" s="336">
        <v>4760</v>
      </c>
      <c r="AE415" s="334">
        <v>917.14300000000003</v>
      </c>
      <c r="AF415" s="336">
        <v>4760</v>
      </c>
      <c r="AG415" s="334">
        <v>916.827</v>
      </c>
      <c r="AH415" s="336">
        <v>4760</v>
      </c>
      <c r="AI415" s="334">
        <v>916.952</v>
      </c>
      <c r="AJ415" s="336">
        <v>4740</v>
      </c>
      <c r="AK415" s="334">
        <v>918.11699999999996</v>
      </c>
      <c r="AL415" s="336">
        <v>4760</v>
      </c>
      <c r="AM415" s="334">
        <v>917.7</v>
      </c>
      <c r="AN415" s="336">
        <v>4760</v>
      </c>
      <c r="AO415" s="334">
        <v>918.26400000000001</v>
      </c>
      <c r="AP415" s="336">
        <v>4750</v>
      </c>
      <c r="AQ415" s="334">
        <v>917.13900000000001</v>
      </c>
      <c r="AR415" s="336">
        <v>4760</v>
      </c>
      <c r="AS415" s="334">
        <v>916.875</v>
      </c>
      <c r="AT415" s="336">
        <v>4760</v>
      </c>
      <c r="AU415" s="334">
        <v>915.37099999999998</v>
      </c>
      <c r="AV415" s="336">
        <v>4760</v>
      </c>
      <c r="AW415" s="334">
        <v>915.25699999999995</v>
      </c>
      <c r="AX415" s="336">
        <v>4750</v>
      </c>
      <c r="AY415" s="334">
        <v>839.24099999999999</v>
      </c>
      <c r="AZ415" s="336">
        <v>4760</v>
      </c>
      <c r="BA415" s="337">
        <v>840.60699999999997</v>
      </c>
      <c r="BB415" s="336">
        <v>4740</v>
      </c>
      <c r="BC415" s="334">
        <v>231.12299999999999</v>
      </c>
      <c r="BD415" s="336">
        <v>4740</v>
      </c>
      <c r="BE415" s="334">
        <v>241.904</v>
      </c>
    </row>
    <row r="416" spans="22:57">
      <c r="V416" s="346">
        <v>4770</v>
      </c>
      <c r="W416" s="333">
        <v>488.779</v>
      </c>
      <c r="X416" s="346">
        <v>4780</v>
      </c>
      <c r="Y416" s="334">
        <v>485.19799999999998</v>
      </c>
      <c r="Z416" s="335">
        <v>4770</v>
      </c>
      <c r="AA416" s="334">
        <v>1058.6969999999999</v>
      </c>
      <c r="AB416" s="336">
        <v>4770</v>
      </c>
      <c r="AC416" s="334">
        <v>1058.056</v>
      </c>
      <c r="AD416" s="336">
        <v>4770</v>
      </c>
      <c r="AE416" s="334">
        <v>915.93</v>
      </c>
      <c r="AF416" s="336">
        <v>4770</v>
      </c>
      <c r="AG416" s="334">
        <v>915.61300000000006</v>
      </c>
      <c r="AH416" s="336">
        <v>4770</v>
      </c>
      <c r="AI416" s="334">
        <v>915.73900000000003</v>
      </c>
      <c r="AJ416" s="336">
        <v>4750</v>
      </c>
      <c r="AK416" s="334">
        <v>916.90300000000002</v>
      </c>
      <c r="AL416" s="336">
        <v>4770</v>
      </c>
      <c r="AM416" s="334">
        <v>916.48699999999997</v>
      </c>
      <c r="AN416" s="336">
        <v>4770</v>
      </c>
      <c r="AO416" s="334">
        <v>917.05200000000002</v>
      </c>
      <c r="AP416" s="336">
        <v>4760</v>
      </c>
      <c r="AQ416" s="334">
        <v>915.92899999999997</v>
      </c>
      <c r="AR416" s="336">
        <v>4770</v>
      </c>
      <c r="AS416" s="334">
        <v>915.66499999999996</v>
      </c>
      <c r="AT416" s="336">
        <v>4770</v>
      </c>
      <c r="AU416" s="334">
        <v>914.15899999999999</v>
      </c>
      <c r="AV416" s="336">
        <v>4770</v>
      </c>
      <c r="AW416" s="334">
        <v>914.04700000000003</v>
      </c>
      <c r="AX416" s="336">
        <v>4760</v>
      </c>
      <c r="AY416" s="334">
        <v>838.03099999999995</v>
      </c>
      <c r="AZ416" s="336">
        <v>4770</v>
      </c>
      <c r="BA416" s="337">
        <v>839.39800000000002</v>
      </c>
      <c r="BB416" s="336">
        <v>4750</v>
      </c>
      <c r="BC416" s="334">
        <v>230.727</v>
      </c>
      <c r="BD416" s="336">
        <v>4750</v>
      </c>
      <c r="BE416" s="334">
        <v>241.494</v>
      </c>
    </row>
    <row r="417" spans="22:57">
      <c r="V417" s="346">
        <v>4780</v>
      </c>
      <c r="W417" s="333">
        <v>487.988</v>
      </c>
      <c r="X417" s="346">
        <v>4790</v>
      </c>
      <c r="Y417" s="334">
        <v>484.41300000000001</v>
      </c>
      <c r="Z417" s="335">
        <v>4780</v>
      </c>
      <c r="AA417" s="334">
        <v>1057.1969999999999</v>
      </c>
      <c r="AB417" s="336">
        <v>4780</v>
      </c>
      <c r="AC417" s="334">
        <v>1056.5609999999999</v>
      </c>
      <c r="AD417" s="336">
        <v>4780</v>
      </c>
      <c r="AE417" s="334">
        <v>914.71699999999998</v>
      </c>
      <c r="AF417" s="336">
        <v>4780</v>
      </c>
      <c r="AG417" s="334">
        <v>914.4</v>
      </c>
      <c r="AH417" s="336">
        <v>4780</v>
      </c>
      <c r="AI417" s="334">
        <v>914.52599999999995</v>
      </c>
      <c r="AJ417" s="336">
        <v>4760</v>
      </c>
      <c r="AK417" s="334">
        <v>915.69</v>
      </c>
      <c r="AL417" s="336">
        <v>4780</v>
      </c>
      <c r="AM417" s="334">
        <v>915.274</v>
      </c>
      <c r="AN417" s="336">
        <v>4780</v>
      </c>
      <c r="AO417" s="334">
        <v>915.84</v>
      </c>
      <c r="AP417" s="336">
        <v>4770</v>
      </c>
      <c r="AQ417" s="334">
        <v>914.71900000000005</v>
      </c>
      <c r="AR417" s="336">
        <v>4780</v>
      </c>
      <c r="AS417" s="334">
        <v>914.45399999999995</v>
      </c>
      <c r="AT417" s="336">
        <v>4780</v>
      </c>
      <c r="AU417" s="334">
        <v>912.94799999999998</v>
      </c>
      <c r="AV417" s="336">
        <v>4780</v>
      </c>
      <c r="AW417" s="334">
        <v>912.83699999999999</v>
      </c>
      <c r="AX417" s="336">
        <v>4770</v>
      </c>
      <c r="AY417" s="334">
        <v>836.82</v>
      </c>
      <c r="AZ417" s="336">
        <v>4780</v>
      </c>
      <c r="BA417" s="337">
        <v>838.18799999999999</v>
      </c>
      <c r="BB417" s="336">
        <v>4760</v>
      </c>
      <c r="BC417" s="334">
        <v>230.33199999999999</v>
      </c>
      <c r="BD417" s="336">
        <v>4760</v>
      </c>
      <c r="BE417" s="334">
        <v>241.08500000000001</v>
      </c>
    </row>
    <row r="418" spans="22:57">
      <c r="V418" s="346">
        <v>4790</v>
      </c>
      <c r="W418" s="333">
        <v>487.19799999999998</v>
      </c>
      <c r="X418" s="346">
        <v>4800</v>
      </c>
      <c r="Y418" s="334">
        <v>483.62799999999999</v>
      </c>
      <c r="Z418" s="335">
        <v>4790</v>
      </c>
      <c r="AA418" s="334">
        <v>1055.6969999999999</v>
      </c>
      <c r="AB418" s="336">
        <v>4790</v>
      </c>
      <c r="AC418" s="334">
        <v>1055.0650000000001</v>
      </c>
      <c r="AD418" s="336">
        <v>4790</v>
      </c>
      <c r="AE418" s="334">
        <v>913.50400000000002</v>
      </c>
      <c r="AF418" s="336">
        <v>4790</v>
      </c>
      <c r="AG418" s="334">
        <v>913.18600000000004</v>
      </c>
      <c r="AH418" s="336">
        <v>4790</v>
      </c>
      <c r="AI418" s="334">
        <v>913.31299999999999</v>
      </c>
      <c r="AJ418" s="336">
        <v>4770</v>
      </c>
      <c r="AK418" s="334">
        <v>914.47699999999998</v>
      </c>
      <c r="AL418" s="336">
        <v>4790</v>
      </c>
      <c r="AM418" s="334">
        <v>914.06100000000004</v>
      </c>
      <c r="AN418" s="336">
        <v>4790</v>
      </c>
      <c r="AO418" s="334">
        <v>914.62699999999995</v>
      </c>
      <c r="AP418" s="336">
        <v>4780</v>
      </c>
      <c r="AQ418" s="334">
        <v>913.50900000000001</v>
      </c>
      <c r="AR418" s="336">
        <v>4790</v>
      </c>
      <c r="AS418" s="334">
        <v>913.24300000000005</v>
      </c>
      <c r="AT418" s="336">
        <v>4790</v>
      </c>
      <c r="AU418" s="334">
        <v>911.73699999999997</v>
      </c>
      <c r="AV418" s="336">
        <v>4790</v>
      </c>
      <c r="AW418" s="334">
        <v>911.62699999999995</v>
      </c>
      <c r="AX418" s="336">
        <v>4780</v>
      </c>
      <c r="AY418" s="334">
        <v>835.60900000000004</v>
      </c>
      <c r="AZ418" s="336">
        <v>4790</v>
      </c>
      <c r="BA418" s="337">
        <v>836.97799999999995</v>
      </c>
      <c r="BB418" s="336">
        <v>4770</v>
      </c>
      <c r="BC418" s="334">
        <v>229.93700000000001</v>
      </c>
      <c r="BD418" s="336">
        <v>4770</v>
      </c>
      <c r="BE418" s="334">
        <v>240.67599999999999</v>
      </c>
    </row>
    <row r="419" spans="22:57">
      <c r="V419" s="346">
        <v>4800</v>
      </c>
      <c r="W419" s="333">
        <v>486.40699999999998</v>
      </c>
      <c r="X419" s="346">
        <v>4810</v>
      </c>
      <c r="Y419" s="334">
        <v>482.84399999999999</v>
      </c>
      <c r="Z419" s="335">
        <v>4800</v>
      </c>
      <c r="AA419" s="334">
        <v>1054.1969999999999</v>
      </c>
      <c r="AB419" s="336">
        <v>4800</v>
      </c>
      <c r="AC419" s="334">
        <v>1053.569</v>
      </c>
      <c r="AD419" s="336">
        <v>4800</v>
      </c>
      <c r="AE419" s="334">
        <v>912.29100000000005</v>
      </c>
      <c r="AF419" s="336">
        <v>4800</v>
      </c>
      <c r="AG419" s="334">
        <v>911.97199999999998</v>
      </c>
      <c r="AH419" s="336">
        <v>4800</v>
      </c>
      <c r="AI419" s="334">
        <v>912.1</v>
      </c>
      <c r="AJ419" s="336">
        <v>4780</v>
      </c>
      <c r="AK419" s="334">
        <v>913.26400000000001</v>
      </c>
      <c r="AL419" s="336">
        <v>4800</v>
      </c>
      <c r="AM419" s="334">
        <v>912.84799999999996</v>
      </c>
      <c r="AN419" s="336">
        <v>4800</v>
      </c>
      <c r="AO419" s="334">
        <v>913.41499999999996</v>
      </c>
      <c r="AP419" s="336">
        <v>4790</v>
      </c>
      <c r="AQ419" s="334">
        <v>912.29899999999998</v>
      </c>
      <c r="AR419" s="336">
        <v>4800</v>
      </c>
      <c r="AS419" s="334">
        <v>912.03200000000004</v>
      </c>
      <c r="AT419" s="336">
        <v>4800</v>
      </c>
      <c r="AU419" s="334">
        <v>910.52499999999998</v>
      </c>
      <c r="AV419" s="336">
        <v>4800</v>
      </c>
      <c r="AW419" s="334">
        <v>910.41700000000003</v>
      </c>
      <c r="AX419" s="336">
        <v>4790</v>
      </c>
      <c r="AY419" s="334">
        <v>834.39800000000002</v>
      </c>
      <c r="AZ419" s="336">
        <v>4800</v>
      </c>
      <c r="BA419" s="337">
        <v>835.76900000000001</v>
      </c>
      <c r="BB419" s="336">
        <v>4780</v>
      </c>
      <c r="BC419" s="334">
        <v>229.541</v>
      </c>
      <c r="BD419" s="336">
        <v>4780</v>
      </c>
      <c r="BE419" s="334">
        <v>240.26599999999999</v>
      </c>
    </row>
    <row r="420" spans="22:57">
      <c r="V420" s="346">
        <v>4810</v>
      </c>
      <c r="W420" s="333">
        <v>485.61700000000002</v>
      </c>
      <c r="X420" s="346">
        <v>4820</v>
      </c>
      <c r="Y420" s="334">
        <v>482.05900000000003</v>
      </c>
      <c r="Z420" s="335">
        <v>4810</v>
      </c>
      <c r="AA420" s="334">
        <v>1052.6980000000001</v>
      </c>
      <c r="AB420" s="336">
        <v>4810</v>
      </c>
      <c r="AC420" s="334">
        <v>1052.0740000000001</v>
      </c>
      <c r="AD420" s="336">
        <v>4810</v>
      </c>
      <c r="AE420" s="334">
        <v>911.07799999999997</v>
      </c>
      <c r="AF420" s="336">
        <v>4810</v>
      </c>
      <c r="AG420" s="334">
        <v>910.75900000000001</v>
      </c>
      <c r="AH420" s="336">
        <v>4810</v>
      </c>
      <c r="AI420" s="334">
        <v>910.88699999999994</v>
      </c>
      <c r="AJ420" s="336">
        <v>4790</v>
      </c>
      <c r="AK420" s="334">
        <v>912.05100000000004</v>
      </c>
      <c r="AL420" s="336">
        <v>4810</v>
      </c>
      <c r="AM420" s="334">
        <v>911.63499999999999</v>
      </c>
      <c r="AN420" s="336">
        <v>4810</v>
      </c>
      <c r="AO420" s="334">
        <v>912.20299999999997</v>
      </c>
      <c r="AP420" s="336">
        <v>4800</v>
      </c>
      <c r="AQ420" s="334">
        <v>911.09</v>
      </c>
      <c r="AR420" s="336">
        <v>4810</v>
      </c>
      <c r="AS420" s="334">
        <v>910.822</v>
      </c>
      <c r="AT420" s="336">
        <v>4810</v>
      </c>
      <c r="AU420" s="334">
        <v>909.31399999999996</v>
      </c>
      <c r="AV420" s="336">
        <v>4810</v>
      </c>
      <c r="AW420" s="334">
        <v>909.20699999999999</v>
      </c>
      <c r="AX420" s="336">
        <v>4800</v>
      </c>
      <c r="AY420" s="334">
        <v>833.18700000000001</v>
      </c>
      <c r="AZ420" s="336">
        <v>4810</v>
      </c>
      <c r="BA420" s="337">
        <v>834.55899999999997</v>
      </c>
      <c r="BB420" s="336">
        <v>4790</v>
      </c>
      <c r="BC420" s="334">
        <v>229.14599999999999</v>
      </c>
      <c r="BD420" s="336">
        <v>4790</v>
      </c>
      <c r="BE420" s="334">
        <v>239.857</v>
      </c>
    </row>
    <row r="421" spans="22:57">
      <c r="V421" s="346">
        <v>4820</v>
      </c>
      <c r="W421" s="333">
        <v>484.827</v>
      </c>
      <c r="X421" s="346">
        <v>4830</v>
      </c>
      <c r="Y421" s="334">
        <v>481.27499999999998</v>
      </c>
      <c r="Z421" s="335">
        <v>4820</v>
      </c>
      <c r="AA421" s="334">
        <v>1051.1980000000001</v>
      </c>
      <c r="AB421" s="336">
        <v>4820</v>
      </c>
      <c r="AC421" s="334">
        <v>1050.578</v>
      </c>
      <c r="AD421" s="336">
        <v>4820</v>
      </c>
      <c r="AE421" s="334">
        <v>909.86400000000003</v>
      </c>
      <c r="AF421" s="336">
        <v>4820</v>
      </c>
      <c r="AG421" s="334">
        <v>909.54499999999996</v>
      </c>
      <c r="AH421" s="336">
        <v>4820</v>
      </c>
      <c r="AI421" s="334">
        <v>909.67399999999998</v>
      </c>
      <c r="AJ421" s="336">
        <v>4800</v>
      </c>
      <c r="AK421" s="334">
        <v>910.83799999999997</v>
      </c>
      <c r="AL421" s="336">
        <v>4820</v>
      </c>
      <c r="AM421" s="334">
        <v>910.42200000000003</v>
      </c>
      <c r="AN421" s="336">
        <v>4820</v>
      </c>
      <c r="AO421" s="334">
        <v>910.99</v>
      </c>
      <c r="AP421" s="336">
        <v>4810</v>
      </c>
      <c r="AQ421" s="334">
        <v>909.88</v>
      </c>
      <c r="AR421" s="336">
        <v>4820</v>
      </c>
      <c r="AS421" s="334">
        <v>909.61099999999999</v>
      </c>
      <c r="AT421" s="336">
        <v>4820</v>
      </c>
      <c r="AU421" s="334">
        <v>908.10199999999998</v>
      </c>
      <c r="AV421" s="336">
        <v>4820</v>
      </c>
      <c r="AW421" s="334">
        <v>907.99699999999996</v>
      </c>
      <c r="AX421" s="336">
        <v>4810</v>
      </c>
      <c r="AY421" s="334">
        <v>831.97699999999998</v>
      </c>
      <c r="AZ421" s="336">
        <v>4820</v>
      </c>
      <c r="BA421" s="337">
        <v>833.35</v>
      </c>
      <c r="BB421" s="336">
        <v>4800</v>
      </c>
      <c r="BC421" s="334">
        <v>228.751</v>
      </c>
      <c r="BD421" s="336">
        <v>4800</v>
      </c>
      <c r="BE421" s="334">
        <v>239.44800000000001</v>
      </c>
    </row>
    <row r="422" spans="22:57">
      <c r="V422" s="346">
        <v>4830</v>
      </c>
      <c r="W422" s="333">
        <v>484.03800000000001</v>
      </c>
      <c r="X422" s="346">
        <v>4840</v>
      </c>
      <c r="Y422" s="334">
        <v>480.49099999999999</v>
      </c>
      <c r="Z422" s="335">
        <v>4830</v>
      </c>
      <c r="AA422" s="334">
        <v>1049.6990000000001</v>
      </c>
      <c r="AB422" s="336">
        <v>4830</v>
      </c>
      <c r="AC422" s="334">
        <v>1049.0830000000001</v>
      </c>
      <c r="AD422" s="336">
        <v>4830</v>
      </c>
      <c r="AE422" s="334">
        <v>908.65099999999995</v>
      </c>
      <c r="AF422" s="336">
        <v>4830</v>
      </c>
      <c r="AG422" s="334">
        <v>908.33100000000002</v>
      </c>
      <c r="AH422" s="336">
        <v>4830</v>
      </c>
      <c r="AI422" s="334">
        <v>908.46199999999999</v>
      </c>
      <c r="AJ422" s="336">
        <v>4810</v>
      </c>
      <c r="AK422" s="334">
        <v>909.625</v>
      </c>
      <c r="AL422" s="336">
        <v>4830</v>
      </c>
      <c r="AM422" s="334">
        <v>909.20899999999995</v>
      </c>
      <c r="AN422" s="336">
        <v>4830</v>
      </c>
      <c r="AO422" s="334">
        <v>909.77800000000002</v>
      </c>
      <c r="AP422" s="336">
        <v>4820</v>
      </c>
      <c r="AQ422" s="334">
        <v>908.67</v>
      </c>
      <c r="AR422" s="336">
        <v>4830</v>
      </c>
      <c r="AS422" s="334">
        <v>908.4</v>
      </c>
      <c r="AT422" s="336">
        <v>4830</v>
      </c>
      <c r="AU422" s="334">
        <v>906.89099999999996</v>
      </c>
      <c r="AV422" s="336">
        <v>4830</v>
      </c>
      <c r="AW422" s="334">
        <v>906.78700000000003</v>
      </c>
      <c r="AX422" s="336">
        <v>4820</v>
      </c>
      <c r="AY422" s="334">
        <v>830.76599999999996</v>
      </c>
      <c r="AZ422" s="336">
        <v>4830</v>
      </c>
      <c r="BA422" s="337">
        <v>832.14</v>
      </c>
      <c r="BB422" s="336">
        <v>4810</v>
      </c>
      <c r="BC422" s="334">
        <v>228.35499999999999</v>
      </c>
      <c r="BD422" s="336">
        <v>4810</v>
      </c>
      <c r="BE422" s="334">
        <v>239.03899999999999</v>
      </c>
    </row>
    <row r="423" spans="22:57">
      <c r="V423" s="346">
        <v>4840</v>
      </c>
      <c r="W423" s="333">
        <v>483.24799999999999</v>
      </c>
      <c r="X423" s="346">
        <v>4850</v>
      </c>
      <c r="Y423" s="334">
        <v>479.70699999999999</v>
      </c>
      <c r="Z423" s="335">
        <v>4840</v>
      </c>
      <c r="AA423" s="334">
        <v>1048.1990000000001</v>
      </c>
      <c r="AB423" s="336">
        <v>4840</v>
      </c>
      <c r="AC423" s="334">
        <v>1047.588</v>
      </c>
      <c r="AD423" s="336">
        <v>4840</v>
      </c>
      <c r="AE423" s="334">
        <v>907.43799999999999</v>
      </c>
      <c r="AF423" s="336">
        <v>4840</v>
      </c>
      <c r="AG423" s="334">
        <v>907.11800000000005</v>
      </c>
      <c r="AH423" s="336">
        <v>4840</v>
      </c>
      <c r="AI423" s="334">
        <v>907.24900000000002</v>
      </c>
      <c r="AJ423" s="336">
        <v>4820</v>
      </c>
      <c r="AK423" s="334">
        <v>908.41200000000003</v>
      </c>
      <c r="AL423" s="336">
        <v>4840</v>
      </c>
      <c r="AM423" s="334">
        <v>907.99599999999998</v>
      </c>
      <c r="AN423" s="336">
        <v>4840</v>
      </c>
      <c r="AO423" s="334">
        <v>908.56600000000003</v>
      </c>
      <c r="AP423" s="336">
        <v>4830</v>
      </c>
      <c r="AQ423" s="333">
        <v>907.46</v>
      </c>
      <c r="AR423" s="336">
        <v>4840</v>
      </c>
      <c r="AS423" s="334">
        <v>907.18899999999996</v>
      </c>
      <c r="AT423" s="336">
        <v>4840</v>
      </c>
      <c r="AU423" s="334">
        <v>905.67899999999997</v>
      </c>
      <c r="AV423" s="336">
        <v>4840</v>
      </c>
      <c r="AW423" s="334">
        <v>905.577</v>
      </c>
      <c r="AX423" s="336">
        <v>4830</v>
      </c>
      <c r="AY423" s="334">
        <v>829.55499999999995</v>
      </c>
      <c r="AZ423" s="336">
        <v>4840</v>
      </c>
      <c r="BA423" s="337">
        <v>830.93</v>
      </c>
      <c r="BB423" s="336">
        <v>4820</v>
      </c>
      <c r="BC423" s="334">
        <v>227.96</v>
      </c>
      <c r="BD423" s="336">
        <v>4820</v>
      </c>
      <c r="BE423" s="334">
        <v>238.62899999999999</v>
      </c>
    </row>
    <row r="424" spans="22:57">
      <c r="V424" s="346">
        <v>4850</v>
      </c>
      <c r="W424" s="333">
        <v>482.459</v>
      </c>
      <c r="X424" s="346">
        <v>4860</v>
      </c>
      <c r="Y424" s="334">
        <v>478.92399999999998</v>
      </c>
      <c r="Z424" s="335">
        <v>4850</v>
      </c>
      <c r="AA424" s="334">
        <v>1046.7</v>
      </c>
      <c r="AB424" s="336">
        <v>4850</v>
      </c>
      <c r="AC424" s="334">
        <v>1046.0930000000001</v>
      </c>
      <c r="AD424" s="336">
        <v>4850</v>
      </c>
      <c r="AE424" s="334">
        <v>906.22500000000002</v>
      </c>
      <c r="AF424" s="336">
        <v>4850</v>
      </c>
      <c r="AG424" s="334">
        <v>905.904</v>
      </c>
      <c r="AH424" s="336">
        <v>4850</v>
      </c>
      <c r="AI424" s="334">
        <v>906.03599999999994</v>
      </c>
      <c r="AJ424" s="336">
        <v>4830</v>
      </c>
      <c r="AK424" s="334">
        <v>907.19799999999998</v>
      </c>
      <c r="AL424" s="336">
        <v>4850</v>
      </c>
      <c r="AM424" s="334">
        <v>906.78300000000002</v>
      </c>
      <c r="AN424" s="336">
        <v>4850</v>
      </c>
      <c r="AO424" s="334">
        <v>907.35400000000004</v>
      </c>
      <c r="AP424" s="336">
        <v>4840</v>
      </c>
      <c r="AQ424" s="333">
        <v>906.25099999999998</v>
      </c>
      <c r="AR424" s="336">
        <v>4850</v>
      </c>
      <c r="AS424" s="334">
        <v>905.97900000000004</v>
      </c>
      <c r="AT424" s="336">
        <v>4850</v>
      </c>
      <c r="AU424" s="334">
        <v>904.46799999999996</v>
      </c>
      <c r="AV424" s="336">
        <v>4850</v>
      </c>
      <c r="AW424" s="334">
        <v>904.36699999999996</v>
      </c>
      <c r="AX424" s="336">
        <v>4840</v>
      </c>
      <c r="AY424" s="334">
        <v>828.34400000000005</v>
      </c>
      <c r="AZ424" s="336">
        <v>4850</v>
      </c>
      <c r="BA424" s="337">
        <v>829.721</v>
      </c>
      <c r="BB424" s="336">
        <v>4830</v>
      </c>
      <c r="BC424" s="334">
        <v>227.565</v>
      </c>
      <c r="BD424" s="336">
        <v>4830</v>
      </c>
      <c r="BE424" s="334">
        <v>238.22</v>
      </c>
    </row>
    <row r="425" spans="22:57">
      <c r="V425" s="346">
        <v>4860</v>
      </c>
      <c r="W425" s="333">
        <v>481.66899999999998</v>
      </c>
      <c r="X425" s="346">
        <v>4870</v>
      </c>
      <c r="Y425" s="334">
        <v>478.14</v>
      </c>
      <c r="Z425" s="335">
        <v>4860</v>
      </c>
      <c r="AA425" s="334">
        <v>1045.201</v>
      </c>
      <c r="AB425" s="336">
        <v>4860</v>
      </c>
      <c r="AC425" s="334">
        <v>1044.598</v>
      </c>
      <c r="AD425" s="336">
        <v>4860</v>
      </c>
      <c r="AE425" s="334">
        <v>905.01199999999994</v>
      </c>
      <c r="AF425" s="336">
        <v>4860</v>
      </c>
      <c r="AG425" s="334">
        <v>904.69</v>
      </c>
      <c r="AH425" s="336">
        <v>4860</v>
      </c>
      <c r="AI425" s="334">
        <v>904.82299999999998</v>
      </c>
      <c r="AJ425" s="336">
        <v>4840</v>
      </c>
      <c r="AK425" s="334">
        <v>905.98500000000001</v>
      </c>
      <c r="AL425" s="336">
        <v>4860</v>
      </c>
      <c r="AM425" s="334">
        <v>905.57</v>
      </c>
      <c r="AN425" s="336">
        <v>4860</v>
      </c>
      <c r="AO425" s="334">
        <v>906.14099999999996</v>
      </c>
      <c r="AP425" s="336">
        <v>4850</v>
      </c>
      <c r="AQ425" s="333">
        <v>905.04100000000005</v>
      </c>
      <c r="AR425" s="336">
        <v>4860</v>
      </c>
      <c r="AS425" s="334">
        <v>904.76800000000003</v>
      </c>
      <c r="AT425" s="336">
        <v>4860</v>
      </c>
      <c r="AU425" s="334">
        <v>903.25599999999997</v>
      </c>
      <c r="AV425" s="336">
        <v>4860</v>
      </c>
      <c r="AW425" s="334">
        <v>903.15700000000004</v>
      </c>
      <c r="AX425" s="336">
        <v>4850</v>
      </c>
      <c r="AY425" s="334">
        <v>827.13400000000001</v>
      </c>
      <c r="AZ425" s="336">
        <v>4860</v>
      </c>
      <c r="BA425" s="337">
        <v>828.51099999999997</v>
      </c>
      <c r="BB425" s="336">
        <v>4840</v>
      </c>
      <c r="BC425" s="334">
        <v>227.17</v>
      </c>
      <c r="BD425" s="336">
        <v>4840</v>
      </c>
      <c r="BE425" s="334">
        <v>237.81100000000001</v>
      </c>
    </row>
    <row r="426" spans="22:57">
      <c r="V426" s="346">
        <v>4870</v>
      </c>
      <c r="W426" s="333">
        <v>480.88</v>
      </c>
      <c r="X426" s="346">
        <v>4880</v>
      </c>
      <c r="Y426" s="334">
        <v>477.35700000000003</v>
      </c>
      <c r="Z426" s="335">
        <v>4870</v>
      </c>
      <c r="AA426" s="334">
        <v>1043.702</v>
      </c>
      <c r="AB426" s="336">
        <v>4870</v>
      </c>
      <c r="AC426" s="334">
        <v>1043.1030000000001</v>
      </c>
      <c r="AD426" s="336">
        <v>4870</v>
      </c>
      <c r="AE426" s="334">
        <v>903.79899999999998</v>
      </c>
      <c r="AF426" s="336">
        <v>4870</v>
      </c>
      <c r="AG426" s="334">
        <v>903.47699999999998</v>
      </c>
      <c r="AH426" s="336">
        <v>4870</v>
      </c>
      <c r="AI426" s="334">
        <v>903.61</v>
      </c>
      <c r="AJ426" s="336">
        <v>4850</v>
      </c>
      <c r="AK426" s="334">
        <v>904.77200000000005</v>
      </c>
      <c r="AL426" s="336">
        <v>4870</v>
      </c>
      <c r="AM426" s="334">
        <v>904.35699999999997</v>
      </c>
      <c r="AN426" s="336">
        <v>4870</v>
      </c>
      <c r="AO426" s="334">
        <v>904.92899999999997</v>
      </c>
      <c r="AP426" s="336">
        <v>4860</v>
      </c>
      <c r="AQ426" s="333">
        <v>903.83100000000002</v>
      </c>
      <c r="AR426" s="336">
        <v>4870</v>
      </c>
      <c r="AS426" s="334">
        <v>903.55700000000002</v>
      </c>
      <c r="AT426" s="336">
        <v>4870</v>
      </c>
      <c r="AU426" s="334">
        <v>902.04499999999996</v>
      </c>
      <c r="AV426" s="336">
        <v>4870</v>
      </c>
      <c r="AW426" s="334">
        <v>901.94799999999998</v>
      </c>
      <c r="AX426" s="336">
        <v>4860</v>
      </c>
      <c r="AY426" s="334">
        <v>825.923</v>
      </c>
      <c r="AZ426" s="336">
        <v>4870</v>
      </c>
      <c r="BA426" s="337">
        <v>827.30100000000004</v>
      </c>
      <c r="BB426" s="336">
        <v>4850</v>
      </c>
      <c r="BC426" s="334">
        <v>226.77500000000001</v>
      </c>
      <c r="BD426" s="336">
        <v>4850</v>
      </c>
      <c r="BE426" s="334">
        <v>237.40199999999999</v>
      </c>
    </row>
    <row r="427" spans="22:57">
      <c r="V427" s="346">
        <v>4880</v>
      </c>
      <c r="W427" s="333">
        <v>480.09199999999998</v>
      </c>
      <c r="X427" s="346">
        <v>4890</v>
      </c>
      <c r="Y427" s="334">
        <v>476.57400000000001</v>
      </c>
      <c r="Z427" s="335">
        <v>4880</v>
      </c>
      <c r="AA427" s="334">
        <v>1042.203</v>
      </c>
      <c r="AB427" s="336">
        <v>4880</v>
      </c>
      <c r="AC427" s="334">
        <v>1041.6079999999999</v>
      </c>
      <c r="AD427" s="336">
        <v>4880</v>
      </c>
      <c r="AE427" s="334">
        <v>902.58600000000001</v>
      </c>
      <c r="AF427" s="336">
        <v>4880</v>
      </c>
      <c r="AG427" s="334">
        <v>902.26300000000003</v>
      </c>
      <c r="AH427" s="336">
        <v>4880</v>
      </c>
      <c r="AI427" s="334">
        <v>902.39700000000005</v>
      </c>
      <c r="AJ427" s="336">
        <v>4860</v>
      </c>
      <c r="AK427" s="334">
        <v>903.55899999999997</v>
      </c>
      <c r="AL427" s="336">
        <v>4880</v>
      </c>
      <c r="AM427" s="334">
        <v>903.14400000000001</v>
      </c>
      <c r="AN427" s="336">
        <v>4880</v>
      </c>
      <c r="AO427" s="334">
        <v>903.71699999999998</v>
      </c>
      <c r="AP427" s="336">
        <v>4870</v>
      </c>
      <c r="AQ427" s="333">
        <v>902.62099999999998</v>
      </c>
      <c r="AR427" s="336">
        <v>4880</v>
      </c>
      <c r="AS427" s="334">
        <v>902.346</v>
      </c>
      <c r="AT427" s="336">
        <v>4880</v>
      </c>
      <c r="AU427" s="334">
        <v>900.83299999999997</v>
      </c>
      <c r="AV427" s="336">
        <v>4880</v>
      </c>
      <c r="AW427" s="334">
        <v>900.73800000000006</v>
      </c>
      <c r="AX427" s="336">
        <v>4870</v>
      </c>
      <c r="AY427" s="334">
        <v>824.71199999999999</v>
      </c>
      <c r="AZ427" s="336">
        <v>4880</v>
      </c>
      <c r="BA427" s="337">
        <v>826.09199999999998</v>
      </c>
      <c r="BB427" s="336">
        <v>4860</v>
      </c>
      <c r="BC427" s="334">
        <v>226.38</v>
      </c>
      <c r="BD427" s="336">
        <v>4860</v>
      </c>
      <c r="BE427" s="334">
        <v>236.99299999999999</v>
      </c>
    </row>
    <row r="428" spans="22:57">
      <c r="V428" s="346">
        <v>4890</v>
      </c>
      <c r="W428" s="333">
        <v>479.303</v>
      </c>
      <c r="X428" s="346">
        <v>4900</v>
      </c>
      <c r="Y428" s="334">
        <v>475.791</v>
      </c>
      <c r="Z428" s="335">
        <v>4890</v>
      </c>
      <c r="AA428" s="334">
        <v>1040.7049999999999</v>
      </c>
      <c r="AB428" s="336">
        <v>4890</v>
      </c>
      <c r="AC428" s="334">
        <v>1040.1130000000001</v>
      </c>
      <c r="AD428" s="336">
        <v>4890</v>
      </c>
      <c r="AE428" s="334">
        <v>901.37300000000005</v>
      </c>
      <c r="AF428" s="336">
        <v>4890</v>
      </c>
      <c r="AG428" s="334">
        <v>901.04899999999998</v>
      </c>
      <c r="AH428" s="336">
        <v>4890</v>
      </c>
      <c r="AI428" s="334">
        <v>901.18499999999995</v>
      </c>
      <c r="AJ428" s="336">
        <v>4870</v>
      </c>
      <c r="AK428" s="334">
        <v>902.346</v>
      </c>
      <c r="AL428" s="336">
        <v>4890</v>
      </c>
      <c r="AM428" s="334">
        <v>901.93100000000004</v>
      </c>
      <c r="AN428" s="336">
        <v>4890</v>
      </c>
      <c r="AO428" s="334">
        <v>902.50400000000002</v>
      </c>
      <c r="AP428" s="336">
        <v>4880</v>
      </c>
      <c r="AQ428" s="333">
        <v>901.41200000000003</v>
      </c>
      <c r="AR428" s="336">
        <v>4890</v>
      </c>
      <c r="AS428" s="334">
        <v>901.13599999999997</v>
      </c>
      <c r="AT428" s="336">
        <v>4890</v>
      </c>
      <c r="AU428" s="334">
        <v>899.62199999999996</v>
      </c>
      <c r="AV428" s="336">
        <v>4890</v>
      </c>
      <c r="AW428" s="334">
        <v>899.52800000000002</v>
      </c>
      <c r="AX428" s="336">
        <v>4880</v>
      </c>
      <c r="AY428" s="334">
        <v>823.50099999999998</v>
      </c>
      <c r="AZ428" s="336">
        <v>4890</v>
      </c>
      <c r="BA428" s="337">
        <v>824.88199999999995</v>
      </c>
      <c r="BB428" s="336">
        <v>4870</v>
      </c>
      <c r="BC428" s="334">
        <v>225.98500000000001</v>
      </c>
      <c r="BD428" s="336">
        <v>4870</v>
      </c>
      <c r="BE428" s="334">
        <v>236.584</v>
      </c>
    </row>
    <row r="429" spans="22:57">
      <c r="V429" s="346">
        <v>4900</v>
      </c>
      <c r="W429" s="333">
        <v>478.51400000000001</v>
      </c>
      <c r="X429" s="346">
        <v>4910</v>
      </c>
      <c r="Y429" s="334">
        <v>475.00799999999998</v>
      </c>
      <c r="Z429" s="335">
        <v>4900</v>
      </c>
      <c r="AA429" s="334">
        <v>1039.2059999999999</v>
      </c>
      <c r="AB429" s="336">
        <v>4900</v>
      </c>
      <c r="AC429" s="334">
        <v>1038.6189999999999</v>
      </c>
      <c r="AD429" s="336">
        <v>4900</v>
      </c>
      <c r="AE429" s="334">
        <v>900.16</v>
      </c>
      <c r="AF429" s="336">
        <v>4900</v>
      </c>
      <c r="AG429" s="334">
        <v>899.83600000000001</v>
      </c>
      <c r="AH429" s="336">
        <v>4900</v>
      </c>
      <c r="AI429" s="334">
        <v>899.97199999999998</v>
      </c>
      <c r="AJ429" s="336">
        <v>4880</v>
      </c>
      <c r="AK429" s="334">
        <v>901.13300000000004</v>
      </c>
      <c r="AL429" s="336">
        <v>4900</v>
      </c>
      <c r="AM429" s="334">
        <v>900.71799999999996</v>
      </c>
      <c r="AN429" s="336">
        <v>4900</v>
      </c>
      <c r="AO429" s="334">
        <v>901.29200000000003</v>
      </c>
      <c r="AP429" s="336">
        <v>4890</v>
      </c>
      <c r="AQ429" s="333">
        <v>900.202</v>
      </c>
      <c r="AR429" s="336">
        <v>4900</v>
      </c>
      <c r="AS429" s="334">
        <v>899.92499999999995</v>
      </c>
      <c r="AT429" s="336">
        <v>4900</v>
      </c>
      <c r="AU429" s="334">
        <v>898.41099999999994</v>
      </c>
      <c r="AV429" s="336">
        <v>4900</v>
      </c>
      <c r="AW429" s="334">
        <v>898.31799999999998</v>
      </c>
      <c r="AX429" s="336">
        <v>4890</v>
      </c>
      <c r="AY429" s="334">
        <v>822.29</v>
      </c>
      <c r="AZ429" s="336">
        <v>4900</v>
      </c>
      <c r="BA429" s="337">
        <v>823.673</v>
      </c>
      <c r="BB429" s="336">
        <v>4880</v>
      </c>
      <c r="BC429" s="334">
        <v>225.59</v>
      </c>
      <c r="BD429" s="336">
        <v>4880</v>
      </c>
      <c r="BE429" s="334">
        <v>236.17500000000001</v>
      </c>
    </row>
    <row r="430" spans="22:57">
      <c r="V430" s="346">
        <v>4910</v>
      </c>
      <c r="W430" s="333">
        <v>477.726</v>
      </c>
      <c r="X430" s="346">
        <v>4920</v>
      </c>
      <c r="Y430" s="334">
        <v>474.22500000000002</v>
      </c>
      <c r="Z430" s="335">
        <v>4910</v>
      </c>
      <c r="AA430" s="334">
        <v>1037.7080000000001</v>
      </c>
      <c r="AB430" s="336">
        <v>4910</v>
      </c>
      <c r="AC430" s="334">
        <v>1037.124</v>
      </c>
      <c r="AD430" s="336">
        <v>4910</v>
      </c>
      <c r="AE430" s="334">
        <v>898.947</v>
      </c>
      <c r="AF430" s="336">
        <v>4910</v>
      </c>
      <c r="AG430" s="334">
        <v>898.62199999999996</v>
      </c>
      <c r="AH430" s="336">
        <v>4910</v>
      </c>
      <c r="AI430" s="334">
        <v>898.75900000000001</v>
      </c>
      <c r="AJ430" s="336">
        <v>4890</v>
      </c>
      <c r="AK430" s="334">
        <v>899.92</v>
      </c>
      <c r="AL430" s="336">
        <v>4910</v>
      </c>
      <c r="AM430" s="334">
        <v>899.505</v>
      </c>
      <c r="AN430" s="336">
        <v>4910</v>
      </c>
      <c r="AO430" s="334">
        <v>900.08</v>
      </c>
      <c r="AP430" s="336">
        <v>4900</v>
      </c>
      <c r="AQ430" s="333">
        <v>898.99199999999996</v>
      </c>
      <c r="AR430" s="336">
        <v>4910</v>
      </c>
      <c r="AS430" s="334">
        <v>898.71400000000006</v>
      </c>
      <c r="AT430" s="336">
        <v>4910</v>
      </c>
      <c r="AU430" s="334">
        <v>897.19899999999996</v>
      </c>
      <c r="AV430" s="336">
        <v>4910</v>
      </c>
      <c r="AW430" s="334">
        <v>897.10799999999995</v>
      </c>
      <c r="AX430" s="336">
        <v>4900</v>
      </c>
      <c r="AY430" s="334">
        <v>821.08</v>
      </c>
      <c r="AZ430" s="336">
        <v>4910</v>
      </c>
      <c r="BA430" s="337">
        <v>822.46299999999997</v>
      </c>
      <c r="BB430" s="336">
        <v>4890</v>
      </c>
      <c r="BC430" s="334">
        <v>225.19499999999999</v>
      </c>
      <c r="BD430" s="336">
        <v>4890</v>
      </c>
      <c r="BE430" s="334">
        <v>235.76599999999999</v>
      </c>
    </row>
    <row r="431" spans="22:57">
      <c r="V431" s="346">
        <v>4920</v>
      </c>
      <c r="W431" s="333">
        <v>476.93799999999999</v>
      </c>
      <c r="X431" s="346">
        <v>4930</v>
      </c>
      <c r="Y431" s="334">
        <v>473.44299999999998</v>
      </c>
      <c r="Z431" s="335">
        <v>4920</v>
      </c>
      <c r="AA431" s="334">
        <v>1036.21</v>
      </c>
      <c r="AB431" s="336">
        <v>4920</v>
      </c>
      <c r="AC431" s="334">
        <v>1035.6300000000001</v>
      </c>
      <c r="AD431" s="336">
        <v>4920</v>
      </c>
      <c r="AE431" s="334">
        <v>897.73400000000004</v>
      </c>
      <c r="AF431" s="336">
        <v>4920</v>
      </c>
      <c r="AG431" s="334">
        <v>897.40800000000002</v>
      </c>
      <c r="AH431" s="336">
        <v>4920</v>
      </c>
      <c r="AI431" s="334">
        <v>897.54600000000005</v>
      </c>
      <c r="AJ431" s="336">
        <v>4900</v>
      </c>
      <c r="AK431" s="334">
        <v>898.70699999999999</v>
      </c>
      <c r="AL431" s="336">
        <v>4920</v>
      </c>
      <c r="AM431" s="334">
        <v>898.29300000000001</v>
      </c>
      <c r="AN431" s="336">
        <v>4920</v>
      </c>
      <c r="AO431" s="334">
        <v>898.86800000000005</v>
      </c>
      <c r="AP431" s="336">
        <v>4910</v>
      </c>
      <c r="AQ431" s="333">
        <v>897.78200000000004</v>
      </c>
      <c r="AR431" s="336">
        <v>4920</v>
      </c>
      <c r="AS431" s="334">
        <v>897.50300000000004</v>
      </c>
      <c r="AT431" s="336">
        <v>4920</v>
      </c>
      <c r="AU431" s="334">
        <v>895.98800000000006</v>
      </c>
      <c r="AV431" s="336">
        <v>4920</v>
      </c>
      <c r="AW431" s="334">
        <v>895.89800000000002</v>
      </c>
      <c r="AX431" s="336">
        <v>4910</v>
      </c>
      <c r="AY431" s="334">
        <v>819.86900000000003</v>
      </c>
      <c r="AZ431" s="336">
        <v>4920</v>
      </c>
      <c r="BA431" s="337">
        <v>821.25300000000004</v>
      </c>
      <c r="BB431" s="336">
        <v>4900</v>
      </c>
      <c r="BC431" s="334">
        <v>224.8</v>
      </c>
      <c r="BD431" s="336">
        <v>4900</v>
      </c>
      <c r="BE431" s="334">
        <v>235.357</v>
      </c>
    </row>
    <row r="432" spans="22:57">
      <c r="V432" s="346">
        <v>4930</v>
      </c>
      <c r="W432" s="333">
        <v>476.15</v>
      </c>
      <c r="X432" s="346">
        <v>4940</v>
      </c>
      <c r="Y432" s="334">
        <v>472.66</v>
      </c>
      <c r="Z432" s="335">
        <v>4930</v>
      </c>
      <c r="AA432" s="334">
        <v>1034.711</v>
      </c>
      <c r="AB432" s="336">
        <v>4930</v>
      </c>
      <c r="AC432" s="334">
        <v>1034.136</v>
      </c>
      <c r="AD432" s="336">
        <v>4930</v>
      </c>
      <c r="AE432" s="334">
        <v>896.52099999999996</v>
      </c>
      <c r="AF432" s="336">
        <v>4930</v>
      </c>
      <c r="AG432" s="334">
        <v>896.19500000000005</v>
      </c>
      <c r="AH432" s="336">
        <v>4930</v>
      </c>
      <c r="AI432" s="334">
        <v>896.33299999999997</v>
      </c>
      <c r="AJ432" s="336">
        <v>4910</v>
      </c>
      <c r="AK432" s="334">
        <v>897.49400000000003</v>
      </c>
      <c r="AL432" s="336">
        <v>4930</v>
      </c>
      <c r="AM432" s="334">
        <v>897.08</v>
      </c>
      <c r="AN432" s="336">
        <v>4930</v>
      </c>
      <c r="AO432" s="334">
        <v>897.65499999999997</v>
      </c>
      <c r="AP432" s="336">
        <v>4920</v>
      </c>
      <c r="AQ432" s="333">
        <v>896.572</v>
      </c>
      <c r="AR432" s="336">
        <v>4930</v>
      </c>
      <c r="AS432" s="334">
        <v>896.29300000000001</v>
      </c>
      <c r="AT432" s="336">
        <v>4930</v>
      </c>
      <c r="AU432" s="334">
        <v>894.77599999999995</v>
      </c>
      <c r="AV432" s="336">
        <v>4930</v>
      </c>
      <c r="AW432" s="334">
        <v>894.68799999999999</v>
      </c>
      <c r="AX432" s="336">
        <v>4920</v>
      </c>
      <c r="AY432" s="334">
        <v>818.65800000000002</v>
      </c>
      <c r="AZ432" s="336">
        <v>4930</v>
      </c>
      <c r="BA432" s="337">
        <v>820.04399999999998</v>
      </c>
      <c r="BB432" s="336">
        <v>4910</v>
      </c>
      <c r="BC432" s="334">
        <v>224.405</v>
      </c>
      <c r="BD432" s="336">
        <v>4910</v>
      </c>
      <c r="BE432" s="334">
        <v>234.94800000000001</v>
      </c>
    </row>
    <row r="433" spans="22:57">
      <c r="V433" s="346">
        <v>4940</v>
      </c>
      <c r="W433" s="333">
        <v>475.36200000000002</v>
      </c>
      <c r="X433" s="346">
        <v>4950</v>
      </c>
      <c r="Y433" s="334">
        <v>471.87799999999999</v>
      </c>
      <c r="Z433" s="335">
        <v>4940</v>
      </c>
      <c r="AA433" s="334">
        <v>1033.213</v>
      </c>
      <c r="AB433" s="336">
        <v>4940</v>
      </c>
      <c r="AC433" s="334">
        <v>1032.6420000000001</v>
      </c>
      <c r="AD433" s="336">
        <v>4940</v>
      </c>
      <c r="AE433" s="334">
        <v>895.30700000000002</v>
      </c>
      <c r="AF433" s="336">
        <v>4940</v>
      </c>
      <c r="AG433" s="334">
        <v>894.98099999999999</v>
      </c>
      <c r="AH433" s="336">
        <v>4940</v>
      </c>
      <c r="AI433" s="334">
        <v>895.12099999999998</v>
      </c>
      <c r="AJ433" s="336">
        <v>4920</v>
      </c>
      <c r="AK433" s="334">
        <v>896.28099999999995</v>
      </c>
      <c r="AL433" s="336">
        <v>4940</v>
      </c>
      <c r="AM433" s="334">
        <v>895.86699999999996</v>
      </c>
      <c r="AN433" s="336">
        <v>4940</v>
      </c>
      <c r="AO433" s="334">
        <v>896.44299999999998</v>
      </c>
      <c r="AP433" s="336">
        <v>4930</v>
      </c>
      <c r="AQ433" s="333">
        <v>895.36300000000006</v>
      </c>
      <c r="AR433" s="336">
        <v>4940</v>
      </c>
      <c r="AS433" s="334">
        <v>895.08199999999999</v>
      </c>
      <c r="AT433" s="336">
        <v>4940</v>
      </c>
      <c r="AU433" s="334">
        <v>893.56500000000005</v>
      </c>
      <c r="AV433" s="336">
        <v>4940</v>
      </c>
      <c r="AW433" s="334">
        <v>893.47799999999995</v>
      </c>
      <c r="AX433" s="336">
        <v>4930</v>
      </c>
      <c r="AY433" s="334">
        <v>817.447</v>
      </c>
      <c r="AZ433" s="336">
        <v>4940</v>
      </c>
      <c r="BA433" s="337">
        <v>818.83399999999995</v>
      </c>
      <c r="BB433" s="336">
        <v>4920</v>
      </c>
      <c r="BC433" s="334">
        <v>224.01</v>
      </c>
      <c r="BD433" s="336">
        <v>4920</v>
      </c>
      <c r="BE433" s="334">
        <v>234.53899999999999</v>
      </c>
    </row>
    <row r="434" spans="22:57">
      <c r="V434" s="346">
        <v>4950</v>
      </c>
      <c r="W434" s="333">
        <v>474.57499999999999</v>
      </c>
      <c r="X434" s="346">
        <v>4960</v>
      </c>
      <c r="Y434" s="334">
        <v>471.096</v>
      </c>
      <c r="Z434" s="335">
        <v>4950</v>
      </c>
      <c r="AA434" s="334">
        <v>1031.7149999999999</v>
      </c>
      <c r="AB434" s="336">
        <v>4950</v>
      </c>
      <c r="AC434" s="334">
        <v>1031.1479999999999</v>
      </c>
      <c r="AD434" s="336">
        <v>4950</v>
      </c>
      <c r="AE434" s="334">
        <v>894.09400000000005</v>
      </c>
      <c r="AF434" s="336">
        <v>4950</v>
      </c>
      <c r="AG434" s="334">
        <v>893.76700000000005</v>
      </c>
      <c r="AH434" s="336">
        <v>4950</v>
      </c>
      <c r="AI434" s="334">
        <v>893.90800000000002</v>
      </c>
      <c r="AJ434" s="336">
        <v>4930</v>
      </c>
      <c r="AK434" s="334">
        <v>895.06799999999998</v>
      </c>
      <c r="AL434" s="336">
        <v>4950</v>
      </c>
      <c r="AM434" s="334">
        <v>894.654</v>
      </c>
      <c r="AN434" s="336">
        <v>4950</v>
      </c>
      <c r="AO434" s="334">
        <v>895.23099999999999</v>
      </c>
      <c r="AP434" s="336">
        <v>4940</v>
      </c>
      <c r="AQ434" s="333">
        <v>894.15300000000002</v>
      </c>
      <c r="AR434" s="336">
        <v>4950</v>
      </c>
      <c r="AS434" s="334">
        <v>893.87099999999998</v>
      </c>
      <c r="AT434" s="336">
        <v>4950</v>
      </c>
      <c r="AU434" s="334">
        <v>892.35299999999995</v>
      </c>
      <c r="AV434" s="336">
        <v>4950</v>
      </c>
      <c r="AW434" s="334">
        <v>892.26800000000003</v>
      </c>
      <c r="AX434" s="336">
        <v>4940</v>
      </c>
      <c r="AY434" s="334">
        <v>816.23699999999997</v>
      </c>
      <c r="AZ434" s="336">
        <v>4950</v>
      </c>
      <c r="BA434" s="337">
        <v>817.62400000000002</v>
      </c>
      <c r="BB434" s="336">
        <v>4930</v>
      </c>
      <c r="BC434" s="334">
        <v>223.61500000000001</v>
      </c>
      <c r="BD434" s="336">
        <v>4930</v>
      </c>
      <c r="BE434" s="334">
        <v>234.13</v>
      </c>
    </row>
    <row r="435" spans="22:57">
      <c r="V435" s="346">
        <v>4960</v>
      </c>
      <c r="W435" s="333">
        <v>473.78699999999998</v>
      </c>
      <c r="X435" s="346">
        <v>4970</v>
      </c>
      <c r="Y435" s="334">
        <v>470.315</v>
      </c>
      <c r="Z435" s="335">
        <v>4960</v>
      </c>
      <c r="AA435" s="334">
        <v>1030.2180000000001</v>
      </c>
      <c r="AB435" s="336">
        <v>4960</v>
      </c>
      <c r="AC435" s="334">
        <v>1029.654</v>
      </c>
      <c r="AD435" s="336">
        <v>4960</v>
      </c>
      <c r="AE435" s="334">
        <v>892.88099999999997</v>
      </c>
      <c r="AF435" s="336">
        <v>4960</v>
      </c>
      <c r="AG435" s="334">
        <v>892.55399999999997</v>
      </c>
      <c r="AH435" s="336">
        <v>4960</v>
      </c>
      <c r="AI435" s="334">
        <v>892.69500000000005</v>
      </c>
      <c r="AJ435" s="336">
        <v>4940</v>
      </c>
      <c r="AK435" s="334">
        <v>893.85400000000004</v>
      </c>
      <c r="AL435" s="336">
        <v>4960</v>
      </c>
      <c r="AM435" s="334">
        <v>893.44100000000003</v>
      </c>
      <c r="AN435" s="336">
        <v>4960</v>
      </c>
      <c r="AO435" s="334">
        <v>894.01800000000003</v>
      </c>
      <c r="AP435" s="336">
        <v>4950</v>
      </c>
      <c r="AQ435" s="333">
        <v>892.94299999999998</v>
      </c>
      <c r="AR435" s="336">
        <v>4960</v>
      </c>
      <c r="AS435" s="334">
        <v>892.66</v>
      </c>
      <c r="AT435" s="336">
        <v>4960</v>
      </c>
      <c r="AU435" s="334">
        <v>891.14200000000005</v>
      </c>
      <c r="AV435" s="336">
        <v>4960</v>
      </c>
      <c r="AW435" s="334">
        <v>891.05799999999999</v>
      </c>
      <c r="AX435" s="336">
        <v>4950</v>
      </c>
      <c r="AY435" s="334">
        <v>815.02599999999995</v>
      </c>
      <c r="AZ435" s="336">
        <v>4960</v>
      </c>
      <c r="BA435" s="337">
        <v>816.41499999999996</v>
      </c>
      <c r="BB435" s="336">
        <v>4940</v>
      </c>
      <c r="BC435" s="334">
        <v>223.22</v>
      </c>
      <c r="BD435" s="336">
        <v>4940</v>
      </c>
      <c r="BE435" s="334">
        <v>233.72200000000001</v>
      </c>
    </row>
    <row r="436" spans="22:57">
      <c r="V436" s="346">
        <v>4970</v>
      </c>
      <c r="W436" s="333">
        <v>473</v>
      </c>
      <c r="X436" s="346">
        <v>4980</v>
      </c>
      <c r="Y436" s="334">
        <v>469.53300000000002</v>
      </c>
      <c r="Z436" s="335">
        <v>4970</v>
      </c>
      <c r="AA436" s="334">
        <v>1028.72</v>
      </c>
      <c r="AB436" s="336">
        <v>4970</v>
      </c>
      <c r="AC436" s="334">
        <v>1028.1600000000001</v>
      </c>
      <c r="AD436" s="336">
        <v>4970</v>
      </c>
      <c r="AE436" s="334">
        <v>891.66800000000001</v>
      </c>
      <c r="AF436" s="336">
        <v>4970</v>
      </c>
      <c r="AG436" s="334">
        <v>891.34</v>
      </c>
      <c r="AH436" s="336">
        <v>4970</v>
      </c>
      <c r="AI436" s="334">
        <v>891.48199999999997</v>
      </c>
      <c r="AJ436" s="336">
        <v>4950</v>
      </c>
      <c r="AK436" s="334">
        <v>892.64099999999996</v>
      </c>
      <c r="AL436" s="336">
        <v>4970</v>
      </c>
      <c r="AM436" s="334">
        <v>892.22799999999995</v>
      </c>
      <c r="AN436" s="336">
        <v>4970</v>
      </c>
      <c r="AO436" s="334">
        <v>892.80600000000004</v>
      </c>
      <c r="AP436" s="336">
        <v>4960</v>
      </c>
      <c r="AQ436" s="333">
        <v>891.73299999999995</v>
      </c>
      <c r="AR436" s="336">
        <v>4970</v>
      </c>
      <c r="AS436" s="334">
        <v>891.45</v>
      </c>
      <c r="AT436" s="336">
        <v>4970</v>
      </c>
      <c r="AU436" s="334">
        <v>889.93100000000004</v>
      </c>
      <c r="AV436" s="336">
        <v>4970</v>
      </c>
      <c r="AW436" s="334">
        <v>889.84799999999996</v>
      </c>
      <c r="AX436" s="336">
        <v>4960</v>
      </c>
      <c r="AY436" s="334">
        <v>813.81500000000005</v>
      </c>
      <c r="AZ436" s="336">
        <v>4970</v>
      </c>
      <c r="BA436" s="337">
        <v>815.20500000000004</v>
      </c>
      <c r="BB436" s="336">
        <v>4950</v>
      </c>
      <c r="BC436" s="334">
        <v>222.82499999999999</v>
      </c>
      <c r="BD436" s="336">
        <v>4950</v>
      </c>
      <c r="BE436" s="334">
        <v>233.31299999999999</v>
      </c>
    </row>
    <row r="437" spans="22:57">
      <c r="V437" s="346">
        <v>4980</v>
      </c>
      <c r="W437" s="333">
        <v>472.21300000000002</v>
      </c>
      <c r="X437" s="346">
        <v>4990</v>
      </c>
      <c r="Y437" s="334">
        <v>468.75200000000001</v>
      </c>
      <c r="Z437" s="335">
        <v>4980</v>
      </c>
      <c r="AA437" s="334">
        <v>1027.222</v>
      </c>
      <c r="AB437" s="336">
        <v>4980</v>
      </c>
      <c r="AC437" s="334">
        <v>1026.6669999999999</v>
      </c>
      <c r="AD437" s="336">
        <v>4980</v>
      </c>
      <c r="AE437" s="334">
        <v>890.45500000000004</v>
      </c>
      <c r="AF437" s="336">
        <v>4980</v>
      </c>
      <c r="AG437" s="334">
        <v>890.12599999999998</v>
      </c>
      <c r="AH437" s="336">
        <v>4980</v>
      </c>
      <c r="AI437" s="334">
        <v>890.26900000000001</v>
      </c>
      <c r="AJ437" s="336">
        <v>4960</v>
      </c>
      <c r="AK437" s="334">
        <v>891.428</v>
      </c>
      <c r="AL437" s="336">
        <v>4980</v>
      </c>
      <c r="AM437" s="334">
        <v>891.01499999999999</v>
      </c>
      <c r="AN437" s="336">
        <v>4980</v>
      </c>
      <c r="AO437" s="334">
        <v>891.59400000000005</v>
      </c>
      <c r="AP437" s="336">
        <v>4970</v>
      </c>
      <c r="AQ437" s="333">
        <v>890.52300000000002</v>
      </c>
      <c r="AR437" s="336">
        <v>4980</v>
      </c>
      <c r="AS437" s="334">
        <v>890.23900000000003</v>
      </c>
      <c r="AT437" s="336">
        <v>4980</v>
      </c>
      <c r="AU437" s="334">
        <v>888.71900000000005</v>
      </c>
      <c r="AV437" s="336">
        <v>4980</v>
      </c>
      <c r="AW437" s="334">
        <v>888.63800000000003</v>
      </c>
      <c r="AX437" s="336">
        <v>4970</v>
      </c>
      <c r="AY437" s="334">
        <v>812.60400000000004</v>
      </c>
      <c r="AZ437" s="336">
        <v>4980</v>
      </c>
      <c r="BA437" s="337">
        <v>813.99599999999998</v>
      </c>
      <c r="BB437" s="336">
        <v>4960</v>
      </c>
      <c r="BC437" s="334">
        <v>222.43100000000001</v>
      </c>
      <c r="BD437" s="336">
        <v>4960</v>
      </c>
      <c r="BE437" s="334">
        <v>232.904</v>
      </c>
    </row>
    <row r="438" spans="22:57">
      <c r="V438" s="346">
        <v>4990</v>
      </c>
      <c r="W438" s="333">
        <v>471.42599999999999</v>
      </c>
      <c r="X438" s="346">
        <v>5000</v>
      </c>
      <c r="Y438" s="334">
        <v>467.97</v>
      </c>
      <c r="Z438" s="335">
        <v>4990</v>
      </c>
      <c r="AA438" s="334">
        <v>1025.7249999999999</v>
      </c>
      <c r="AB438" s="336">
        <v>4990</v>
      </c>
      <c r="AC438" s="334">
        <v>1025.173</v>
      </c>
      <c r="AD438" s="336">
        <v>4990</v>
      </c>
      <c r="AE438" s="334">
        <v>889.24199999999996</v>
      </c>
      <c r="AF438" s="336">
        <v>4990</v>
      </c>
      <c r="AG438" s="334">
        <v>888.91200000000003</v>
      </c>
      <c r="AH438" s="336">
        <v>4990</v>
      </c>
      <c r="AI438" s="334">
        <v>889.05700000000002</v>
      </c>
      <c r="AJ438" s="336">
        <v>4970</v>
      </c>
      <c r="AK438" s="334">
        <v>890.21500000000003</v>
      </c>
      <c r="AL438" s="336">
        <v>4990</v>
      </c>
      <c r="AM438" s="334">
        <v>889.80200000000002</v>
      </c>
      <c r="AN438" s="336">
        <v>4990</v>
      </c>
      <c r="AO438" s="334">
        <v>890.38199999999995</v>
      </c>
      <c r="AP438" s="336">
        <v>4980</v>
      </c>
      <c r="AQ438" s="333">
        <v>889.31399999999996</v>
      </c>
      <c r="AR438" s="336">
        <v>4990</v>
      </c>
      <c r="AS438" s="334">
        <v>889.02800000000002</v>
      </c>
      <c r="AT438" s="336">
        <v>4990</v>
      </c>
      <c r="AU438" s="334">
        <v>887.50800000000004</v>
      </c>
      <c r="AV438" s="336">
        <v>4990</v>
      </c>
      <c r="AW438" s="334">
        <v>887.428</v>
      </c>
      <c r="AX438" s="336">
        <v>4980</v>
      </c>
      <c r="AY438" s="334">
        <v>811.39400000000001</v>
      </c>
      <c r="AZ438" s="336">
        <v>4990</v>
      </c>
      <c r="BA438" s="337">
        <v>812.78599999999994</v>
      </c>
      <c r="BB438" s="336">
        <v>4970</v>
      </c>
      <c r="BC438" s="334">
        <v>222.036</v>
      </c>
      <c r="BD438" s="336">
        <v>4970</v>
      </c>
      <c r="BE438" s="334">
        <v>232.495</v>
      </c>
    </row>
    <row r="439" spans="22:57">
      <c r="V439" s="346">
        <v>5000</v>
      </c>
      <c r="W439" s="333">
        <v>470.63900000000001</v>
      </c>
      <c r="X439" s="346">
        <v>5010</v>
      </c>
      <c r="Y439" s="334">
        <v>467.18900000000002</v>
      </c>
      <c r="Z439" s="335">
        <v>5000</v>
      </c>
      <c r="AA439" s="334">
        <v>1024.2280000000001</v>
      </c>
      <c r="AB439" s="336">
        <v>5000</v>
      </c>
      <c r="AC439" s="334">
        <v>1023.68</v>
      </c>
      <c r="AD439" s="336">
        <v>5000</v>
      </c>
      <c r="AE439" s="334">
        <v>888.029</v>
      </c>
      <c r="AF439" s="336">
        <v>5000</v>
      </c>
      <c r="AG439" s="334">
        <v>887.69899999999996</v>
      </c>
      <c r="AH439" s="336">
        <v>5000</v>
      </c>
      <c r="AI439" s="334">
        <v>887.84400000000005</v>
      </c>
      <c r="AJ439" s="336">
        <v>4980</v>
      </c>
      <c r="AK439" s="334">
        <v>889.00199999999995</v>
      </c>
      <c r="AL439" s="336">
        <v>5000</v>
      </c>
      <c r="AM439" s="334">
        <v>888.58900000000006</v>
      </c>
      <c r="AN439" s="336">
        <v>5000</v>
      </c>
      <c r="AO439" s="334">
        <v>889.16899999999998</v>
      </c>
      <c r="AP439" s="336">
        <v>4990</v>
      </c>
      <c r="AQ439" s="333">
        <v>888.10400000000004</v>
      </c>
      <c r="AR439" s="336">
        <v>5000</v>
      </c>
      <c r="AS439" s="334">
        <v>887.81700000000001</v>
      </c>
      <c r="AT439" s="336">
        <v>5000</v>
      </c>
      <c r="AU439" s="334">
        <v>886.29600000000005</v>
      </c>
      <c r="AV439" s="336">
        <v>5000</v>
      </c>
      <c r="AW439" s="334">
        <v>886.21799999999996</v>
      </c>
      <c r="AX439" s="336">
        <v>4990</v>
      </c>
      <c r="AY439" s="334">
        <v>810.18299999999999</v>
      </c>
      <c r="AZ439" s="336">
        <v>5000</v>
      </c>
      <c r="BA439" s="337">
        <v>811.57600000000002</v>
      </c>
      <c r="BB439" s="336">
        <v>4980</v>
      </c>
      <c r="BC439" s="334">
        <v>221.64099999999999</v>
      </c>
      <c r="BD439" s="336">
        <v>4980</v>
      </c>
      <c r="BE439" s="334">
        <v>232.08699999999999</v>
      </c>
    </row>
    <row r="440" spans="22:57">
      <c r="V440" s="346">
        <v>5010</v>
      </c>
      <c r="W440" s="333">
        <v>469.85300000000001</v>
      </c>
      <c r="X440" s="346">
        <v>5020</v>
      </c>
      <c r="Y440" s="334">
        <v>466.40800000000002</v>
      </c>
      <c r="Z440" s="335">
        <v>5010</v>
      </c>
      <c r="AA440" s="334">
        <v>1022.731</v>
      </c>
      <c r="AB440" s="336">
        <v>5010</v>
      </c>
      <c r="AC440" s="334">
        <v>1022.187</v>
      </c>
      <c r="AD440" s="336">
        <v>5010</v>
      </c>
      <c r="AE440" s="334">
        <v>886.81600000000003</v>
      </c>
      <c r="AF440" s="336">
        <v>5010</v>
      </c>
      <c r="AG440" s="334">
        <v>886.48500000000001</v>
      </c>
      <c r="AH440" s="336">
        <v>5010</v>
      </c>
      <c r="AI440" s="334">
        <v>886.63099999999997</v>
      </c>
      <c r="AJ440" s="336">
        <v>4990</v>
      </c>
      <c r="AK440" s="334">
        <v>887.78899999999999</v>
      </c>
      <c r="AL440" s="336">
        <v>5010</v>
      </c>
      <c r="AM440" s="334">
        <v>887.37599999999998</v>
      </c>
      <c r="AN440" s="336">
        <v>5010</v>
      </c>
      <c r="AO440" s="334">
        <v>887.95699999999999</v>
      </c>
      <c r="AP440" s="336">
        <v>5000</v>
      </c>
      <c r="AQ440" s="333">
        <v>886.89400000000001</v>
      </c>
      <c r="AR440" s="336">
        <v>5010</v>
      </c>
      <c r="AS440" s="334">
        <v>886.60699999999997</v>
      </c>
      <c r="AT440" s="336">
        <v>5010</v>
      </c>
      <c r="AU440" s="334">
        <v>885.08500000000004</v>
      </c>
      <c r="AV440" s="336">
        <v>5010</v>
      </c>
      <c r="AW440" s="334">
        <v>885.00800000000004</v>
      </c>
      <c r="AX440" s="336">
        <v>5000</v>
      </c>
      <c r="AY440" s="334">
        <v>808.97199999999998</v>
      </c>
      <c r="AZ440" s="336">
        <v>5010</v>
      </c>
      <c r="BA440" s="337">
        <v>810.36699999999996</v>
      </c>
      <c r="BB440" s="336">
        <v>4990</v>
      </c>
      <c r="BC440" s="334">
        <v>221.24700000000001</v>
      </c>
      <c r="BD440" s="336">
        <v>4990</v>
      </c>
      <c r="BE440" s="334">
        <v>231.678</v>
      </c>
    </row>
    <row r="441" spans="22:57">
      <c r="V441" s="346">
        <v>5020</v>
      </c>
      <c r="W441" s="333">
        <v>469.06700000000001</v>
      </c>
      <c r="X441" s="346">
        <v>5030</v>
      </c>
      <c r="Y441" s="334">
        <v>465.62799999999999</v>
      </c>
      <c r="Z441" s="335">
        <v>5020</v>
      </c>
      <c r="AA441" s="334">
        <v>1021.234</v>
      </c>
      <c r="AB441" s="336">
        <v>5020</v>
      </c>
      <c r="AC441" s="334">
        <v>1020.694</v>
      </c>
      <c r="AD441" s="336">
        <v>5020</v>
      </c>
      <c r="AE441" s="334">
        <v>885.60299999999995</v>
      </c>
      <c r="AF441" s="336">
        <v>5020</v>
      </c>
      <c r="AG441" s="334">
        <v>885.27099999999996</v>
      </c>
      <c r="AH441" s="336">
        <v>5020</v>
      </c>
      <c r="AI441" s="334">
        <v>885.41800000000001</v>
      </c>
      <c r="AJ441" s="336">
        <v>5000</v>
      </c>
      <c r="AK441" s="334">
        <v>886.57600000000002</v>
      </c>
      <c r="AL441" s="336">
        <v>5020</v>
      </c>
      <c r="AM441" s="334">
        <v>886.16300000000001</v>
      </c>
      <c r="AN441" s="336">
        <v>5020</v>
      </c>
      <c r="AO441" s="334">
        <v>886.745</v>
      </c>
      <c r="AP441" s="336">
        <v>5010</v>
      </c>
      <c r="AQ441" s="333">
        <v>885.68399999999997</v>
      </c>
      <c r="AR441" s="336">
        <v>5020</v>
      </c>
      <c r="AS441" s="334">
        <v>885.39599999999996</v>
      </c>
      <c r="AT441" s="336">
        <v>5020</v>
      </c>
      <c r="AU441" s="334">
        <v>883.87300000000005</v>
      </c>
      <c r="AV441" s="336">
        <v>5020</v>
      </c>
      <c r="AW441" s="334">
        <v>883.798</v>
      </c>
      <c r="AX441" s="336">
        <v>5010</v>
      </c>
      <c r="AY441" s="334">
        <v>807.76099999999997</v>
      </c>
      <c r="AZ441" s="336">
        <v>5020</v>
      </c>
      <c r="BA441" s="337">
        <v>809.15700000000004</v>
      </c>
      <c r="BB441" s="336">
        <v>5000</v>
      </c>
      <c r="BC441" s="334">
        <v>220.852</v>
      </c>
      <c r="BD441" s="336">
        <v>5000</v>
      </c>
      <c r="BE441" s="334">
        <v>231.26900000000001</v>
      </c>
    </row>
    <row r="442" spans="22:57">
      <c r="V442" s="346">
        <v>5030</v>
      </c>
      <c r="W442" s="333">
        <v>468.28</v>
      </c>
      <c r="X442" s="346">
        <v>5040</v>
      </c>
      <c r="Y442" s="334">
        <v>464.84699999999998</v>
      </c>
      <c r="Z442" s="335">
        <v>5030</v>
      </c>
      <c r="AA442" s="334">
        <v>1019.737</v>
      </c>
      <c r="AB442" s="336">
        <v>5030</v>
      </c>
      <c r="AC442" s="352">
        <v>1019.201</v>
      </c>
      <c r="AD442" s="336">
        <v>5030</v>
      </c>
      <c r="AE442" s="334">
        <v>884.39</v>
      </c>
      <c r="AF442" s="336">
        <v>5030</v>
      </c>
      <c r="AG442" s="334">
        <v>884.05799999999999</v>
      </c>
      <c r="AH442" s="336">
        <v>5030</v>
      </c>
      <c r="AI442" s="334">
        <v>884.20500000000004</v>
      </c>
      <c r="AJ442" s="336">
        <v>5010</v>
      </c>
      <c r="AK442" s="334">
        <v>885.36300000000006</v>
      </c>
      <c r="AL442" s="336">
        <v>5030</v>
      </c>
      <c r="AM442" s="334">
        <v>884.95</v>
      </c>
      <c r="AN442" s="336">
        <v>5030</v>
      </c>
      <c r="AO442" s="334">
        <v>885.53200000000004</v>
      </c>
      <c r="AP442" s="336">
        <v>5020</v>
      </c>
      <c r="AQ442" s="333">
        <v>884.47500000000002</v>
      </c>
      <c r="AR442" s="336">
        <v>5030</v>
      </c>
      <c r="AS442" s="334">
        <v>884.18499999999995</v>
      </c>
      <c r="AT442" s="336">
        <v>5030</v>
      </c>
      <c r="AU442" s="334">
        <v>882.66200000000003</v>
      </c>
      <c r="AV442" s="336">
        <v>5030</v>
      </c>
      <c r="AW442" s="334">
        <v>882.58799999999997</v>
      </c>
      <c r="AX442" s="336">
        <v>5020</v>
      </c>
      <c r="AY442" s="334">
        <v>806.55</v>
      </c>
      <c r="AZ442" s="336">
        <v>5030</v>
      </c>
      <c r="BA442" s="337">
        <v>807.947</v>
      </c>
      <c r="BB442" s="336">
        <v>5010</v>
      </c>
      <c r="BC442" s="334">
        <v>220.45699999999999</v>
      </c>
      <c r="BD442" s="336">
        <v>5010</v>
      </c>
      <c r="BE442" s="334">
        <v>230.86099999999999</v>
      </c>
    </row>
    <row r="443" spans="22:57">
      <c r="V443" s="346">
        <v>5040</v>
      </c>
      <c r="W443" s="333">
        <v>467.49400000000003</v>
      </c>
      <c r="X443" s="346">
        <v>5050</v>
      </c>
      <c r="Y443" s="334">
        <v>464.06700000000001</v>
      </c>
      <c r="Z443" s="335">
        <v>5040</v>
      </c>
      <c r="AA443" s="334">
        <v>1018.24</v>
      </c>
      <c r="AB443" s="336">
        <v>5040</v>
      </c>
      <c r="AC443" s="352">
        <v>1017.708</v>
      </c>
      <c r="AD443" s="336">
        <v>5040</v>
      </c>
      <c r="AE443" s="334">
        <v>883.17700000000002</v>
      </c>
      <c r="AF443" s="336">
        <v>5040</v>
      </c>
      <c r="AG443" s="334">
        <v>882.84400000000005</v>
      </c>
      <c r="AH443" s="336">
        <v>5040</v>
      </c>
      <c r="AI443" s="334">
        <v>882.99300000000005</v>
      </c>
      <c r="AJ443" s="336">
        <v>5020</v>
      </c>
      <c r="AK443" s="334">
        <v>884.15</v>
      </c>
      <c r="AL443" s="336">
        <v>5040</v>
      </c>
      <c r="AM443" s="334">
        <v>883.73800000000006</v>
      </c>
      <c r="AN443" s="336">
        <v>5040</v>
      </c>
      <c r="AO443" s="334">
        <v>884.32</v>
      </c>
      <c r="AP443" s="336">
        <v>5030</v>
      </c>
      <c r="AQ443" s="333">
        <v>883.26499999999999</v>
      </c>
      <c r="AR443" s="336">
        <v>5040</v>
      </c>
      <c r="AS443" s="334">
        <v>882.97400000000005</v>
      </c>
      <c r="AT443" s="336">
        <v>5040</v>
      </c>
      <c r="AU443" s="334">
        <v>881.45100000000002</v>
      </c>
      <c r="AV443" s="336">
        <v>5040</v>
      </c>
      <c r="AW443" s="334">
        <v>881.37800000000004</v>
      </c>
      <c r="AX443" s="336">
        <v>5030</v>
      </c>
      <c r="AY443" s="334">
        <v>805.34</v>
      </c>
      <c r="AZ443" s="336">
        <v>5040</v>
      </c>
      <c r="BA443" s="337">
        <v>806.73800000000006</v>
      </c>
      <c r="BB443" s="336">
        <v>5020</v>
      </c>
      <c r="BC443" s="334">
        <v>220.06299999999999</v>
      </c>
      <c r="BD443" s="336">
        <v>5020</v>
      </c>
      <c r="BE443" s="334">
        <v>230.452</v>
      </c>
    </row>
    <row r="444" spans="22:57">
      <c r="V444" s="346">
        <v>5050</v>
      </c>
      <c r="W444" s="333">
        <v>466.709</v>
      </c>
      <c r="X444" s="346">
        <v>5060</v>
      </c>
      <c r="Y444" s="334">
        <v>463.28699999999998</v>
      </c>
      <c r="Z444" s="335">
        <v>5050</v>
      </c>
      <c r="AA444" s="334">
        <v>1016.7430000000001</v>
      </c>
      <c r="AB444" s="336">
        <v>5050</v>
      </c>
      <c r="AC444" s="334">
        <v>1016.215</v>
      </c>
      <c r="AD444" s="336">
        <v>5050</v>
      </c>
      <c r="AE444" s="334">
        <v>881.96400000000006</v>
      </c>
      <c r="AF444" s="336">
        <v>5050</v>
      </c>
      <c r="AG444" s="334">
        <v>881.63</v>
      </c>
      <c r="AH444" s="336">
        <v>5050</v>
      </c>
      <c r="AI444" s="334">
        <v>881.78</v>
      </c>
      <c r="AJ444" s="336">
        <v>5030</v>
      </c>
      <c r="AK444" s="334">
        <v>882.93700000000001</v>
      </c>
      <c r="AL444" s="336">
        <v>5050</v>
      </c>
      <c r="AM444" s="334">
        <v>882.52499999999998</v>
      </c>
      <c r="AN444" s="336">
        <v>5050</v>
      </c>
      <c r="AO444" s="334">
        <v>883.10799999999995</v>
      </c>
      <c r="AP444" s="336">
        <v>5040</v>
      </c>
      <c r="AQ444" s="333">
        <v>882.05499999999995</v>
      </c>
      <c r="AR444" s="336">
        <v>5050</v>
      </c>
      <c r="AS444" s="334">
        <v>881.76400000000001</v>
      </c>
      <c r="AT444" s="336">
        <v>5050</v>
      </c>
      <c r="AU444" s="334">
        <v>880.23900000000003</v>
      </c>
      <c r="AV444" s="336">
        <v>5050</v>
      </c>
      <c r="AW444" s="334">
        <v>880.16800000000001</v>
      </c>
      <c r="AX444" s="336">
        <v>5040</v>
      </c>
      <c r="AY444" s="334">
        <v>804.12900000000002</v>
      </c>
      <c r="AZ444" s="336">
        <v>5050</v>
      </c>
      <c r="BA444" s="337">
        <v>805.52800000000002</v>
      </c>
      <c r="BB444" s="336">
        <v>5030</v>
      </c>
      <c r="BC444" s="334">
        <v>219.66800000000001</v>
      </c>
      <c r="BD444" s="336">
        <v>5030</v>
      </c>
      <c r="BE444" s="334">
        <v>230.04400000000001</v>
      </c>
    </row>
    <row r="445" spans="22:57">
      <c r="V445" s="346">
        <v>5060</v>
      </c>
      <c r="W445" s="333">
        <v>465.923</v>
      </c>
      <c r="X445" s="346">
        <v>5070</v>
      </c>
      <c r="Y445" s="334">
        <v>462.50700000000001</v>
      </c>
      <c r="Z445" s="335">
        <v>5060</v>
      </c>
      <c r="AA445" s="334">
        <v>1015.247</v>
      </c>
      <c r="AB445" s="336">
        <v>5060</v>
      </c>
      <c r="AC445" s="334">
        <v>1014.722</v>
      </c>
      <c r="AD445" s="336">
        <v>5060</v>
      </c>
      <c r="AE445" s="334">
        <v>880.75099999999998</v>
      </c>
      <c r="AF445" s="336">
        <v>5060</v>
      </c>
      <c r="AG445" s="334">
        <v>880.41700000000003</v>
      </c>
      <c r="AH445" s="336">
        <v>5060</v>
      </c>
      <c r="AI445" s="334">
        <v>880.56700000000001</v>
      </c>
      <c r="AJ445" s="336">
        <v>5040</v>
      </c>
      <c r="AK445" s="334">
        <v>881.72400000000005</v>
      </c>
      <c r="AL445" s="336">
        <v>5060</v>
      </c>
      <c r="AM445" s="334">
        <v>881.31200000000001</v>
      </c>
      <c r="AN445" s="336">
        <v>5060</v>
      </c>
      <c r="AO445" s="334">
        <v>881.89599999999996</v>
      </c>
      <c r="AP445" s="336">
        <v>5050</v>
      </c>
      <c r="AQ445" s="333">
        <v>880.84500000000003</v>
      </c>
      <c r="AR445" s="336">
        <v>5060</v>
      </c>
      <c r="AS445" s="334">
        <v>880.553</v>
      </c>
      <c r="AT445" s="336">
        <v>5060</v>
      </c>
      <c r="AU445" s="334">
        <v>879.02800000000002</v>
      </c>
      <c r="AV445" s="336">
        <v>5060</v>
      </c>
      <c r="AW445" s="334">
        <v>878.95799999999997</v>
      </c>
      <c r="AX445" s="336">
        <v>5050</v>
      </c>
      <c r="AY445" s="334">
        <v>802.91800000000001</v>
      </c>
      <c r="AZ445" s="336">
        <v>5060</v>
      </c>
      <c r="BA445" s="337">
        <v>804.31799999999998</v>
      </c>
      <c r="BB445" s="336">
        <v>5040</v>
      </c>
      <c r="BC445" s="334">
        <v>219.274</v>
      </c>
      <c r="BD445" s="336">
        <v>5040</v>
      </c>
      <c r="BE445" s="334">
        <v>229.63499999999999</v>
      </c>
    </row>
    <row r="446" spans="22:57">
      <c r="V446" s="346">
        <v>5070</v>
      </c>
      <c r="W446" s="333">
        <v>465.137</v>
      </c>
      <c r="X446" s="346">
        <v>5080</v>
      </c>
      <c r="Y446" s="334">
        <v>461.72699999999998</v>
      </c>
      <c r="Z446" s="335">
        <v>5070</v>
      </c>
      <c r="AA446" s="334">
        <v>1013.751</v>
      </c>
      <c r="AB446" s="336">
        <v>5070</v>
      </c>
      <c r="AC446" s="334">
        <v>1013.23</v>
      </c>
      <c r="AD446" s="336">
        <v>5070</v>
      </c>
      <c r="AE446" s="334">
        <v>879.53800000000001</v>
      </c>
      <c r="AF446" s="336">
        <v>5070</v>
      </c>
      <c r="AG446" s="334">
        <v>879.20299999999997</v>
      </c>
      <c r="AH446" s="336">
        <v>5070</v>
      </c>
      <c r="AI446" s="334">
        <v>879.35400000000004</v>
      </c>
      <c r="AJ446" s="336">
        <v>5050</v>
      </c>
      <c r="AK446" s="334">
        <v>880.51099999999997</v>
      </c>
      <c r="AL446" s="336">
        <v>5070</v>
      </c>
      <c r="AM446" s="334">
        <v>880.09900000000005</v>
      </c>
      <c r="AN446" s="336">
        <v>5070</v>
      </c>
      <c r="AO446" s="334">
        <v>880.68299999999999</v>
      </c>
      <c r="AP446" s="336">
        <v>5060</v>
      </c>
      <c r="AQ446" s="333">
        <v>879.63499999999999</v>
      </c>
      <c r="AR446" s="336">
        <v>5070</v>
      </c>
      <c r="AS446" s="334">
        <v>879.34199999999998</v>
      </c>
      <c r="AT446" s="336">
        <v>5070</v>
      </c>
      <c r="AU446" s="334">
        <v>877.81600000000003</v>
      </c>
      <c r="AV446" s="336">
        <v>5070</v>
      </c>
      <c r="AW446" s="334">
        <v>877.74800000000005</v>
      </c>
      <c r="AX446" s="336">
        <v>5060</v>
      </c>
      <c r="AY446" s="334">
        <v>801.70699999999999</v>
      </c>
      <c r="AZ446" s="336">
        <v>5070</v>
      </c>
      <c r="BA446" s="337">
        <v>803.10900000000004</v>
      </c>
      <c r="BB446" s="336">
        <v>5050</v>
      </c>
      <c r="BC446" s="334">
        <v>218.88</v>
      </c>
      <c r="BD446" s="336">
        <v>5050</v>
      </c>
      <c r="BE446" s="334">
        <v>229.227</v>
      </c>
    </row>
    <row r="447" spans="22:57">
      <c r="V447" s="346">
        <v>5080</v>
      </c>
      <c r="W447" s="333">
        <v>464.35199999999998</v>
      </c>
      <c r="X447" s="346">
        <v>5090</v>
      </c>
      <c r="Y447" s="334">
        <v>460.947</v>
      </c>
      <c r="Z447" s="335">
        <v>5080</v>
      </c>
      <c r="AA447" s="334">
        <v>1012.254</v>
      </c>
      <c r="AB447" s="336">
        <v>5080</v>
      </c>
      <c r="AC447" s="334">
        <v>1011.737</v>
      </c>
      <c r="AD447" s="336">
        <v>5080</v>
      </c>
      <c r="AE447" s="334">
        <v>878.32500000000005</v>
      </c>
      <c r="AF447" s="336">
        <v>5080</v>
      </c>
      <c r="AG447" s="334">
        <v>877.98900000000003</v>
      </c>
      <c r="AH447" s="336">
        <v>5080</v>
      </c>
      <c r="AI447" s="334">
        <v>878.14099999999996</v>
      </c>
      <c r="AJ447" s="336">
        <v>5060</v>
      </c>
      <c r="AK447" s="334">
        <v>879.29700000000003</v>
      </c>
      <c r="AL447" s="336">
        <v>5080</v>
      </c>
      <c r="AM447" s="334">
        <v>878.88599999999997</v>
      </c>
      <c r="AN447" s="336">
        <v>5080</v>
      </c>
      <c r="AO447" s="334">
        <v>879.471</v>
      </c>
      <c r="AP447" s="336">
        <v>5070</v>
      </c>
      <c r="AQ447" s="333">
        <v>878.42600000000004</v>
      </c>
      <c r="AR447" s="336">
        <v>5080</v>
      </c>
      <c r="AS447" s="334">
        <v>878.13099999999997</v>
      </c>
      <c r="AT447" s="336">
        <v>5080</v>
      </c>
      <c r="AU447" s="334">
        <v>876.60500000000002</v>
      </c>
      <c r="AV447" s="336">
        <v>5080</v>
      </c>
      <c r="AW447" s="334">
        <v>876.53899999999999</v>
      </c>
      <c r="AX447" s="336">
        <v>5070</v>
      </c>
      <c r="AY447" s="334">
        <v>800.49699999999996</v>
      </c>
      <c r="AZ447" s="336">
        <v>5080</v>
      </c>
      <c r="BA447" s="337">
        <v>801.899</v>
      </c>
      <c r="BB447" s="336">
        <v>5060</v>
      </c>
      <c r="BC447" s="334">
        <v>218.48500000000001</v>
      </c>
      <c r="BD447" s="336">
        <v>5060</v>
      </c>
      <c r="BE447" s="334">
        <v>228.81899999999999</v>
      </c>
    </row>
    <row r="448" spans="22:57">
      <c r="V448" s="346">
        <v>5090</v>
      </c>
      <c r="W448" s="333">
        <v>463.56700000000001</v>
      </c>
      <c r="X448" s="346">
        <v>5100</v>
      </c>
      <c r="Y448" s="334">
        <v>460.16800000000001</v>
      </c>
      <c r="Z448" s="335">
        <v>5090</v>
      </c>
      <c r="AA448" s="334">
        <v>1010.758</v>
      </c>
      <c r="AB448" s="336">
        <v>5090</v>
      </c>
      <c r="AC448" s="334">
        <v>1010.245</v>
      </c>
      <c r="AD448" s="336">
        <v>5090</v>
      </c>
      <c r="AE448" s="334">
        <v>877.11199999999997</v>
      </c>
      <c r="AF448" s="336">
        <v>5090</v>
      </c>
      <c r="AG448" s="334">
        <v>876.77599999999995</v>
      </c>
      <c r="AH448" s="336">
        <v>5090</v>
      </c>
      <c r="AI448" s="334">
        <v>876.92899999999997</v>
      </c>
      <c r="AJ448" s="336">
        <v>5070</v>
      </c>
      <c r="AK448" s="334">
        <v>878.08399999999995</v>
      </c>
      <c r="AL448" s="336">
        <v>5090</v>
      </c>
      <c r="AM448" s="334">
        <v>877.673</v>
      </c>
      <c r="AN448" s="336">
        <v>5090</v>
      </c>
      <c r="AO448" s="334">
        <v>878.25900000000001</v>
      </c>
      <c r="AP448" s="336">
        <v>5080</v>
      </c>
      <c r="AQ448" s="333">
        <v>877.21600000000001</v>
      </c>
      <c r="AR448" s="336">
        <v>5090</v>
      </c>
      <c r="AS448" s="334">
        <v>876.92</v>
      </c>
      <c r="AT448" s="336">
        <v>5090</v>
      </c>
      <c r="AU448" s="334">
        <v>875.39400000000001</v>
      </c>
      <c r="AV448" s="336">
        <v>5090</v>
      </c>
      <c r="AW448" s="334">
        <v>875.32899999999995</v>
      </c>
      <c r="AX448" s="336">
        <v>5080</v>
      </c>
      <c r="AY448" s="334">
        <v>799.28599999999994</v>
      </c>
      <c r="AZ448" s="336">
        <v>5090</v>
      </c>
      <c r="BA448" s="337">
        <v>800.68899999999996</v>
      </c>
      <c r="BB448" s="336">
        <v>5070</v>
      </c>
      <c r="BC448" s="334">
        <v>218.09100000000001</v>
      </c>
      <c r="BD448" s="336">
        <v>5070</v>
      </c>
      <c r="BE448" s="334">
        <v>228.41</v>
      </c>
    </row>
    <row r="449" spans="22:57">
      <c r="V449" s="346">
        <v>5100</v>
      </c>
      <c r="W449" s="333">
        <v>462.78199999999998</v>
      </c>
      <c r="X449" s="346">
        <v>5110</v>
      </c>
      <c r="Y449" s="334">
        <v>459.38799999999998</v>
      </c>
      <c r="Z449" s="335">
        <v>5100</v>
      </c>
      <c r="AA449" s="334">
        <v>1009.2619999999999</v>
      </c>
      <c r="AB449" s="336">
        <v>5100</v>
      </c>
      <c r="AC449" s="334">
        <v>1008.753</v>
      </c>
      <c r="AD449" s="336">
        <v>5100</v>
      </c>
      <c r="AE449" s="334">
        <v>875.899</v>
      </c>
      <c r="AF449" s="336">
        <v>5100</v>
      </c>
      <c r="AG449" s="334">
        <v>875.56200000000001</v>
      </c>
      <c r="AH449" s="336">
        <v>5100</v>
      </c>
      <c r="AI449" s="334">
        <v>875.71600000000001</v>
      </c>
      <c r="AJ449" s="336">
        <v>5080</v>
      </c>
      <c r="AK449" s="334">
        <v>876.87099999999998</v>
      </c>
      <c r="AL449" s="336">
        <v>5100</v>
      </c>
      <c r="AM449" s="334">
        <v>876.46</v>
      </c>
      <c r="AN449" s="336">
        <v>5100</v>
      </c>
      <c r="AO449" s="334">
        <v>877.04700000000003</v>
      </c>
      <c r="AP449" s="336">
        <v>5090</v>
      </c>
      <c r="AQ449" s="333">
        <v>876.00599999999997</v>
      </c>
      <c r="AR449" s="336">
        <v>5100</v>
      </c>
      <c r="AS449" s="334">
        <v>875.71</v>
      </c>
      <c r="AT449" s="336">
        <v>5100</v>
      </c>
      <c r="AU449" s="334">
        <v>874.18200000000002</v>
      </c>
      <c r="AV449" s="336">
        <v>5100</v>
      </c>
      <c r="AW449" s="334">
        <v>874.11900000000003</v>
      </c>
      <c r="AX449" s="336">
        <v>5090</v>
      </c>
      <c r="AY449" s="334">
        <v>798.07500000000005</v>
      </c>
      <c r="AZ449" s="336">
        <v>5100</v>
      </c>
      <c r="BA449" s="337">
        <v>799.48</v>
      </c>
      <c r="BB449" s="336">
        <v>5080</v>
      </c>
      <c r="BC449" s="334">
        <v>217.697</v>
      </c>
      <c r="BD449" s="336">
        <v>5080</v>
      </c>
      <c r="BE449" s="334">
        <v>228.00200000000001</v>
      </c>
    </row>
    <row r="450" spans="22:57">
      <c r="V450" s="346">
        <v>5110</v>
      </c>
      <c r="W450" s="333">
        <v>461.99700000000001</v>
      </c>
      <c r="X450" s="346">
        <v>5120</v>
      </c>
      <c r="Y450" s="334">
        <v>458.60899999999998</v>
      </c>
      <c r="Z450" s="335">
        <v>5110</v>
      </c>
      <c r="AA450" s="334">
        <v>1007.766</v>
      </c>
      <c r="AB450" s="336">
        <v>5110</v>
      </c>
      <c r="AC450" s="334">
        <v>1007.261</v>
      </c>
      <c r="AD450" s="336">
        <v>5110</v>
      </c>
      <c r="AE450" s="334">
        <v>874.68600000000004</v>
      </c>
      <c r="AF450" s="336">
        <v>5110</v>
      </c>
      <c r="AG450" s="334">
        <v>874.34799999999996</v>
      </c>
      <c r="AH450" s="336">
        <v>5110</v>
      </c>
      <c r="AI450" s="334">
        <v>874.50300000000004</v>
      </c>
      <c r="AJ450" s="336">
        <v>5090</v>
      </c>
      <c r="AK450" s="334">
        <v>875.65800000000002</v>
      </c>
      <c r="AL450" s="336">
        <v>5110</v>
      </c>
      <c r="AM450" s="334">
        <v>875.24699999999996</v>
      </c>
      <c r="AN450" s="336">
        <v>5110</v>
      </c>
      <c r="AO450" s="334">
        <v>875.83399999999995</v>
      </c>
      <c r="AP450" s="336">
        <v>5100</v>
      </c>
      <c r="AQ450" s="333">
        <v>874.79600000000005</v>
      </c>
      <c r="AR450" s="336">
        <v>5110</v>
      </c>
      <c r="AS450" s="334">
        <v>874.49900000000002</v>
      </c>
      <c r="AT450" s="336">
        <v>5110</v>
      </c>
      <c r="AU450" s="334">
        <v>872.971</v>
      </c>
      <c r="AV450" s="336">
        <v>5110</v>
      </c>
      <c r="AW450" s="334">
        <v>872.90899999999999</v>
      </c>
      <c r="AX450" s="336">
        <v>5100</v>
      </c>
      <c r="AY450" s="334">
        <v>796.86400000000003</v>
      </c>
      <c r="AZ450" s="336">
        <v>5110</v>
      </c>
      <c r="BA450" s="337">
        <v>798.27</v>
      </c>
      <c r="BB450" s="336">
        <v>5090</v>
      </c>
      <c r="BC450" s="334">
        <v>217.303</v>
      </c>
      <c r="BD450" s="336">
        <v>5090</v>
      </c>
      <c r="BE450" s="334">
        <v>227.59399999999999</v>
      </c>
    </row>
    <row r="451" spans="22:57">
      <c r="V451" s="346">
        <v>5120</v>
      </c>
      <c r="W451" s="333">
        <v>461.21300000000002</v>
      </c>
      <c r="X451" s="346">
        <v>5130</v>
      </c>
      <c r="Y451" s="334">
        <v>457.83</v>
      </c>
      <c r="Z451" s="335">
        <v>5120</v>
      </c>
      <c r="AA451" s="334">
        <v>1006.271</v>
      </c>
      <c r="AB451" s="336">
        <v>5120</v>
      </c>
      <c r="AC451" s="334">
        <v>1005.769</v>
      </c>
      <c r="AD451" s="336">
        <v>5120</v>
      </c>
      <c r="AE451" s="334">
        <v>873.47299999999996</v>
      </c>
      <c r="AF451" s="336">
        <v>5120</v>
      </c>
      <c r="AG451" s="334">
        <v>873.13499999999999</v>
      </c>
      <c r="AH451" s="336">
        <v>5120</v>
      </c>
      <c r="AI451" s="334">
        <v>873.29</v>
      </c>
      <c r="AJ451" s="336">
        <v>5100</v>
      </c>
      <c r="AK451" s="334">
        <v>874.44500000000005</v>
      </c>
      <c r="AL451" s="336">
        <v>5120</v>
      </c>
      <c r="AM451" s="334">
        <v>874.03399999999999</v>
      </c>
      <c r="AN451" s="336">
        <v>5120</v>
      </c>
      <c r="AO451" s="334">
        <v>874.62199999999996</v>
      </c>
      <c r="AP451" s="336">
        <v>5110</v>
      </c>
      <c r="AQ451" s="333">
        <v>873.58600000000001</v>
      </c>
      <c r="AR451" s="336">
        <v>5120</v>
      </c>
      <c r="AS451" s="334">
        <v>873.28800000000001</v>
      </c>
      <c r="AT451" s="336">
        <v>5120</v>
      </c>
      <c r="AU451" s="334">
        <v>871.75900000000001</v>
      </c>
      <c r="AV451" s="336">
        <v>5120</v>
      </c>
      <c r="AW451" s="334">
        <v>871.69899999999996</v>
      </c>
      <c r="AX451" s="336">
        <v>5110</v>
      </c>
      <c r="AY451" s="334">
        <v>795.654</v>
      </c>
      <c r="AZ451" s="336">
        <v>5120</v>
      </c>
      <c r="BA451" s="337">
        <v>797.06</v>
      </c>
      <c r="BB451" s="336">
        <v>5100</v>
      </c>
      <c r="BC451" s="334">
        <v>216.90799999999999</v>
      </c>
      <c r="BD451" s="336">
        <v>5100</v>
      </c>
      <c r="BE451" s="334">
        <v>227.18600000000001</v>
      </c>
    </row>
    <row r="452" spans="22:57">
      <c r="V452" s="346">
        <v>5130</v>
      </c>
      <c r="W452" s="333">
        <v>460.42899999999997</v>
      </c>
      <c r="X452" s="346">
        <v>5140</v>
      </c>
      <c r="Y452" s="334">
        <v>457.05099999999999</v>
      </c>
      <c r="Z452" s="335">
        <v>5130</v>
      </c>
      <c r="AA452" s="334">
        <v>1004.775</v>
      </c>
      <c r="AB452" s="336">
        <v>5130</v>
      </c>
      <c r="AC452" s="334">
        <v>1004.277</v>
      </c>
      <c r="AD452" s="336">
        <v>5130</v>
      </c>
      <c r="AE452" s="334">
        <v>872.26</v>
      </c>
      <c r="AF452" s="336">
        <v>5130</v>
      </c>
      <c r="AG452" s="334">
        <v>871.92100000000005</v>
      </c>
      <c r="AH452" s="336">
        <v>5130</v>
      </c>
      <c r="AI452" s="334">
        <v>872.07799999999997</v>
      </c>
      <c r="AJ452" s="336">
        <v>5110</v>
      </c>
      <c r="AK452" s="334">
        <v>873.23199999999997</v>
      </c>
      <c r="AL452" s="336">
        <v>5130</v>
      </c>
      <c r="AM452" s="334">
        <v>872.822</v>
      </c>
      <c r="AN452" s="336">
        <v>5130</v>
      </c>
      <c r="AO452" s="334">
        <v>873.41</v>
      </c>
      <c r="AP452" s="336">
        <v>5120</v>
      </c>
      <c r="AQ452" s="333">
        <v>872.37599999999998</v>
      </c>
      <c r="AR452" s="336">
        <v>5130</v>
      </c>
      <c r="AS452" s="334">
        <v>872.077</v>
      </c>
      <c r="AT452" s="336">
        <v>5130</v>
      </c>
      <c r="AU452" s="334">
        <v>870.548</v>
      </c>
      <c r="AV452" s="336">
        <v>5130</v>
      </c>
      <c r="AW452" s="334">
        <v>870.48900000000003</v>
      </c>
      <c r="AX452" s="336">
        <v>5120</v>
      </c>
      <c r="AY452" s="334">
        <v>794.44299999999998</v>
      </c>
      <c r="AZ452" s="336">
        <v>5130</v>
      </c>
      <c r="BA452" s="337">
        <v>795.851</v>
      </c>
      <c r="BB452" s="336">
        <v>5110</v>
      </c>
      <c r="BC452" s="334">
        <v>216.51400000000001</v>
      </c>
      <c r="BD452" s="336">
        <v>5110</v>
      </c>
      <c r="BE452" s="334">
        <v>226.77799999999999</v>
      </c>
    </row>
    <row r="453" spans="22:57">
      <c r="V453" s="346">
        <v>5140</v>
      </c>
      <c r="W453" s="333">
        <v>459.64400000000001</v>
      </c>
      <c r="X453" s="346">
        <v>5150</v>
      </c>
      <c r="Y453" s="334">
        <v>456.27300000000002</v>
      </c>
      <c r="Z453" s="335">
        <v>5140</v>
      </c>
      <c r="AA453" s="334">
        <v>1003.279</v>
      </c>
      <c r="AB453" s="336">
        <v>5140</v>
      </c>
      <c r="AC453" s="334">
        <v>1002.785</v>
      </c>
      <c r="AD453" s="336">
        <v>5140</v>
      </c>
      <c r="AE453" s="334">
        <v>871.04700000000003</v>
      </c>
      <c r="AF453" s="336">
        <v>5140</v>
      </c>
      <c r="AG453" s="334">
        <v>870.70699999999999</v>
      </c>
      <c r="AH453" s="336">
        <v>5140</v>
      </c>
      <c r="AI453" s="334">
        <v>870.86500000000001</v>
      </c>
      <c r="AJ453" s="336">
        <v>5120</v>
      </c>
      <c r="AK453" s="334">
        <v>872.01900000000001</v>
      </c>
      <c r="AL453" s="336">
        <v>5140</v>
      </c>
      <c r="AM453" s="334">
        <v>871.60900000000004</v>
      </c>
      <c r="AN453" s="336">
        <v>5140</v>
      </c>
      <c r="AO453" s="334">
        <v>872.19799999999998</v>
      </c>
      <c r="AP453" s="336">
        <v>5130</v>
      </c>
      <c r="AQ453" s="333">
        <v>871.16700000000003</v>
      </c>
      <c r="AR453" s="336">
        <v>5140</v>
      </c>
      <c r="AS453" s="334">
        <v>870.86699999999996</v>
      </c>
      <c r="AT453" s="336">
        <v>5140</v>
      </c>
      <c r="AU453" s="334">
        <v>869.33600000000001</v>
      </c>
      <c r="AV453" s="336">
        <v>5140</v>
      </c>
      <c r="AW453" s="334">
        <v>869.279</v>
      </c>
      <c r="AX453" s="336">
        <v>5130</v>
      </c>
      <c r="AY453" s="334">
        <v>793.23199999999997</v>
      </c>
      <c r="AZ453" s="336">
        <v>5140</v>
      </c>
      <c r="BA453" s="337">
        <v>794.64099999999996</v>
      </c>
      <c r="BB453" s="336">
        <v>5120</v>
      </c>
      <c r="BC453" s="334">
        <v>216.12</v>
      </c>
      <c r="BD453" s="336">
        <v>5120</v>
      </c>
      <c r="BE453" s="334">
        <v>226.369</v>
      </c>
    </row>
    <row r="454" spans="22:57">
      <c r="V454" s="346">
        <v>5150</v>
      </c>
      <c r="W454" s="333">
        <v>458.86</v>
      </c>
      <c r="X454" s="346">
        <v>5160</v>
      </c>
      <c r="Y454" s="334">
        <v>455.49400000000003</v>
      </c>
      <c r="Z454" s="335">
        <v>5150</v>
      </c>
      <c r="AA454" s="334">
        <v>1001.784</v>
      </c>
      <c r="AB454" s="336">
        <v>5150</v>
      </c>
      <c r="AC454" s="334">
        <v>1001.293</v>
      </c>
      <c r="AD454" s="336">
        <v>5150</v>
      </c>
      <c r="AE454" s="334">
        <v>869.83399999999995</v>
      </c>
      <c r="AF454" s="336">
        <v>5150</v>
      </c>
      <c r="AG454" s="334">
        <v>869.49400000000003</v>
      </c>
      <c r="AH454" s="336">
        <v>5150</v>
      </c>
      <c r="AI454" s="334">
        <v>869.65200000000004</v>
      </c>
      <c r="AJ454" s="336">
        <v>5130</v>
      </c>
      <c r="AK454" s="334">
        <v>870.80600000000004</v>
      </c>
      <c r="AL454" s="336">
        <v>5150</v>
      </c>
      <c r="AM454" s="334">
        <v>870.39599999999996</v>
      </c>
      <c r="AN454" s="336">
        <v>5150</v>
      </c>
      <c r="AO454" s="334">
        <v>870.98500000000001</v>
      </c>
      <c r="AP454" s="336">
        <v>5140</v>
      </c>
      <c r="AQ454" s="333">
        <v>869.95699999999999</v>
      </c>
      <c r="AR454" s="336">
        <v>5150</v>
      </c>
      <c r="AS454" s="334">
        <v>869.65599999999995</v>
      </c>
      <c r="AT454" s="336">
        <v>5150</v>
      </c>
      <c r="AU454" s="334">
        <v>868.125</v>
      </c>
      <c r="AV454" s="336">
        <v>5150</v>
      </c>
      <c r="AW454" s="334">
        <v>868.06899999999996</v>
      </c>
      <c r="AX454" s="336">
        <v>5140</v>
      </c>
      <c r="AY454" s="334">
        <v>792.02099999999996</v>
      </c>
      <c r="AZ454" s="336">
        <v>5150</v>
      </c>
      <c r="BA454" s="337">
        <v>793.43100000000004</v>
      </c>
      <c r="BB454" s="336">
        <v>5130</v>
      </c>
      <c r="BC454" s="334">
        <v>215.726</v>
      </c>
      <c r="BD454" s="336">
        <v>5130</v>
      </c>
      <c r="BE454" s="334">
        <v>225.96100000000001</v>
      </c>
    </row>
    <row r="455" spans="22:57">
      <c r="V455" s="346">
        <v>5160</v>
      </c>
      <c r="W455" s="333">
        <v>458.077</v>
      </c>
      <c r="X455" s="346">
        <v>5170</v>
      </c>
      <c r="Y455" s="334">
        <v>454.71600000000001</v>
      </c>
      <c r="Z455" s="335">
        <v>5160</v>
      </c>
      <c r="AA455" s="334">
        <v>1000.289</v>
      </c>
      <c r="AB455" s="336">
        <v>5160</v>
      </c>
      <c r="AC455" s="334">
        <v>999.80200000000002</v>
      </c>
      <c r="AD455" s="336">
        <v>5160</v>
      </c>
      <c r="AE455" s="334">
        <v>868.62099999999998</v>
      </c>
      <c r="AF455" s="336">
        <v>5160</v>
      </c>
      <c r="AG455" s="334">
        <v>868.28</v>
      </c>
      <c r="AH455" s="336">
        <v>5160</v>
      </c>
      <c r="AI455" s="334">
        <v>868.43899999999996</v>
      </c>
      <c r="AJ455" s="336">
        <v>5140</v>
      </c>
      <c r="AK455" s="334">
        <v>869.59299999999996</v>
      </c>
      <c r="AL455" s="336">
        <v>5160</v>
      </c>
      <c r="AM455" s="334">
        <v>869.18299999999999</v>
      </c>
      <c r="AN455" s="336">
        <v>5160</v>
      </c>
      <c r="AO455" s="334">
        <v>869.77300000000002</v>
      </c>
      <c r="AP455" s="336">
        <v>5150</v>
      </c>
      <c r="AQ455" s="333">
        <v>868.74699999999996</v>
      </c>
      <c r="AR455" s="336">
        <v>5160</v>
      </c>
      <c r="AS455" s="334">
        <v>868.44500000000005</v>
      </c>
      <c r="AT455" s="336">
        <v>5160</v>
      </c>
      <c r="AU455" s="334">
        <v>866.91399999999999</v>
      </c>
      <c r="AV455" s="336">
        <v>5160</v>
      </c>
      <c r="AW455" s="334">
        <v>866.85900000000004</v>
      </c>
      <c r="AX455" s="336">
        <v>5150</v>
      </c>
      <c r="AY455" s="334">
        <v>790.81100000000004</v>
      </c>
      <c r="AZ455" s="336">
        <v>5160</v>
      </c>
      <c r="BA455" s="337">
        <v>792.22199999999998</v>
      </c>
      <c r="BB455" s="336">
        <v>5140</v>
      </c>
      <c r="BC455" s="334">
        <v>215.33199999999999</v>
      </c>
      <c r="BD455" s="336">
        <v>5140</v>
      </c>
      <c r="BE455" s="334">
        <v>225.553</v>
      </c>
    </row>
    <row r="456" spans="22:57">
      <c r="V456" s="346">
        <v>5170</v>
      </c>
      <c r="W456" s="333">
        <v>457.29300000000001</v>
      </c>
      <c r="X456" s="346">
        <v>5180</v>
      </c>
      <c r="Y456" s="334">
        <v>453.93799999999999</v>
      </c>
      <c r="Z456" s="335">
        <v>5170</v>
      </c>
      <c r="AA456" s="334">
        <v>998.79399999999998</v>
      </c>
      <c r="AB456" s="336">
        <v>5170</v>
      </c>
      <c r="AC456" s="334">
        <v>998.31100000000004</v>
      </c>
      <c r="AD456" s="336">
        <v>5170</v>
      </c>
      <c r="AE456" s="334">
        <v>867.40800000000002</v>
      </c>
      <c r="AF456" s="336">
        <v>5170</v>
      </c>
      <c r="AG456" s="334">
        <v>867.06600000000003</v>
      </c>
      <c r="AH456" s="336">
        <v>5170</v>
      </c>
      <c r="AI456" s="334">
        <v>867.22699999999998</v>
      </c>
      <c r="AJ456" s="336">
        <v>5150</v>
      </c>
      <c r="AK456" s="334">
        <v>868.38</v>
      </c>
      <c r="AL456" s="336">
        <v>5170</v>
      </c>
      <c r="AM456" s="334">
        <v>867.97</v>
      </c>
      <c r="AN456" s="336">
        <v>5170</v>
      </c>
      <c r="AO456" s="334">
        <v>868.56100000000004</v>
      </c>
      <c r="AP456" s="336">
        <v>5160</v>
      </c>
      <c r="AQ456" s="333">
        <v>867.53700000000003</v>
      </c>
      <c r="AR456" s="336">
        <v>5170</v>
      </c>
      <c r="AS456" s="334">
        <v>867.23400000000004</v>
      </c>
      <c r="AT456" s="336">
        <v>5170</v>
      </c>
      <c r="AU456" s="334">
        <v>865.702</v>
      </c>
      <c r="AV456" s="336">
        <v>5170</v>
      </c>
      <c r="AW456" s="334">
        <v>865.649</v>
      </c>
      <c r="AX456" s="336">
        <v>5160</v>
      </c>
      <c r="AY456" s="334">
        <v>789.6</v>
      </c>
      <c r="AZ456" s="336">
        <v>5170</v>
      </c>
      <c r="BA456" s="337">
        <v>791.01199999999994</v>
      </c>
      <c r="BB456" s="336">
        <v>5150</v>
      </c>
      <c r="BC456" s="334">
        <v>214.93799999999999</v>
      </c>
      <c r="BD456" s="336">
        <v>5150</v>
      </c>
      <c r="BE456" s="334">
        <v>225.14500000000001</v>
      </c>
    </row>
    <row r="457" spans="22:57">
      <c r="V457" s="346">
        <v>5180</v>
      </c>
      <c r="W457" s="333">
        <v>456.50900000000001</v>
      </c>
      <c r="X457" s="346">
        <v>5190</v>
      </c>
      <c r="Y457" s="334">
        <v>453.16</v>
      </c>
      <c r="Z457" s="335">
        <v>5180</v>
      </c>
      <c r="AA457" s="334">
        <v>997.29899999999998</v>
      </c>
      <c r="AB457" s="336">
        <v>5180</v>
      </c>
      <c r="AC457" s="334">
        <v>996.81899999999996</v>
      </c>
      <c r="AD457" s="336">
        <v>5180</v>
      </c>
      <c r="AE457" s="334">
        <v>866.19500000000005</v>
      </c>
      <c r="AF457" s="336">
        <v>5180</v>
      </c>
      <c r="AG457" s="334">
        <v>865.85299999999995</v>
      </c>
      <c r="AH457" s="336">
        <v>5180</v>
      </c>
      <c r="AI457" s="334">
        <v>866.01400000000001</v>
      </c>
      <c r="AJ457" s="336">
        <v>5160</v>
      </c>
      <c r="AK457" s="334">
        <v>867.16700000000003</v>
      </c>
      <c r="AL457" s="336">
        <v>5180</v>
      </c>
      <c r="AM457" s="334">
        <v>866.75699999999995</v>
      </c>
      <c r="AN457" s="336">
        <v>5180</v>
      </c>
      <c r="AO457" s="334">
        <v>867.34799999999996</v>
      </c>
      <c r="AP457" s="336">
        <v>5170</v>
      </c>
      <c r="AQ457" s="333">
        <v>866.327</v>
      </c>
      <c r="AR457" s="336">
        <v>5180</v>
      </c>
      <c r="AS457" s="334">
        <v>866.02300000000002</v>
      </c>
      <c r="AT457" s="336">
        <v>5180</v>
      </c>
      <c r="AU457" s="334">
        <v>864.49099999999999</v>
      </c>
      <c r="AV457" s="336">
        <v>5180</v>
      </c>
      <c r="AW457" s="334">
        <v>864.43899999999996</v>
      </c>
      <c r="AX457" s="336">
        <v>5170</v>
      </c>
      <c r="AY457" s="334">
        <v>788.38900000000001</v>
      </c>
      <c r="AZ457" s="336">
        <v>5180</v>
      </c>
      <c r="BA457" s="337">
        <v>789.80200000000002</v>
      </c>
      <c r="BB457" s="336">
        <v>5160</v>
      </c>
      <c r="BC457" s="334">
        <v>214.54400000000001</v>
      </c>
      <c r="BD457" s="336">
        <v>5160</v>
      </c>
      <c r="BE457" s="334">
        <v>224.73699999999999</v>
      </c>
    </row>
    <row r="458" spans="22:57">
      <c r="V458" s="346">
        <v>5190</v>
      </c>
      <c r="W458" s="333">
        <v>455.726</v>
      </c>
      <c r="X458" s="346">
        <v>5200</v>
      </c>
      <c r="Y458" s="334">
        <v>452.38200000000001</v>
      </c>
      <c r="Z458" s="335">
        <v>5190</v>
      </c>
      <c r="AA458" s="334">
        <v>995.80399999999997</v>
      </c>
      <c r="AB458" s="336">
        <v>5190</v>
      </c>
      <c r="AC458" s="334">
        <v>995.32799999999997</v>
      </c>
      <c r="AD458" s="336">
        <v>5190</v>
      </c>
      <c r="AE458" s="334">
        <v>864.98199999999997</v>
      </c>
      <c r="AF458" s="336">
        <v>5190</v>
      </c>
      <c r="AG458" s="334">
        <v>864.63900000000001</v>
      </c>
      <c r="AH458" s="336">
        <v>5190</v>
      </c>
      <c r="AI458" s="334">
        <v>864.80100000000004</v>
      </c>
      <c r="AJ458" s="336">
        <v>5170</v>
      </c>
      <c r="AK458" s="334">
        <v>865.95399999999995</v>
      </c>
      <c r="AL458" s="336">
        <v>5190</v>
      </c>
      <c r="AM458" s="334">
        <v>865.54399999999998</v>
      </c>
      <c r="AN458" s="336">
        <v>5190</v>
      </c>
      <c r="AO458" s="334">
        <v>866.13599999999997</v>
      </c>
      <c r="AP458" s="336">
        <v>5180</v>
      </c>
      <c r="AQ458" s="333">
        <v>865.11800000000005</v>
      </c>
      <c r="AR458" s="336">
        <v>5190</v>
      </c>
      <c r="AS458" s="334">
        <v>864.81299999999999</v>
      </c>
      <c r="AT458" s="336">
        <v>5190</v>
      </c>
      <c r="AU458" s="334">
        <v>863.279</v>
      </c>
      <c r="AV458" s="336">
        <v>5190</v>
      </c>
      <c r="AW458" s="334">
        <v>863.22900000000004</v>
      </c>
      <c r="AX458" s="336">
        <v>5180</v>
      </c>
      <c r="AY458" s="334">
        <v>787.178</v>
      </c>
      <c r="AZ458" s="336">
        <v>5190</v>
      </c>
      <c r="BA458" s="337">
        <v>788.59299999999996</v>
      </c>
      <c r="BB458" s="336">
        <v>5170</v>
      </c>
      <c r="BC458" s="334">
        <v>214.15</v>
      </c>
      <c r="BD458" s="336">
        <v>5170</v>
      </c>
      <c r="BE458" s="334">
        <v>224.33</v>
      </c>
    </row>
    <row r="459" spans="22:57">
      <c r="V459" s="346">
        <v>5200</v>
      </c>
      <c r="W459" s="333">
        <v>454.94299999999998</v>
      </c>
      <c r="X459" s="346">
        <v>5210</v>
      </c>
      <c r="Y459" s="334">
        <v>451.60500000000002</v>
      </c>
      <c r="Z459" s="335">
        <v>5200</v>
      </c>
      <c r="AA459" s="334">
        <v>994.30899999999997</v>
      </c>
      <c r="AB459" s="336">
        <v>5200</v>
      </c>
      <c r="AC459" s="334">
        <v>993.83699999999999</v>
      </c>
      <c r="AD459" s="336">
        <v>5200</v>
      </c>
      <c r="AE459" s="334">
        <v>863.76900000000001</v>
      </c>
      <c r="AF459" s="336">
        <v>5200</v>
      </c>
      <c r="AG459" s="334">
        <v>863.42499999999995</v>
      </c>
      <c r="AH459" s="336">
        <v>5200</v>
      </c>
      <c r="AI459" s="334">
        <v>863.58799999999997</v>
      </c>
      <c r="AJ459" s="336">
        <v>5180</v>
      </c>
      <c r="AK459" s="334">
        <v>864.74099999999999</v>
      </c>
      <c r="AL459" s="336">
        <v>5200</v>
      </c>
      <c r="AM459" s="334">
        <v>864.33199999999999</v>
      </c>
      <c r="AN459" s="336">
        <v>5200</v>
      </c>
      <c r="AO459" s="334">
        <v>864.92399999999998</v>
      </c>
      <c r="AP459" s="336">
        <v>5190</v>
      </c>
      <c r="AQ459" s="333">
        <v>863.90800000000002</v>
      </c>
      <c r="AR459" s="336">
        <v>5200</v>
      </c>
      <c r="AS459" s="334">
        <v>863.60199999999998</v>
      </c>
      <c r="AT459" s="336">
        <v>5200</v>
      </c>
      <c r="AU459" s="334">
        <v>862.06799999999998</v>
      </c>
      <c r="AV459" s="336">
        <v>5200</v>
      </c>
      <c r="AW459" s="334">
        <v>862.01900000000001</v>
      </c>
      <c r="AX459" s="336">
        <v>5190</v>
      </c>
      <c r="AY459" s="334">
        <v>785.96799999999996</v>
      </c>
      <c r="AZ459" s="336">
        <v>5200</v>
      </c>
      <c r="BA459" s="337">
        <v>787.38300000000004</v>
      </c>
      <c r="BB459" s="336">
        <v>5180</v>
      </c>
      <c r="BC459" s="334">
        <v>213.75700000000001</v>
      </c>
      <c r="BD459" s="336">
        <v>5180</v>
      </c>
      <c r="BE459" s="334">
        <v>223.922</v>
      </c>
    </row>
    <row r="460" spans="22:57">
      <c r="V460" s="346">
        <v>5210</v>
      </c>
      <c r="W460" s="333">
        <v>454.16</v>
      </c>
      <c r="X460" s="346">
        <v>5220</v>
      </c>
      <c r="Y460" s="334">
        <v>450.827</v>
      </c>
      <c r="Z460" s="335">
        <v>5210</v>
      </c>
      <c r="AA460" s="334">
        <v>992.81500000000005</v>
      </c>
      <c r="AB460" s="336">
        <v>5210</v>
      </c>
      <c r="AC460" s="334">
        <v>992.346</v>
      </c>
      <c r="AD460" s="336">
        <v>5210</v>
      </c>
      <c r="AE460" s="334">
        <v>862.55600000000004</v>
      </c>
      <c r="AF460" s="336">
        <v>5210</v>
      </c>
      <c r="AG460" s="334">
        <v>862.21199999999999</v>
      </c>
      <c r="AH460" s="336">
        <v>5210</v>
      </c>
      <c r="AI460" s="334">
        <v>862.37599999999998</v>
      </c>
      <c r="AJ460" s="336">
        <v>5190</v>
      </c>
      <c r="AK460" s="334">
        <v>863.52800000000002</v>
      </c>
      <c r="AL460" s="336">
        <v>5210</v>
      </c>
      <c r="AM460" s="334">
        <v>863.11900000000003</v>
      </c>
      <c r="AN460" s="336">
        <v>5210</v>
      </c>
      <c r="AO460" s="334">
        <v>863.71199999999999</v>
      </c>
      <c r="AP460" s="336">
        <v>5200</v>
      </c>
      <c r="AQ460" s="333">
        <v>862.69799999999998</v>
      </c>
      <c r="AR460" s="336">
        <v>5210</v>
      </c>
      <c r="AS460" s="334">
        <v>862.39099999999996</v>
      </c>
      <c r="AT460" s="336">
        <v>5210</v>
      </c>
      <c r="AU460" s="334">
        <v>860.85699999999997</v>
      </c>
      <c r="AV460" s="336">
        <v>5210</v>
      </c>
      <c r="AW460" s="334">
        <v>860.80899999999997</v>
      </c>
      <c r="AX460" s="336">
        <v>5200</v>
      </c>
      <c r="AY460" s="334">
        <v>784.75699999999995</v>
      </c>
      <c r="AZ460" s="336">
        <v>5210</v>
      </c>
      <c r="BA460" s="337">
        <v>786.173</v>
      </c>
      <c r="BB460" s="336">
        <v>5190</v>
      </c>
      <c r="BC460" s="334">
        <v>213.363</v>
      </c>
      <c r="BD460" s="336">
        <v>5190</v>
      </c>
      <c r="BE460" s="334">
        <v>223.51400000000001</v>
      </c>
    </row>
    <row r="461" spans="22:57">
      <c r="V461" s="346">
        <v>5220</v>
      </c>
      <c r="W461" s="333">
        <v>453.37700000000001</v>
      </c>
      <c r="X461" s="346">
        <v>5230</v>
      </c>
      <c r="Y461" s="334">
        <v>450.05</v>
      </c>
      <c r="Z461" s="335">
        <v>5220</v>
      </c>
      <c r="AA461" s="334">
        <v>991.32</v>
      </c>
      <c r="AB461" s="336">
        <v>5220</v>
      </c>
      <c r="AC461" s="334">
        <v>990.85500000000002</v>
      </c>
      <c r="AD461" s="336">
        <v>5220</v>
      </c>
      <c r="AE461" s="334">
        <v>861.34299999999996</v>
      </c>
      <c r="AF461" s="336">
        <v>5220</v>
      </c>
      <c r="AG461" s="334">
        <v>860.99800000000005</v>
      </c>
      <c r="AH461" s="336">
        <v>5220</v>
      </c>
      <c r="AI461" s="334">
        <v>861.16300000000001</v>
      </c>
      <c r="AJ461" s="336">
        <v>5200</v>
      </c>
      <c r="AK461" s="334">
        <v>862.31500000000005</v>
      </c>
      <c r="AL461" s="336">
        <v>5220</v>
      </c>
      <c r="AM461" s="334">
        <v>861.90599999999995</v>
      </c>
      <c r="AN461" s="336">
        <v>5220</v>
      </c>
      <c r="AO461" s="334">
        <v>862.49900000000002</v>
      </c>
      <c r="AP461" s="336">
        <v>5210</v>
      </c>
      <c r="AQ461" s="333">
        <v>861.48800000000006</v>
      </c>
      <c r="AR461" s="336">
        <v>5220</v>
      </c>
      <c r="AS461" s="334">
        <v>861.18</v>
      </c>
      <c r="AT461" s="336">
        <v>5220</v>
      </c>
      <c r="AU461" s="334">
        <v>859.64499999999998</v>
      </c>
      <c r="AV461" s="336">
        <v>5220</v>
      </c>
      <c r="AW461" s="334">
        <v>859.59900000000005</v>
      </c>
      <c r="AX461" s="336">
        <v>5210</v>
      </c>
      <c r="AY461" s="334">
        <v>783.54600000000005</v>
      </c>
      <c r="AZ461" s="336">
        <v>5220</v>
      </c>
      <c r="BA461" s="337">
        <v>784.96400000000006</v>
      </c>
      <c r="BB461" s="336">
        <v>5200</v>
      </c>
      <c r="BC461" s="334">
        <v>212.96899999999999</v>
      </c>
      <c r="BD461" s="336">
        <v>5200</v>
      </c>
      <c r="BE461" s="334">
        <v>223.10599999999999</v>
      </c>
    </row>
    <row r="462" spans="22:57">
      <c r="V462" s="346">
        <v>5230</v>
      </c>
      <c r="W462" s="333">
        <v>452.59500000000003</v>
      </c>
      <c r="X462" s="346">
        <v>5240</v>
      </c>
      <c r="Y462" s="334">
        <v>449.27300000000002</v>
      </c>
      <c r="Z462" s="335">
        <v>5230</v>
      </c>
      <c r="AA462" s="334">
        <v>989.82600000000002</v>
      </c>
      <c r="AB462" s="336">
        <v>5230</v>
      </c>
      <c r="AC462" s="334">
        <v>989.36500000000001</v>
      </c>
      <c r="AD462" s="336">
        <v>5230</v>
      </c>
      <c r="AE462" s="334">
        <v>860.13</v>
      </c>
      <c r="AF462" s="336">
        <v>5230</v>
      </c>
      <c r="AG462" s="334">
        <v>859.78399999999999</v>
      </c>
      <c r="AH462" s="336">
        <v>5230</v>
      </c>
      <c r="AI462" s="334">
        <v>859.95</v>
      </c>
      <c r="AJ462" s="336">
        <v>5210</v>
      </c>
      <c r="AK462" s="334">
        <v>861.10199999999998</v>
      </c>
      <c r="AL462" s="336">
        <v>5230</v>
      </c>
      <c r="AM462" s="334">
        <v>860.69299999999998</v>
      </c>
      <c r="AN462" s="336">
        <v>5230</v>
      </c>
      <c r="AO462" s="334">
        <v>861.28700000000003</v>
      </c>
      <c r="AP462" s="336">
        <v>5220</v>
      </c>
      <c r="AQ462" s="333">
        <v>860.27800000000002</v>
      </c>
      <c r="AR462" s="336">
        <v>5230</v>
      </c>
      <c r="AS462" s="334">
        <v>859.97</v>
      </c>
      <c r="AT462" s="336">
        <v>5230</v>
      </c>
      <c r="AU462" s="334">
        <v>858.43399999999997</v>
      </c>
      <c r="AV462" s="336">
        <v>5230</v>
      </c>
      <c r="AW462" s="334">
        <v>858.38900000000001</v>
      </c>
      <c r="AX462" s="336">
        <v>5220</v>
      </c>
      <c r="AY462" s="334">
        <v>782.33500000000004</v>
      </c>
      <c r="AZ462" s="336">
        <v>5230</v>
      </c>
      <c r="BA462" s="337">
        <v>783.75400000000002</v>
      </c>
      <c r="BB462" s="336">
        <v>5210</v>
      </c>
      <c r="BC462" s="334">
        <v>212.57499999999999</v>
      </c>
      <c r="BD462" s="336">
        <v>5210</v>
      </c>
      <c r="BE462" s="334">
        <v>222.69800000000001</v>
      </c>
    </row>
    <row r="463" spans="22:57">
      <c r="V463" s="346">
        <v>5240</v>
      </c>
      <c r="W463" s="333">
        <v>451.81200000000001</v>
      </c>
      <c r="X463" s="346">
        <v>5250</v>
      </c>
      <c r="Y463" s="334">
        <v>448.49599999999998</v>
      </c>
      <c r="Z463" s="335">
        <v>5240</v>
      </c>
      <c r="AA463" s="334">
        <v>988.33199999999999</v>
      </c>
      <c r="AB463" s="336">
        <v>5240</v>
      </c>
      <c r="AC463" s="334">
        <v>987.87400000000002</v>
      </c>
      <c r="AD463" s="336">
        <v>5240</v>
      </c>
      <c r="AE463" s="334">
        <v>858.91700000000003</v>
      </c>
      <c r="AF463" s="336">
        <v>5240</v>
      </c>
      <c r="AG463" s="334">
        <v>858.57100000000003</v>
      </c>
      <c r="AH463" s="336">
        <v>5240</v>
      </c>
      <c r="AI463" s="334">
        <v>858.73699999999997</v>
      </c>
      <c r="AJ463" s="336">
        <v>5220</v>
      </c>
      <c r="AK463" s="334">
        <v>859.88900000000001</v>
      </c>
      <c r="AL463" s="336">
        <v>5240</v>
      </c>
      <c r="AM463" s="334">
        <v>859.48</v>
      </c>
      <c r="AN463" s="336">
        <v>5240</v>
      </c>
      <c r="AO463" s="334">
        <v>860.07500000000005</v>
      </c>
      <c r="AP463" s="336">
        <v>5230</v>
      </c>
      <c r="AQ463" s="333">
        <v>859.06799999999998</v>
      </c>
      <c r="AR463" s="336">
        <v>5240</v>
      </c>
      <c r="AS463" s="334">
        <v>858.75900000000001</v>
      </c>
      <c r="AT463" s="336">
        <v>5240</v>
      </c>
      <c r="AU463" s="334">
        <v>857.22199999999998</v>
      </c>
      <c r="AV463" s="336">
        <v>5240</v>
      </c>
      <c r="AW463" s="334">
        <v>857.17899999999997</v>
      </c>
      <c r="AX463" s="336">
        <v>5230</v>
      </c>
      <c r="AY463" s="334">
        <v>781.125</v>
      </c>
      <c r="AZ463" s="336">
        <v>5240</v>
      </c>
      <c r="BA463" s="337">
        <v>782.54399999999998</v>
      </c>
      <c r="BB463" s="336">
        <v>5220</v>
      </c>
      <c r="BC463" s="334">
        <v>212.18199999999999</v>
      </c>
      <c r="BD463" s="336">
        <v>5220</v>
      </c>
      <c r="BE463" s="334">
        <v>222.291</v>
      </c>
    </row>
    <row r="464" spans="22:57">
      <c r="V464" s="346">
        <v>5250</v>
      </c>
      <c r="W464" s="333">
        <v>451.03</v>
      </c>
      <c r="X464" s="346">
        <v>5260</v>
      </c>
      <c r="Y464" s="334">
        <v>447.72</v>
      </c>
      <c r="Z464" s="335">
        <v>5250</v>
      </c>
      <c r="AA464" s="334">
        <v>986.83799999999997</v>
      </c>
      <c r="AB464" s="336">
        <v>5250</v>
      </c>
      <c r="AC464" s="334">
        <v>986.38400000000001</v>
      </c>
      <c r="AD464" s="336">
        <v>5250</v>
      </c>
      <c r="AE464" s="334">
        <v>857.70399999999995</v>
      </c>
      <c r="AF464" s="336">
        <v>5250</v>
      </c>
      <c r="AG464" s="334">
        <v>857.35699999999997</v>
      </c>
      <c r="AH464" s="336">
        <v>5250</v>
      </c>
      <c r="AI464" s="334">
        <v>857.52499999999998</v>
      </c>
      <c r="AJ464" s="336">
        <v>5230</v>
      </c>
      <c r="AK464" s="334">
        <v>858.67600000000004</v>
      </c>
      <c r="AL464" s="336">
        <v>5250</v>
      </c>
      <c r="AM464" s="334">
        <v>858.26700000000005</v>
      </c>
      <c r="AN464" s="336">
        <v>5250</v>
      </c>
      <c r="AO464" s="334">
        <v>858.86199999999997</v>
      </c>
      <c r="AP464" s="336">
        <v>5240</v>
      </c>
      <c r="AQ464" s="333">
        <v>857.85900000000004</v>
      </c>
      <c r="AR464" s="336">
        <v>5250</v>
      </c>
      <c r="AS464" s="334">
        <v>857.548</v>
      </c>
      <c r="AT464" s="336">
        <v>5250</v>
      </c>
      <c r="AU464" s="334">
        <v>856.01099999999997</v>
      </c>
      <c r="AV464" s="336">
        <v>5250</v>
      </c>
      <c r="AW464" s="334">
        <v>855.96900000000005</v>
      </c>
      <c r="AX464" s="336">
        <v>5240</v>
      </c>
      <c r="AY464" s="334">
        <v>779.91399999999999</v>
      </c>
      <c r="AZ464" s="336">
        <v>5250</v>
      </c>
      <c r="BA464" s="337">
        <v>781.33500000000004</v>
      </c>
      <c r="BB464" s="336">
        <v>5230</v>
      </c>
      <c r="BC464" s="334">
        <v>211.78800000000001</v>
      </c>
      <c r="BD464" s="336">
        <v>5230</v>
      </c>
      <c r="BE464" s="334">
        <v>221.88300000000001</v>
      </c>
    </row>
    <row r="465" spans="22:57">
      <c r="V465" s="346">
        <v>5260</v>
      </c>
      <c r="W465" s="333">
        <v>450.24799999999999</v>
      </c>
      <c r="X465" s="346">
        <v>5270</v>
      </c>
      <c r="Y465" s="334">
        <v>446.94299999999998</v>
      </c>
      <c r="Z465" s="335">
        <v>5260</v>
      </c>
      <c r="AA465" s="334">
        <v>985.34400000000005</v>
      </c>
      <c r="AB465" s="336">
        <v>5260</v>
      </c>
      <c r="AC465" s="334">
        <v>984.89300000000003</v>
      </c>
      <c r="AD465" s="336">
        <v>5260</v>
      </c>
      <c r="AE465" s="334">
        <v>856.49099999999999</v>
      </c>
      <c r="AF465" s="336">
        <v>5260</v>
      </c>
      <c r="AG465" s="334">
        <v>856.14300000000003</v>
      </c>
      <c r="AH465" s="336">
        <v>5260</v>
      </c>
      <c r="AI465" s="334">
        <v>856.31200000000001</v>
      </c>
      <c r="AJ465" s="336">
        <v>5240</v>
      </c>
      <c r="AK465" s="334">
        <v>857.46299999999997</v>
      </c>
      <c r="AL465" s="336">
        <v>5260</v>
      </c>
      <c r="AM465" s="334">
        <v>857.05399999999997</v>
      </c>
      <c r="AN465" s="336">
        <v>5260</v>
      </c>
      <c r="AO465" s="334">
        <v>857.65</v>
      </c>
      <c r="AP465" s="336">
        <v>5250</v>
      </c>
      <c r="AQ465" s="333">
        <v>856.649</v>
      </c>
      <c r="AR465" s="336">
        <v>5260</v>
      </c>
      <c r="AS465" s="334">
        <v>856.33699999999999</v>
      </c>
      <c r="AT465" s="336">
        <v>5260</v>
      </c>
      <c r="AU465" s="334">
        <v>854.8</v>
      </c>
      <c r="AV465" s="336">
        <v>5260</v>
      </c>
      <c r="AW465" s="334">
        <v>854.75900000000001</v>
      </c>
      <c r="AX465" s="336">
        <v>5250</v>
      </c>
      <c r="AY465" s="334">
        <v>778.70299999999997</v>
      </c>
      <c r="AZ465" s="336">
        <v>5260</v>
      </c>
      <c r="BA465" s="337">
        <v>780.125</v>
      </c>
      <c r="BB465" s="336">
        <v>5240</v>
      </c>
      <c r="BC465" s="334">
        <v>211.39500000000001</v>
      </c>
      <c r="BD465" s="336">
        <v>5240</v>
      </c>
      <c r="BE465" s="334">
        <v>221.476</v>
      </c>
    </row>
    <row r="466" spans="22:57">
      <c r="V466" s="346">
        <v>5270</v>
      </c>
      <c r="W466" s="333">
        <v>449.46600000000001</v>
      </c>
      <c r="X466" s="346">
        <v>5280</v>
      </c>
      <c r="Y466" s="334">
        <v>446.16699999999997</v>
      </c>
      <c r="Z466" s="335">
        <v>5270</v>
      </c>
      <c r="AA466" s="334">
        <v>983.85</v>
      </c>
      <c r="AB466" s="336">
        <v>5270</v>
      </c>
      <c r="AC466" s="334">
        <v>983.40300000000002</v>
      </c>
      <c r="AD466" s="336">
        <v>5270</v>
      </c>
      <c r="AE466" s="334">
        <v>855.27800000000002</v>
      </c>
      <c r="AF466" s="336">
        <v>5270</v>
      </c>
      <c r="AG466" s="334">
        <v>854.93</v>
      </c>
      <c r="AH466" s="336">
        <v>5270</v>
      </c>
      <c r="AI466" s="334">
        <v>855.09900000000005</v>
      </c>
      <c r="AJ466" s="336">
        <v>5250</v>
      </c>
      <c r="AK466" s="334">
        <v>856.25</v>
      </c>
      <c r="AL466" s="336">
        <v>5270</v>
      </c>
      <c r="AM466" s="334">
        <v>855.84199999999998</v>
      </c>
      <c r="AN466" s="336">
        <v>5270</v>
      </c>
      <c r="AO466" s="334">
        <v>856.43799999999999</v>
      </c>
      <c r="AP466" s="336">
        <v>5260</v>
      </c>
      <c r="AQ466" s="333">
        <v>855.43899999999996</v>
      </c>
      <c r="AR466" s="336">
        <v>5270</v>
      </c>
      <c r="AS466" s="334">
        <v>855.12599999999998</v>
      </c>
      <c r="AT466" s="336">
        <v>5270</v>
      </c>
      <c r="AU466" s="334">
        <v>853.58799999999997</v>
      </c>
      <c r="AV466" s="336">
        <v>5270</v>
      </c>
      <c r="AW466" s="334">
        <v>853.54899999999998</v>
      </c>
      <c r="AX466" s="336">
        <v>5260</v>
      </c>
      <c r="AY466" s="334">
        <v>777.49199999999996</v>
      </c>
      <c r="AZ466" s="336">
        <v>5270</v>
      </c>
      <c r="BA466" s="337">
        <v>778.91499999999996</v>
      </c>
      <c r="BB466" s="336">
        <v>5250</v>
      </c>
      <c r="BC466" s="334">
        <v>211.001</v>
      </c>
      <c r="BD466" s="336">
        <v>5250</v>
      </c>
      <c r="BE466" s="334">
        <v>221.06800000000001</v>
      </c>
    </row>
    <row r="467" spans="22:57">
      <c r="V467" s="346">
        <v>5280</v>
      </c>
      <c r="W467" s="333">
        <v>448.685</v>
      </c>
      <c r="X467" s="346">
        <v>5290</v>
      </c>
      <c r="Y467" s="334">
        <v>445.39100000000002</v>
      </c>
      <c r="Z467" s="335">
        <v>5280</v>
      </c>
      <c r="AA467" s="334">
        <v>982.35599999999999</v>
      </c>
      <c r="AB467" s="336">
        <v>5280</v>
      </c>
      <c r="AC467" s="334">
        <v>981.91300000000001</v>
      </c>
      <c r="AD467" s="336">
        <v>5280</v>
      </c>
      <c r="AE467" s="334">
        <v>854.06500000000005</v>
      </c>
      <c r="AF467" s="336">
        <v>5280</v>
      </c>
      <c r="AG467" s="334">
        <v>853.71600000000001</v>
      </c>
      <c r="AH467" s="336">
        <v>5280</v>
      </c>
      <c r="AI467" s="334">
        <v>853.88599999999997</v>
      </c>
      <c r="AJ467" s="336">
        <v>5260</v>
      </c>
      <c r="AK467" s="334">
        <v>855.03700000000003</v>
      </c>
      <c r="AL467" s="336">
        <v>5280</v>
      </c>
      <c r="AM467" s="334">
        <v>854.62900000000002</v>
      </c>
      <c r="AN467" s="336">
        <v>5280</v>
      </c>
      <c r="AO467" s="334">
        <v>855.226</v>
      </c>
      <c r="AP467" s="336">
        <v>5270</v>
      </c>
      <c r="AQ467" s="333">
        <v>854.22900000000004</v>
      </c>
      <c r="AR467" s="336">
        <v>5280</v>
      </c>
      <c r="AS467" s="334">
        <v>853.91600000000005</v>
      </c>
      <c r="AT467" s="336">
        <v>5280</v>
      </c>
      <c r="AU467" s="334">
        <v>852.37699999999995</v>
      </c>
      <c r="AV467" s="336">
        <v>5280</v>
      </c>
      <c r="AW467" s="334">
        <v>852.33900000000006</v>
      </c>
      <c r="AX467" s="336">
        <v>5270</v>
      </c>
      <c r="AY467" s="334">
        <v>776.28200000000004</v>
      </c>
      <c r="AZ467" s="336">
        <v>5280</v>
      </c>
      <c r="BA467" s="337">
        <v>777.70600000000002</v>
      </c>
      <c r="BB467" s="336">
        <v>5260</v>
      </c>
      <c r="BC467" s="334">
        <v>210.608</v>
      </c>
      <c r="BD467" s="336">
        <v>5260</v>
      </c>
      <c r="BE467" s="334">
        <v>220.661</v>
      </c>
    </row>
    <row r="468" spans="22:57">
      <c r="V468" s="346">
        <v>5290</v>
      </c>
      <c r="W468" s="333">
        <v>447.90300000000002</v>
      </c>
      <c r="X468" s="346">
        <v>5300</v>
      </c>
      <c r="Y468" s="334">
        <v>444.61500000000001</v>
      </c>
      <c r="Z468" s="335">
        <v>5290</v>
      </c>
      <c r="AA468" s="334">
        <v>980.86300000000006</v>
      </c>
      <c r="AB468" s="336">
        <v>5290</v>
      </c>
      <c r="AC468" s="334">
        <v>980.423</v>
      </c>
      <c r="AD468" s="336">
        <v>5290</v>
      </c>
      <c r="AE468" s="334">
        <v>852.85199999999998</v>
      </c>
      <c r="AF468" s="336">
        <v>5290</v>
      </c>
      <c r="AG468" s="334">
        <v>852.50199999999995</v>
      </c>
      <c r="AH468" s="336">
        <v>5290</v>
      </c>
      <c r="AI468" s="334">
        <v>852.67399999999998</v>
      </c>
      <c r="AJ468" s="336">
        <v>5270</v>
      </c>
      <c r="AK468" s="334">
        <v>853.82399999999996</v>
      </c>
      <c r="AL468" s="336">
        <v>5290</v>
      </c>
      <c r="AM468" s="334">
        <v>853.41600000000005</v>
      </c>
      <c r="AN468" s="336">
        <v>5290</v>
      </c>
      <c r="AO468" s="334">
        <v>854.01300000000003</v>
      </c>
      <c r="AP468" s="336">
        <v>5280</v>
      </c>
      <c r="AQ468" s="333">
        <v>853.01900000000001</v>
      </c>
      <c r="AR468" s="336">
        <v>5290</v>
      </c>
      <c r="AS468" s="334">
        <v>852.70500000000004</v>
      </c>
      <c r="AT468" s="336">
        <v>5290</v>
      </c>
      <c r="AU468" s="334">
        <v>851.16499999999996</v>
      </c>
      <c r="AV468" s="336">
        <v>5290</v>
      </c>
      <c r="AW468" s="334">
        <v>851.12900000000002</v>
      </c>
      <c r="AX468" s="336">
        <v>5280</v>
      </c>
      <c r="AY468" s="334">
        <v>775.07100000000003</v>
      </c>
      <c r="AZ468" s="336">
        <v>5290</v>
      </c>
      <c r="BA468" s="337">
        <v>776.49599999999998</v>
      </c>
      <c r="BB468" s="336">
        <v>5270</v>
      </c>
      <c r="BC468" s="334">
        <v>210.214</v>
      </c>
      <c r="BD468" s="336">
        <v>5270</v>
      </c>
      <c r="BE468" s="334">
        <v>220.25299999999999</v>
      </c>
    </row>
    <row r="469" spans="22:57">
      <c r="V469" s="346">
        <v>5300</v>
      </c>
      <c r="W469" s="333">
        <v>447.12200000000001</v>
      </c>
      <c r="X469" s="346">
        <v>5310</v>
      </c>
      <c r="Y469" s="334">
        <v>443.839</v>
      </c>
      <c r="Z469" s="335">
        <v>5300</v>
      </c>
      <c r="AA469" s="334">
        <v>979.36900000000003</v>
      </c>
      <c r="AB469" s="336">
        <v>5300</v>
      </c>
      <c r="AC469" s="334">
        <v>978.93299999999999</v>
      </c>
      <c r="AD469" s="336">
        <v>5300</v>
      </c>
      <c r="AE469" s="334">
        <v>851.63900000000001</v>
      </c>
      <c r="AF469" s="336">
        <v>5300</v>
      </c>
      <c r="AG469" s="334">
        <v>851.28899999999999</v>
      </c>
      <c r="AH469" s="336">
        <v>5300</v>
      </c>
      <c r="AI469" s="334">
        <v>851.46100000000001</v>
      </c>
      <c r="AJ469" s="336">
        <v>5280</v>
      </c>
      <c r="AK469" s="334">
        <v>852.61099999999999</v>
      </c>
      <c r="AL469" s="336">
        <v>5300</v>
      </c>
      <c r="AM469" s="334">
        <v>852.20299999999997</v>
      </c>
      <c r="AN469" s="336">
        <v>5300</v>
      </c>
      <c r="AO469" s="334">
        <v>852.80100000000004</v>
      </c>
      <c r="AP469" s="336">
        <v>5290</v>
      </c>
      <c r="AQ469" s="333">
        <v>851.80899999999997</v>
      </c>
      <c r="AR469" s="336">
        <v>5300</v>
      </c>
      <c r="AS469" s="334">
        <v>851.49400000000003</v>
      </c>
      <c r="AT469" s="336">
        <v>5300</v>
      </c>
      <c r="AU469" s="334">
        <v>849.95399999999995</v>
      </c>
      <c r="AV469" s="336">
        <v>5300</v>
      </c>
      <c r="AW469" s="334">
        <v>849.91899999999998</v>
      </c>
      <c r="AX469" s="336">
        <v>5290</v>
      </c>
      <c r="AY469" s="334">
        <v>773.86</v>
      </c>
      <c r="AZ469" s="336">
        <v>5300</v>
      </c>
      <c r="BA469" s="337">
        <v>775.28599999999994</v>
      </c>
      <c r="BB469" s="336">
        <v>5280</v>
      </c>
      <c r="BC469" s="334">
        <v>209.821</v>
      </c>
      <c r="BD469" s="336">
        <v>5280</v>
      </c>
      <c r="BE469" s="334">
        <v>219.846</v>
      </c>
    </row>
    <row r="470" spans="22:57">
      <c r="V470" s="346">
        <v>5310</v>
      </c>
      <c r="W470" s="333">
        <v>446.34100000000001</v>
      </c>
      <c r="X470" s="346">
        <v>5320</v>
      </c>
      <c r="Y470" s="334">
        <v>443.06299999999999</v>
      </c>
      <c r="Z470" s="335">
        <v>5310</v>
      </c>
      <c r="AA470" s="334">
        <v>977.87599999999998</v>
      </c>
      <c r="AB470" s="336">
        <v>5310</v>
      </c>
      <c r="AC470" s="334">
        <v>977.44299999999998</v>
      </c>
      <c r="AD470" s="336">
        <v>5310</v>
      </c>
      <c r="AE470" s="334">
        <v>850.42600000000004</v>
      </c>
      <c r="AF470" s="336">
        <v>5310</v>
      </c>
      <c r="AG470" s="334">
        <v>850.07500000000005</v>
      </c>
      <c r="AH470" s="336">
        <v>5310</v>
      </c>
      <c r="AI470" s="334">
        <v>850.24800000000005</v>
      </c>
      <c r="AJ470" s="336">
        <v>5290</v>
      </c>
      <c r="AK470" s="334">
        <v>851.39800000000002</v>
      </c>
      <c r="AL470" s="336">
        <v>5310</v>
      </c>
      <c r="AM470" s="334">
        <v>850.99</v>
      </c>
      <c r="AN470" s="336">
        <v>5310</v>
      </c>
      <c r="AO470" s="334">
        <v>851.58900000000006</v>
      </c>
      <c r="AP470" s="336">
        <v>5300</v>
      </c>
      <c r="AQ470" s="333">
        <v>850.6</v>
      </c>
      <c r="AR470" s="336">
        <v>5310</v>
      </c>
      <c r="AS470" s="334">
        <v>850.28300000000002</v>
      </c>
      <c r="AT470" s="336">
        <v>5310</v>
      </c>
      <c r="AU470" s="334">
        <v>848.74300000000005</v>
      </c>
      <c r="AV470" s="336">
        <v>5310</v>
      </c>
      <c r="AW470" s="334">
        <v>848.71</v>
      </c>
      <c r="AX470" s="336">
        <v>5300</v>
      </c>
      <c r="AY470" s="334">
        <v>772.649</v>
      </c>
      <c r="AZ470" s="336">
        <v>5310</v>
      </c>
      <c r="BA470" s="337">
        <v>774.077</v>
      </c>
      <c r="BB470" s="336">
        <v>5290</v>
      </c>
      <c r="BC470" s="334">
        <v>209.428</v>
      </c>
      <c r="BD470" s="336">
        <v>5290</v>
      </c>
      <c r="BE470" s="334">
        <v>219.43899999999999</v>
      </c>
    </row>
    <row r="471" spans="22:57">
      <c r="V471" s="346">
        <v>5320</v>
      </c>
      <c r="W471" s="333">
        <v>445.56</v>
      </c>
      <c r="X471" s="346">
        <v>5330</v>
      </c>
      <c r="Y471" s="334">
        <v>442.28800000000001</v>
      </c>
      <c r="Z471" s="335">
        <v>5320</v>
      </c>
      <c r="AA471" s="334">
        <v>976.38300000000004</v>
      </c>
      <c r="AB471" s="336">
        <v>5320</v>
      </c>
      <c r="AC471" s="334">
        <v>975.95299999999997</v>
      </c>
      <c r="AD471" s="336">
        <v>5320</v>
      </c>
      <c r="AE471" s="334">
        <v>849.21299999999997</v>
      </c>
      <c r="AF471" s="336">
        <v>5320</v>
      </c>
      <c r="AG471" s="334">
        <v>848.86099999999999</v>
      </c>
      <c r="AH471" s="336">
        <v>5320</v>
      </c>
      <c r="AI471" s="334">
        <v>849.03499999999997</v>
      </c>
      <c r="AJ471" s="336">
        <v>5300</v>
      </c>
      <c r="AK471" s="334">
        <v>850.18499999999995</v>
      </c>
      <c r="AL471" s="336">
        <v>5320</v>
      </c>
      <c r="AM471" s="334">
        <v>849.77700000000004</v>
      </c>
      <c r="AN471" s="336">
        <v>5320</v>
      </c>
      <c r="AO471" s="334">
        <v>850.37699999999995</v>
      </c>
      <c r="AP471" s="336">
        <v>5310</v>
      </c>
      <c r="AQ471" s="333">
        <v>849.39</v>
      </c>
      <c r="AR471" s="336">
        <v>5320</v>
      </c>
      <c r="AS471" s="334">
        <v>849.072</v>
      </c>
      <c r="AT471" s="336">
        <v>5320</v>
      </c>
      <c r="AU471" s="334">
        <v>847.53099999999995</v>
      </c>
      <c r="AV471" s="336">
        <v>5320</v>
      </c>
      <c r="AW471" s="334">
        <v>847.5</v>
      </c>
      <c r="AX471" s="336">
        <v>5310</v>
      </c>
      <c r="AY471" s="334">
        <v>771.43899999999996</v>
      </c>
      <c r="AZ471" s="336">
        <v>5320</v>
      </c>
      <c r="BA471" s="337">
        <v>772.86699999999996</v>
      </c>
      <c r="BB471" s="336">
        <v>5300</v>
      </c>
      <c r="BC471" s="334">
        <v>209.035</v>
      </c>
      <c r="BD471" s="336">
        <v>5300</v>
      </c>
      <c r="BE471" s="334">
        <v>219.03100000000001</v>
      </c>
    </row>
    <row r="472" spans="22:57">
      <c r="V472" s="346">
        <v>5330</v>
      </c>
      <c r="W472" s="333">
        <v>444.779</v>
      </c>
      <c r="X472" s="346">
        <v>5340</v>
      </c>
      <c r="Y472" s="334">
        <v>441.51299999999998</v>
      </c>
      <c r="Z472" s="335">
        <v>5330</v>
      </c>
      <c r="AA472" s="334">
        <v>974.89</v>
      </c>
      <c r="AB472" s="336">
        <v>5330</v>
      </c>
      <c r="AC472" s="334">
        <v>974.46400000000006</v>
      </c>
      <c r="AD472" s="336">
        <v>5330</v>
      </c>
      <c r="AE472" s="334">
        <v>848</v>
      </c>
      <c r="AF472" s="336">
        <v>5330</v>
      </c>
      <c r="AG472" s="334">
        <v>847.64800000000002</v>
      </c>
      <c r="AH472" s="336">
        <v>5330</v>
      </c>
      <c r="AI472" s="334">
        <v>847.82299999999998</v>
      </c>
      <c r="AJ472" s="336">
        <v>5310</v>
      </c>
      <c r="AK472" s="334">
        <v>848.97199999999998</v>
      </c>
      <c r="AL472" s="336">
        <v>5330</v>
      </c>
      <c r="AM472" s="334">
        <v>848.56500000000005</v>
      </c>
      <c r="AN472" s="336">
        <v>5330</v>
      </c>
      <c r="AO472" s="334">
        <v>849.16399999999999</v>
      </c>
      <c r="AP472" s="336">
        <v>5320</v>
      </c>
      <c r="AQ472" s="333">
        <v>848.18</v>
      </c>
      <c r="AR472" s="336">
        <v>5330</v>
      </c>
      <c r="AS472" s="334">
        <v>847.86199999999997</v>
      </c>
      <c r="AT472" s="336">
        <v>5330</v>
      </c>
      <c r="AU472" s="334">
        <v>846.32</v>
      </c>
      <c r="AV472" s="336">
        <v>5330</v>
      </c>
      <c r="AW472" s="334">
        <v>846.29</v>
      </c>
      <c r="AX472" s="336">
        <v>5320</v>
      </c>
      <c r="AY472" s="334">
        <v>770.22799999999995</v>
      </c>
      <c r="AZ472" s="336">
        <v>5330</v>
      </c>
      <c r="BA472" s="337">
        <v>771.65700000000004</v>
      </c>
      <c r="BB472" s="336">
        <v>5310</v>
      </c>
      <c r="BC472" s="334">
        <v>208.642</v>
      </c>
      <c r="BD472" s="336">
        <v>5310</v>
      </c>
      <c r="BE472" s="334">
        <v>218.624</v>
      </c>
    </row>
    <row r="473" spans="22:57">
      <c r="V473" s="346">
        <v>5340</v>
      </c>
      <c r="W473" s="333">
        <v>443.99900000000002</v>
      </c>
      <c r="X473" s="346">
        <v>5350</v>
      </c>
      <c r="Y473" s="334">
        <v>440.738</v>
      </c>
      <c r="Z473" s="335">
        <v>5340</v>
      </c>
      <c r="AA473" s="334">
        <v>973.39700000000005</v>
      </c>
      <c r="AB473" s="336">
        <v>5340</v>
      </c>
      <c r="AC473" s="334">
        <v>972.97400000000005</v>
      </c>
      <c r="AD473" s="336">
        <v>5340</v>
      </c>
      <c r="AE473" s="334">
        <v>846.78700000000003</v>
      </c>
      <c r="AF473" s="336">
        <v>5340</v>
      </c>
      <c r="AG473" s="334">
        <v>846.43399999999997</v>
      </c>
      <c r="AH473" s="336">
        <v>5340</v>
      </c>
      <c r="AI473" s="334">
        <v>846.61</v>
      </c>
      <c r="AJ473" s="336">
        <v>5320</v>
      </c>
      <c r="AK473" s="334">
        <v>847.75900000000001</v>
      </c>
      <c r="AL473" s="336">
        <v>5340</v>
      </c>
      <c r="AM473" s="334">
        <v>847.35199999999998</v>
      </c>
      <c r="AN473" s="336">
        <v>5340</v>
      </c>
      <c r="AO473" s="334">
        <v>847.952</v>
      </c>
      <c r="AP473" s="336">
        <v>5330</v>
      </c>
      <c r="AQ473" s="333">
        <v>846.97</v>
      </c>
      <c r="AR473" s="336">
        <v>5340</v>
      </c>
      <c r="AS473" s="334">
        <v>846.65099999999995</v>
      </c>
      <c r="AT473" s="336">
        <v>5340</v>
      </c>
      <c r="AU473" s="334">
        <v>845.10900000000004</v>
      </c>
      <c r="AV473" s="336">
        <v>5340</v>
      </c>
      <c r="AW473" s="334">
        <v>845.08</v>
      </c>
      <c r="AX473" s="336">
        <v>5330</v>
      </c>
      <c r="AY473" s="334">
        <v>769.01700000000005</v>
      </c>
      <c r="AZ473" s="336">
        <v>5340</v>
      </c>
      <c r="BA473" s="337">
        <v>770.447</v>
      </c>
      <c r="BB473" s="336">
        <v>5320</v>
      </c>
      <c r="BC473" s="334">
        <v>208.24799999999999</v>
      </c>
      <c r="BD473" s="336">
        <v>5320</v>
      </c>
      <c r="BE473" s="334">
        <v>218.21700000000001</v>
      </c>
    </row>
    <row r="474" spans="22:57">
      <c r="V474" s="346">
        <v>5350</v>
      </c>
      <c r="W474" s="333">
        <v>443.21800000000002</v>
      </c>
      <c r="X474" s="346">
        <v>5360</v>
      </c>
      <c r="Y474" s="334">
        <v>439.96300000000002</v>
      </c>
      <c r="Z474" s="335">
        <v>5350</v>
      </c>
      <c r="AA474" s="334">
        <v>971.904</v>
      </c>
      <c r="AB474" s="336">
        <v>5350</v>
      </c>
      <c r="AC474" s="334">
        <v>971.48500000000001</v>
      </c>
      <c r="AD474" s="336">
        <v>5350</v>
      </c>
      <c r="AE474" s="334">
        <v>845.57500000000005</v>
      </c>
      <c r="AF474" s="336">
        <v>5350</v>
      </c>
      <c r="AG474" s="334">
        <v>845.22</v>
      </c>
      <c r="AH474" s="336">
        <v>5350</v>
      </c>
      <c r="AI474" s="334">
        <v>845.39700000000005</v>
      </c>
      <c r="AJ474" s="336">
        <v>5330</v>
      </c>
      <c r="AK474" s="334">
        <v>846.54600000000005</v>
      </c>
      <c r="AL474" s="336">
        <v>5350</v>
      </c>
      <c r="AM474" s="334">
        <v>846.13900000000001</v>
      </c>
      <c r="AN474" s="336">
        <v>5350</v>
      </c>
      <c r="AO474" s="334">
        <v>846.74</v>
      </c>
      <c r="AP474" s="336">
        <v>5340</v>
      </c>
      <c r="AQ474" s="333">
        <v>845.76</v>
      </c>
      <c r="AR474" s="336">
        <v>5350</v>
      </c>
      <c r="AS474" s="334">
        <v>845.44</v>
      </c>
      <c r="AT474" s="336">
        <v>5350</v>
      </c>
      <c r="AU474" s="334">
        <v>843.89700000000005</v>
      </c>
      <c r="AV474" s="336">
        <v>5350</v>
      </c>
      <c r="AW474" s="334">
        <v>843.87</v>
      </c>
      <c r="AX474" s="336">
        <v>5340</v>
      </c>
      <c r="AY474" s="334">
        <v>767.80600000000004</v>
      </c>
      <c r="AZ474" s="336">
        <v>5350</v>
      </c>
      <c r="BA474" s="337">
        <v>769.23800000000006</v>
      </c>
      <c r="BB474" s="336">
        <v>5330</v>
      </c>
      <c r="BC474" s="334">
        <v>207.85499999999999</v>
      </c>
      <c r="BD474" s="336">
        <v>5330</v>
      </c>
      <c r="BE474" s="334">
        <v>217.81</v>
      </c>
    </row>
    <row r="475" spans="22:57">
      <c r="V475" s="346">
        <v>5360</v>
      </c>
      <c r="W475" s="333">
        <v>442.43799999999999</v>
      </c>
      <c r="X475" s="346">
        <v>5370</v>
      </c>
      <c r="Y475" s="334">
        <v>439.18799999999999</v>
      </c>
      <c r="Z475" s="335">
        <v>5360</v>
      </c>
      <c r="AA475" s="334">
        <v>970.41099999999994</v>
      </c>
      <c r="AB475" s="336">
        <v>5360</v>
      </c>
      <c r="AC475" s="334">
        <v>969.99599999999998</v>
      </c>
      <c r="AD475" s="336">
        <v>5360</v>
      </c>
      <c r="AE475" s="334">
        <v>844.36199999999997</v>
      </c>
      <c r="AF475" s="336">
        <v>5360</v>
      </c>
      <c r="AG475" s="334">
        <v>844.00699999999995</v>
      </c>
      <c r="AH475" s="336">
        <v>5360</v>
      </c>
      <c r="AI475" s="334">
        <v>844.18499999999995</v>
      </c>
      <c r="AJ475" s="336">
        <v>5340</v>
      </c>
      <c r="AK475" s="334">
        <v>845.33299999999997</v>
      </c>
      <c r="AL475" s="336">
        <v>5360</v>
      </c>
      <c r="AM475" s="334">
        <v>844.92600000000004</v>
      </c>
      <c r="AN475" s="336">
        <v>5360</v>
      </c>
      <c r="AO475" s="334">
        <v>845.52800000000002</v>
      </c>
      <c r="AP475" s="336">
        <v>5350</v>
      </c>
      <c r="AQ475" s="333">
        <v>844.55</v>
      </c>
      <c r="AR475" s="336">
        <v>5360</v>
      </c>
      <c r="AS475" s="334">
        <v>844.22900000000004</v>
      </c>
      <c r="AT475" s="336">
        <v>5360</v>
      </c>
      <c r="AU475" s="334">
        <v>842.68600000000004</v>
      </c>
      <c r="AV475" s="336">
        <v>5360</v>
      </c>
      <c r="AW475" s="334">
        <v>842.66</v>
      </c>
      <c r="AX475" s="336">
        <v>5350</v>
      </c>
      <c r="AY475" s="334">
        <v>766.596</v>
      </c>
      <c r="AZ475" s="336">
        <v>5360</v>
      </c>
      <c r="BA475" s="337">
        <v>768.02800000000002</v>
      </c>
      <c r="BB475" s="336">
        <v>5340</v>
      </c>
      <c r="BC475" s="334">
        <v>207.46199999999999</v>
      </c>
      <c r="BD475" s="336">
        <v>5340</v>
      </c>
      <c r="BE475" s="334">
        <v>217.40299999999999</v>
      </c>
    </row>
    <row r="476" spans="22:57">
      <c r="V476" s="346">
        <v>5370</v>
      </c>
      <c r="W476" s="333">
        <v>441.65800000000002</v>
      </c>
      <c r="X476" s="346">
        <v>5380</v>
      </c>
      <c r="Y476" s="334">
        <v>438.41300000000001</v>
      </c>
      <c r="Z476" s="335">
        <v>5370</v>
      </c>
      <c r="AA476" s="334">
        <v>968.91899999999998</v>
      </c>
      <c r="AB476" s="336">
        <v>5370</v>
      </c>
      <c r="AC476" s="334">
        <v>968.50699999999995</v>
      </c>
      <c r="AD476" s="336">
        <v>5370</v>
      </c>
      <c r="AE476" s="334">
        <v>843.149</v>
      </c>
      <c r="AF476" s="336">
        <v>5370</v>
      </c>
      <c r="AG476" s="334">
        <v>842.79300000000001</v>
      </c>
      <c r="AH476" s="336">
        <v>5370</v>
      </c>
      <c r="AI476" s="334">
        <v>842.97199999999998</v>
      </c>
      <c r="AJ476" s="336">
        <v>5350</v>
      </c>
      <c r="AK476" s="334">
        <v>844.12</v>
      </c>
      <c r="AL476" s="336">
        <v>5370</v>
      </c>
      <c r="AM476" s="334">
        <v>843.71299999999997</v>
      </c>
      <c r="AN476" s="336">
        <v>5370</v>
      </c>
      <c r="AO476" s="334">
        <v>844.31500000000005</v>
      </c>
      <c r="AP476" s="336">
        <v>5360</v>
      </c>
      <c r="AQ476" s="333">
        <v>843.34100000000001</v>
      </c>
      <c r="AR476" s="336">
        <v>5370</v>
      </c>
      <c r="AS476" s="334">
        <v>843.01800000000003</v>
      </c>
      <c r="AT476" s="336">
        <v>5370</v>
      </c>
      <c r="AU476" s="334">
        <v>841.47400000000005</v>
      </c>
      <c r="AV476" s="336">
        <v>5370</v>
      </c>
      <c r="AW476" s="334">
        <v>841.45</v>
      </c>
      <c r="AX476" s="336">
        <v>5360</v>
      </c>
      <c r="AY476" s="334">
        <v>765.38499999999999</v>
      </c>
      <c r="AZ476" s="336">
        <v>5370</v>
      </c>
      <c r="BA476" s="337">
        <v>766.81799999999998</v>
      </c>
      <c r="BB476" s="336">
        <v>5350</v>
      </c>
      <c r="BC476" s="334">
        <v>207.06899999999999</v>
      </c>
      <c r="BD476" s="336">
        <v>5350</v>
      </c>
      <c r="BE476" s="334">
        <v>216.99600000000001</v>
      </c>
    </row>
    <row r="477" spans="22:57">
      <c r="V477" s="346">
        <v>5380</v>
      </c>
      <c r="W477" s="333">
        <v>440.87799999999999</v>
      </c>
      <c r="X477" s="346">
        <v>5390</v>
      </c>
      <c r="Y477" s="334">
        <v>437.63900000000001</v>
      </c>
      <c r="Z477" s="335">
        <v>5380</v>
      </c>
      <c r="AA477" s="334">
        <v>967.42600000000004</v>
      </c>
      <c r="AB477" s="336">
        <v>5380</v>
      </c>
      <c r="AC477" s="334">
        <v>967.01800000000003</v>
      </c>
      <c r="AD477" s="336">
        <v>5380</v>
      </c>
      <c r="AE477" s="334">
        <v>841.93600000000004</v>
      </c>
      <c r="AF477" s="336">
        <v>5380</v>
      </c>
      <c r="AG477" s="334">
        <v>841.58</v>
      </c>
      <c r="AH477" s="336">
        <v>5380</v>
      </c>
      <c r="AI477" s="334">
        <v>841.75900000000001</v>
      </c>
      <c r="AJ477" s="336">
        <v>5360</v>
      </c>
      <c r="AK477" s="334">
        <v>842.90700000000004</v>
      </c>
      <c r="AL477" s="336">
        <v>5380</v>
      </c>
      <c r="AM477" s="334">
        <v>842.5</v>
      </c>
      <c r="AN477" s="336">
        <v>5380</v>
      </c>
      <c r="AO477" s="334">
        <v>843.10299999999995</v>
      </c>
      <c r="AP477" s="336">
        <v>5370</v>
      </c>
      <c r="AQ477" s="333">
        <v>842.13099999999997</v>
      </c>
      <c r="AR477" s="336">
        <v>5380</v>
      </c>
      <c r="AS477" s="334">
        <v>841.80799999999999</v>
      </c>
      <c r="AT477" s="336">
        <v>5380</v>
      </c>
      <c r="AU477" s="334">
        <v>840.26300000000003</v>
      </c>
      <c r="AV477" s="336">
        <v>5380</v>
      </c>
      <c r="AW477" s="334">
        <v>840.24</v>
      </c>
      <c r="AX477" s="336">
        <v>5370</v>
      </c>
      <c r="AY477" s="334">
        <v>764.17399999999998</v>
      </c>
      <c r="AZ477" s="336">
        <v>5380</v>
      </c>
      <c r="BA477" s="337">
        <v>765.60900000000004</v>
      </c>
      <c r="BB477" s="336">
        <v>5360</v>
      </c>
      <c r="BC477" s="334">
        <v>206.67699999999999</v>
      </c>
      <c r="BD477" s="336">
        <v>5360</v>
      </c>
      <c r="BE477" s="334">
        <v>216.589</v>
      </c>
    </row>
    <row r="478" spans="22:57">
      <c r="V478" s="346">
        <v>5390</v>
      </c>
      <c r="W478" s="333">
        <v>440.09899999999999</v>
      </c>
      <c r="X478" s="346">
        <v>5400</v>
      </c>
      <c r="Y478" s="334">
        <v>436.86500000000001</v>
      </c>
      <c r="Z478" s="335">
        <v>5390</v>
      </c>
      <c r="AA478" s="334">
        <v>965.93399999999997</v>
      </c>
      <c r="AB478" s="336">
        <v>5390</v>
      </c>
      <c r="AC478" s="334">
        <v>965.529</v>
      </c>
      <c r="AD478" s="336">
        <v>5390</v>
      </c>
      <c r="AE478" s="334">
        <v>840.72299999999996</v>
      </c>
      <c r="AF478" s="336">
        <v>5390</v>
      </c>
      <c r="AG478" s="334">
        <v>840.36599999999999</v>
      </c>
      <c r="AH478" s="336">
        <v>5390</v>
      </c>
      <c r="AI478" s="334">
        <v>840.54600000000005</v>
      </c>
      <c r="AJ478" s="336">
        <v>5370</v>
      </c>
      <c r="AK478" s="334">
        <v>841.69399999999996</v>
      </c>
      <c r="AL478" s="336">
        <v>5390</v>
      </c>
      <c r="AM478" s="334">
        <v>841.28800000000001</v>
      </c>
      <c r="AN478" s="336">
        <v>5390</v>
      </c>
      <c r="AO478" s="334">
        <v>841.89099999999996</v>
      </c>
      <c r="AP478" s="336">
        <v>5380</v>
      </c>
      <c r="AQ478" s="333">
        <v>840.92100000000005</v>
      </c>
      <c r="AR478" s="336">
        <v>5390</v>
      </c>
      <c r="AS478" s="334">
        <v>840.59699999999998</v>
      </c>
      <c r="AT478" s="336">
        <v>5390</v>
      </c>
      <c r="AU478" s="334">
        <v>839.05200000000002</v>
      </c>
      <c r="AV478" s="336">
        <v>5390</v>
      </c>
      <c r="AW478" s="334">
        <v>839.03</v>
      </c>
      <c r="AX478" s="336">
        <v>5380</v>
      </c>
      <c r="AY478" s="334">
        <v>762.96400000000006</v>
      </c>
      <c r="AZ478" s="336">
        <v>5390</v>
      </c>
      <c r="BA478" s="337">
        <v>764.399</v>
      </c>
      <c r="BB478" s="336">
        <v>5370</v>
      </c>
      <c r="BC478" s="334">
        <v>206.28399999999999</v>
      </c>
      <c r="BD478" s="336">
        <v>5370</v>
      </c>
      <c r="BE478" s="334">
        <v>216.18199999999999</v>
      </c>
    </row>
    <row r="479" spans="22:57">
      <c r="V479" s="346">
        <v>5400</v>
      </c>
      <c r="W479" s="333">
        <v>439.31900000000002</v>
      </c>
      <c r="X479" s="346">
        <v>5410</v>
      </c>
      <c r="Y479" s="334">
        <v>436.09100000000001</v>
      </c>
      <c r="Z479" s="335">
        <v>5400</v>
      </c>
      <c r="AA479" s="334">
        <v>964.44200000000001</v>
      </c>
      <c r="AB479" s="336">
        <v>5400</v>
      </c>
      <c r="AC479" s="334">
        <v>964.04</v>
      </c>
      <c r="AD479" s="336">
        <v>5400</v>
      </c>
      <c r="AE479" s="334">
        <v>839.51</v>
      </c>
      <c r="AF479" s="336">
        <v>5400</v>
      </c>
      <c r="AG479" s="334">
        <v>839.15200000000004</v>
      </c>
      <c r="AH479" s="336">
        <v>5400</v>
      </c>
      <c r="AI479" s="334">
        <v>839.33399999999995</v>
      </c>
      <c r="AJ479" s="336">
        <v>5380</v>
      </c>
      <c r="AK479" s="334">
        <v>840.48099999999999</v>
      </c>
      <c r="AL479" s="336">
        <v>5400</v>
      </c>
      <c r="AM479" s="334">
        <v>840.07500000000005</v>
      </c>
      <c r="AN479" s="336">
        <v>5400</v>
      </c>
      <c r="AO479" s="334">
        <v>840.67899999999997</v>
      </c>
      <c r="AP479" s="336">
        <v>5390</v>
      </c>
      <c r="AQ479" s="333">
        <v>839.71100000000001</v>
      </c>
      <c r="AR479" s="336">
        <v>5400</v>
      </c>
      <c r="AS479" s="334">
        <v>839.38599999999997</v>
      </c>
      <c r="AT479" s="336">
        <v>5400</v>
      </c>
      <c r="AU479" s="334">
        <v>837.84</v>
      </c>
      <c r="AV479" s="336">
        <v>5400</v>
      </c>
      <c r="AW479" s="334">
        <v>837.82</v>
      </c>
      <c r="AX479" s="336">
        <v>5390</v>
      </c>
      <c r="AY479" s="334">
        <v>761.75300000000004</v>
      </c>
      <c r="AZ479" s="336">
        <v>5400</v>
      </c>
      <c r="BA479" s="337">
        <v>763.18899999999996</v>
      </c>
      <c r="BB479" s="336">
        <v>5380</v>
      </c>
      <c r="BC479" s="334">
        <v>205.89099999999999</v>
      </c>
      <c r="BD479" s="336">
        <v>5380</v>
      </c>
      <c r="BE479" s="334">
        <v>215.77500000000001</v>
      </c>
    </row>
    <row r="480" spans="22:57">
      <c r="V480" s="346">
        <v>5410</v>
      </c>
      <c r="W480" s="333">
        <v>438.54</v>
      </c>
      <c r="X480" s="346">
        <v>5420</v>
      </c>
      <c r="Y480" s="334">
        <v>435.31700000000001</v>
      </c>
      <c r="Z480" s="335">
        <v>5410</v>
      </c>
      <c r="AA480" s="334">
        <v>962.95</v>
      </c>
      <c r="AB480" s="336">
        <v>5410</v>
      </c>
      <c r="AC480" s="334">
        <v>962.55200000000002</v>
      </c>
      <c r="AD480" s="336">
        <v>5410</v>
      </c>
      <c r="AE480" s="334">
        <v>838.29700000000003</v>
      </c>
      <c r="AF480" s="336">
        <v>5410</v>
      </c>
      <c r="AG480" s="334">
        <v>837.93899999999996</v>
      </c>
      <c r="AH480" s="336">
        <v>5410</v>
      </c>
      <c r="AI480" s="334">
        <v>838.12099999999998</v>
      </c>
      <c r="AJ480" s="336">
        <v>5390</v>
      </c>
      <c r="AK480" s="334">
        <v>839.26800000000003</v>
      </c>
      <c r="AL480" s="336">
        <v>5410</v>
      </c>
      <c r="AM480" s="334">
        <v>838.86199999999997</v>
      </c>
      <c r="AN480" s="336">
        <v>5410</v>
      </c>
      <c r="AO480" s="334">
        <v>839.46600000000001</v>
      </c>
      <c r="AP480" s="336">
        <v>5400</v>
      </c>
      <c r="AQ480" s="333">
        <v>838.50099999999998</v>
      </c>
      <c r="AR480" s="336">
        <v>5410</v>
      </c>
      <c r="AS480" s="334">
        <v>838.17499999999995</v>
      </c>
      <c r="AT480" s="336">
        <v>5410</v>
      </c>
      <c r="AU480" s="334">
        <v>836.62900000000002</v>
      </c>
      <c r="AV480" s="336">
        <v>5410</v>
      </c>
      <c r="AW480" s="334">
        <v>836.61</v>
      </c>
      <c r="AX480" s="336">
        <v>5400</v>
      </c>
      <c r="AY480" s="334">
        <v>760.54200000000003</v>
      </c>
      <c r="AZ480" s="336">
        <v>5410</v>
      </c>
      <c r="BA480" s="337">
        <v>761.97900000000004</v>
      </c>
      <c r="BB480" s="336">
        <v>5390</v>
      </c>
      <c r="BC480" s="334">
        <v>205.49799999999999</v>
      </c>
      <c r="BD480" s="336">
        <v>5390</v>
      </c>
      <c r="BE480" s="334">
        <v>215.36799999999999</v>
      </c>
    </row>
    <row r="481" spans="22:57">
      <c r="V481" s="346">
        <v>5420</v>
      </c>
      <c r="W481" s="333">
        <v>437.76100000000002</v>
      </c>
      <c r="X481" s="346">
        <v>5430</v>
      </c>
      <c r="Y481" s="334">
        <v>434.54399999999998</v>
      </c>
      <c r="Z481" s="335">
        <v>5420</v>
      </c>
      <c r="AA481" s="334">
        <v>961.45799999999997</v>
      </c>
      <c r="AB481" s="336">
        <v>5420</v>
      </c>
      <c r="AC481" s="334">
        <v>961.06299999999999</v>
      </c>
      <c r="AD481" s="336">
        <v>5420</v>
      </c>
      <c r="AE481" s="334">
        <v>837.08399999999995</v>
      </c>
      <c r="AF481" s="336">
        <v>5420</v>
      </c>
      <c r="AG481" s="334">
        <v>836.72500000000002</v>
      </c>
      <c r="AH481" s="336">
        <v>5420</v>
      </c>
      <c r="AI481" s="334">
        <v>836.90800000000002</v>
      </c>
      <c r="AJ481" s="336">
        <v>5400</v>
      </c>
      <c r="AK481" s="334">
        <v>838.05499999999995</v>
      </c>
      <c r="AL481" s="336">
        <v>5420</v>
      </c>
      <c r="AM481" s="334">
        <v>837.649</v>
      </c>
      <c r="AN481" s="336">
        <v>5420</v>
      </c>
      <c r="AO481" s="334">
        <v>838.25400000000002</v>
      </c>
      <c r="AP481" s="336">
        <v>5410</v>
      </c>
      <c r="AQ481" s="333">
        <v>837.29100000000005</v>
      </c>
      <c r="AR481" s="336">
        <v>5420</v>
      </c>
      <c r="AS481" s="334">
        <v>836.96400000000006</v>
      </c>
      <c r="AT481" s="336">
        <v>5420</v>
      </c>
      <c r="AU481" s="334">
        <v>835.41700000000003</v>
      </c>
      <c r="AV481" s="336">
        <v>5420</v>
      </c>
      <c r="AW481" s="334">
        <v>835.4</v>
      </c>
      <c r="AX481" s="336">
        <v>5410</v>
      </c>
      <c r="AY481" s="334">
        <v>759.33100000000002</v>
      </c>
      <c r="AZ481" s="336">
        <v>5420</v>
      </c>
      <c r="BA481" s="337">
        <v>760.77</v>
      </c>
      <c r="BB481" s="336">
        <v>5400</v>
      </c>
      <c r="BC481" s="334">
        <v>205.10599999999999</v>
      </c>
      <c r="BD481" s="336">
        <v>5400</v>
      </c>
      <c r="BE481" s="334">
        <v>214.96199999999999</v>
      </c>
    </row>
    <row r="482" spans="22:57">
      <c r="V482" s="346">
        <v>5430</v>
      </c>
      <c r="W482" s="333">
        <v>436.98200000000003</v>
      </c>
      <c r="X482" s="346">
        <v>5440</v>
      </c>
      <c r="Y482" s="334">
        <v>433.77</v>
      </c>
      <c r="Z482" s="335">
        <v>5430</v>
      </c>
      <c r="AA482" s="334">
        <v>959.96600000000001</v>
      </c>
      <c r="AB482" s="336">
        <v>5430</v>
      </c>
      <c r="AC482" s="334">
        <v>959.57500000000005</v>
      </c>
      <c r="AD482" s="336">
        <v>5430</v>
      </c>
      <c r="AE482" s="334">
        <v>835.87099999999998</v>
      </c>
      <c r="AF482" s="336">
        <v>5430</v>
      </c>
      <c r="AG482" s="334">
        <v>835.51099999999997</v>
      </c>
      <c r="AH482" s="336">
        <v>5430</v>
      </c>
      <c r="AI482" s="334">
        <v>835.69600000000003</v>
      </c>
      <c r="AJ482" s="336">
        <v>5410</v>
      </c>
      <c r="AK482" s="334">
        <v>836.84199999999998</v>
      </c>
      <c r="AL482" s="336">
        <v>5430</v>
      </c>
      <c r="AM482" s="334">
        <v>836.43700000000001</v>
      </c>
      <c r="AN482" s="336">
        <v>5430</v>
      </c>
      <c r="AO482" s="334">
        <v>837.04200000000003</v>
      </c>
      <c r="AP482" s="336">
        <v>5420</v>
      </c>
      <c r="AQ482" s="333">
        <v>836.08100000000002</v>
      </c>
      <c r="AR482" s="336">
        <v>5430</v>
      </c>
      <c r="AS482" s="334">
        <v>835.75400000000002</v>
      </c>
      <c r="AT482" s="336">
        <v>5430</v>
      </c>
      <c r="AU482" s="334">
        <v>834.20600000000002</v>
      </c>
      <c r="AV482" s="336">
        <v>5430</v>
      </c>
      <c r="AW482" s="334">
        <v>834.19</v>
      </c>
      <c r="AX482" s="336">
        <v>5420</v>
      </c>
      <c r="AY482" s="334">
        <v>758.12099999999998</v>
      </c>
      <c r="AZ482" s="336">
        <v>5430</v>
      </c>
      <c r="BA482" s="337">
        <v>759.56</v>
      </c>
      <c r="BB482" s="336">
        <v>5410</v>
      </c>
      <c r="BC482" s="334">
        <v>204.71299999999999</v>
      </c>
      <c r="BD482" s="336">
        <v>5410</v>
      </c>
      <c r="BE482" s="334">
        <v>214.55500000000001</v>
      </c>
    </row>
    <row r="483" spans="22:57">
      <c r="V483" s="346">
        <v>5440</v>
      </c>
      <c r="W483" s="333">
        <v>436.20299999999997</v>
      </c>
      <c r="X483" s="346">
        <v>5450</v>
      </c>
      <c r="Y483" s="334">
        <v>432.99700000000001</v>
      </c>
      <c r="Z483" s="335">
        <v>5440</v>
      </c>
      <c r="AA483" s="334">
        <v>958.47400000000005</v>
      </c>
      <c r="AB483" s="336">
        <v>5440</v>
      </c>
      <c r="AC483" s="334">
        <v>958.08600000000001</v>
      </c>
      <c r="AD483" s="336">
        <v>5440</v>
      </c>
      <c r="AE483" s="334">
        <v>834.65800000000002</v>
      </c>
      <c r="AF483" s="336">
        <v>5440</v>
      </c>
      <c r="AG483" s="334">
        <v>834.298</v>
      </c>
      <c r="AH483" s="336">
        <v>5440</v>
      </c>
      <c r="AI483" s="334">
        <v>834.48299999999995</v>
      </c>
      <c r="AJ483" s="336">
        <v>5420</v>
      </c>
      <c r="AK483" s="334">
        <v>835.62900000000002</v>
      </c>
      <c r="AL483" s="336">
        <v>5440</v>
      </c>
      <c r="AM483" s="334">
        <v>835.22400000000005</v>
      </c>
      <c r="AN483" s="336">
        <v>5440</v>
      </c>
      <c r="AO483" s="334">
        <v>835.83</v>
      </c>
      <c r="AP483" s="336">
        <v>5430</v>
      </c>
      <c r="AQ483" s="333">
        <v>834.87199999999996</v>
      </c>
      <c r="AR483" s="336">
        <v>5440</v>
      </c>
      <c r="AS483" s="334">
        <v>834.54300000000001</v>
      </c>
      <c r="AT483" s="336">
        <v>5440</v>
      </c>
      <c r="AU483" s="334">
        <v>832.995</v>
      </c>
      <c r="AV483" s="336">
        <v>5440</v>
      </c>
      <c r="AW483" s="334">
        <v>832.98</v>
      </c>
      <c r="AX483" s="336">
        <v>5430</v>
      </c>
      <c r="AY483" s="334">
        <v>756.91</v>
      </c>
      <c r="AZ483" s="336">
        <v>5440</v>
      </c>
      <c r="BA483" s="337">
        <v>758.35</v>
      </c>
      <c r="BB483" s="336">
        <v>5420</v>
      </c>
      <c r="BC483" s="334">
        <v>204.32</v>
      </c>
      <c r="BD483" s="336">
        <v>5420</v>
      </c>
      <c r="BE483" s="334">
        <v>214.148</v>
      </c>
    </row>
    <row r="484" spans="22:57">
      <c r="V484" s="346">
        <v>5450</v>
      </c>
      <c r="W484" s="333">
        <v>435.42500000000001</v>
      </c>
      <c r="X484" s="346">
        <v>5460</v>
      </c>
      <c r="Y484" s="334">
        <v>432.22399999999999</v>
      </c>
      <c r="Z484" s="335">
        <v>5450</v>
      </c>
      <c r="AA484" s="334">
        <v>956.98299999999995</v>
      </c>
      <c r="AB484" s="336">
        <v>5450</v>
      </c>
      <c r="AC484" s="334">
        <v>956.59799999999996</v>
      </c>
      <c r="AD484" s="336">
        <v>5450</v>
      </c>
      <c r="AE484" s="334">
        <v>833.44500000000005</v>
      </c>
      <c r="AF484" s="336">
        <v>5450</v>
      </c>
      <c r="AG484" s="334">
        <v>833.08399999999995</v>
      </c>
      <c r="AH484" s="336">
        <v>5450</v>
      </c>
      <c r="AI484" s="334">
        <v>833.27</v>
      </c>
      <c r="AJ484" s="336">
        <v>5430</v>
      </c>
      <c r="AK484" s="334">
        <v>834.41600000000005</v>
      </c>
      <c r="AL484" s="336">
        <v>5450</v>
      </c>
      <c r="AM484" s="334">
        <v>834.01099999999997</v>
      </c>
      <c r="AN484" s="336">
        <v>5450</v>
      </c>
      <c r="AO484" s="334">
        <v>834.61699999999996</v>
      </c>
      <c r="AP484" s="336">
        <v>5440</v>
      </c>
      <c r="AQ484" s="333">
        <v>833.66200000000003</v>
      </c>
      <c r="AR484" s="336">
        <v>5450</v>
      </c>
      <c r="AS484" s="334">
        <v>833.33199999999999</v>
      </c>
      <c r="AT484" s="336">
        <v>5450</v>
      </c>
      <c r="AU484" s="334">
        <v>831.78300000000002</v>
      </c>
      <c r="AV484" s="336">
        <v>5450</v>
      </c>
      <c r="AW484" s="334">
        <v>831.77</v>
      </c>
      <c r="AX484" s="336">
        <v>5440</v>
      </c>
      <c r="AY484" s="334">
        <v>755.69899999999996</v>
      </c>
      <c r="AZ484" s="336">
        <v>5450</v>
      </c>
      <c r="BA484" s="337">
        <v>757.14099999999996</v>
      </c>
      <c r="BB484" s="336">
        <v>5430</v>
      </c>
      <c r="BC484" s="334">
        <v>203.928</v>
      </c>
      <c r="BD484" s="336">
        <v>5430</v>
      </c>
      <c r="BE484" s="334">
        <v>213.74199999999999</v>
      </c>
    </row>
    <row r="485" spans="22:57">
      <c r="V485" s="346">
        <v>5460</v>
      </c>
      <c r="W485" s="333">
        <v>434.64600000000002</v>
      </c>
      <c r="X485" s="346">
        <v>5470</v>
      </c>
      <c r="Y485" s="334">
        <v>431.45100000000002</v>
      </c>
      <c r="Z485" s="335">
        <v>5460</v>
      </c>
      <c r="AA485" s="334">
        <v>955.49099999999999</v>
      </c>
      <c r="AB485" s="336">
        <v>5460</v>
      </c>
      <c r="AC485" s="334">
        <v>955.11</v>
      </c>
      <c r="AD485" s="336">
        <v>5460</v>
      </c>
      <c r="AE485" s="334">
        <v>832.23299999999995</v>
      </c>
      <c r="AF485" s="336">
        <v>5460</v>
      </c>
      <c r="AG485" s="334">
        <v>831.87</v>
      </c>
      <c r="AH485" s="336">
        <v>5460</v>
      </c>
      <c r="AI485" s="334">
        <v>832.05700000000002</v>
      </c>
      <c r="AJ485" s="336">
        <v>5440</v>
      </c>
      <c r="AK485" s="334">
        <v>833.20299999999997</v>
      </c>
      <c r="AL485" s="336">
        <v>5460</v>
      </c>
      <c r="AM485" s="334">
        <v>832.798</v>
      </c>
      <c r="AN485" s="336">
        <v>5460</v>
      </c>
      <c r="AO485" s="334">
        <v>833.40499999999997</v>
      </c>
      <c r="AP485" s="336">
        <v>5450</v>
      </c>
      <c r="AQ485" s="333">
        <v>832.452</v>
      </c>
      <c r="AR485" s="336">
        <v>5460</v>
      </c>
      <c r="AS485" s="334">
        <v>832.12099999999998</v>
      </c>
      <c r="AT485" s="336">
        <v>5460</v>
      </c>
      <c r="AU485" s="334">
        <v>830.572</v>
      </c>
      <c r="AV485" s="336">
        <v>5460</v>
      </c>
      <c r="AW485" s="334">
        <v>830.56</v>
      </c>
      <c r="AX485" s="336">
        <v>5450</v>
      </c>
      <c r="AY485" s="334">
        <v>754.48800000000006</v>
      </c>
      <c r="AZ485" s="336">
        <v>5460</v>
      </c>
      <c r="BA485" s="337">
        <v>755.93100000000004</v>
      </c>
      <c r="BB485" s="336">
        <v>5440</v>
      </c>
      <c r="BC485" s="334">
        <v>203.535</v>
      </c>
      <c r="BD485" s="336">
        <v>5440</v>
      </c>
      <c r="BE485" s="334">
        <v>213.33500000000001</v>
      </c>
    </row>
    <row r="486" spans="22:57">
      <c r="V486" s="346">
        <v>5470</v>
      </c>
      <c r="W486" s="333">
        <v>433.86799999999999</v>
      </c>
      <c r="X486" s="346">
        <v>5480</v>
      </c>
      <c r="Y486" s="334">
        <v>430.678</v>
      </c>
      <c r="Z486" s="335">
        <v>5470</v>
      </c>
      <c r="AA486" s="334">
        <v>954</v>
      </c>
      <c r="AB486" s="336">
        <v>5470</v>
      </c>
      <c r="AC486" s="334">
        <v>953.62199999999996</v>
      </c>
      <c r="AD486" s="336">
        <v>5470</v>
      </c>
      <c r="AE486" s="334">
        <v>831.02</v>
      </c>
      <c r="AF486" s="336">
        <v>5470</v>
      </c>
      <c r="AG486" s="334">
        <v>830.65700000000004</v>
      </c>
      <c r="AH486" s="336">
        <v>5470</v>
      </c>
      <c r="AI486" s="334">
        <v>830.84500000000003</v>
      </c>
      <c r="AJ486" s="336">
        <v>5450</v>
      </c>
      <c r="AK486" s="334">
        <v>831.99</v>
      </c>
      <c r="AL486" s="336">
        <v>5470</v>
      </c>
      <c r="AM486" s="334">
        <v>831.58500000000004</v>
      </c>
      <c r="AN486" s="336">
        <v>5470</v>
      </c>
      <c r="AO486" s="334">
        <v>832.19299999999998</v>
      </c>
      <c r="AP486" s="336">
        <v>5460</v>
      </c>
      <c r="AQ486" s="333">
        <v>831.24199999999996</v>
      </c>
      <c r="AR486" s="336">
        <v>5470</v>
      </c>
      <c r="AS486" s="334">
        <v>830.91</v>
      </c>
      <c r="AT486" s="336">
        <v>5470</v>
      </c>
      <c r="AU486" s="334">
        <v>829.36099999999999</v>
      </c>
      <c r="AV486" s="336">
        <v>5470</v>
      </c>
      <c r="AW486" s="334">
        <v>829.35</v>
      </c>
      <c r="AX486" s="336">
        <v>5460</v>
      </c>
      <c r="AY486" s="334">
        <v>753.27800000000002</v>
      </c>
      <c r="AZ486" s="336">
        <v>5470</v>
      </c>
      <c r="BA486" s="337">
        <v>754.721</v>
      </c>
      <c r="BB486" s="336">
        <v>5450</v>
      </c>
      <c r="BC486" s="334">
        <v>203.143</v>
      </c>
      <c r="BD486" s="336">
        <v>5450</v>
      </c>
      <c r="BE486" s="334">
        <v>212.929</v>
      </c>
    </row>
    <row r="487" spans="22:57">
      <c r="V487" s="346">
        <v>5480</v>
      </c>
      <c r="W487" s="333">
        <v>433.09</v>
      </c>
      <c r="X487" s="346">
        <v>5490</v>
      </c>
      <c r="Y487" s="334">
        <v>429.90499999999997</v>
      </c>
      <c r="Z487" s="335">
        <v>5480</v>
      </c>
      <c r="AA487" s="334">
        <v>952.50900000000001</v>
      </c>
      <c r="AB487" s="336">
        <v>5480</v>
      </c>
      <c r="AC487" s="334">
        <v>952.13400000000001</v>
      </c>
      <c r="AD487" s="336">
        <v>5480</v>
      </c>
      <c r="AE487" s="334">
        <v>829.80700000000002</v>
      </c>
      <c r="AF487" s="336">
        <v>5480</v>
      </c>
      <c r="AG487" s="334">
        <v>829.44299999999998</v>
      </c>
      <c r="AH487" s="336">
        <v>5480</v>
      </c>
      <c r="AI487" s="334">
        <v>829.63199999999995</v>
      </c>
      <c r="AJ487" s="336">
        <v>5460</v>
      </c>
      <c r="AK487" s="334">
        <v>830.77700000000004</v>
      </c>
      <c r="AL487" s="336">
        <v>5480</v>
      </c>
      <c r="AM487" s="334">
        <v>830.37300000000005</v>
      </c>
      <c r="AN487" s="336">
        <v>5480</v>
      </c>
      <c r="AO487" s="334">
        <v>830.98099999999999</v>
      </c>
      <c r="AP487" s="336">
        <v>5470</v>
      </c>
      <c r="AQ487" s="333">
        <v>830.03200000000004</v>
      </c>
      <c r="AR487" s="336">
        <v>5480</v>
      </c>
      <c r="AS487" s="334">
        <v>829.7</v>
      </c>
      <c r="AT487" s="336">
        <v>5480</v>
      </c>
      <c r="AU487" s="334">
        <v>828.149</v>
      </c>
      <c r="AV487" s="336">
        <v>5480</v>
      </c>
      <c r="AW487" s="334">
        <v>828.14</v>
      </c>
      <c r="AX487" s="336">
        <v>5470</v>
      </c>
      <c r="AY487" s="334">
        <v>752.06700000000001</v>
      </c>
      <c r="AZ487" s="336">
        <v>5480</v>
      </c>
      <c r="BA487" s="337">
        <v>753.51099999999997</v>
      </c>
      <c r="BB487" s="336">
        <v>5460</v>
      </c>
      <c r="BC487" s="334">
        <v>202.751</v>
      </c>
      <c r="BD487" s="336">
        <v>5460</v>
      </c>
      <c r="BE487" s="334">
        <v>212.52199999999999</v>
      </c>
    </row>
    <row r="488" spans="22:57">
      <c r="V488" s="346">
        <v>5490</v>
      </c>
      <c r="W488" s="333">
        <v>432.31200000000001</v>
      </c>
      <c r="X488" s="346">
        <v>5500</v>
      </c>
      <c r="Y488" s="334">
        <v>429.13299999999998</v>
      </c>
      <c r="Z488" s="335">
        <v>5490</v>
      </c>
      <c r="AA488" s="334">
        <v>951.01800000000003</v>
      </c>
      <c r="AB488" s="336">
        <v>5490</v>
      </c>
      <c r="AC488" s="334">
        <v>950.64700000000005</v>
      </c>
      <c r="AD488" s="336">
        <v>5490</v>
      </c>
      <c r="AE488" s="334">
        <v>828.59400000000005</v>
      </c>
      <c r="AF488" s="336">
        <v>5490</v>
      </c>
      <c r="AG488" s="334">
        <v>828.22900000000004</v>
      </c>
      <c r="AH488" s="336">
        <v>5490</v>
      </c>
      <c r="AI488" s="334">
        <v>828.41899999999998</v>
      </c>
      <c r="AJ488" s="336">
        <v>5470</v>
      </c>
      <c r="AK488" s="334">
        <v>829.56399999999996</v>
      </c>
      <c r="AL488" s="336">
        <v>5490</v>
      </c>
      <c r="AM488" s="334">
        <v>829.16</v>
      </c>
      <c r="AN488" s="336">
        <v>5490</v>
      </c>
      <c r="AO488" s="334">
        <v>829.76800000000003</v>
      </c>
      <c r="AP488" s="336">
        <v>5480</v>
      </c>
      <c r="AQ488" s="333">
        <v>828.822</v>
      </c>
      <c r="AR488" s="336">
        <v>5490</v>
      </c>
      <c r="AS488" s="334">
        <v>828.48900000000003</v>
      </c>
      <c r="AT488" s="336">
        <v>5490</v>
      </c>
      <c r="AU488" s="334">
        <v>826.93799999999999</v>
      </c>
      <c r="AV488" s="336">
        <v>5490</v>
      </c>
      <c r="AW488" s="334">
        <v>826.93</v>
      </c>
      <c r="AX488" s="336">
        <v>5480</v>
      </c>
      <c r="AY488" s="334">
        <v>750.85599999999999</v>
      </c>
      <c r="AZ488" s="336">
        <v>5490</v>
      </c>
      <c r="BA488" s="337">
        <v>752.30200000000002</v>
      </c>
      <c r="BB488" s="336">
        <v>5470</v>
      </c>
      <c r="BC488" s="334">
        <v>202.358</v>
      </c>
      <c r="BD488" s="336">
        <v>5470</v>
      </c>
      <c r="BE488" s="334">
        <v>212.11600000000001</v>
      </c>
    </row>
    <row r="489" spans="22:57">
      <c r="V489" s="346">
        <v>5500</v>
      </c>
      <c r="W489" s="333">
        <v>431.53500000000003</v>
      </c>
      <c r="X489" s="346">
        <v>5510</v>
      </c>
      <c r="Y489" s="334">
        <v>428.36099999999999</v>
      </c>
      <c r="Z489" s="335">
        <v>5500</v>
      </c>
      <c r="AA489" s="334">
        <v>949.52700000000004</v>
      </c>
      <c r="AB489" s="336">
        <v>5500</v>
      </c>
      <c r="AC489" s="334">
        <v>949.15899999999999</v>
      </c>
      <c r="AD489" s="336">
        <v>5500</v>
      </c>
      <c r="AE489" s="334">
        <v>827.38099999999997</v>
      </c>
      <c r="AF489" s="336">
        <v>5500</v>
      </c>
      <c r="AG489" s="334">
        <v>827.01599999999996</v>
      </c>
      <c r="AH489" s="336">
        <v>5500</v>
      </c>
      <c r="AI489" s="334">
        <v>827.20699999999999</v>
      </c>
      <c r="AJ489" s="336">
        <v>5480</v>
      </c>
      <c r="AK489" s="334">
        <v>828.351</v>
      </c>
      <c r="AL489" s="336">
        <v>5500</v>
      </c>
      <c r="AM489" s="334">
        <v>827.947</v>
      </c>
      <c r="AN489" s="336">
        <v>5500</v>
      </c>
      <c r="AO489" s="334">
        <v>828.55600000000004</v>
      </c>
      <c r="AP489" s="336">
        <v>5490</v>
      </c>
      <c r="AQ489" s="333">
        <v>827.61199999999997</v>
      </c>
      <c r="AR489" s="336">
        <v>5500</v>
      </c>
      <c r="AS489" s="334">
        <v>827.27800000000002</v>
      </c>
      <c r="AT489" s="336">
        <v>5500</v>
      </c>
      <c r="AU489" s="334">
        <v>825.72699999999998</v>
      </c>
      <c r="AV489" s="336">
        <v>5500</v>
      </c>
      <c r="AW489" s="334">
        <v>825.72</v>
      </c>
      <c r="AX489" s="336">
        <v>5490</v>
      </c>
      <c r="AY489" s="334">
        <v>749.64599999999996</v>
      </c>
      <c r="AZ489" s="336">
        <v>5500</v>
      </c>
      <c r="BA489" s="337">
        <v>751.09199999999998</v>
      </c>
      <c r="BB489" s="336">
        <v>5480</v>
      </c>
      <c r="BC489" s="334">
        <v>201.96600000000001</v>
      </c>
      <c r="BD489" s="336">
        <v>5480</v>
      </c>
      <c r="BE489" s="334">
        <v>211.71</v>
      </c>
    </row>
    <row r="490" spans="22:57">
      <c r="V490" s="346">
        <v>5510</v>
      </c>
      <c r="W490" s="333">
        <v>430.75700000000001</v>
      </c>
      <c r="X490" s="346">
        <v>5520</v>
      </c>
      <c r="Y490" s="334">
        <v>427.589</v>
      </c>
      <c r="Z490" s="335">
        <v>5510</v>
      </c>
      <c r="AA490" s="334">
        <v>948.03599999999994</v>
      </c>
      <c r="AB490" s="336">
        <v>5510</v>
      </c>
      <c r="AC490" s="334">
        <v>947.67100000000005</v>
      </c>
      <c r="AD490" s="336">
        <v>5510</v>
      </c>
      <c r="AE490" s="334">
        <v>826.16800000000001</v>
      </c>
      <c r="AF490" s="336">
        <v>5510</v>
      </c>
      <c r="AG490" s="334">
        <v>825.80200000000002</v>
      </c>
      <c r="AH490" s="336">
        <v>5510</v>
      </c>
      <c r="AI490" s="334">
        <v>825.99400000000003</v>
      </c>
      <c r="AJ490" s="336">
        <v>5490</v>
      </c>
      <c r="AK490" s="334">
        <v>827.13800000000003</v>
      </c>
      <c r="AL490" s="336">
        <v>5510</v>
      </c>
      <c r="AM490" s="334">
        <v>826.73400000000004</v>
      </c>
      <c r="AN490" s="336">
        <v>5510</v>
      </c>
      <c r="AO490" s="334">
        <v>827.34400000000005</v>
      </c>
      <c r="AP490" s="336">
        <v>5500</v>
      </c>
      <c r="AQ490" s="333">
        <v>826.40200000000004</v>
      </c>
      <c r="AR490" s="336">
        <v>5510</v>
      </c>
      <c r="AS490" s="334">
        <v>826.06700000000001</v>
      </c>
      <c r="AT490" s="336">
        <v>5510</v>
      </c>
      <c r="AU490" s="334">
        <v>824.51499999999999</v>
      </c>
      <c r="AV490" s="336">
        <v>5510</v>
      </c>
      <c r="AW490" s="334">
        <v>824.51</v>
      </c>
      <c r="AX490" s="336">
        <v>5500</v>
      </c>
      <c r="AY490" s="334">
        <v>748.43499999999995</v>
      </c>
      <c r="AZ490" s="336">
        <v>5510</v>
      </c>
      <c r="BA490" s="337">
        <v>749.88199999999995</v>
      </c>
      <c r="BB490" s="336">
        <v>5490</v>
      </c>
      <c r="BC490" s="334">
        <v>201.57400000000001</v>
      </c>
      <c r="BD490" s="336">
        <v>5490</v>
      </c>
      <c r="BE490" s="334">
        <v>211.304</v>
      </c>
    </row>
    <row r="491" spans="22:57">
      <c r="V491" s="346">
        <v>5520</v>
      </c>
      <c r="W491" s="333">
        <v>429.98</v>
      </c>
      <c r="X491" s="346">
        <v>5530</v>
      </c>
      <c r="Y491" s="334">
        <v>426.81700000000001</v>
      </c>
      <c r="Z491" s="335">
        <v>5520</v>
      </c>
      <c r="AA491" s="334">
        <v>946.54600000000005</v>
      </c>
      <c r="AB491" s="336">
        <v>5520</v>
      </c>
      <c r="AC491" s="334">
        <v>946.18399999999997</v>
      </c>
      <c r="AD491" s="336">
        <v>5520</v>
      </c>
      <c r="AE491" s="334">
        <v>824.95500000000004</v>
      </c>
      <c r="AF491" s="336">
        <v>5520</v>
      </c>
      <c r="AG491" s="334">
        <v>824.58799999999997</v>
      </c>
      <c r="AH491" s="336">
        <v>5520</v>
      </c>
      <c r="AI491" s="334">
        <v>824.78099999999995</v>
      </c>
      <c r="AJ491" s="336">
        <v>5500</v>
      </c>
      <c r="AK491" s="334">
        <v>825.92499999999995</v>
      </c>
      <c r="AL491" s="336">
        <v>5520</v>
      </c>
      <c r="AM491" s="334">
        <v>825.52099999999996</v>
      </c>
      <c r="AN491" s="336">
        <v>5520</v>
      </c>
      <c r="AO491" s="334">
        <v>826.13199999999995</v>
      </c>
      <c r="AP491" s="336">
        <v>5510</v>
      </c>
      <c r="AQ491" s="333">
        <v>825.19299999999998</v>
      </c>
      <c r="AR491" s="336">
        <v>5520</v>
      </c>
      <c r="AS491" s="334">
        <v>824.85599999999999</v>
      </c>
      <c r="AT491" s="336">
        <v>5520</v>
      </c>
      <c r="AU491" s="334">
        <v>823.30399999999997</v>
      </c>
      <c r="AV491" s="336">
        <v>5520</v>
      </c>
      <c r="AW491" s="334">
        <v>823.3</v>
      </c>
      <c r="AX491" s="336">
        <v>5510</v>
      </c>
      <c r="AY491" s="334">
        <v>747.22400000000005</v>
      </c>
      <c r="AZ491" s="336">
        <v>5520</v>
      </c>
      <c r="BA491" s="337">
        <v>748.673</v>
      </c>
      <c r="BB491" s="336">
        <v>5500</v>
      </c>
      <c r="BC491" s="334">
        <v>201.18199999999999</v>
      </c>
      <c r="BD491" s="336">
        <v>5500</v>
      </c>
      <c r="BE491" s="334">
        <v>210.89699999999999</v>
      </c>
    </row>
    <row r="492" spans="22:57">
      <c r="V492" s="346">
        <v>5530</v>
      </c>
      <c r="W492" s="333">
        <v>429.20299999999997</v>
      </c>
      <c r="X492" s="346">
        <v>5540</v>
      </c>
      <c r="Y492" s="334">
        <v>426.04500000000002</v>
      </c>
      <c r="Z492" s="335">
        <v>5530</v>
      </c>
      <c r="AA492" s="334">
        <v>945.05499999999995</v>
      </c>
      <c r="AB492" s="336">
        <v>5530</v>
      </c>
      <c r="AC492" s="352">
        <v>944.697</v>
      </c>
      <c r="AD492" s="336">
        <v>5530</v>
      </c>
      <c r="AE492" s="334">
        <v>823.74199999999996</v>
      </c>
      <c r="AF492" s="336">
        <v>5530</v>
      </c>
      <c r="AG492" s="334">
        <v>823.375</v>
      </c>
      <c r="AH492" s="336">
        <v>5530</v>
      </c>
      <c r="AI492" s="334">
        <v>823.56899999999996</v>
      </c>
      <c r="AJ492" s="336">
        <v>5510</v>
      </c>
      <c r="AK492" s="334">
        <v>824.71199999999999</v>
      </c>
      <c r="AL492" s="336">
        <v>5530</v>
      </c>
      <c r="AM492" s="334">
        <v>824.30899999999997</v>
      </c>
      <c r="AN492" s="336">
        <v>5530</v>
      </c>
      <c r="AO492" s="334">
        <v>824.91899999999998</v>
      </c>
      <c r="AP492" s="336">
        <v>5520</v>
      </c>
      <c r="AQ492" s="333">
        <v>823.98299999999995</v>
      </c>
      <c r="AR492" s="336">
        <v>5530</v>
      </c>
      <c r="AS492" s="334">
        <v>823.64599999999996</v>
      </c>
      <c r="AT492" s="336">
        <v>5530</v>
      </c>
      <c r="AU492" s="334">
        <v>822.09299999999996</v>
      </c>
      <c r="AV492" s="336">
        <v>5530</v>
      </c>
      <c r="AW492" s="334">
        <v>822.09</v>
      </c>
      <c r="AX492" s="336">
        <v>5520</v>
      </c>
      <c r="AY492" s="334">
        <v>746.01300000000003</v>
      </c>
      <c r="AZ492" s="336">
        <v>5530</v>
      </c>
      <c r="BA492" s="337">
        <v>747.46299999999997</v>
      </c>
      <c r="BB492" s="336">
        <v>5510</v>
      </c>
      <c r="BC492" s="334">
        <v>200.79</v>
      </c>
      <c r="BD492" s="336">
        <v>5510</v>
      </c>
      <c r="BE492" s="334">
        <v>210.49100000000001</v>
      </c>
    </row>
    <row r="493" spans="22:57">
      <c r="V493" s="346">
        <v>5540</v>
      </c>
      <c r="W493" s="333">
        <v>428.42599999999999</v>
      </c>
      <c r="X493" s="346">
        <v>5550</v>
      </c>
      <c r="Y493" s="334">
        <v>425.274</v>
      </c>
      <c r="Z493" s="335">
        <v>5540</v>
      </c>
      <c r="AA493" s="334">
        <v>943.56500000000005</v>
      </c>
      <c r="AB493" s="336">
        <v>5540</v>
      </c>
      <c r="AC493" s="352">
        <v>943.21</v>
      </c>
      <c r="AD493" s="336">
        <v>5540</v>
      </c>
      <c r="AE493" s="334">
        <v>822.53</v>
      </c>
      <c r="AF493" s="336">
        <v>5540</v>
      </c>
      <c r="AG493" s="334">
        <v>822.16099999999994</v>
      </c>
      <c r="AH493" s="336">
        <v>5540</v>
      </c>
      <c r="AI493" s="334">
        <v>822.35599999999999</v>
      </c>
      <c r="AJ493" s="336">
        <v>5520</v>
      </c>
      <c r="AK493" s="334">
        <v>823.49900000000002</v>
      </c>
      <c r="AL493" s="336">
        <v>5540</v>
      </c>
      <c r="AM493" s="334">
        <v>823.096</v>
      </c>
      <c r="AN493" s="336">
        <v>5540</v>
      </c>
      <c r="AO493" s="334">
        <v>823.70699999999999</v>
      </c>
      <c r="AP493" s="336">
        <v>5530</v>
      </c>
      <c r="AQ493" s="333">
        <v>822.77300000000002</v>
      </c>
      <c r="AR493" s="336">
        <v>5540</v>
      </c>
      <c r="AS493" s="334">
        <v>822.43499999999995</v>
      </c>
      <c r="AT493" s="336">
        <v>5540</v>
      </c>
      <c r="AU493" s="334">
        <v>820.88099999999997</v>
      </c>
      <c r="AV493" s="336">
        <v>5540</v>
      </c>
      <c r="AW493" s="334">
        <v>820.88</v>
      </c>
      <c r="AX493" s="336">
        <v>5530</v>
      </c>
      <c r="AY493" s="334">
        <v>744.803</v>
      </c>
      <c r="AZ493" s="336">
        <v>5540</v>
      </c>
      <c r="BA493" s="337">
        <v>746.25300000000004</v>
      </c>
      <c r="BB493" s="336">
        <v>5520</v>
      </c>
      <c r="BC493" s="334">
        <v>200.398</v>
      </c>
      <c r="BD493" s="336">
        <v>5520</v>
      </c>
      <c r="BE493" s="334">
        <v>210.08500000000001</v>
      </c>
    </row>
    <row r="494" spans="22:57">
      <c r="V494" s="346">
        <v>5550</v>
      </c>
      <c r="W494" s="333">
        <v>427.649</v>
      </c>
      <c r="X494" s="346">
        <v>5560</v>
      </c>
      <c r="Y494" s="334">
        <v>424.50200000000001</v>
      </c>
      <c r="Z494" s="335">
        <v>5550</v>
      </c>
      <c r="AA494" s="334">
        <v>942.07399999999996</v>
      </c>
      <c r="AB494" s="336">
        <v>5550</v>
      </c>
      <c r="AC494" s="334">
        <v>941.72299999999996</v>
      </c>
      <c r="AD494" s="336">
        <v>5550</v>
      </c>
      <c r="AE494" s="334">
        <v>821.31700000000001</v>
      </c>
      <c r="AF494" s="336">
        <v>5550</v>
      </c>
      <c r="AG494" s="334">
        <v>820.947</v>
      </c>
      <c r="AH494" s="336">
        <v>5550</v>
      </c>
      <c r="AI494" s="334">
        <v>821.14300000000003</v>
      </c>
      <c r="AJ494" s="336">
        <v>5530</v>
      </c>
      <c r="AK494" s="334">
        <v>822.28599999999994</v>
      </c>
      <c r="AL494" s="336">
        <v>5550</v>
      </c>
      <c r="AM494" s="334">
        <v>821.88300000000004</v>
      </c>
      <c r="AN494" s="336">
        <v>5550</v>
      </c>
      <c r="AO494" s="334">
        <v>822.495</v>
      </c>
      <c r="AP494" s="336">
        <v>5540</v>
      </c>
      <c r="AQ494" s="333">
        <v>821.56299999999999</v>
      </c>
      <c r="AR494" s="336">
        <v>5550</v>
      </c>
      <c r="AS494" s="334">
        <v>821.22400000000005</v>
      </c>
      <c r="AT494" s="336">
        <v>5550</v>
      </c>
      <c r="AU494" s="334">
        <v>819.67</v>
      </c>
      <c r="AV494" s="336">
        <v>5550</v>
      </c>
      <c r="AW494" s="334">
        <v>819.67</v>
      </c>
      <c r="AX494" s="336">
        <v>5540</v>
      </c>
      <c r="AY494" s="334">
        <v>743.59199999999998</v>
      </c>
      <c r="AZ494" s="336">
        <v>5550</v>
      </c>
      <c r="BA494" s="337">
        <v>745.04300000000001</v>
      </c>
      <c r="BB494" s="336">
        <v>5530</v>
      </c>
      <c r="BC494" s="334">
        <v>200.006</v>
      </c>
      <c r="BD494" s="336">
        <v>5530</v>
      </c>
      <c r="BE494" s="334">
        <v>209.679</v>
      </c>
    </row>
    <row r="495" spans="22:57">
      <c r="V495" s="346">
        <v>5560</v>
      </c>
      <c r="W495" s="333">
        <v>426.87299999999999</v>
      </c>
      <c r="X495" s="346">
        <v>5570</v>
      </c>
      <c r="Y495" s="334">
        <v>423.73099999999999</v>
      </c>
      <c r="Z495" s="335">
        <v>5560</v>
      </c>
      <c r="AA495" s="334">
        <v>940.58399999999995</v>
      </c>
      <c r="AB495" s="336">
        <v>5560</v>
      </c>
      <c r="AC495" s="334">
        <v>940.23599999999999</v>
      </c>
      <c r="AD495" s="336">
        <v>5560</v>
      </c>
      <c r="AE495" s="334">
        <v>820.10400000000004</v>
      </c>
      <c r="AF495" s="336">
        <v>5560</v>
      </c>
      <c r="AG495" s="334">
        <v>819.73400000000004</v>
      </c>
      <c r="AH495" s="336">
        <v>5560</v>
      </c>
      <c r="AI495" s="334">
        <v>819.93100000000004</v>
      </c>
      <c r="AJ495" s="336">
        <v>5540</v>
      </c>
      <c r="AK495" s="334">
        <v>821.07299999999998</v>
      </c>
      <c r="AL495" s="336">
        <v>5560</v>
      </c>
      <c r="AM495" s="334">
        <v>820.67</v>
      </c>
      <c r="AN495" s="336">
        <v>5560</v>
      </c>
      <c r="AO495" s="334">
        <v>821.28200000000004</v>
      </c>
      <c r="AP495" s="336">
        <v>5550</v>
      </c>
      <c r="AQ495" s="333">
        <v>820.35299999999995</v>
      </c>
      <c r="AR495" s="336">
        <v>5560</v>
      </c>
      <c r="AS495" s="334">
        <v>820.01300000000003</v>
      </c>
      <c r="AT495" s="336">
        <v>5560</v>
      </c>
      <c r="AU495" s="334">
        <v>818.45799999999997</v>
      </c>
      <c r="AV495" s="336">
        <v>5560</v>
      </c>
      <c r="AW495" s="334">
        <v>818.46</v>
      </c>
      <c r="AX495" s="336">
        <v>5550</v>
      </c>
      <c r="AY495" s="334">
        <v>742.38099999999997</v>
      </c>
      <c r="AZ495" s="336">
        <v>5560</v>
      </c>
      <c r="BA495" s="337">
        <v>743.83399999999995</v>
      </c>
      <c r="BB495" s="336">
        <v>5540</v>
      </c>
      <c r="BC495" s="334">
        <v>199.614</v>
      </c>
      <c r="BD495" s="336">
        <v>5540</v>
      </c>
      <c r="BE495" s="334">
        <v>209.273</v>
      </c>
    </row>
    <row r="496" spans="22:57">
      <c r="V496" s="346">
        <v>5570</v>
      </c>
      <c r="W496" s="333">
        <v>426.096</v>
      </c>
      <c r="X496" s="346">
        <v>5580</v>
      </c>
      <c r="Y496" s="334">
        <v>422.96</v>
      </c>
      <c r="Z496" s="335">
        <v>5570</v>
      </c>
      <c r="AA496" s="334">
        <v>939.09400000000005</v>
      </c>
      <c r="AB496" s="336">
        <v>5570</v>
      </c>
      <c r="AC496" s="334">
        <v>938.74900000000002</v>
      </c>
      <c r="AD496" s="336">
        <v>5570</v>
      </c>
      <c r="AE496" s="334">
        <v>818.89099999999996</v>
      </c>
      <c r="AF496" s="336">
        <v>5570</v>
      </c>
      <c r="AG496" s="334">
        <v>818.52</v>
      </c>
      <c r="AH496" s="336">
        <v>5570</v>
      </c>
      <c r="AI496" s="334">
        <v>818.71799999999996</v>
      </c>
      <c r="AJ496" s="336">
        <v>5550</v>
      </c>
      <c r="AK496" s="334">
        <v>819.86</v>
      </c>
      <c r="AL496" s="336">
        <v>5570</v>
      </c>
      <c r="AM496" s="334">
        <v>819.45799999999997</v>
      </c>
      <c r="AN496" s="336">
        <v>5570</v>
      </c>
      <c r="AO496" s="334">
        <v>820.07</v>
      </c>
      <c r="AP496" s="336">
        <v>5560</v>
      </c>
      <c r="AQ496" s="333">
        <v>819.14300000000003</v>
      </c>
      <c r="AR496" s="336">
        <v>5570</v>
      </c>
      <c r="AS496" s="334">
        <v>818.80200000000002</v>
      </c>
      <c r="AT496" s="336">
        <v>5570</v>
      </c>
      <c r="AU496" s="334">
        <v>817.24699999999996</v>
      </c>
      <c r="AV496" s="336">
        <v>5570</v>
      </c>
      <c r="AW496" s="334">
        <v>817.25</v>
      </c>
      <c r="AX496" s="336">
        <v>5560</v>
      </c>
      <c r="AY496" s="334">
        <v>741.17100000000005</v>
      </c>
      <c r="AZ496" s="336">
        <v>5570</v>
      </c>
      <c r="BA496" s="337">
        <v>742.62400000000002</v>
      </c>
      <c r="BB496" s="336">
        <v>5550</v>
      </c>
      <c r="BC496" s="334">
        <v>199.22300000000001</v>
      </c>
      <c r="BD496" s="336">
        <v>5550</v>
      </c>
      <c r="BE496" s="334">
        <v>208.86699999999999</v>
      </c>
    </row>
    <row r="497" spans="20:57">
      <c r="V497" s="346">
        <v>5580</v>
      </c>
      <c r="W497" s="333">
        <v>425.32</v>
      </c>
      <c r="X497" s="346">
        <v>5590</v>
      </c>
      <c r="Y497" s="334">
        <v>422.19</v>
      </c>
      <c r="Z497" s="335">
        <v>5580</v>
      </c>
      <c r="AA497" s="334">
        <v>937.60400000000004</v>
      </c>
      <c r="AB497" s="336">
        <v>5580</v>
      </c>
      <c r="AC497" s="334">
        <v>937.26199999999994</v>
      </c>
      <c r="AD497" s="336">
        <v>5580</v>
      </c>
      <c r="AE497" s="334">
        <v>817.678</v>
      </c>
      <c r="AF497" s="336">
        <v>5580</v>
      </c>
      <c r="AG497" s="334">
        <v>817.30700000000002</v>
      </c>
      <c r="AH497" s="336">
        <v>5580</v>
      </c>
      <c r="AI497" s="334">
        <v>817.505</v>
      </c>
      <c r="AJ497" s="336">
        <v>5560</v>
      </c>
      <c r="AK497" s="334">
        <v>818.64700000000005</v>
      </c>
      <c r="AL497" s="336">
        <v>5580</v>
      </c>
      <c r="AM497" s="334">
        <v>818.245</v>
      </c>
      <c r="AN497" s="336">
        <v>5580</v>
      </c>
      <c r="AO497" s="334">
        <v>818.85799999999995</v>
      </c>
      <c r="AP497" s="336">
        <v>5570</v>
      </c>
      <c r="AQ497" s="333">
        <v>817.93299999999999</v>
      </c>
      <c r="AR497" s="336">
        <v>5580</v>
      </c>
      <c r="AS497" s="334">
        <v>817.59199999999998</v>
      </c>
      <c r="AT497" s="336">
        <v>5580</v>
      </c>
      <c r="AU497" s="334">
        <v>816.03599999999994</v>
      </c>
      <c r="AV497" s="336">
        <v>5580</v>
      </c>
      <c r="AW497" s="334">
        <v>816.04</v>
      </c>
      <c r="AX497" s="336">
        <v>5570</v>
      </c>
      <c r="AY497" s="334">
        <v>739.96</v>
      </c>
      <c r="AZ497" s="336">
        <v>5580</v>
      </c>
      <c r="BA497" s="337">
        <v>741.41399999999999</v>
      </c>
      <c r="BB497" s="336">
        <v>5560</v>
      </c>
      <c r="BC497" s="334">
        <v>198.83099999999999</v>
      </c>
      <c r="BD497" s="336">
        <v>5560</v>
      </c>
      <c r="BE497" s="334">
        <v>208.46199999999999</v>
      </c>
    </row>
    <row r="498" spans="20:57">
      <c r="V498" s="346">
        <v>5590</v>
      </c>
      <c r="W498" s="333">
        <v>424.54399999999998</v>
      </c>
      <c r="X498" s="346">
        <v>5600</v>
      </c>
      <c r="Y498" s="334">
        <v>421.41899999999998</v>
      </c>
      <c r="Z498" s="335">
        <v>5590</v>
      </c>
      <c r="AA498" s="334">
        <v>936.11500000000001</v>
      </c>
      <c r="AB498" s="336">
        <v>5590</v>
      </c>
      <c r="AC498" s="334">
        <v>935.77499999999998</v>
      </c>
      <c r="AD498" s="336">
        <v>5590</v>
      </c>
      <c r="AE498" s="334">
        <v>816.46500000000003</v>
      </c>
      <c r="AF498" s="336">
        <v>5590</v>
      </c>
      <c r="AG498" s="334">
        <v>816.09299999999996</v>
      </c>
      <c r="AH498" s="336">
        <v>5590</v>
      </c>
      <c r="AI498" s="334">
        <v>816.29300000000001</v>
      </c>
      <c r="AJ498" s="336">
        <v>5570</v>
      </c>
      <c r="AK498" s="334">
        <v>817.43399999999997</v>
      </c>
      <c r="AL498" s="336">
        <v>5590</v>
      </c>
      <c r="AM498" s="334">
        <v>817.03200000000004</v>
      </c>
      <c r="AN498" s="336">
        <v>5590</v>
      </c>
      <c r="AO498" s="334">
        <v>817.64599999999996</v>
      </c>
      <c r="AP498" s="336">
        <v>5580</v>
      </c>
      <c r="AQ498" s="333">
        <v>816.72400000000005</v>
      </c>
      <c r="AR498" s="336">
        <v>5590</v>
      </c>
      <c r="AS498" s="334">
        <v>816.38099999999997</v>
      </c>
      <c r="AT498" s="336">
        <v>5590</v>
      </c>
      <c r="AU498" s="334">
        <v>814.82399999999996</v>
      </c>
      <c r="AV498" s="336">
        <v>5590</v>
      </c>
      <c r="AW498" s="334">
        <v>814.83</v>
      </c>
      <c r="AX498" s="336">
        <v>5580</v>
      </c>
      <c r="AY498" s="334">
        <v>738.74900000000002</v>
      </c>
      <c r="AZ498" s="336">
        <v>5590</v>
      </c>
      <c r="BA498" s="337">
        <v>740.20399999999995</v>
      </c>
      <c r="BB498" s="336">
        <v>5570</v>
      </c>
      <c r="BC498" s="334">
        <v>198.43899999999999</v>
      </c>
      <c r="BD498" s="336">
        <v>5570</v>
      </c>
      <c r="BE498" s="334">
        <v>208.05600000000001</v>
      </c>
    </row>
    <row r="499" spans="20:57">
      <c r="V499" s="346">
        <v>5600</v>
      </c>
      <c r="W499" s="333">
        <v>423.76900000000001</v>
      </c>
      <c r="X499" s="346">
        <v>5610</v>
      </c>
      <c r="Y499" s="334">
        <v>420.649</v>
      </c>
      <c r="Z499" s="335">
        <v>5600</v>
      </c>
      <c r="AA499" s="334">
        <v>934.625</v>
      </c>
      <c r="AB499" s="336">
        <v>5600</v>
      </c>
      <c r="AC499" s="334">
        <v>934.28899999999999</v>
      </c>
      <c r="AD499" s="336">
        <v>5600</v>
      </c>
      <c r="AE499" s="334">
        <v>815.25199999999995</v>
      </c>
      <c r="AF499" s="336">
        <v>5600</v>
      </c>
      <c r="AG499" s="334">
        <v>814.87900000000002</v>
      </c>
      <c r="AH499" s="336">
        <v>5600</v>
      </c>
      <c r="AI499" s="334">
        <v>815.08</v>
      </c>
      <c r="AJ499" s="336">
        <v>5580</v>
      </c>
      <c r="AK499" s="334">
        <v>816.221</v>
      </c>
      <c r="AL499" s="336">
        <v>5600</v>
      </c>
      <c r="AM499" s="334">
        <v>815.81899999999996</v>
      </c>
      <c r="AN499" s="336">
        <v>5600</v>
      </c>
      <c r="AO499" s="334">
        <v>816.43299999999999</v>
      </c>
      <c r="AP499" s="336">
        <v>5590</v>
      </c>
      <c r="AQ499" s="333">
        <v>815.51400000000001</v>
      </c>
      <c r="AR499" s="336">
        <v>5600</v>
      </c>
      <c r="AS499" s="334">
        <v>815.17</v>
      </c>
      <c r="AT499" s="336">
        <v>5600</v>
      </c>
      <c r="AU499" s="334">
        <v>813.61300000000006</v>
      </c>
      <c r="AV499" s="336">
        <v>5600</v>
      </c>
      <c r="AW499" s="334">
        <v>813.62</v>
      </c>
      <c r="AX499" s="336">
        <v>5590</v>
      </c>
      <c r="AY499" s="334">
        <v>737.53800000000001</v>
      </c>
      <c r="AZ499" s="336">
        <v>5600</v>
      </c>
      <c r="BA499" s="337">
        <v>738.995</v>
      </c>
      <c r="BB499" s="336">
        <v>5580</v>
      </c>
      <c r="BC499" s="334">
        <v>198.048</v>
      </c>
      <c r="BD499" s="336">
        <v>5580</v>
      </c>
      <c r="BE499" s="334">
        <v>207.65</v>
      </c>
    </row>
    <row r="500" spans="20:57">
      <c r="V500" s="346">
        <v>5610</v>
      </c>
      <c r="W500" s="333">
        <v>422.99299999999999</v>
      </c>
      <c r="X500" s="346">
        <v>5620</v>
      </c>
      <c r="Y500" s="334">
        <v>419.87799999999999</v>
      </c>
      <c r="Z500" s="335">
        <v>5610</v>
      </c>
      <c r="AA500" s="334">
        <v>933.13499999999999</v>
      </c>
      <c r="AB500" s="336">
        <v>5610</v>
      </c>
      <c r="AC500" s="334">
        <v>932.803</v>
      </c>
      <c r="AD500" s="336">
        <v>5610</v>
      </c>
      <c r="AE500" s="334">
        <v>814.04</v>
      </c>
      <c r="AF500" s="336">
        <v>5610</v>
      </c>
      <c r="AG500" s="334">
        <v>813.66600000000005</v>
      </c>
      <c r="AH500" s="336">
        <v>5610</v>
      </c>
      <c r="AI500" s="334">
        <v>813.86699999999996</v>
      </c>
      <c r="AJ500" s="336">
        <v>5590</v>
      </c>
      <c r="AK500" s="334">
        <v>815.00900000000001</v>
      </c>
      <c r="AL500" s="336">
        <v>5610</v>
      </c>
      <c r="AM500" s="334">
        <v>814.60699999999997</v>
      </c>
      <c r="AN500" s="336">
        <v>5610</v>
      </c>
      <c r="AO500" s="334">
        <v>815.221</v>
      </c>
      <c r="AP500" s="336">
        <v>5600</v>
      </c>
      <c r="AQ500" s="333">
        <v>814.30399999999997</v>
      </c>
      <c r="AR500" s="336">
        <v>5610</v>
      </c>
      <c r="AS500" s="334">
        <v>813.95899999999995</v>
      </c>
      <c r="AT500" s="336">
        <v>5610</v>
      </c>
      <c r="AU500" s="334">
        <v>812.40200000000004</v>
      </c>
      <c r="AV500" s="336">
        <v>5610</v>
      </c>
      <c r="AW500" s="334">
        <v>812.41</v>
      </c>
      <c r="AX500" s="336">
        <v>5600</v>
      </c>
      <c r="AY500" s="334">
        <v>736.32799999999997</v>
      </c>
      <c r="AZ500" s="336">
        <v>5610</v>
      </c>
      <c r="BA500" s="337">
        <v>737.78499999999997</v>
      </c>
      <c r="BB500" s="336">
        <v>5590</v>
      </c>
      <c r="BC500" s="334">
        <v>197.65600000000001</v>
      </c>
      <c r="BD500" s="336">
        <v>5590</v>
      </c>
      <c r="BE500" s="334">
        <v>207.245</v>
      </c>
    </row>
    <row r="501" spans="20:57">
      <c r="V501" s="346">
        <v>5620</v>
      </c>
      <c r="W501" s="333">
        <v>422.21800000000002</v>
      </c>
      <c r="X501" s="346">
        <v>5630</v>
      </c>
      <c r="Y501" s="334">
        <v>419.108</v>
      </c>
      <c r="Z501" s="335">
        <v>5620</v>
      </c>
      <c r="AA501" s="334">
        <v>931.64599999999996</v>
      </c>
      <c r="AB501" s="336">
        <v>5620</v>
      </c>
      <c r="AC501" s="334">
        <v>931.31600000000003</v>
      </c>
      <c r="AD501" s="336">
        <v>5620</v>
      </c>
      <c r="AE501" s="334">
        <v>812.827</v>
      </c>
      <c r="AF501" s="336">
        <v>5620</v>
      </c>
      <c r="AG501" s="334">
        <v>812.452</v>
      </c>
      <c r="AH501" s="336">
        <v>5620</v>
      </c>
      <c r="AI501" s="334">
        <v>812.65499999999997</v>
      </c>
      <c r="AJ501" s="336">
        <v>5600</v>
      </c>
      <c r="AK501" s="334">
        <v>813.79600000000005</v>
      </c>
      <c r="AL501" s="336">
        <v>5620</v>
      </c>
      <c r="AM501" s="334">
        <v>813.39400000000001</v>
      </c>
      <c r="AN501" s="336">
        <v>5620</v>
      </c>
      <c r="AO501" s="334">
        <v>814.00900000000001</v>
      </c>
      <c r="AP501" s="336">
        <v>5610</v>
      </c>
      <c r="AQ501" s="333">
        <v>813.09400000000005</v>
      </c>
      <c r="AR501" s="336">
        <v>5620</v>
      </c>
      <c r="AS501" s="334">
        <v>812.74800000000005</v>
      </c>
      <c r="AT501" s="336">
        <v>5620</v>
      </c>
      <c r="AU501" s="334">
        <v>811.19</v>
      </c>
      <c r="AV501" s="336">
        <v>5620</v>
      </c>
      <c r="AW501" s="334">
        <v>811.2</v>
      </c>
      <c r="AX501" s="336">
        <v>5610</v>
      </c>
      <c r="AY501" s="334">
        <v>735.11699999999996</v>
      </c>
      <c r="AZ501" s="336">
        <v>5620</v>
      </c>
      <c r="BA501" s="337">
        <v>736.57500000000005</v>
      </c>
      <c r="BB501" s="336">
        <v>5600</v>
      </c>
      <c r="BC501" s="334">
        <v>197.26499999999999</v>
      </c>
      <c r="BD501" s="336">
        <v>5600</v>
      </c>
      <c r="BE501" s="334">
        <v>206.839</v>
      </c>
    </row>
    <row r="502" spans="20:57">
      <c r="V502" s="346">
        <v>5630</v>
      </c>
      <c r="W502" s="333">
        <v>421.44200000000001</v>
      </c>
      <c r="X502" s="346">
        <v>5640</v>
      </c>
      <c r="Y502" s="334">
        <v>418.33800000000002</v>
      </c>
      <c r="Z502" s="335">
        <v>5630</v>
      </c>
      <c r="AA502" s="334">
        <v>930.15700000000004</v>
      </c>
      <c r="AB502" s="336">
        <v>5630</v>
      </c>
      <c r="AC502" s="334">
        <v>929.83</v>
      </c>
      <c r="AD502" s="336">
        <v>5630</v>
      </c>
      <c r="AE502" s="334">
        <v>811.61400000000003</v>
      </c>
      <c r="AF502" s="336">
        <v>5630</v>
      </c>
      <c r="AG502" s="334">
        <v>811.23800000000006</v>
      </c>
      <c r="AH502" s="336">
        <v>5630</v>
      </c>
      <c r="AI502" s="334">
        <v>811.44200000000001</v>
      </c>
      <c r="AJ502" s="336">
        <v>5610</v>
      </c>
      <c r="AK502" s="334">
        <v>812.58299999999997</v>
      </c>
      <c r="AL502" s="336">
        <v>5630</v>
      </c>
      <c r="AM502" s="334">
        <v>812.18100000000004</v>
      </c>
      <c r="AN502" s="336">
        <v>5630</v>
      </c>
      <c r="AO502" s="334">
        <v>812.79700000000003</v>
      </c>
      <c r="AP502" s="336">
        <v>5620</v>
      </c>
      <c r="AQ502" s="333">
        <v>811.88400000000001</v>
      </c>
      <c r="AR502" s="336">
        <v>5630</v>
      </c>
      <c r="AS502" s="334">
        <v>811.53700000000003</v>
      </c>
      <c r="AT502" s="336">
        <v>5630</v>
      </c>
      <c r="AU502" s="334">
        <v>809.97900000000004</v>
      </c>
      <c r="AV502" s="336">
        <v>5630</v>
      </c>
      <c r="AW502" s="334">
        <v>809.99</v>
      </c>
      <c r="AX502" s="336">
        <v>5620</v>
      </c>
      <c r="AY502" s="334">
        <v>733.90599999999995</v>
      </c>
      <c r="AZ502" s="336">
        <v>5630</v>
      </c>
      <c r="BA502" s="337">
        <v>735.36599999999999</v>
      </c>
      <c r="BB502" s="336">
        <v>5610</v>
      </c>
      <c r="BC502" s="334">
        <v>196.87299999999999</v>
      </c>
      <c r="BD502" s="336">
        <v>5610</v>
      </c>
      <c r="BE502" s="334">
        <v>206.434</v>
      </c>
    </row>
    <row r="503" spans="20:57">
      <c r="V503" s="346">
        <v>5640</v>
      </c>
      <c r="W503" s="333">
        <v>420.66699999999997</v>
      </c>
      <c r="X503" s="346">
        <v>5650</v>
      </c>
      <c r="Y503" s="334">
        <v>417.56900000000002</v>
      </c>
      <c r="Z503" s="335">
        <v>5640</v>
      </c>
      <c r="AA503" s="334">
        <v>928.66800000000001</v>
      </c>
      <c r="AB503" s="336">
        <v>5640</v>
      </c>
      <c r="AC503" s="334">
        <v>928.34400000000005</v>
      </c>
      <c r="AD503" s="336">
        <v>5640</v>
      </c>
      <c r="AE503" s="334">
        <v>810.40099999999995</v>
      </c>
      <c r="AF503" s="336">
        <v>5640</v>
      </c>
      <c r="AG503" s="334">
        <v>810.02499999999998</v>
      </c>
      <c r="AH503" s="336">
        <v>5640</v>
      </c>
      <c r="AI503" s="334">
        <v>810.22900000000004</v>
      </c>
      <c r="AJ503" s="336">
        <v>5620</v>
      </c>
      <c r="AK503" s="334">
        <v>811.37</v>
      </c>
      <c r="AL503" s="336">
        <v>5640</v>
      </c>
      <c r="AM503" s="334">
        <v>810.96799999999996</v>
      </c>
      <c r="AN503" s="336">
        <v>5640</v>
      </c>
      <c r="AO503" s="334">
        <v>811.58399999999995</v>
      </c>
      <c r="AP503" s="336">
        <v>5630</v>
      </c>
      <c r="AQ503" s="333">
        <v>810.67399999999998</v>
      </c>
      <c r="AR503" s="336">
        <v>5640</v>
      </c>
      <c r="AS503" s="334">
        <v>810.327</v>
      </c>
      <c r="AT503" s="336">
        <v>5640</v>
      </c>
      <c r="AU503" s="334">
        <v>808.76800000000003</v>
      </c>
      <c r="AV503" s="336">
        <v>5640</v>
      </c>
      <c r="AW503" s="334">
        <v>808.78</v>
      </c>
      <c r="AX503" s="336">
        <v>5630</v>
      </c>
      <c r="AY503" s="334">
        <v>732.69500000000005</v>
      </c>
      <c r="AZ503" s="336">
        <v>5640</v>
      </c>
      <c r="BA503" s="337">
        <v>734.15599999999995</v>
      </c>
      <c r="BB503" s="336">
        <v>5620</v>
      </c>
      <c r="BC503" s="334">
        <v>196.482</v>
      </c>
      <c r="BD503" s="336">
        <v>5620</v>
      </c>
      <c r="BE503" s="334">
        <v>206.02799999999999</v>
      </c>
    </row>
    <row r="504" spans="20:57">
      <c r="V504" s="346">
        <v>5650</v>
      </c>
      <c r="W504" s="333">
        <v>419.892</v>
      </c>
      <c r="X504" s="346">
        <v>5660</v>
      </c>
      <c r="Y504" s="334">
        <v>416.79899999999998</v>
      </c>
      <c r="Z504" s="335">
        <v>5650</v>
      </c>
      <c r="AA504" s="334">
        <v>927.17899999999997</v>
      </c>
      <c r="AB504" s="336">
        <v>5650</v>
      </c>
      <c r="AC504" s="334">
        <v>926.85799999999995</v>
      </c>
      <c r="AD504" s="336">
        <v>5650</v>
      </c>
      <c r="AE504" s="334">
        <v>809.18799999999999</v>
      </c>
      <c r="AF504" s="336">
        <v>5650</v>
      </c>
      <c r="AG504" s="334">
        <v>808.81100000000004</v>
      </c>
      <c r="AH504" s="336">
        <v>5650</v>
      </c>
      <c r="AI504" s="334">
        <v>809.01700000000005</v>
      </c>
      <c r="AJ504" s="336">
        <v>5630</v>
      </c>
      <c r="AK504" s="334">
        <v>810.15700000000004</v>
      </c>
      <c r="AL504" s="336">
        <v>5650</v>
      </c>
      <c r="AM504" s="334">
        <v>809.75599999999997</v>
      </c>
      <c r="AN504" s="336">
        <v>5650</v>
      </c>
      <c r="AO504" s="334">
        <v>810.37199999999996</v>
      </c>
      <c r="AP504" s="336">
        <v>5640</v>
      </c>
      <c r="AQ504" s="333">
        <v>809.46400000000006</v>
      </c>
      <c r="AR504" s="336">
        <v>5650</v>
      </c>
      <c r="AS504" s="334">
        <v>809.11599999999999</v>
      </c>
      <c r="AT504" s="336">
        <v>5650</v>
      </c>
      <c r="AU504" s="334">
        <v>807.55600000000004</v>
      </c>
      <c r="AV504" s="336">
        <v>5650</v>
      </c>
      <c r="AW504" s="334">
        <v>807.57100000000003</v>
      </c>
      <c r="AX504" s="336">
        <v>5640</v>
      </c>
      <c r="AY504" s="334">
        <v>731.48500000000001</v>
      </c>
      <c r="AZ504" s="336">
        <v>5650</v>
      </c>
      <c r="BA504" s="337">
        <v>732.94600000000003</v>
      </c>
      <c r="BB504" s="336">
        <v>5630</v>
      </c>
      <c r="BC504" s="334">
        <v>196.09100000000001</v>
      </c>
      <c r="BD504" s="336">
        <v>5630</v>
      </c>
      <c r="BE504" s="334">
        <v>205.62299999999999</v>
      </c>
    </row>
    <row r="505" spans="20:57">
      <c r="V505" s="346">
        <v>5660</v>
      </c>
      <c r="W505" s="333">
        <v>419.11799999999999</v>
      </c>
      <c r="X505" s="346">
        <v>5670</v>
      </c>
      <c r="Y505" s="334">
        <v>416.03</v>
      </c>
      <c r="Z505" s="335">
        <v>5660</v>
      </c>
      <c r="AA505" s="334">
        <v>925.69</v>
      </c>
      <c r="AB505" s="336">
        <v>5660</v>
      </c>
      <c r="AC505" s="334">
        <v>925.37199999999996</v>
      </c>
      <c r="AD505" s="336">
        <v>5660</v>
      </c>
      <c r="AE505" s="334">
        <v>807.97500000000002</v>
      </c>
      <c r="AF505" s="336">
        <v>5660</v>
      </c>
      <c r="AG505" s="334">
        <v>807.59699999999998</v>
      </c>
      <c r="AH505" s="336">
        <v>5660</v>
      </c>
      <c r="AI505" s="334">
        <v>807.80399999999997</v>
      </c>
      <c r="AJ505" s="336">
        <v>5640</v>
      </c>
      <c r="AK505" s="334">
        <v>808.94399999999996</v>
      </c>
      <c r="AL505" s="336">
        <v>5660</v>
      </c>
      <c r="AM505" s="334">
        <v>808.54300000000001</v>
      </c>
      <c r="AN505" s="336">
        <v>5660</v>
      </c>
      <c r="AO505" s="334">
        <v>809.16</v>
      </c>
      <c r="AP505" s="336">
        <v>5650</v>
      </c>
      <c r="AQ505" s="333">
        <v>808.25400000000002</v>
      </c>
      <c r="AR505" s="336">
        <v>5660</v>
      </c>
      <c r="AS505" s="334">
        <v>807.90499999999997</v>
      </c>
      <c r="AT505" s="336">
        <v>5660</v>
      </c>
      <c r="AU505" s="334">
        <v>806.34500000000003</v>
      </c>
      <c r="AV505" s="336">
        <v>5660</v>
      </c>
      <c r="AW505" s="371">
        <v>806.36099999999999</v>
      </c>
      <c r="AX505" s="336">
        <v>5650</v>
      </c>
      <c r="AY505" s="334">
        <v>730.274</v>
      </c>
      <c r="AZ505" s="336">
        <v>5660</v>
      </c>
      <c r="BA505" s="337">
        <v>731.73599999999999</v>
      </c>
      <c r="BB505" s="336">
        <v>5640</v>
      </c>
      <c r="BC505" s="334">
        <v>195.7</v>
      </c>
      <c r="BD505" s="336">
        <v>5640</v>
      </c>
      <c r="BE505" s="334">
        <v>205.21799999999999</v>
      </c>
    </row>
    <row r="506" spans="20:57">
      <c r="V506" s="346">
        <v>5670</v>
      </c>
      <c r="W506" s="333">
        <v>418.34300000000002</v>
      </c>
      <c r="X506" s="346">
        <v>5680</v>
      </c>
      <c r="Y506" s="334">
        <v>415.26100000000002</v>
      </c>
      <c r="Z506" s="335">
        <v>5670</v>
      </c>
      <c r="AA506" s="334">
        <v>924.20100000000002</v>
      </c>
      <c r="AB506" s="336">
        <v>5670</v>
      </c>
      <c r="AC506" s="334">
        <v>923.88699999999994</v>
      </c>
      <c r="AD506" s="336">
        <v>5670</v>
      </c>
      <c r="AE506" s="334">
        <v>806.76300000000003</v>
      </c>
      <c r="AF506" s="336">
        <v>5670</v>
      </c>
      <c r="AG506" s="334">
        <v>806.38400000000001</v>
      </c>
      <c r="AH506" s="336">
        <v>5670</v>
      </c>
      <c r="AI506" s="334">
        <v>806.59100000000001</v>
      </c>
      <c r="AJ506" s="336">
        <v>5650</v>
      </c>
      <c r="AK506" s="334">
        <v>807.73099999999999</v>
      </c>
      <c r="AL506" s="336">
        <v>5670</v>
      </c>
      <c r="AM506" s="334">
        <v>807.33</v>
      </c>
      <c r="AN506" s="336">
        <v>5670</v>
      </c>
      <c r="AO506" s="334">
        <v>807.94799999999998</v>
      </c>
      <c r="AP506" s="336">
        <v>5660</v>
      </c>
      <c r="AQ506" s="333">
        <v>807.04399999999998</v>
      </c>
      <c r="AR506" s="336">
        <v>5670</v>
      </c>
      <c r="AS506" s="334">
        <v>806.69399999999996</v>
      </c>
      <c r="AT506" s="336">
        <v>5670</v>
      </c>
      <c r="AU506" s="334">
        <v>805.13400000000001</v>
      </c>
      <c r="AV506" s="336">
        <v>5670</v>
      </c>
      <c r="AW506" s="334">
        <v>805.15099999999995</v>
      </c>
      <c r="AX506" s="336">
        <v>5660</v>
      </c>
      <c r="AY506" s="334">
        <v>729.06299999999999</v>
      </c>
      <c r="AZ506" s="336">
        <v>5670</v>
      </c>
      <c r="BA506" s="337">
        <v>730.52700000000004</v>
      </c>
      <c r="BB506" s="336">
        <v>5650</v>
      </c>
      <c r="BC506" s="334">
        <v>195.30799999999999</v>
      </c>
      <c r="BD506" s="336">
        <v>5650</v>
      </c>
      <c r="BE506" s="334">
        <v>204.81200000000001</v>
      </c>
    </row>
    <row r="507" spans="20:57">
      <c r="V507" s="346">
        <v>5680</v>
      </c>
      <c r="W507" s="333">
        <v>417.56900000000002</v>
      </c>
      <c r="X507" s="346">
        <v>5690</v>
      </c>
      <c r="Y507" s="334">
        <v>414.49200000000002</v>
      </c>
      <c r="Z507" s="335">
        <v>5680</v>
      </c>
      <c r="AA507" s="334">
        <v>922.71199999999999</v>
      </c>
      <c r="AB507" s="336">
        <v>5680</v>
      </c>
      <c r="AC507" s="334">
        <v>922.40099999999995</v>
      </c>
      <c r="AD507" s="336">
        <v>5680</v>
      </c>
      <c r="AE507" s="334">
        <v>805.55</v>
      </c>
      <c r="AF507" s="336">
        <v>5680</v>
      </c>
      <c r="AG507" s="334">
        <v>805.17</v>
      </c>
      <c r="AH507" s="336">
        <v>5680</v>
      </c>
      <c r="AI507" s="334">
        <v>805.37900000000002</v>
      </c>
      <c r="AJ507" s="336">
        <v>5660</v>
      </c>
      <c r="AK507" s="334">
        <v>806.51800000000003</v>
      </c>
      <c r="AL507" s="336">
        <v>5680</v>
      </c>
      <c r="AM507" s="334">
        <v>806.11699999999996</v>
      </c>
      <c r="AN507" s="336">
        <v>5680</v>
      </c>
      <c r="AO507" s="334">
        <v>806.73500000000001</v>
      </c>
      <c r="AP507" s="336">
        <v>5670</v>
      </c>
      <c r="AQ507" s="333">
        <v>805.83500000000004</v>
      </c>
      <c r="AR507" s="336">
        <v>5680</v>
      </c>
      <c r="AS507" s="334">
        <v>805.48299999999995</v>
      </c>
      <c r="AT507" s="336">
        <v>5680</v>
      </c>
      <c r="AU507" s="334">
        <v>803.92200000000003</v>
      </c>
      <c r="AV507" s="336">
        <v>5680</v>
      </c>
      <c r="AW507" s="334">
        <v>803.94100000000003</v>
      </c>
      <c r="AX507" s="336">
        <v>5670</v>
      </c>
      <c r="AY507" s="334">
        <v>727.85299999999995</v>
      </c>
      <c r="AZ507" s="336">
        <v>5680</v>
      </c>
      <c r="BA507" s="337">
        <v>729.31700000000001</v>
      </c>
      <c r="BB507" s="336">
        <v>5660</v>
      </c>
      <c r="BC507" s="334">
        <v>194.917</v>
      </c>
      <c r="BD507" s="336">
        <v>5660</v>
      </c>
      <c r="BE507" s="334">
        <v>204.40700000000001</v>
      </c>
    </row>
    <row r="508" spans="20:57">
      <c r="V508" s="346">
        <v>5690</v>
      </c>
      <c r="W508" s="333">
        <v>416.79500000000002</v>
      </c>
      <c r="X508" s="346">
        <v>5700</v>
      </c>
      <c r="Y508" s="334">
        <v>413.72300000000001</v>
      </c>
      <c r="Z508" s="335">
        <v>5690</v>
      </c>
      <c r="AA508" s="334">
        <v>921.22400000000005</v>
      </c>
      <c r="AB508" s="336">
        <v>5690</v>
      </c>
      <c r="AC508" s="334">
        <v>920.91600000000005</v>
      </c>
      <c r="AD508" s="336">
        <v>5690</v>
      </c>
      <c r="AE508" s="334">
        <v>804.33699999999999</v>
      </c>
      <c r="AF508" s="336">
        <v>5690</v>
      </c>
      <c r="AG508" s="334">
        <v>803.95600000000002</v>
      </c>
      <c r="AH508" s="336">
        <v>5690</v>
      </c>
      <c r="AI508" s="334">
        <v>804.16600000000005</v>
      </c>
      <c r="AJ508" s="336">
        <v>5670</v>
      </c>
      <c r="AK508" s="334">
        <v>805.30499999999995</v>
      </c>
      <c r="AL508" s="336">
        <v>5690</v>
      </c>
      <c r="AM508" s="334">
        <v>804.90499999999997</v>
      </c>
      <c r="AN508" s="336">
        <v>5690</v>
      </c>
      <c r="AO508" s="334">
        <v>805.52300000000002</v>
      </c>
      <c r="AP508" s="336">
        <v>5680</v>
      </c>
      <c r="AQ508" s="333">
        <v>804.625</v>
      </c>
      <c r="AR508" s="336">
        <v>5690</v>
      </c>
      <c r="AS508" s="334">
        <v>804.27200000000005</v>
      </c>
      <c r="AT508" s="336">
        <v>5690</v>
      </c>
      <c r="AU508" s="334">
        <v>802.71100000000001</v>
      </c>
      <c r="AV508" s="336">
        <v>5690</v>
      </c>
      <c r="AW508" s="334">
        <v>802.73099999999999</v>
      </c>
      <c r="AX508" s="336">
        <v>5680</v>
      </c>
      <c r="AY508" s="334">
        <v>726.64200000000005</v>
      </c>
      <c r="AZ508" s="336">
        <v>5690</v>
      </c>
      <c r="BA508" s="337">
        <v>728.10699999999997</v>
      </c>
      <c r="BB508" s="336">
        <v>5670</v>
      </c>
      <c r="BC508" s="334">
        <v>194.52600000000001</v>
      </c>
      <c r="BD508" s="336">
        <v>5670</v>
      </c>
      <c r="BE508" s="334">
        <v>204.00200000000001</v>
      </c>
    </row>
    <row r="509" spans="20:57">
      <c r="V509" s="346">
        <v>5700</v>
      </c>
      <c r="W509" s="333">
        <v>416.02100000000002</v>
      </c>
      <c r="X509" s="346">
        <v>5710</v>
      </c>
      <c r="Y509" s="334">
        <v>412.95400000000001</v>
      </c>
      <c r="Z509" s="335">
        <v>5700</v>
      </c>
      <c r="AA509" s="334">
        <v>919.73500000000001</v>
      </c>
      <c r="AB509" s="336">
        <v>5700</v>
      </c>
      <c r="AC509" s="334">
        <v>919.43</v>
      </c>
      <c r="AD509" s="336">
        <v>5700</v>
      </c>
      <c r="AE509" s="334">
        <v>803.12400000000002</v>
      </c>
      <c r="AF509" s="336">
        <v>5700</v>
      </c>
      <c r="AG509" s="334">
        <v>802.74300000000005</v>
      </c>
      <c r="AH509" s="336">
        <v>5700</v>
      </c>
      <c r="AI509" s="334">
        <v>802.95399999999995</v>
      </c>
      <c r="AJ509" s="336">
        <v>5680</v>
      </c>
      <c r="AK509" s="334">
        <v>804.09199999999998</v>
      </c>
      <c r="AL509" s="336">
        <v>5700</v>
      </c>
      <c r="AM509" s="334">
        <v>803.69200000000001</v>
      </c>
      <c r="AN509" s="336">
        <v>5700</v>
      </c>
      <c r="AO509" s="334">
        <v>804.31100000000004</v>
      </c>
      <c r="AP509" s="336">
        <v>5690</v>
      </c>
      <c r="AQ509" s="333">
        <v>803.41499999999996</v>
      </c>
      <c r="AR509" s="336">
        <v>5700</v>
      </c>
      <c r="AS509" s="334">
        <v>803.06200000000001</v>
      </c>
      <c r="AT509" s="336">
        <v>5700</v>
      </c>
      <c r="AU509" s="334">
        <v>801.5</v>
      </c>
      <c r="AV509" s="336">
        <v>5700</v>
      </c>
      <c r="AW509" s="334">
        <v>801.52099999999996</v>
      </c>
      <c r="AX509" s="336">
        <v>5690</v>
      </c>
      <c r="AY509" s="334">
        <v>725.43100000000004</v>
      </c>
      <c r="AZ509" s="336">
        <v>5700</v>
      </c>
      <c r="BA509" s="337">
        <v>726.89700000000005</v>
      </c>
      <c r="BB509" s="336">
        <v>5680</v>
      </c>
      <c r="BC509" s="334">
        <v>194.136</v>
      </c>
      <c r="BD509" s="336">
        <v>5680</v>
      </c>
      <c r="BE509" s="334">
        <v>203.59700000000001</v>
      </c>
    </row>
    <row r="510" spans="20:57">
      <c r="V510" s="346">
        <v>5710</v>
      </c>
      <c r="W510" s="333">
        <v>415.24700000000001</v>
      </c>
      <c r="X510" s="346">
        <v>5720</v>
      </c>
      <c r="Y510" s="334">
        <v>412.18599999999998</v>
      </c>
      <c r="Z510" s="335">
        <v>5710</v>
      </c>
      <c r="AA510" s="334">
        <v>918.24699999999996</v>
      </c>
      <c r="AB510" s="336">
        <v>5710</v>
      </c>
      <c r="AC510" s="334">
        <v>917.94500000000005</v>
      </c>
      <c r="AD510" s="336">
        <v>5710</v>
      </c>
      <c r="AE510" s="334">
        <v>801.91099999999994</v>
      </c>
      <c r="AF510" s="336">
        <v>5710</v>
      </c>
      <c r="AG510" s="334">
        <v>801.529</v>
      </c>
      <c r="AH510" s="336">
        <v>5710</v>
      </c>
      <c r="AI510" s="334">
        <v>801.74099999999999</v>
      </c>
      <c r="AJ510" s="336">
        <v>5690</v>
      </c>
      <c r="AK510" s="334">
        <v>802.87900000000002</v>
      </c>
      <c r="AL510" s="336">
        <v>5710</v>
      </c>
      <c r="AM510" s="334">
        <v>802.47900000000004</v>
      </c>
      <c r="AN510" s="336">
        <v>5710</v>
      </c>
      <c r="AO510" s="334">
        <v>803.09900000000005</v>
      </c>
      <c r="AP510" s="336">
        <v>5700</v>
      </c>
      <c r="AQ510" s="333">
        <v>802.20500000000004</v>
      </c>
      <c r="AR510" s="336">
        <v>5710</v>
      </c>
      <c r="AS510" s="334">
        <v>801.851</v>
      </c>
      <c r="AT510" s="336">
        <v>5710</v>
      </c>
      <c r="AU510" s="334">
        <v>800.28800000000001</v>
      </c>
      <c r="AV510" s="336">
        <v>5710</v>
      </c>
      <c r="AW510" s="334">
        <v>800.31100000000004</v>
      </c>
      <c r="AX510" s="336">
        <v>5700</v>
      </c>
      <c r="AY510" s="334">
        <v>724.221</v>
      </c>
      <c r="AZ510" s="336">
        <v>5710</v>
      </c>
      <c r="BA510" s="337">
        <v>725.68799999999999</v>
      </c>
      <c r="BB510" s="336">
        <v>5690</v>
      </c>
      <c r="BC510" s="334">
        <v>193.745</v>
      </c>
      <c r="BD510" s="336">
        <v>5690</v>
      </c>
      <c r="BE510" s="334">
        <v>203.19200000000001</v>
      </c>
    </row>
    <row r="511" spans="20:57">
      <c r="V511" s="346">
        <v>5720</v>
      </c>
      <c r="W511" s="333">
        <v>414.47399999999999</v>
      </c>
      <c r="X511" s="346">
        <v>5730</v>
      </c>
      <c r="Y511" s="334">
        <v>411.41800000000001</v>
      </c>
      <c r="Z511" s="335">
        <v>5720</v>
      </c>
      <c r="AA511" s="334">
        <v>916.75900000000001</v>
      </c>
      <c r="AB511" s="336">
        <v>5720</v>
      </c>
      <c r="AC511" s="334">
        <v>916.46</v>
      </c>
      <c r="AD511" s="336">
        <v>5720</v>
      </c>
      <c r="AE511" s="334">
        <v>800.69899999999996</v>
      </c>
      <c r="AF511" s="336">
        <v>5720</v>
      </c>
      <c r="AG511" s="334">
        <v>800.31600000000003</v>
      </c>
      <c r="AH511" s="336">
        <v>5720</v>
      </c>
      <c r="AI511" s="334">
        <v>800.52800000000002</v>
      </c>
      <c r="AJ511" s="336">
        <v>5700</v>
      </c>
      <c r="AK511" s="334">
        <v>801.66600000000005</v>
      </c>
      <c r="AL511" s="336">
        <v>5720</v>
      </c>
      <c r="AM511" s="334">
        <v>801.26599999999996</v>
      </c>
      <c r="AN511" s="336">
        <v>5720</v>
      </c>
      <c r="AO511" s="334">
        <v>801.88599999999997</v>
      </c>
      <c r="AP511" s="336">
        <v>5710</v>
      </c>
      <c r="AQ511" s="333">
        <v>800.995</v>
      </c>
      <c r="AR511" s="336">
        <v>5720</v>
      </c>
      <c r="AS511" s="334">
        <v>800.64</v>
      </c>
      <c r="AT511" s="336">
        <v>5720</v>
      </c>
      <c r="AU511" s="334">
        <v>799.077</v>
      </c>
      <c r="AV511" s="336">
        <v>5720</v>
      </c>
      <c r="AW511" s="334">
        <v>799.101</v>
      </c>
      <c r="AX511" s="336">
        <v>5710</v>
      </c>
      <c r="AY511" s="334">
        <v>723.01</v>
      </c>
      <c r="AZ511" s="336">
        <v>5720</v>
      </c>
      <c r="BA511" s="337">
        <v>724.47799999999995</v>
      </c>
      <c r="BB511" s="336">
        <v>5700</v>
      </c>
      <c r="BC511" s="334">
        <v>193.35400000000001</v>
      </c>
      <c r="BD511" s="336">
        <v>5700</v>
      </c>
      <c r="BE511" s="334">
        <v>202.78700000000001</v>
      </c>
    </row>
    <row r="512" spans="20:57">
      <c r="T512" s="136"/>
      <c r="V512" s="346">
        <v>5730</v>
      </c>
      <c r="W512" s="333">
        <v>413.7</v>
      </c>
      <c r="X512" s="346">
        <v>5740</v>
      </c>
      <c r="Y512" s="334">
        <v>410.65</v>
      </c>
      <c r="Z512" s="335">
        <v>5730</v>
      </c>
      <c r="AA512" s="334">
        <v>915.27099999999996</v>
      </c>
      <c r="AB512" s="336">
        <v>5730</v>
      </c>
      <c r="AC512" s="334">
        <v>914.97500000000002</v>
      </c>
      <c r="AD512" s="336">
        <v>5730</v>
      </c>
      <c r="AE512" s="334">
        <v>799.48599999999999</v>
      </c>
      <c r="AF512" s="336">
        <v>5730</v>
      </c>
      <c r="AG512" s="334">
        <v>799.10199999999998</v>
      </c>
      <c r="AH512" s="336">
        <v>5730</v>
      </c>
      <c r="AI512" s="334">
        <v>799.31600000000003</v>
      </c>
      <c r="AJ512" s="336">
        <v>5710</v>
      </c>
      <c r="AK512" s="334">
        <v>800.45299999999997</v>
      </c>
      <c r="AL512" s="336">
        <v>5730</v>
      </c>
      <c r="AM512" s="334">
        <v>800.05399999999997</v>
      </c>
      <c r="AN512" s="336">
        <v>5730</v>
      </c>
      <c r="AO512" s="334">
        <v>800.67399999999998</v>
      </c>
      <c r="AP512" s="336">
        <v>5720</v>
      </c>
      <c r="AQ512" s="333">
        <v>799.78499999999997</v>
      </c>
      <c r="AR512" s="336">
        <v>5730</v>
      </c>
      <c r="AS512" s="334">
        <v>799.42899999999997</v>
      </c>
      <c r="AT512" s="336">
        <v>5730</v>
      </c>
      <c r="AU512" s="334">
        <v>797.86599999999999</v>
      </c>
      <c r="AV512" s="336">
        <v>5730</v>
      </c>
      <c r="AW512" s="334">
        <v>797.89099999999996</v>
      </c>
      <c r="AX512" s="336">
        <v>5720</v>
      </c>
      <c r="AY512" s="334">
        <v>721.79899999999998</v>
      </c>
      <c r="AZ512" s="336">
        <v>5730</v>
      </c>
      <c r="BA512" s="337">
        <v>723.26800000000003</v>
      </c>
      <c r="BB512" s="336">
        <v>5710</v>
      </c>
      <c r="BC512" s="334">
        <v>192.96299999999999</v>
      </c>
      <c r="BD512" s="336">
        <v>5710</v>
      </c>
      <c r="BE512" s="334">
        <v>202.38200000000001</v>
      </c>
    </row>
    <row r="513" spans="22:57">
      <c r="V513" s="346">
        <v>5740</v>
      </c>
      <c r="W513" s="333">
        <v>412.92700000000002</v>
      </c>
      <c r="X513" s="346">
        <v>5750</v>
      </c>
      <c r="Y513" s="334">
        <v>409.88200000000001</v>
      </c>
      <c r="Z513" s="335">
        <v>5740</v>
      </c>
      <c r="AA513" s="334">
        <v>913.78300000000002</v>
      </c>
      <c r="AB513" s="336">
        <v>5740</v>
      </c>
      <c r="AC513" s="334">
        <v>913.49</v>
      </c>
      <c r="AD513" s="336">
        <v>5740</v>
      </c>
      <c r="AE513" s="334">
        <v>798.27300000000002</v>
      </c>
      <c r="AF513" s="336">
        <v>5740</v>
      </c>
      <c r="AG513" s="334">
        <v>797.88800000000003</v>
      </c>
      <c r="AH513" s="336">
        <v>5740</v>
      </c>
      <c r="AI513" s="334">
        <v>798.10299999999995</v>
      </c>
      <c r="AJ513" s="336">
        <v>5720</v>
      </c>
      <c r="AK513" s="334">
        <v>799.24099999999999</v>
      </c>
      <c r="AL513" s="336">
        <v>5740</v>
      </c>
      <c r="AM513" s="334">
        <v>798.84100000000001</v>
      </c>
      <c r="AN513" s="336">
        <v>5740</v>
      </c>
      <c r="AO513" s="334">
        <v>799.46199999999999</v>
      </c>
      <c r="AP513" s="336">
        <v>5730</v>
      </c>
      <c r="AQ513" s="333">
        <v>798.57500000000005</v>
      </c>
      <c r="AR513" s="336">
        <v>5740</v>
      </c>
      <c r="AS513" s="334">
        <v>798.21799999999996</v>
      </c>
      <c r="AT513" s="336">
        <v>5740</v>
      </c>
      <c r="AU513" s="334">
        <v>796.654</v>
      </c>
      <c r="AV513" s="336">
        <v>5740</v>
      </c>
      <c r="AW513" s="334">
        <v>796.68100000000004</v>
      </c>
      <c r="AX513" s="336">
        <v>5730</v>
      </c>
      <c r="AY513" s="334">
        <v>720.58799999999997</v>
      </c>
      <c r="AZ513" s="336">
        <v>5740</v>
      </c>
      <c r="BA513" s="337">
        <v>722.05799999999999</v>
      </c>
      <c r="BB513" s="336">
        <v>5720</v>
      </c>
      <c r="BC513" s="334">
        <v>192.57300000000001</v>
      </c>
      <c r="BD513" s="336">
        <v>5720</v>
      </c>
      <c r="BE513" s="334">
        <v>201.97800000000001</v>
      </c>
    </row>
    <row r="514" spans="22:57">
      <c r="V514" s="346">
        <v>5750</v>
      </c>
      <c r="W514" s="333">
        <v>412.154</v>
      </c>
      <c r="X514" s="346">
        <v>5760</v>
      </c>
      <c r="Y514" s="334">
        <v>409.11399999999998</v>
      </c>
      <c r="Z514" s="335">
        <v>5750</v>
      </c>
      <c r="AA514" s="334">
        <v>912.29499999999996</v>
      </c>
      <c r="AB514" s="336">
        <v>5750</v>
      </c>
      <c r="AC514" s="334">
        <v>912.005</v>
      </c>
      <c r="AD514" s="336">
        <v>5750</v>
      </c>
      <c r="AE514" s="334">
        <v>797.06</v>
      </c>
      <c r="AF514" s="336">
        <v>5750</v>
      </c>
      <c r="AG514" s="334">
        <v>796.67499999999995</v>
      </c>
      <c r="AH514" s="336">
        <v>5750</v>
      </c>
      <c r="AI514" s="334">
        <v>796.89</v>
      </c>
      <c r="AJ514" s="336">
        <v>5730</v>
      </c>
      <c r="AK514" s="334">
        <v>798.02800000000002</v>
      </c>
      <c r="AL514" s="336">
        <v>5750</v>
      </c>
      <c r="AM514" s="334">
        <v>797.62800000000004</v>
      </c>
      <c r="AN514" s="336">
        <v>5750</v>
      </c>
      <c r="AO514" s="334">
        <v>798.25</v>
      </c>
      <c r="AP514" s="336">
        <v>5740</v>
      </c>
      <c r="AQ514" s="333">
        <v>797.36500000000001</v>
      </c>
      <c r="AR514" s="336">
        <v>5750</v>
      </c>
      <c r="AS514" s="334">
        <v>797.00699999999995</v>
      </c>
      <c r="AT514" s="336">
        <v>5750</v>
      </c>
      <c r="AU514" s="334">
        <v>795.44299999999998</v>
      </c>
      <c r="AV514" s="336">
        <v>5750</v>
      </c>
      <c r="AW514" s="334">
        <v>795.471</v>
      </c>
      <c r="AX514" s="336">
        <v>5740</v>
      </c>
      <c r="AY514" s="334">
        <v>719.37800000000004</v>
      </c>
      <c r="AZ514" s="336">
        <v>5750</v>
      </c>
      <c r="BA514" s="337">
        <v>720.84900000000005</v>
      </c>
      <c r="BB514" s="336">
        <v>5730</v>
      </c>
      <c r="BC514" s="334">
        <v>192.18199999999999</v>
      </c>
      <c r="BD514" s="336">
        <v>5730</v>
      </c>
      <c r="BE514" s="334">
        <v>201.57300000000001</v>
      </c>
    </row>
    <row r="515" spans="22:57">
      <c r="V515" s="346">
        <v>5760</v>
      </c>
      <c r="W515" s="333">
        <v>411.38099999999997</v>
      </c>
      <c r="X515" s="346">
        <v>5770</v>
      </c>
      <c r="Y515" s="334">
        <v>408.34699999999998</v>
      </c>
      <c r="Z515" s="335">
        <v>5760</v>
      </c>
      <c r="AA515" s="334">
        <v>910.80799999999999</v>
      </c>
      <c r="AB515" s="336">
        <v>5760</v>
      </c>
      <c r="AC515" s="334">
        <v>910.52</v>
      </c>
      <c r="AD515" s="336">
        <v>5760</v>
      </c>
      <c r="AE515" s="334">
        <v>795.84699999999998</v>
      </c>
      <c r="AF515" s="336">
        <v>5760</v>
      </c>
      <c r="AG515" s="334">
        <v>795.46100000000001</v>
      </c>
      <c r="AH515" s="336">
        <v>5760</v>
      </c>
      <c r="AI515" s="334">
        <v>795.678</v>
      </c>
      <c r="AJ515" s="336">
        <v>5740</v>
      </c>
      <c r="AK515" s="334">
        <v>796.81500000000005</v>
      </c>
      <c r="AL515" s="336">
        <v>5760</v>
      </c>
      <c r="AM515" s="334">
        <v>796.41499999999996</v>
      </c>
      <c r="AN515" s="336">
        <v>5760</v>
      </c>
      <c r="AO515" s="334">
        <v>797.03800000000001</v>
      </c>
      <c r="AP515" s="336">
        <v>5750</v>
      </c>
      <c r="AQ515" s="333">
        <v>796.15499999999997</v>
      </c>
      <c r="AR515" s="336">
        <v>5760</v>
      </c>
      <c r="AS515" s="334">
        <v>795.79700000000003</v>
      </c>
      <c r="AT515" s="336">
        <v>5760</v>
      </c>
      <c r="AU515" s="334">
        <v>794.23199999999997</v>
      </c>
      <c r="AV515" s="336">
        <v>5760</v>
      </c>
      <c r="AW515" s="334">
        <v>794.26099999999997</v>
      </c>
      <c r="AX515" s="336">
        <v>5750</v>
      </c>
      <c r="AY515" s="334">
        <v>718.16700000000003</v>
      </c>
      <c r="AZ515" s="336">
        <v>5760</v>
      </c>
      <c r="BA515" s="337">
        <v>719.63900000000001</v>
      </c>
      <c r="BB515" s="336">
        <v>5740</v>
      </c>
      <c r="BC515" s="334">
        <v>191.791</v>
      </c>
      <c r="BD515" s="336">
        <v>5740</v>
      </c>
      <c r="BE515" s="334">
        <v>201.16800000000001</v>
      </c>
    </row>
    <row r="516" spans="22:57">
      <c r="V516" s="346">
        <v>5770</v>
      </c>
      <c r="W516" s="333">
        <v>410.60899999999998</v>
      </c>
      <c r="X516" s="346">
        <v>5780</v>
      </c>
      <c r="Y516" s="334">
        <v>407.57900000000001</v>
      </c>
      <c r="Z516" s="335">
        <v>5770</v>
      </c>
      <c r="AA516" s="334">
        <v>909.32</v>
      </c>
      <c r="AB516" s="336">
        <v>5770</v>
      </c>
      <c r="AC516" s="334">
        <v>909.03599999999994</v>
      </c>
      <c r="AD516" s="336">
        <v>5770</v>
      </c>
      <c r="AE516" s="334">
        <v>794.63499999999999</v>
      </c>
      <c r="AF516" s="336">
        <v>5770</v>
      </c>
      <c r="AG516" s="334">
        <v>794.24699999999996</v>
      </c>
      <c r="AH516" s="336">
        <v>5770</v>
      </c>
      <c r="AI516" s="334">
        <v>794.46500000000003</v>
      </c>
      <c r="AJ516" s="336">
        <v>5750</v>
      </c>
      <c r="AK516" s="334">
        <v>795.60199999999998</v>
      </c>
      <c r="AL516" s="336">
        <v>5770</v>
      </c>
      <c r="AM516" s="334">
        <v>795.20299999999997</v>
      </c>
      <c r="AN516" s="336">
        <v>5770</v>
      </c>
      <c r="AO516" s="334">
        <v>795.82500000000005</v>
      </c>
      <c r="AP516" s="336">
        <v>5760</v>
      </c>
      <c r="AQ516" s="333">
        <v>794.94500000000005</v>
      </c>
      <c r="AR516" s="336">
        <v>5770</v>
      </c>
      <c r="AS516" s="334">
        <v>794.58600000000001</v>
      </c>
      <c r="AT516" s="336">
        <v>5770</v>
      </c>
      <c r="AU516" s="334">
        <v>793.02</v>
      </c>
      <c r="AV516" s="336">
        <v>5770</v>
      </c>
      <c r="AW516" s="334">
        <v>793.05100000000004</v>
      </c>
      <c r="AX516" s="336">
        <v>5760</v>
      </c>
      <c r="AY516" s="334">
        <v>716.95600000000002</v>
      </c>
      <c r="AZ516" s="336">
        <v>5770</v>
      </c>
      <c r="BA516" s="337">
        <v>718.42899999999997</v>
      </c>
      <c r="BB516" s="336">
        <v>5750</v>
      </c>
      <c r="BC516" s="334">
        <v>191.40100000000001</v>
      </c>
      <c r="BD516" s="336">
        <v>5750</v>
      </c>
      <c r="BE516" s="334">
        <v>200.76400000000001</v>
      </c>
    </row>
    <row r="517" spans="22:57">
      <c r="V517" s="346">
        <v>5780</v>
      </c>
      <c r="W517" s="333">
        <v>409.83600000000001</v>
      </c>
      <c r="X517" s="346">
        <v>5790</v>
      </c>
      <c r="Y517" s="334">
        <v>406.81200000000001</v>
      </c>
      <c r="Z517" s="335">
        <v>5780</v>
      </c>
      <c r="AA517" s="334">
        <v>907.83299999999997</v>
      </c>
      <c r="AB517" s="336">
        <v>5780</v>
      </c>
      <c r="AC517" s="334">
        <v>907.55100000000004</v>
      </c>
      <c r="AD517" s="336">
        <v>5780</v>
      </c>
      <c r="AE517" s="334">
        <v>793.42200000000003</v>
      </c>
      <c r="AF517" s="336">
        <v>5780</v>
      </c>
      <c r="AG517" s="334">
        <v>793.03399999999999</v>
      </c>
      <c r="AH517" s="336">
        <v>5780</v>
      </c>
      <c r="AI517" s="334">
        <v>793.25300000000004</v>
      </c>
      <c r="AJ517" s="336">
        <v>5760</v>
      </c>
      <c r="AK517" s="334">
        <v>794.38900000000001</v>
      </c>
      <c r="AL517" s="336">
        <v>5780</v>
      </c>
      <c r="AM517" s="334">
        <v>793.99</v>
      </c>
      <c r="AN517" s="336">
        <v>5780</v>
      </c>
      <c r="AO517" s="334">
        <v>794.61300000000006</v>
      </c>
      <c r="AP517" s="336">
        <v>5770</v>
      </c>
      <c r="AQ517" s="333">
        <v>793.73500000000001</v>
      </c>
      <c r="AR517" s="336">
        <v>5780</v>
      </c>
      <c r="AS517" s="334">
        <v>793.375</v>
      </c>
      <c r="AT517" s="336">
        <v>5780</v>
      </c>
      <c r="AU517" s="334">
        <v>791.80899999999997</v>
      </c>
      <c r="AV517" s="336">
        <v>5780</v>
      </c>
      <c r="AW517" s="334">
        <v>791.84100000000001</v>
      </c>
      <c r="AX517" s="336">
        <v>5770</v>
      </c>
      <c r="AY517" s="334">
        <v>715.74599999999998</v>
      </c>
      <c r="AZ517" s="336">
        <v>5780</v>
      </c>
      <c r="BA517" s="337">
        <v>717.21900000000005</v>
      </c>
      <c r="BB517" s="336">
        <v>5760</v>
      </c>
      <c r="BC517" s="334">
        <v>191.011</v>
      </c>
      <c r="BD517" s="336">
        <v>5760</v>
      </c>
      <c r="BE517" s="334">
        <v>200.35900000000001</v>
      </c>
    </row>
    <row r="518" spans="22:57">
      <c r="V518" s="346">
        <v>5790</v>
      </c>
      <c r="W518" s="333">
        <v>409.06400000000002</v>
      </c>
      <c r="X518" s="346">
        <v>5800</v>
      </c>
      <c r="Y518" s="334">
        <v>406.04500000000002</v>
      </c>
      <c r="Z518" s="335">
        <v>5790</v>
      </c>
      <c r="AA518" s="334">
        <v>906.346</v>
      </c>
      <c r="AB518" s="336">
        <v>5790</v>
      </c>
      <c r="AC518" s="334">
        <v>906.06700000000001</v>
      </c>
      <c r="AD518" s="336">
        <v>5790</v>
      </c>
      <c r="AE518" s="334">
        <v>792.20899999999995</v>
      </c>
      <c r="AF518" s="336">
        <v>5790</v>
      </c>
      <c r="AG518" s="334">
        <v>791.82</v>
      </c>
      <c r="AH518" s="336">
        <v>5790</v>
      </c>
      <c r="AI518" s="334">
        <v>792.04</v>
      </c>
      <c r="AJ518" s="336">
        <v>5770</v>
      </c>
      <c r="AK518" s="334">
        <v>793.17600000000004</v>
      </c>
      <c r="AL518" s="336">
        <v>5790</v>
      </c>
      <c r="AM518" s="334">
        <v>792.77700000000004</v>
      </c>
      <c r="AN518" s="336">
        <v>5790</v>
      </c>
      <c r="AO518" s="334">
        <v>793.40099999999995</v>
      </c>
      <c r="AP518" s="336">
        <v>5780</v>
      </c>
      <c r="AQ518" s="333">
        <v>792.52599999999995</v>
      </c>
      <c r="AR518" s="336">
        <v>5790</v>
      </c>
      <c r="AS518" s="334">
        <v>792.16399999999999</v>
      </c>
      <c r="AT518" s="336">
        <v>5790</v>
      </c>
      <c r="AU518" s="334">
        <v>790.59799999999996</v>
      </c>
      <c r="AV518" s="336">
        <v>5790</v>
      </c>
      <c r="AW518" s="334">
        <v>790.63099999999997</v>
      </c>
      <c r="AX518" s="336">
        <v>5780</v>
      </c>
      <c r="AY518" s="334">
        <v>714.53499999999997</v>
      </c>
      <c r="AZ518" s="336">
        <v>5790</v>
      </c>
      <c r="BA518" s="337">
        <v>716.00900000000001</v>
      </c>
      <c r="BB518" s="336">
        <v>5770</v>
      </c>
      <c r="BC518" s="334">
        <v>190.62</v>
      </c>
      <c r="BD518" s="336">
        <v>5770</v>
      </c>
      <c r="BE518" s="334">
        <v>199.95500000000001</v>
      </c>
    </row>
    <row r="519" spans="22:57">
      <c r="V519" s="346">
        <v>5800</v>
      </c>
      <c r="W519" s="333">
        <v>408.29199999999997</v>
      </c>
      <c r="X519" s="346">
        <v>5810</v>
      </c>
      <c r="Y519" s="334">
        <v>405.279</v>
      </c>
      <c r="Z519" s="335">
        <v>5800</v>
      </c>
      <c r="AA519" s="334">
        <v>904.85799999999995</v>
      </c>
      <c r="AB519" s="336">
        <v>5800</v>
      </c>
      <c r="AC519" s="334">
        <v>904.58299999999997</v>
      </c>
      <c r="AD519" s="336">
        <v>5800</v>
      </c>
      <c r="AE519" s="334">
        <v>790.99599999999998</v>
      </c>
      <c r="AF519" s="336">
        <v>5800</v>
      </c>
      <c r="AG519" s="334">
        <v>790.60599999999999</v>
      </c>
      <c r="AH519" s="336">
        <v>5800</v>
      </c>
      <c r="AI519" s="334">
        <v>790.827</v>
      </c>
      <c r="AJ519" s="336">
        <v>5780</v>
      </c>
      <c r="AK519" s="334">
        <v>791.96299999999997</v>
      </c>
      <c r="AL519" s="336">
        <v>5800</v>
      </c>
      <c r="AM519" s="334">
        <v>791.56500000000005</v>
      </c>
      <c r="AN519" s="336">
        <v>5800</v>
      </c>
      <c r="AO519" s="334">
        <v>792.18899999999996</v>
      </c>
      <c r="AP519" s="336">
        <v>5790</v>
      </c>
      <c r="AQ519" s="333">
        <v>791.31600000000003</v>
      </c>
      <c r="AR519" s="336">
        <v>5800</v>
      </c>
      <c r="AS519" s="334">
        <v>790.95299999999997</v>
      </c>
      <c r="AT519" s="336">
        <v>5800</v>
      </c>
      <c r="AU519" s="334">
        <v>789.38599999999997</v>
      </c>
      <c r="AV519" s="336">
        <v>5800</v>
      </c>
      <c r="AW519" s="334">
        <v>789.42100000000005</v>
      </c>
      <c r="AX519" s="336">
        <v>5790</v>
      </c>
      <c r="AY519" s="334">
        <v>713.32399999999996</v>
      </c>
      <c r="AZ519" s="336">
        <v>5800</v>
      </c>
      <c r="BA519" s="337">
        <v>714.8</v>
      </c>
      <c r="BB519" s="336">
        <v>5780</v>
      </c>
      <c r="BC519" s="334">
        <v>190.23</v>
      </c>
      <c r="BD519" s="336">
        <v>5780</v>
      </c>
      <c r="BE519" s="334">
        <v>199.55099999999999</v>
      </c>
    </row>
    <row r="520" spans="22:57">
      <c r="V520" s="346">
        <v>5810</v>
      </c>
      <c r="W520" s="333">
        <v>407.52</v>
      </c>
      <c r="X520" s="346">
        <v>5820</v>
      </c>
      <c r="Y520" s="334">
        <v>404.512</v>
      </c>
      <c r="Z520" s="335">
        <v>5810</v>
      </c>
      <c r="AA520" s="334">
        <v>903.37099999999998</v>
      </c>
      <c r="AB520" s="336">
        <v>5810</v>
      </c>
      <c r="AC520" s="334">
        <v>903.09900000000005</v>
      </c>
      <c r="AD520" s="336">
        <v>5810</v>
      </c>
      <c r="AE520" s="334">
        <v>789.78300000000002</v>
      </c>
      <c r="AF520" s="336">
        <v>5810</v>
      </c>
      <c r="AG520" s="334">
        <v>789.39300000000003</v>
      </c>
      <c r="AH520" s="336">
        <v>5810</v>
      </c>
      <c r="AI520" s="334">
        <v>789.61500000000001</v>
      </c>
      <c r="AJ520" s="336">
        <v>5790</v>
      </c>
      <c r="AK520" s="334">
        <v>790.75</v>
      </c>
      <c r="AL520" s="336">
        <v>5810</v>
      </c>
      <c r="AM520" s="334">
        <v>790.35199999999998</v>
      </c>
      <c r="AN520" s="336">
        <v>5810</v>
      </c>
      <c r="AO520" s="334">
        <v>790.976</v>
      </c>
      <c r="AP520" s="336">
        <v>5800</v>
      </c>
      <c r="AQ520" s="333">
        <v>790.10599999999999</v>
      </c>
      <c r="AR520" s="336">
        <v>5810</v>
      </c>
      <c r="AS520" s="334">
        <v>789.74199999999996</v>
      </c>
      <c r="AT520" s="336">
        <v>5810</v>
      </c>
      <c r="AU520" s="334">
        <v>788.17499999999995</v>
      </c>
      <c r="AV520" s="336">
        <v>5810</v>
      </c>
      <c r="AW520" s="334">
        <v>788.21100000000001</v>
      </c>
      <c r="AX520" s="336">
        <v>5800</v>
      </c>
      <c r="AY520" s="334">
        <v>712.11300000000006</v>
      </c>
      <c r="AZ520" s="336">
        <v>5810</v>
      </c>
      <c r="BA520" s="337">
        <v>713.59</v>
      </c>
      <c r="BB520" s="336">
        <v>5790</v>
      </c>
      <c r="BC520" s="334">
        <v>189.84</v>
      </c>
      <c r="BD520" s="336">
        <v>5790</v>
      </c>
      <c r="BE520" s="334">
        <v>199.14599999999999</v>
      </c>
    </row>
    <row r="521" spans="22:57">
      <c r="V521" s="346">
        <v>5820</v>
      </c>
      <c r="W521" s="333">
        <v>406.74900000000002</v>
      </c>
      <c r="X521" s="346">
        <v>5830</v>
      </c>
      <c r="Y521" s="334">
        <v>403.74599999999998</v>
      </c>
      <c r="Z521" s="335">
        <v>5820</v>
      </c>
      <c r="AA521" s="334">
        <v>901.88400000000001</v>
      </c>
      <c r="AB521" s="336">
        <v>5820</v>
      </c>
      <c r="AC521" s="334">
        <v>901.61500000000001</v>
      </c>
      <c r="AD521" s="336">
        <v>5820</v>
      </c>
      <c r="AE521" s="334">
        <v>788.57100000000003</v>
      </c>
      <c r="AF521" s="336">
        <v>5820</v>
      </c>
      <c r="AG521" s="334">
        <v>788.17899999999997</v>
      </c>
      <c r="AH521" s="336">
        <v>5820</v>
      </c>
      <c r="AI521" s="334">
        <v>788.40200000000004</v>
      </c>
      <c r="AJ521" s="336">
        <v>5800</v>
      </c>
      <c r="AK521" s="334">
        <v>789.53700000000003</v>
      </c>
      <c r="AL521" s="336">
        <v>5820</v>
      </c>
      <c r="AM521" s="334">
        <v>789.13900000000001</v>
      </c>
      <c r="AN521" s="336">
        <v>5820</v>
      </c>
      <c r="AO521" s="334">
        <v>789.76400000000001</v>
      </c>
      <c r="AP521" s="336">
        <v>5810</v>
      </c>
      <c r="AQ521" s="333">
        <v>788.89599999999996</v>
      </c>
      <c r="AR521" s="336">
        <v>5820</v>
      </c>
      <c r="AS521" s="334">
        <v>788.53200000000004</v>
      </c>
      <c r="AT521" s="336">
        <v>5820</v>
      </c>
      <c r="AU521" s="334">
        <v>786.96400000000006</v>
      </c>
      <c r="AV521" s="336">
        <v>5820</v>
      </c>
      <c r="AW521" s="334">
        <v>787.00099999999998</v>
      </c>
      <c r="AX521" s="336">
        <v>5810</v>
      </c>
      <c r="AY521" s="334">
        <v>710.90300000000002</v>
      </c>
      <c r="AZ521" s="336">
        <v>5820</v>
      </c>
      <c r="BA521" s="337">
        <v>712.38</v>
      </c>
      <c r="BB521" s="336">
        <v>5800</v>
      </c>
      <c r="BC521" s="334">
        <v>189.45</v>
      </c>
      <c r="BD521" s="336">
        <v>5800</v>
      </c>
      <c r="BE521" s="334">
        <v>198.74199999999999</v>
      </c>
    </row>
    <row r="522" spans="22:57">
      <c r="V522" s="346">
        <v>5830</v>
      </c>
      <c r="W522" s="333">
        <v>405.97699999999998</v>
      </c>
      <c r="X522" s="346">
        <v>5840</v>
      </c>
      <c r="Y522" s="334">
        <v>402.97899999999998</v>
      </c>
      <c r="Z522" s="335">
        <v>5830</v>
      </c>
      <c r="AA522" s="334">
        <v>900.39800000000002</v>
      </c>
      <c r="AB522" s="336">
        <v>5830</v>
      </c>
      <c r="AC522" s="334">
        <v>900.13099999999997</v>
      </c>
      <c r="AD522" s="336">
        <v>5830</v>
      </c>
      <c r="AE522" s="334">
        <v>787.35799999999995</v>
      </c>
      <c r="AF522" s="336">
        <v>5830</v>
      </c>
      <c r="AG522" s="334">
        <v>786.96600000000001</v>
      </c>
      <c r="AH522" s="336">
        <v>5830</v>
      </c>
      <c r="AI522" s="334">
        <v>787.18899999999996</v>
      </c>
      <c r="AJ522" s="336">
        <v>5810</v>
      </c>
      <c r="AK522" s="334">
        <v>788.32399999999996</v>
      </c>
      <c r="AL522" s="336">
        <v>5830</v>
      </c>
      <c r="AM522" s="334">
        <v>787.92700000000002</v>
      </c>
      <c r="AN522" s="336">
        <v>5830</v>
      </c>
      <c r="AO522" s="334">
        <v>788.55200000000002</v>
      </c>
      <c r="AP522" s="336">
        <v>5820</v>
      </c>
      <c r="AQ522" s="333">
        <v>787.68600000000004</v>
      </c>
      <c r="AR522" s="336">
        <v>5830</v>
      </c>
      <c r="AS522" s="334">
        <v>787.32100000000003</v>
      </c>
      <c r="AT522" s="336">
        <v>5830</v>
      </c>
      <c r="AU522" s="334">
        <v>785.75199999999995</v>
      </c>
      <c r="AV522" s="336">
        <v>5830</v>
      </c>
      <c r="AW522" s="334">
        <v>785.79100000000005</v>
      </c>
      <c r="AX522" s="336">
        <v>5820</v>
      </c>
      <c r="AY522" s="334">
        <v>709.69200000000001</v>
      </c>
      <c r="AZ522" s="336">
        <v>5830</v>
      </c>
      <c r="BA522" s="337">
        <v>711.17</v>
      </c>
      <c r="BB522" s="336">
        <v>5810</v>
      </c>
      <c r="BC522" s="334">
        <v>189.06</v>
      </c>
      <c r="BD522" s="336">
        <v>5810</v>
      </c>
      <c r="BE522" s="334">
        <v>198.33799999999999</v>
      </c>
    </row>
    <row r="523" spans="22:57">
      <c r="V523" s="346">
        <v>5840</v>
      </c>
      <c r="W523" s="333">
        <v>405.20600000000002</v>
      </c>
      <c r="X523" s="346">
        <v>5850</v>
      </c>
      <c r="Y523" s="334">
        <v>402.21300000000002</v>
      </c>
      <c r="Z523" s="335">
        <v>5840</v>
      </c>
      <c r="AA523" s="334">
        <v>898.91099999999994</v>
      </c>
      <c r="AB523" s="336">
        <v>5840</v>
      </c>
      <c r="AC523" s="334">
        <v>898.64700000000005</v>
      </c>
      <c r="AD523" s="336">
        <v>5840</v>
      </c>
      <c r="AE523" s="334">
        <v>786.14499999999998</v>
      </c>
      <c r="AF523" s="336">
        <v>5840</v>
      </c>
      <c r="AG523" s="334">
        <v>785.75199999999995</v>
      </c>
      <c r="AH523" s="336">
        <v>5840</v>
      </c>
      <c r="AI523" s="334">
        <v>785.97699999999998</v>
      </c>
      <c r="AJ523" s="336">
        <v>5820</v>
      </c>
      <c r="AK523" s="334">
        <v>787.11199999999997</v>
      </c>
      <c r="AL523" s="336">
        <v>5840</v>
      </c>
      <c r="AM523" s="334">
        <v>786.71400000000006</v>
      </c>
      <c r="AN523" s="336">
        <v>5840</v>
      </c>
      <c r="AO523" s="334">
        <v>787.34</v>
      </c>
      <c r="AP523" s="336">
        <v>5830</v>
      </c>
      <c r="AQ523" s="333">
        <v>786.476</v>
      </c>
      <c r="AR523" s="336">
        <v>5840</v>
      </c>
      <c r="AS523" s="334">
        <v>786.11</v>
      </c>
      <c r="AT523" s="336">
        <v>5840</v>
      </c>
      <c r="AU523" s="334">
        <v>784.54100000000005</v>
      </c>
      <c r="AV523" s="336">
        <v>5840</v>
      </c>
      <c r="AW523" s="334">
        <v>784.58100000000002</v>
      </c>
      <c r="AX523" s="336">
        <v>5830</v>
      </c>
      <c r="AY523" s="334">
        <v>708.48099999999999</v>
      </c>
      <c r="AZ523" s="336">
        <v>5840</v>
      </c>
      <c r="BA523" s="337">
        <v>709.96100000000001</v>
      </c>
      <c r="BB523" s="336">
        <v>5820</v>
      </c>
      <c r="BC523" s="334">
        <v>188.67</v>
      </c>
      <c r="BD523" s="336">
        <v>5820</v>
      </c>
      <c r="BE523" s="334">
        <v>197.934</v>
      </c>
    </row>
    <row r="524" spans="22:57">
      <c r="V524" s="346">
        <v>5850</v>
      </c>
      <c r="W524" s="333">
        <v>404.435</v>
      </c>
      <c r="X524" s="346">
        <v>5860</v>
      </c>
      <c r="Y524" s="334">
        <v>401.447</v>
      </c>
      <c r="Z524" s="335">
        <v>5850</v>
      </c>
      <c r="AA524" s="334">
        <v>897.42499999999995</v>
      </c>
      <c r="AB524" s="336">
        <v>5850</v>
      </c>
      <c r="AC524" s="334">
        <v>897.16300000000001</v>
      </c>
      <c r="AD524" s="336">
        <v>5850</v>
      </c>
      <c r="AE524" s="334">
        <v>784.93200000000002</v>
      </c>
      <c r="AF524" s="336">
        <v>5850</v>
      </c>
      <c r="AG524" s="334">
        <v>784.53800000000001</v>
      </c>
      <c r="AH524" s="336">
        <v>5850</v>
      </c>
      <c r="AI524" s="334">
        <v>784.76400000000001</v>
      </c>
      <c r="AJ524" s="336">
        <v>5830</v>
      </c>
      <c r="AK524" s="334">
        <v>785.899</v>
      </c>
      <c r="AL524" s="336">
        <v>5850</v>
      </c>
      <c r="AM524" s="334">
        <v>785.50099999999998</v>
      </c>
      <c r="AN524" s="336">
        <v>5850</v>
      </c>
      <c r="AO524" s="334">
        <v>786.12699999999995</v>
      </c>
      <c r="AP524" s="336">
        <v>5840</v>
      </c>
      <c r="AQ524" s="333">
        <v>785.26599999999996</v>
      </c>
      <c r="AR524" s="336">
        <v>5850</v>
      </c>
      <c r="AS524" s="334">
        <v>784.899</v>
      </c>
      <c r="AT524" s="336">
        <v>5850</v>
      </c>
      <c r="AU524" s="334">
        <v>783.33</v>
      </c>
      <c r="AV524" s="336">
        <v>5850</v>
      </c>
      <c r="AW524" s="334">
        <v>783.37099999999998</v>
      </c>
      <c r="AX524" s="336">
        <v>5840</v>
      </c>
      <c r="AY524" s="334">
        <v>707.27099999999996</v>
      </c>
      <c r="AZ524" s="336">
        <v>5850</v>
      </c>
      <c r="BA524" s="337">
        <v>708.75099999999998</v>
      </c>
      <c r="BB524" s="336">
        <v>5830</v>
      </c>
      <c r="BC524" s="334">
        <v>188.28</v>
      </c>
      <c r="BD524" s="336">
        <v>5830</v>
      </c>
      <c r="BE524" s="334">
        <v>197.53</v>
      </c>
    </row>
    <row r="525" spans="22:57">
      <c r="V525" s="346">
        <v>5860</v>
      </c>
      <c r="W525" s="333">
        <v>403.66399999999999</v>
      </c>
      <c r="X525" s="346">
        <v>5870</v>
      </c>
      <c r="Y525" s="334">
        <v>400.68200000000002</v>
      </c>
      <c r="Z525" s="335">
        <v>5860</v>
      </c>
      <c r="AA525" s="334">
        <v>895.93799999999999</v>
      </c>
      <c r="AB525" s="336">
        <v>5860</v>
      </c>
      <c r="AC525" s="334">
        <v>895.68</v>
      </c>
      <c r="AD525" s="336">
        <v>5860</v>
      </c>
      <c r="AE525" s="334">
        <v>783.72</v>
      </c>
      <c r="AF525" s="336">
        <v>5860</v>
      </c>
      <c r="AG525" s="334">
        <v>783.32500000000005</v>
      </c>
      <c r="AH525" s="336">
        <v>5860</v>
      </c>
      <c r="AI525" s="334">
        <v>783.55200000000002</v>
      </c>
      <c r="AJ525" s="336">
        <v>5840</v>
      </c>
      <c r="AK525" s="334">
        <v>784.68600000000004</v>
      </c>
      <c r="AL525" s="336">
        <v>5860</v>
      </c>
      <c r="AM525" s="334">
        <v>784.28800000000001</v>
      </c>
      <c r="AN525" s="336">
        <v>5860</v>
      </c>
      <c r="AO525" s="334">
        <v>784.91499999999996</v>
      </c>
      <c r="AP525" s="336">
        <v>5850</v>
      </c>
      <c r="AQ525" s="333">
        <v>784.05600000000004</v>
      </c>
      <c r="AR525" s="336">
        <v>5860</v>
      </c>
      <c r="AS525" s="334">
        <v>783.68799999999999</v>
      </c>
      <c r="AT525" s="336">
        <v>5860</v>
      </c>
      <c r="AU525" s="334">
        <v>782.11800000000005</v>
      </c>
      <c r="AV525" s="336">
        <v>5860</v>
      </c>
      <c r="AW525" s="334">
        <v>782.16099999999994</v>
      </c>
      <c r="AX525" s="336">
        <v>5850</v>
      </c>
      <c r="AY525" s="334">
        <v>706.06</v>
      </c>
      <c r="AZ525" s="336">
        <v>5860</v>
      </c>
      <c r="BA525" s="337">
        <v>707.54100000000005</v>
      </c>
      <c r="BB525" s="336">
        <v>5840</v>
      </c>
      <c r="BC525" s="334">
        <v>187.89099999999999</v>
      </c>
      <c r="BD525" s="336">
        <v>5840</v>
      </c>
      <c r="BE525" s="334">
        <v>197.126</v>
      </c>
    </row>
    <row r="526" spans="22:57">
      <c r="V526" s="346">
        <v>5870</v>
      </c>
      <c r="W526" s="333">
        <v>402.89299999999997</v>
      </c>
      <c r="X526" s="346">
        <v>5880</v>
      </c>
      <c r="Y526" s="334">
        <v>399.916</v>
      </c>
      <c r="Z526" s="335">
        <v>5870</v>
      </c>
      <c r="AA526" s="334">
        <v>894.452</v>
      </c>
      <c r="AB526" s="336">
        <v>5870</v>
      </c>
      <c r="AC526" s="334">
        <v>894.19600000000003</v>
      </c>
      <c r="AD526" s="336">
        <v>5870</v>
      </c>
      <c r="AE526" s="334">
        <v>782.50699999999995</v>
      </c>
      <c r="AF526" s="336">
        <v>5870</v>
      </c>
      <c r="AG526" s="334">
        <v>782.11099999999999</v>
      </c>
      <c r="AH526" s="336">
        <v>5870</v>
      </c>
      <c r="AI526" s="334">
        <v>782.33900000000006</v>
      </c>
      <c r="AJ526" s="336">
        <v>5850</v>
      </c>
      <c r="AK526" s="334">
        <v>783.47299999999996</v>
      </c>
      <c r="AL526" s="336">
        <v>5870</v>
      </c>
      <c r="AM526" s="334">
        <v>783.07600000000002</v>
      </c>
      <c r="AN526" s="336">
        <v>5870</v>
      </c>
      <c r="AO526" s="334">
        <v>783.70299999999997</v>
      </c>
      <c r="AP526" s="336">
        <v>5860</v>
      </c>
      <c r="AQ526" s="333">
        <v>782.846</v>
      </c>
      <c r="AR526" s="336">
        <v>5870</v>
      </c>
      <c r="AS526" s="334">
        <v>782.47699999999998</v>
      </c>
      <c r="AT526" s="336">
        <v>5870</v>
      </c>
      <c r="AU526" s="334">
        <v>780.90700000000004</v>
      </c>
      <c r="AV526" s="336">
        <v>5870</v>
      </c>
      <c r="AW526" s="334">
        <v>780.95100000000002</v>
      </c>
      <c r="AX526" s="336">
        <v>5860</v>
      </c>
      <c r="AY526" s="334">
        <v>704.84900000000005</v>
      </c>
      <c r="AZ526" s="336">
        <v>5870</v>
      </c>
      <c r="BA526" s="337">
        <v>706.33100000000002</v>
      </c>
      <c r="BB526" s="336">
        <v>5850</v>
      </c>
      <c r="BC526" s="334">
        <v>187.501</v>
      </c>
      <c r="BD526" s="336">
        <v>5850</v>
      </c>
      <c r="BE526" s="334">
        <v>196.72200000000001</v>
      </c>
    </row>
    <row r="527" spans="22:57">
      <c r="V527" s="346">
        <v>5880</v>
      </c>
      <c r="W527" s="333">
        <v>402.12200000000001</v>
      </c>
      <c r="X527" s="346">
        <v>5890</v>
      </c>
      <c r="Y527" s="334">
        <v>399.15100000000001</v>
      </c>
      <c r="Z527" s="335">
        <v>5880</v>
      </c>
      <c r="AA527" s="334">
        <v>892.96600000000001</v>
      </c>
      <c r="AB527" s="336">
        <v>5880</v>
      </c>
      <c r="AC527" s="334">
        <v>892.71299999999997</v>
      </c>
      <c r="AD527" s="336">
        <v>5880</v>
      </c>
      <c r="AE527" s="334">
        <v>781.29399999999998</v>
      </c>
      <c r="AF527" s="336">
        <v>5880</v>
      </c>
      <c r="AG527" s="334">
        <v>780.89700000000005</v>
      </c>
      <c r="AH527" s="336">
        <v>5880</v>
      </c>
      <c r="AI527" s="334">
        <v>781.12599999999998</v>
      </c>
      <c r="AJ527" s="336">
        <v>5860</v>
      </c>
      <c r="AK527" s="334">
        <v>782.26</v>
      </c>
      <c r="AL527" s="336">
        <v>5880</v>
      </c>
      <c r="AM527" s="334">
        <v>781.86300000000006</v>
      </c>
      <c r="AN527" s="336">
        <v>5880</v>
      </c>
      <c r="AO527" s="334">
        <v>782.49099999999999</v>
      </c>
      <c r="AP527" s="336">
        <v>5870</v>
      </c>
      <c r="AQ527" s="333">
        <v>781.63599999999997</v>
      </c>
      <c r="AR527" s="336">
        <v>5880</v>
      </c>
      <c r="AS527" s="334">
        <v>781.26700000000005</v>
      </c>
      <c r="AT527" s="336">
        <v>5880</v>
      </c>
      <c r="AU527" s="334">
        <v>779.69600000000003</v>
      </c>
      <c r="AV527" s="336">
        <v>5880</v>
      </c>
      <c r="AW527" s="334">
        <v>779.74099999999999</v>
      </c>
      <c r="AX527" s="336">
        <v>5870</v>
      </c>
      <c r="AY527" s="334">
        <v>703.63900000000001</v>
      </c>
      <c r="AZ527" s="336">
        <v>5880</v>
      </c>
      <c r="BA527" s="337">
        <v>705.12199999999996</v>
      </c>
      <c r="BB527" s="336">
        <v>5860</v>
      </c>
      <c r="BC527" s="334">
        <v>187.11099999999999</v>
      </c>
      <c r="BD527" s="336">
        <v>5860</v>
      </c>
      <c r="BE527" s="334">
        <v>196.31899999999999</v>
      </c>
    </row>
    <row r="528" spans="22:57">
      <c r="V528" s="346">
        <v>5890</v>
      </c>
      <c r="W528" s="333">
        <v>401.35199999999998</v>
      </c>
      <c r="X528" s="346">
        <v>5900</v>
      </c>
      <c r="Y528" s="334">
        <v>398.38600000000002</v>
      </c>
      <c r="Z528" s="335">
        <v>5890</v>
      </c>
      <c r="AA528" s="334">
        <v>891.48</v>
      </c>
      <c r="AB528" s="336">
        <v>5890</v>
      </c>
      <c r="AC528" s="334">
        <v>891.23</v>
      </c>
      <c r="AD528" s="336">
        <v>5890</v>
      </c>
      <c r="AE528" s="334">
        <v>780.08100000000002</v>
      </c>
      <c r="AF528" s="336">
        <v>5890</v>
      </c>
      <c r="AG528" s="334">
        <v>779.68399999999997</v>
      </c>
      <c r="AH528" s="336">
        <v>5890</v>
      </c>
      <c r="AI528" s="334">
        <v>779.91399999999999</v>
      </c>
      <c r="AJ528" s="336">
        <v>5870</v>
      </c>
      <c r="AK528" s="334">
        <v>781.04700000000003</v>
      </c>
      <c r="AL528" s="336">
        <v>5890</v>
      </c>
      <c r="AM528" s="334">
        <v>780.65</v>
      </c>
      <c r="AN528" s="336">
        <v>5890</v>
      </c>
      <c r="AO528" s="334">
        <v>781.27800000000002</v>
      </c>
      <c r="AP528" s="336">
        <v>5880</v>
      </c>
      <c r="AQ528" s="333">
        <v>780.42600000000004</v>
      </c>
      <c r="AR528" s="336">
        <v>5890</v>
      </c>
      <c r="AS528" s="334">
        <v>780.05600000000004</v>
      </c>
      <c r="AT528" s="336">
        <v>5890</v>
      </c>
      <c r="AU528" s="334">
        <v>778.48400000000004</v>
      </c>
      <c r="AV528" s="336">
        <v>5890</v>
      </c>
      <c r="AW528" s="334">
        <v>778.53099999999995</v>
      </c>
      <c r="AX528" s="336">
        <v>5880</v>
      </c>
      <c r="AY528" s="334">
        <v>702.428</v>
      </c>
      <c r="AZ528" s="336">
        <v>5890</v>
      </c>
      <c r="BA528" s="337">
        <v>703.91200000000003</v>
      </c>
      <c r="BB528" s="336">
        <v>5870</v>
      </c>
      <c r="BC528" s="334">
        <v>186.72200000000001</v>
      </c>
      <c r="BD528" s="336">
        <v>5870</v>
      </c>
      <c r="BE528" s="334">
        <v>195.91499999999999</v>
      </c>
    </row>
    <row r="529" spans="22:57">
      <c r="V529" s="346">
        <v>5900</v>
      </c>
      <c r="W529" s="333">
        <v>400.58199999999999</v>
      </c>
      <c r="X529" s="346">
        <v>5910</v>
      </c>
      <c r="Y529" s="334">
        <v>397.62099999999998</v>
      </c>
      <c r="Z529" s="335">
        <v>5900</v>
      </c>
      <c r="AA529" s="334">
        <v>889.99400000000003</v>
      </c>
      <c r="AB529" s="336">
        <v>5900</v>
      </c>
      <c r="AC529" s="334">
        <v>889.74599999999998</v>
      </c>
      <c r="AD529" s="336">
        <v>5900</v>
      </c>
      <c r="AE529" s="334">
        <v>778.86900000000003</v>
      </c>
      <c r="AF529" s="336">
        <v>5900</v>
      </c>
      <c r="AG529" s="334">
        <v>778.47</v>
      </c>
      <c r="AH529" s="336">
        <v>5900</v>
      </c>
      <c r="AI529" s="334">
        <v>778.70100000000002</v>
      </c>
      <c r="AJ529" s="336">
        <v>5880</v>
      </c>
      <c r="AK529" s="334">
        <v>779.83399999999995</v>
      </c>
      <c r="AL529" s="336">
        <v>5900</v>
      </c>
      <c r="AM529" s="334">
        <v>779.43799999999999</v>
      </c>
      <c r="AN529" s="336">
        <v>5900</v>
      </c>
      <c r="AO529" s="334">
        <v>780.06600000000003</v>
      </c>
      <c r="AP529" s="336">
        <v>5890</v>
      </c>
      <c r="AQ529" s="333">
        <v>779.21600000000001</v>
      </c>
      <c r="AR529" s="336">
        <v>5900</v>
      </c>
      <c r="AS529" s="334">
        <v>778.84500000000003</v>
      </c>
      <c r="AT529" s="336">
        <v>5900</v>
      </c>
      <c r="AU529" s="334">
        <v>777.27300000000002</v>
      </c>
      <c r="AV529" s="336">
        <v>5900</v>
      </c>
      <c r="AW529" s="334">
        <v>777.32100000000003</v>
      </c>
      <c r="AX529" s="336">
        <v>5890</v>
      </c>
      <c r="AY529" s="334">
        <v>701.21699999999998</v>
      </c>
      <c r="AZ529" s="336">
        <v>5900</v>
      </c>
      <c r="BA529" s="337">
        <v>702.702</v>
      </c>
      <c r="BB529" s="336">
        <v>5880</v>
      </c>
      <c r="BC529" s="334">
        <v>186.33199999999999</v>
      </c>
      <c r="BD529" s="336">
        <v>5880</v>
      </c>
      <c r="BE529" s="334">
        <v>195.511</v>
      </c>
    </row>
    <row r="530" spans="22:57">
      <c r="V530" s="346">
        <v>5910</v>
      </c>
      <c r="W530" s="333">
        <v>399.81200000000001</v>
      </c>
      <c r="X530" s="346">
        <v>5920</v>
      </c>
      <c r="Y530" s="334">
        <v>396.85599999999999</v>
      </c>
      <c r="Z530" s="335">
        <v>5910</v>
      </c>
      <c r="AA530" s="334">
        <v>888.50800000000004</v>
      </c>
      <c r="AB530" s="336">
        <v>5910</v>
      </c>
      <c r="AC530" s="334">
        <v>888.26300000000003</v>
      </c>
      <c r="AD530" s="336">
        <v>5910</v>
      </c>
      <c r="AE530" s="334">
        <v>777.65599999999995</v>
      </c>
      <c r="AF530" s="336">
        <v>5910</v>
      </c>
      <c r="AG530" s="334">
        <v>777.25599999999997</v>
      </c>
      <c r="AH530" s="336">
        <v>5910</v>
      </c>
      <c r="AI530" s="334">
        <v>777.48900000000003</v>
      </c>
      <c r="AJ530" s="336">
        <v>5890</v>
      </c>
      <c r="AK530" s="334">
        <v>778.62099999999998</v>
      </c>
      <c r="AL530" s="336">
        <v>5910</v>
      </c>
      <c r="AM530" s="334">
        <v>778.22500000000002</v>
      </c>
      <c r="AN530" s="336">
        <v>5910</v>
      </c>
      <c r="AO530" s="334">
        <v>778.85400000000004</v>
      </c>
      <c r="AP530" s="336">
        <v>5900</v>
      </c>
      <c r="AQ530" s="333">
        <v>778.00599999999997</v>
      </c>
      <c r="AR530" s="336">
        <v>5910</v>
      </c>
      <c r="AS530" s="334">
        <v>777.63400000000001</v>
      </c>
      <c r="AT530" s="336">
        <v>5910</v>
      </c>
      <c r="AU530" s="334">
        <v>776.06200000000001</v>
      </c>
      <c r="AV530" s="336">
        <v>5910</v>
      </c>
      <c r="AW530" s="334">
        <v>776.11099999999999</v>
      </c>
      <c r="AX530" s="336">
        <v>5900</v>
      </c>
      <c r="AY530" s="334">
        <v>700.00699999999995</v>
      </c>
      <c r="AZ530" s="336">
        <v>5910</v>
      </c>
      <c r="BA530" s="337">
        <v>701.49199999999996</v>
      </c>
      <c r="BB530" s="336">
        <v>5890</v>
      </c>
      <c r="BC530" s="334">
        <v>185.94300000000001</v>
      </c>
      <c r="BD530" s="336">
        <v>5890</v>
      </c>
      <c r="BE530" s="334">
        <v>195.108</v>
      </c>
    </row>
    <row r="531" spans="22:57">
      <c r="V531" s="346">
        <v>5920</v>
      </c>
      <c r="W531" s="333">
        <v>399.04199999999997</v>
      </c>
      <c r="X531" s="346">
        <v>5930</v>
      </c>
      <c r="Y531" s="334">
        <v>396.09199999999998</v>
      </c>
      <c r="Z531" s="335">
        <v>5920</v>
      </c>
      <c r="AA531" s="334">
        <v>887.02200000000005</v>
      </c>
      <c r="AB531" s="336">
        <v>5920</v>
      </c>
      <c r="AC531" s="334">
        <v>886.78099999999995</v>
      </c>
      <c r="AD531" s="336">
        <v>5920</v>
      </c>
      <c r="AE531" s="334">
        <v>776.44299999999998</v>
      </c>
      <c r="AF531" s="336">
        <v>5920</v>
      </c>
      <c r="AG531" s="334">
        <v>776.04300000000001</v>
      </c>
      <c r="AH531" s="336">
        <v>5920</v>
      </c>
      <c r="AI531" s="334">
        <v>776.27599999999995</v>
      </c>
      <c r="AJ531" s="336">
        <v>5900</v>
      </c>
      <c r="AK531" s="334">
        <v>777.40899999999999</v>
      </c>
      <c r="AL531" s="336">
        <v>5920</v>
      </c>
      <c r="AM531" s="334">
        <v>777.01199999999994</v>
      </c>
      <c r="AN531" s="336">
        <v>5920</v>
      </c>
      <c r="AO531" s="334">
        <v>777.64200000000005</v>
      </c>
      <c r="AP531" s="336">
        <v>5910</v>
      </c>
      <c r="AQ531" s="333">
        <v>776.79700000000003</v>
      </c>
      <c r="AR531" s="336">
        <v>5920</v>
      </c>
      <c r="AS531" s="334">
        <v>776.423</v>
      </c>
      <c r="AT531" s="336">
        <v>5920</v>
      </c>
      <c r="AU531" s="334">
        <v>774.85</v>
      </c>
      <c r="AV531" s="336">
        <v>5920</v>
      </c>
      <c r="AW531" s="334">
        <v>774.90099999999995</v>
      </c>
      <c r="AX531" s="336">
        <v>5910</v>
      </c>
      <c r="AY531" s="334">
        <v>698.79600000000005</v>
      </c>
      <c r="AZ531" s="336">
        <v>5920</v>
      </c>
      <c r="BA531" s="337">
        <v>700.28200000000004</v>
      </c>
      <c r="BB531" s="336">
        <v>5900</v>
      </c>
      <c r="BC531" s="334">
        <v>185.554</v>
      </c>
      <c r="BD531" s="336">
        <v>5900</v>
      </c>
      <c r="BE531" s="334">
        <v>194.70500000000001</v>
      </c>
    </row>
    <row r="532" spans="22:57">
      <c r="V532" s="346">
        <v>5930</v>
      </c>
      <c r="W532" s="333">
        <v>398.27300000000002</v>
      </c>
      <c r="X532" s="346">
        <v>5940</v>
      </c>
      <c r="Y532" s="334">
        <v>395.327</v>
      </c>
      <c r="Z532" s="335">
        <v>5930</v>
      </c>
      <c r="AA532" s="334">
        <v>885.53700000000003</v>
      </c>
      <c r="AB532" s="336">
        <v>5930</v>
      </c>
      <c r="AC532" s="334">
        <v>885.298</v>
      </c>
      <c r="AD532" s="336">
        <v>5930</v>
      </c>
      <c r="AE532" s="334">
        <v>775.23</v>
      </c>
      <c r="AF532" s="336">
        <v>5930</v>
      </c>
      <c r="AG532" s="334">
        <v>774.82899999999995</v>
      </c>
      <c r="AH532" s="336">
        <v>5930</v>
      </c>
      <c r="AI532" s="334">
        <v>775.06299999999999</v>
      </c>
      <c r="AJ532" s="336">
        <v>5910</v>
      </c>
      <c r="AK532" s="334">
        <v>776.19600000000003</v>
      </c>
      <c r="AL532" s="336">
        <v>5930</v>
      </c>
      <c r="AM532" s="334">
        <v>775.8</v>
      </c>
      <c r="AN532" s="336">
        <v>5930</v>
      </c>
      <c r="AO532" s="334">
        <v>776.42899999999997</v>
      </c>
      <c r="AP532" s="336">
        <v>5920</v>
      </c>
      <c r="AQ532" s="333">
        <v>775.58699999999999</v>
      </c>
      <c r="AR532" s="336">
        <v>5930</v>
      </c>
      <c r="AS532" s="334">
        <v>775.21199999999999</v>
      </c>
      <c r="AT532" s="336">
        <v>5930</v>
      </c>
      <c r="AU532" s="334">
        <v>773.63900000000001</v>
      </c>
      <c r="AV532" s="336">
        <v>5930</v>
      </c>
      <c r="AW532" s="334">
        <v>773.69100000000003</v>
      </c>
      <c r="AX532" s="336">
        <v>5920</v>
      </c>
      <c r="AY532" s="334">
        <v>697.58500000000004</v>
      </c>
      <c r="AZ532" s="336">
        <v>5930</v>
      </c>
      <c r="BA532" s="337">
        <v>699.07299999999998</v>
      </c>
      <c r="BB532" s="336">
        <v>5910</v>
      </c>
      <c r="BC532" s="334">
        <v>185.16399999999999</v>
      </c>
      <c r="BD532" s="336">
        <v>5910</v>
      </c>
      <c r="BE532" s="334">
        <v>194.30099999999999</v>
      </c>
    </row>
    <row r="533" spans="22:57">
      <c r="V533" s="346">
        <v>5940</v>
      </c>
      <c r="W533" s="333">
        <v>397.50299999999999</v>
      </c>
      <c r="X533" s="346">
        <v>5950</v>
      </c>
      <c r="Y533" s="334">
        <v>394.56299999999999</v>
      </c>
      <c r="Z533" s="335">
        <v>5940</v>
      </c>
      <c r="AA533" s="334">
        <v>884.05100000000004</v>
      </c>
      <c r="AB533" s="336">
        <v>5940</v>
      </c>
      <c r="AC533" s="334">
        <v>883.81500000000005</v>
      </c>
      <c r="AD533" s="336">
        <v>5940</v>
      </c>
      <c r="AE533" s="334">
        <v>774.01800000000003</v>
      </c>
      <c r="AF533" s="336">
        <v>5940</v>
      </c>
      <c r="AG533" s="334">
        <v>773.61599999999999</v>
      </c>
      <c r="AH533" s="336">
        <v>5940</v>
      </c>
      <c r="AI533" s="334">
        <v>773.851</v>
      </c>
      <c r="AJ533" s="336">
        <v>5920</v>
      </c>
      <c r="AK533" s="334">
        <v>774.98299999999995</v>
      </c>
      <c r="AL533" s="336">
        <v>5940</v>
      </c>
      <c r="AM533" s="334">
        <v>774.58699999999999</v>
      </c>
      <c r="AN533" s="336">
        <v>5940</v>
      </c>
      <c r="AO533" s="334">
        <v>775.21699999999998</v>
      </c>
      <c r="AP533" s="336">
        <v>5930</v>
      </c>
      <c r="AQ533" s="333">
        <v>774.37699999999995</v>
      </c>
      <c r="AR533" s="336">
        <v>5940</v>
      </c>
      <c r="AS533" s="334">
        <v>774.00099999999998</v>
      </c>
      <c r="AT533" s="336">
        <v>5940</v>
      </c>
      <c r="AU533" s="334">
        <v>772.428</v>
      </c>
      <c r="AV533" s="336">
        <v>5940</v>
      </c>
      <c r="AW533" s="334">
        <v>772.48099999999999</v>
      </c>
      <c r="AX533" s="336">
        <v>5930</v>
      </c>
      <c r="AY533" s="334">
        <v>696.375</v>
      </c>
      <c r="AZ533" s="336">
        <v>5940</v>
      </c>
      <c r="BA533" s="337">
        <v>697.86300000000006</v>
      </c>
      <c r="BB533" s="336">
        <v>5920</v>
      </c>
      <c r="BC533" s="334">
        <v>184.77500000000001</v>
      </c>
      <c r="BD533" s="336">
        <v>5920</v>
      </c>
      <c r="BE533" s="334">
        <v>193.898</v>
      </c>
    </row>
    <row r="534" spans="22:57">
      <c r="V534" s="346">
        <v>5950</v>
      </c>
      <c r="W534" s="333">
        <v>396.73399999999998</v>
      </c>
      <c r="X534" s="346">
        <v>5960</v>
      </c>
      <c r="Y534" s="334">
        <v>393.79899999999998</v>
      </c>
      <c r="Z534" s="335">
        <v>5950</v>
      </c>
      <c r="AA534" s="334">
        <v>882.56600000000003</v>
      </c>
      <c r="AB534" s="336">
        <v>5950</v>
      </c>
      <c r="AC534" s="334">
        <v>882.33199999999999</v>
      </c>
      <c r="AD534" s="336">
        <v>5950</v>
      </c>
      <c r="AE534" s="334">
        <v>772.80499999999995</v>
      </c>
      <c r="AF534" s="336">
        <v>5950</v>
      </c>
      <c r="AG534" s="334">
        <v>772.40200000000004</v>
      </c>
      <c r="AH534" s="336">
        <v>5950</v>
      </c>
      <c r="AI534" s="334">
        <v>772.63800000000003</v>
      </c>
      <c r="AJ534" s="336">
        <v>5930</v>
      </c>
      <c r="AK534" s="334">
        <v>773.77</v>
      </c>
      <c r="AL534" s="336">
        <v>5950</v>
      </c>
      <c r="AM534" s="334">
        <v>773.37400000000002</v>
      </c>
      <c r="AN534" s="336">
        <v>5950</v>
      </c>
      <c r="AO534" s="334">
        <v>774.005</v>
      </c>
      <c r="AP534" s="336">
        <v>5940</v>
      </c>
      <c r="AQ534" s="333">
        <v>773.16700000000003</v>
      </c>
      <c r="AR534" s="336">
        <v>5950</v>
      </c>
      <c r="AS534" s="334">
        <v>772.79100000000005</v>
      </c>
      <c r="AT534" s="336">
        <v>5950</v>
      </c>
      <c r="AU534" s="334">
        <v>771.21699999999998</v>
      </c>
      <c r="AV534" s="336">
        <v>5950</v>
      </c>
      <c r="AW534" s="334">
        <v>771.27099999999996</v>
      </c>
      <c r="AX534" s="336">
        <v>5940</v>
      </c>
      <c r="AY534" s="334">
        <v>695.16399999999999</v>
      </c>
      <c r="AZ534" s="336">
        <v>5950</v>
      </c>
      <c r="BA534" s="337">
        <v>696.65300000000002</v>
      </c>
      <c r="BB534" s="336">
        <v>5930</v>
      </c>
      <c r="BC534" s="334">
        <v>184.386</v>
      </c>
      <c r="BD534" s="336">
        <v>5930</v>
      </c>
      <c r="BE534" s="334">
        <v>193.495</v>
      </c>
    </row>
    <row r="535" spans="22:57">
      <c r="V535" s="346">
        <v>5960</v>
      </c>
      <c r="W535" s="333">
        <v>395.96499999999997</v>
      </c>
      <c r="X535" s="346">
        <v>5970</v>
      </c>
      <c r="Y535" s="334">
        <v>393.03500000000003</v>
      </c>
      <c r="Z535" s="335">
        <v>5960</v>
      </c>
      <c r="AA535" s="334">
        <v>881.08100000000002</v>
      </c>
      <c r="AB535" s="336">
        <v>5960</v>
      </c>
      <c r="AC535" s="334">
        <v>880.85</v>
      </c>
      <c r="AD535" s="336">
        <v>5960</v>
      </c>
      <c r="AE535" s="334">
        <v>771.59199999999998</v>
      </c>
      <c r="AF535" s="336">
        <v>5960</v>
      </c>
      <c r="AG535" s="334">
        <v>771.18799999999999</v>
      </c>
      <c r="AH535" s="336">
        <v>5960</v>
      </c>
      <c r="AI535" s="334">
        <v>771.42600000000004</v>
      </c>
      <c r="AJ535" s="336">
        <v>5940</v>
      </c>
      <c r="AK535" s="334">
        <v>772.55700000000002</v>
      </c>
      <c r="AL535" s="336">
        <v>5960</v>
      </c>
      <c r="AM535" s="334">
        <v>772.16200000000003</v>
      </c>
      <c r="AN535" s="336">
        <v>5960</v>
      </c>
      <c r="AO535" s="334">
        <v>772.79300000000001</v>
      </c>
      <c r="AP535" s="336">
        <v>5950</v>
      </c>
      <c r="AQ535" s="333">
        <v>771.95699999999999</v>
      </c>
      <c r="AR535" s="336">
        <v>5960</v>
      </c>
      <c r="AS535" s="334">
        <v>771.58</v>
      </c>
      <c r="AT535" s="336">
        <v>5960</v>
      </c>
      <c r="AU535" s="334">
        <v>770.005</v>
      </c>
      <c r="AV535" s="336">
        <v>5960</v>
      </c>
      <c r="AW535" s="334">
        <v>770.06100000000004</v>
      </c>
      <c r="AX535" s="336">
        <v>5950</v>
      </c>
      <c r="AY535" s="334">
        <v>693.95299999999997</v>
      </c>
      <c r="AZ535" s="336">
        <v>5960</v>
      </c>
      <c r="BA535" s="337">
        <v>695.44299999999998</v>
      </c>
      <c r="BB535" s="336">
        <v>5940</v>
      </c>
      <c r="BC535" s="334">
        <v>183.99700000000001</v>
      </c>
      <c r="BD535" s="336">
        <v>5940</v>
      </c>
      <c r="BE535" s="334">
        <v>193.09200000000001</v>
      </c>
    </row>
    <row r="536" spans="22:57">
      <c r="V536" s="346">
        <v>5970</v>
      </c>
      <c r="W536" s="333">
        <v>395.19600000000003</v>
      </c>
      <c r="X536" s="346">
        <v>5980</v>
      </c>
      <c r="Y536" s="334">
        <v>392.27199999999999</v>
      </c>
      <c r="Z536" s="335">
        <v>5970</v>
      </c>
      <c r="AA536" s="334">
        <v>879.596</v>
      </c>
      <c r="AB536" s="336">
        <v>5970</v>
      </c>
      <c r="AC536" s="334">
        <v>879.36800000000005</v>
      </c>
      <c r="AD536" s="336">
        <v>5970</v>
      </c>
      <c r="AE536" s="334">
        <v>770.38</v>
      </c>
      <c r="AF536" s="336">
        <v>5970</v>
      </c>
      <c r="AG536" s="334">
        <v>769.97500000000002</v>
      </c>
      <c r="AH536" s="336">
        <v>5970</v>
      </c>
      <c r="AI536" s="334">
        <v>770.21299999999997</v>
      </c>
      <c r="AJ536" s="336">
        <v>5950</v>
      </c>
      <c r="AK536" s="334">
        <v>771.34400000000005</v>
      </c>
      <c r="AL536" s="336">
        <v>5970</v>
      </c>
      <c r="AM536" s="334">
        <v>770.94899999999996</v>
      </c>
      <c r="AN536" s="336">
        <v>5970</v>
      </c>
      <c r="AO536" s="334">
        <v>771.58</v>
      </c>
      <c r="AP536" s="336">
        <v>5960</v>
      </c>
      <c r="AQ536" s="333">
        <v>770.74699999999996</v>
      </c>
      <c r="AR536" s="336">
        <v>5970</v>
      </c>
      <c r="AS536" s="334">
        <v>770.36900000000003</v>
      </c>
      <c r="AT536" s="336">
        <v>5970</v>
      </c>
      <c r="AU536" s="334">
        <v>768.79399999999998</v>
      </c>
      <c r="AV536" s="336">
        <v>5970</v>
      </c>
      <c r="AW536" s="334">
        <v>768.851</v>
      </c>
      <c r="AX536" s="336">
        <v>5960</v>
      </c>
      <c r="AY536" s="334">
        <v>692.74300000000005</v>
      </c>
      <c r="AZ536" s="336">
        <v>5970</v>
      </c>
      <c r="BA536" s="337">
        <v>694.23299999999995</v>
      </c>
      <c r="BB536" s="336">
        <v>5950</v>
      </c>
      <c r="BC536" s="334">
        <v>183.608</v>
      </c>
      <c r="BD536" s="336">
        <v>5950</v>
      </c>
      <c r="BE536" s="334">
        <v>192.68799999999999</v>
      </c>
    </row>
    <row r="537" spans="22:57">
      <c r="V537" s="346">
        <v>5980</v>
      </c>
      <c r="W537" s="333">
        <v>394.428</v>
      </c>
      <c r="X537" s="346">
        <v>5990</v>
      </c>
      <c r="Y537" s="334">
        <v>391.50799999999998</v>
      </c>
      <c r="Z537" s="335">
        <v>5980</v>
      </c>
      <c r="AA537" s="334">
        <v>878.11099999999999</v>
      </c>
      <c r="AB537" s="336">
        <v>5980</v>
      </c>
      <c r="AC537" s="334">
        <v>877.88499999999999</v>
      </c>
      <c r="AD537" s="336">
        <v>5980</v>
      </c>
      <c r="AE537" s="334">
        <v>769.16700000000003</v>
      </c>
      <c r="AF537" s="336">
        <v>5980</v>
      </c>
      <c r="AG537" s="334">
        <v>768.76099999999997</v>
      </c>
      <c r="AH537" s="336">
        <v>5980</v>
      </c>
      <c r="AI537" s="334">
        <v>769</v>
      </c>
      <c r="AJ537" s="336">
        <v>5960</v>
      </c>
      <c r="AK537" s="334">
        <v>770.13099999999997</v>
      </c>
      <c r="AL537" s="336">
        <v>5980</v>
      </c>
      <c r="AM537" s="334">
        <v>769.73599999999999</v>
      </c>
      <c r="AN537" s="336">
        <v>5980</v>
      </c>
      <c r="AO537" s="334">
        <v>770.36800000000005</v>
      </c>
      <c r="AP537" s="336">
        <v>5970</v>
      </c>
      <c r="AQ537" s="333">
        <v>769.53700000000003</v>
      </c>
      <c r="AR537" s="336">
        <v>5980</v>
      </c>
      <c r="AS537" s="334">
        <v>769.15800000000002</v>
      </c>
      <c r="AT537" s="336">
        <v>5980</v>
      </c>
      <c r="AU537" s="334">
        <v>767.58299999999997</v>
      </c>
      <c r="AV537" s="336">
        <v>5980</v>
      </c>
      <c r="AW537" s="334">
        <v>767.64099999999996</v>
      </c>
      <c r="AX537" s="336">
        <v>5970</v>
      </c>
      <c r="AY537" s="334">
        <v>691.53200000000004</v>
      </c>
      <c r="AZ537" s="336">
        <v>5980</v>
      </c>
      <c r="BA537" s="337">
        <v>693.024</v>
      </c>
      <c r="BB537" s="336">
        <v>5960</v>
      </c>
      <c r="BC537" s="334">
        <v>183.22</v>
      </c>
      <c r="BD537" s="336">
        <v>5960</v>
      </c>
      <c r="BE537" s="334">
        <v>192.286</v>
      </c>
    </row>
    <row r="538" spans="22:57">
      <c r="V538" s="346">
        <v>5990</v>
      </c>
      <c r="W538" s="333">
        <v>393.65899999999999</v>
      </c>
      <c r="X538" s="346">
        <v>6000</v>
      </c>
      <c r="Y538" s="334">
        <v>390.745</v>
      </c>
      <c r="Z538" s="335">
        <v>5990</v>
      </c>
      <c r="AA538" s="334">
        <v>876.62599999999998</v>
      </c>
      <c r="AB538" s="336">
        <v>5990</v>
      </c>
      <c r="AC538" s="334">
        <v>876.40300000000002</v>
      </c>
      <c r="AD538" s="336">
        <v>5990</v>
      </c>
      <c r="AE538" s="334">
        <v>767.95399999999995</v>
      </c>
      <c r="AF538" s="336">
        <v>5990</v>
      </c>
      <c r="AG538" s="334">
        <v>767.54700000000003</v>
      </c>
      <c r="AH538" s="336">
        <v>5990</v>
      </c>
      <c r="AI538" s="334">
        <v>767.78800000000001</v>
      </c>
      <c r="AJ538" s="336">
        <v>5970</v>
      </c>
      <c r="AK538" s="334">
        <v>768.91899999999998</v>
      </c>
      <c r="AL538" s="336">
        <v>5990</v>
      </c>
      <c r="AM538" s="334">
        <v>768.524</v>
      </c>
      <c r="AN538" s="336">
        <v>5990</v>
      </c>
      <c r="AO538" s="334">
        <v>769.15599999999995</v>
      </c>
      <c r="AP538" s="336">
        <v>5980</v>
      </c>
      <c r="AQ538" s="333">
        <v>768.327</v>
      </c>
      <c r="AR538" s="336">
        <v>5990</v>
      </c>
      <c r="AS538" s="334">
        <v>767.947</v>
      </c>
      <c r="AT538" s="336">
        <v>5990</v>
      </c>
      <c r="AU538" s="334">
        <v>766.37099999999998</v>
      </c>
      <c r="AV538" s="336">
        <v>5990</v>
      </c>
      <c r="AW538" s="334">
        <v>766.43100000000004</v>
      </c>
      <c r="AX538" s="336">
        <v>5980</v>
      </c>
      <c r="AY538" s="334">
        <v>690.32100000000003</v>
      </c>
      <c r="AZ538" s="336">
        <v>5990</v>
      </c>
      <c r="BA538" s="337">
        <v>691.81399999999996</v>
      </c>
      <c r="BB538" s="336">
        <v>5970</v>
      </c>
      <c r="BC538" s="334">
        <v>182.83099999999999</v>
      </c>
      <c r="BD538" s="336">
        <v>5970</v>
      </c>
      <c r="BE538" s="334">
        <v>191.88300000000001</v>
      </c>
    </row>
    <row r="539" spans="22:57">
      <c r="V539" s="346">
        <v>6000</v>
      </c>
      <c r="W539" s="333">
        <v>392.89100000000002</v>
      </c>
      <c r="X539" s="346">
        <v>6010</v>
      </c>
      <c r="Y539" s="334">
        <v>389.98200000000003</v>
      </c>
      <c r="Z539" s="335">
        <v>6000</v>
      </c>
      <c r="AA539" s="334">
        <v>875.14200000000005</v>
      </c>
      <c r="AB539" s="336">
        <v>6000</v>
      </c>
      <c r="AC539" s="334">
        <v>874.92100000000005</v>
      </c>
      <c r="AD539" s="336">
        <v>6000</v>
      </c>
      <c r="AE539" s="334">
        <v>766.74099999999999</v>
      </c>
      <c r="AF539" s="336">
        <v>6000</v>
      </c>
      <c r="AG539" s="334">
        <v>766.33399999999995</v>
      </c>
      <c r="AH539" s="336">
        <v>6000</v>
      </c>
      <c r="AI539" s="334">
        <v>766.57500000000005</v>
      </c>
      <c r="AJ539" s="336">
        <v>5980</v>
      </c>
      <c r="AK539" s="334">
        <v>767.70600000000002</v>
      </c>
      <c r="AL539" s="336">
        <v>6000</v>
      </c>
      <c r="AM539" s="334">
        <v>767.31100000000004</v>
      </c>
      <c r="AN539" s="336">
        <v>6000</v>
      </c>
      <c r="AO539" s="334">
        <v>767.94399999999996</v>
      </c>
      <c r="AP539" s="336">
        <v>5990</v>
      </c>
      <c r="AQ539" s="333">
        <v>767.11699999999996</v>
      </c>
      <c r="AR539" s="336">
        <v>6000</v>
      </c>
      <c r="AS539" s="334">
        <v>766.73599999999999</v>
      </c>
      <c r="AT539" s="336">
        <v>6000</v>
      </c>
      <c r="AU539" s="334">
        <v>765.16</v>
      </c>
      <c r="AV539" s="336">
        <v>6000</v>
      </c>
      <c r="AW539" s="334">
        <v>765.221</v>
      </c>
      <c r="AX539" s="336">
        <v>5990</v>
      </c>
      <c r="AY539" s="334">
        <v>689.11</v>
      </c>
      <c r="AZ539" s="336">
        <v>6000</v>
      </c>
      <c r="BA539" s="337">
        <v>690.60400000000004</v>
      </c>
      <c r="BB539" s="336">
        <v>5980</v>
      </c>
      <c r="BC539" s="334">
        <v>182.44200000000001</v>
      </c>
      <c r="BD539" s="336">
        <v>5980</v>
      </c>
      <c r="BE539" s="334">
        <v>191.48</v>
      </c>
    </row>
    <row r="540" spans="22:57">
      <c r="V540" s="346">
        <v>6010</v>
      </c>
      <c r="W540" s="333">
        <v>392.12299999999999</v>
      </c>
      <c r="X540" s="346">
        <v>6020</v>
      </c>
      <c r="Y540" s="334">
        <v>389.21899999999999</v>
      </c>
      <c r="Z540" s="335">
        <v>6010</v>
      </c>
      <c r="AA540" s="334">
        <v>873.65700000000004</v>
      </c>
      <c r="AB540" s="336">
        <v>6010</v>
      </c>
      <c r="AC540" s="334">
        <v>873.43899999999996</v>
      </c>
      <c r="AD540" s="336">
        <v>6010</v>
      </c>
      <c r="AE540" s="334">
        <v>765.529</v>
      </c>
      <c r="AF540" s="336">
        <v>6010</v>
      </c>
      <c r="AG540" s="334">
        <v>765.12</v>
      </c>
      <c r="AH540" s="336">
        <v>6010</v>
      </c>
      <c r="AI540" s="334">
        <v>765.36300000000006</v>
      </c>
      <c r="AJ540" s="336">
        <v>5990</v>
      </c>
      <c r="AK540" s="334">
        <v>766.49300000000005</v>
      </c>
      <c r="AL540" s="336">
        <v>6010</v>
      </c>
      <c r="AM540" s="334">
        <v>766.09799999999996</v>
      </c>
      <c r="AN540" s="336">
        <v>6010</v>
      </c>
      <c r="AO540" s="334">
        <v>766.73199999999997</v>
      </c>
      <c r="AP540" s="336">
        <v>6000</v>
      </c>
      <c r="AQ540" s="333">
        <v>765.90700000000004</v>
      </c>
      <c r="AR540" s="336">
        <v>6010</v>
      </c>
      <c r="AS540" s="334">
        <v>765.52599999999995</v>
      </c>
      <c r="AT540" s="336">
        <v>6010</v>
      </c>
      <c r="AU540" s="334">
        <v>763.94899999999996</v>
      </c>
      <c r="AV540" s="336">
        <v>6010</v>
      </c>
      <c r="AW540" s="334">
        <v>764.01099999999997</v>
      </c>
      <c r="AX540" s="336">
        <v>6000</v>
      </c>
      <c r="AY540" s="334">
        <v>687.9</v>
      </c>
      <c r="AZ540" s="336">
        <v>6010</v>
      </c>
      <c r="BA540" s="337">
        <v>689.39400000000001</v>
      </c>
      <c r="BB540" s="336">
        <v>5990</v>
      </c>
      <c r="BC540" s="334">
        <v>182.054</v>
      </c>
      <c r="BD540" s="336">
        <v>5990</v>
      </c>
      <c r="BE540" s="334">
        <v>191.077</v>
      </c>
    </row>
    <row r="541" spans="22:57">
      <c r="V541" s="346">
        <v>6020</v>
      </c>
      <c r="W541" s="333">
        <v>391.35500000000002</v>
      </c>
      <c r="X541" s="346">
        <v>6030</v>
      </c>
      <c r="Y541" s="334">
        <v>388.45600000000002</v>
      </c>
      <c r="Z541" s="335">
        <v>6020</v>
      </c>
      <c r="AA541" s="334">
        <v>872.173</v>
      </c>
      <c r="AB541" s="336">
        <v>6020</v>
      </c>
      <c r="AC541" s="334">
        <v>871.95699999999999</v>
      </c>
      <c r="AD541" s="336">
        <v>6020</v>
      </c>
      <c r="AE541" s="334">
        <v>764.31600000000003</v>
      </c>
      <c r="AF541" s="336">
        <v>6020</v>
      </c>
      <c r="AG541" s="334">
        <v>763.90700000000004</v>
      </c>
      <c r="AH541" s="336">
        <v>6020</v>
      </c>
      <c r="AI541" s="334">
        <v>764.15</v>
      </c>
      <c r="AJ541" s="336">
        <v>6000</v>
      </c>
      <c r="AK541" s="334">
        <v>765.28</v>
      </c>
      <c r="AL541" s="336">
        <v>6020</v>
      </c>
      <c r="AM541" s="334">
        <v>764.88599999999997</v>
      </c>
      <c r="AN541" s="336">
        <v>6020</v>
      </c>
      <c r="AO541" s="334">
        <v>765.51900000000001</v>
      </c>
      <c r="AP541" s="336">
        <v>6010</v>
      </c>
      <c r="AQ541" s="333">
        <v>764.697</v>
      </c>
      <c r="AR541" s="336">
        <v>6020</v>
      </c>
      <c r="AS541" s="334">
        <v>764.31500000000005</v>
      </c>
      <c r="AT541" s="336">
        <v>6020</v>
      </c>
      <c r="AU541" s="334">
        <v>762.73800000000006</v>
      </c>
      <c r="AV541" s="336">
        <v>6020</v>
      </c>
      <c r="AW541" s="334">
        <v>762.80100000000004</v>
      </c>
      <c r="AX541" s="336">
        <v>6010</v>
      </c>
      <c r="AY541" s="334">
        <v>686.68899999999996</v>
      </c>
      <c r="AZ541" s="336">
        <v>6020</v>
      </c>
      <c r="BA541" s="337">
        <v>688.18399999999997</v>
      </c>
      <c r="BB541" s="336">
        <v>6000</v>
      </c>
      <c r="BC541" s="334">
        <v>181.66499999999999</v>
      </c>
      <c r="BD541" s="336">
        <v>6000</v>
      </c>
      <c r="BE541" s="334">
        <v>190.67400000000001</v>
      </c>
    </row>
    <row r="542" spans="22:57">
      <c r="V542" s="346">
        <v>6030</v>
      </c>
      <c r="W542" s="333">
        <v>390.58699999999999</v>
      </c>
      <c r="X542" s="346">
        <v>6040</v>
      </c>
      <c r="Y542" s="334">
        <v>387.69400000000002</v>
      </c>
      <c r="Z542" s="335">
        <v>6030</v>
      </c>
      <c r="AA542" s="334">
        <v>870.68799999999999</v>
      </c>
      <c r="AB542" s="336">
        <v>6030</v>
      </c>
      <c r="AC542" s="352">
        <v>870.476</v>
      </c>
      <c r="AD542" s="336">
        <v>6030</v>
      </c>
      <c r="AE542" s="334">
        <v>763.10299999999995</v>
      </c>
      <c r="AF542" s="336">
        <v>6030</v>
      </c>
      <c r="AG542" s="334">
        <v>762.69299999999998</v>
      </c>
      <c r="AH542" s="336">
        <v>6030</v>
      </c>
      <c r="AI542" s="334">
        <v>762.93799999999999</v>
      </c>
      <c r="AJ542" s="336">
        <v>6010</v>
      </c>
      <c r="AK542" s="334">
        <v>764.06700000000001</v>
      </c>
      <c r="AL542" s="336">
        <v>6030</v>
      </c>
      <c r="AM542" s="334">
        <v>763.673</v>
      </c>
      <c r="AN542" s="336">
        <v>6030</v>
      </c>
      <c r="AO542" s="334">
        <v>764.30700000000002</v>
      </c>
      <c r="AP542" s="336">
        <v>6020</v>
      </c>
      <c r="AQ542" s="333">
        <v>763.48699999999997</v>
      </c>
      <c r="AR542" s="336">
        <v>6030</v>
      </c>
      <c r="AS542" s="334">
        <v>763.10400000000004</v>
      </c>
      <c r="AT542" s="336">
        <v>6030</v>
      </c>
      <c r="AU542" s="334">
        <v>761.52599999999995</v>
      </c>
      <c r="AV542" s="336">
        <v>6030</v>
      </c>
      <c r="AW542" s="334">
        <v>761.59100000000001</v>
      </c>
      <c r="AX542" s="336">
        <v>6020</v>
      </c>
      <c r="AY542" s="334">
        <v>685.47799999999995</v>
      </c>
      <c r="AZ542" s="336">
        <v>6030</v>
      </c>
      <c r="BA542" s="337">
        <v>686.97500000000002</v>
      </c>
      <c r="BB542" s="336">
        <v>6010</v>
      </c>
      <c r="BC542" s="334">
        <v>181.27699999999999</v>
      </c>
      <c r="BD542" s="336">
        <v>6010</v>
      </c>
      <c r="BE542" s="334">
        <v>190.27199999999999</v>
      </c>
    </row>
    <row r="543" spans="22:57">
      <c r="V543" s="346">
        <v>6040</v>
      </c>
      <c r="W543" s="333">
        <v>389.82</v>
      </c>
      <c r="X543" s="346">
        <v>6050</v>
      </c>
      <c r="Y543" s="334">
        <v>386.93200000000002</v>
      </c>
      <c r="Z543" s="335">
        <v>6040</v>
      </c>
      <c r="AA543" s="334">
        <v>869.20399999999995</v>
      </c>
      <c r="AB543" s="336">
        <v>6040</v>
      </c>
      <c r="AC543" s="352">
        <v>868.99400000000003</v>
      </c>
      <c r="AD543" s="336">
        <v>6040</v>
      </c>
      <c r="AE543" s="334">
        <v>761.89099999999996</v>
      </c>
      <c r="AF543" s="336">
        <v>6040</v>
      </c>
      <c r="AG543" s="334">
        <v>761.47900000000004</v>
      </c>
      <c r="AH543" s="336">
        <v>6040</v>
      </c>
      <c r="AI543" s="334">
        <v>761.72500000000002</v>
      </c>
      <c r="AJ543" s="336">
        <v>6020</v>
      </c>
      <c r="AK543" s="334">
        <v>762.85400000000004</v>
      </c>
      <c r="AL543" s="336">
        <v>6040</v>
      </c>
      <c r="AM543" s="334">
        <v>762.46</v>
      </c>
      <c r="AN543" s="336">
        <v>6040</v>
      </c>
      <c r="AO543" s="334">
        <v>763.09500000000003</v>
      </c>
      <c r="AP543" s="336">
        <v>6030</v>
      </c>
      <c r="AQ543" s="333">
        <v>762.27700000000004</v>
      </c>
      <c r="AR543" s="336">
        <v>6040</v>
      </c>
      <c r="AS543" s="334">
        <v>761.89300000000003</v>
      </c>
      <c r="AT543" s="336">
        <v>6040</v>
      </c>
      <c r="AU543" s="334">
        <v>760.31500000000005</v>
      </c>
      <c r="AV543" s="336">
        <v>6040</v>
      </c>
      <c r="AW543" s="334">
        <v>760.38099999999997</v>
      </c>
      <c r="AX543" s="336">
        <v>6030</v>
      </c>
      <c r="AY543" s="334">
        <v>684.26800000000003</v>
      </c>
      <c r="AZ543" s="336">
        <v>6040</v>
      </c>
      <c r="BA543" s="337">
        <v>685.76499999999999</v>
      </c>
      <c r="BB543" s="336">
        <v>6020</v>
      </c>
      <c r="BC543" s="334">
        <v>180.88800000000001</v>
      </c>
      <c r="BD543" s="336">
        <v>6020</v>
      </c>
      <c r="BE543" s="334">
        <v>189.869</v>
      </c>
    </row>
    <row r="544" spans="22:57">
      <c r="V544" s="346">
        <v>6050</v>
      </c>
      <c r="W544" s="333">
        <v>389.053</v>
      </c>
      <c r="X544" s="346">
        <v>6060</v>
      </c>
      <c r="Y544" s="334">
        <v>386.17</v>
      </c>
      <c r="Z544" s="335">
        <v>6050</v>
      </c>
      <c r="AA544" s="334">
        <v>867.72</v>
      </c>
      <c r="AB544" s="336">
        <v>6050</v>
      </c>
      <c r="AC544" s="334">
        <v>867.51300000000003</v>
      </c>
      <c r="AD544" s="336">
        <v>6050</v>
      </c>
      <c r="AE544" s="334">
        <v>760.678</v>
      </c>
      <c r="AF544" s="336">
        <v>6050</v>
      </c>
      <c r="AG544" s="334">
        <v>760.26599999999996</v>
      </c>
      <c r="AH544" s="336">
        <v>6050</v>
      </c>
      <c r="AI544" s="334">
        <v>760.51300000000003</v>
      </c>
      <c r="AJ544" s="336">
        <v>6030</v>
      </c>
      <c r="AK544" s="334">
        <v>761.64200000000005</v>
      </c>
      <c r="AL544" s="336">
        <v>6050</v>
      </c>
      <c r="AM544" s="334">
        <v>761.24800000000005</v>
      </c>
      <c r="AN544" s="336">
        <v>6050</v>
      </c>
      <c r="AO544" s="334">
        <v>761.88300000000004</v>
      </c>
      <c r="AP544" s="336">
        <v>6040</v>
      </c>
      <c r="AQ544" s="333">
        <v>761.06700000000001</v>
      </c>
      <c r="AR544" s="336">
        <v>6050</v>
      </c>
      <c r="AS544" s="334">
        <v>760.68200000000002</v>
      </c>
      <c r="AT544" s="336">
        <v>6050</v>
      </c>
      <c r="AU544" s="334">
        <v>759.10400000000004</v>
      </c>
      <c r="AV544" s="336">
        <v>6050</v>
      </c>
      <c r="AW544" s="334">
        <v>759.17100000000005</v>
      </c>
      <c r="AX544" s="336">
        <v>6040</v>
      </c>
      <c r="AY544" s="334">
        <v>683.05700000000002</v>
      </c>
      <c r="AZ544" s="336">
        <v>6050</v>
      </c>
      <c r="BA544" s="337">
        <v>684.55499999999995</v>
      </c>
      <c r="BB544" s="336">
        <v>6030</v>
      </c>
      <c r="BC544" s="334">
        <v>180.5</v>
      </c>
      <c r="BD544" s="336">
        <v>6030</v>
      </c>
      <c r="BE544" s="334">
        <v>189.46700000000001</v>
      </c>
    </row>
    <row r="545" spans="22:57">
      <c r="V545" s="346">
        <v>6060</v>
      </c>
      <c r="W545" s="333">
        <v>388.286</v>
      </c>
      <c r="X545" s="346">
        <v>6070</v>
      </c>
      <c r="Y545" s="334">
        <v>385.40800000000002</v>
      </c>
      <c r="Z545" s="335">
        <v>6060</v>
      </c>
      <c r="AA545" s="334">
        <v>866.23599999999999</v>
      </c>
      <c r="AB545" s="336">
        <v>6060</v>
      </c>
      <c r="AC545" s="334">
        <v>866.03099999999995</v>
      </c>
      <c r="AD545" s="336">
        <v>6060</v>
      </c>
      <c r="AE545" s="334">
        <v>759.46500000000003</v>
      </c>
      <c r="AF545" s="336">
        <v>6060</v>
      </c>
      <c r="AG545" s="334">
        <v>759.05200000000002</v>
      </c>
      <c r="AH545" s="336">
        <v>6060</v>
      </c>
      <c r="AI545" s="334">
        <v>759.3</v>
      </c>
      <c r="AJ545" s="336">
        <v>6040</v>
      </c>
      <c r="AK545" s="334">
        <v>760.42899999999997</v>
      </c>
      <c r="AL545" s="336">
        <v>6060</v>
      </c>
      <c r="AM545" s="334">
        <v>760.03499999999997</v>
      </c>
      <c r="AN545" s="336">
        <v>6060</v>
      </c>
      <c r="AO545" s="334">
        <v>760.67</v>
      </c>
      <c r="AP545" s="336">
        <v>6050</v>
      </c>
      <c r="AQ545" s="333">
        <v>759.85699999999997</v>
      </c>
      <c r="AR545" s="336">
        <v>6060</v>
      </c>
      <c r="AS545" s="334">
        <v>759.471</v>
      </c>
      <c r="AT545" s="336">
        <v>6060</v>
      </c>
      <c r="AU545" s="334">
        <v>757.89200000000005</v>
      </c>
      <c r="AV545" s="336">
        <v>6060</v>
      </c>
      <c r="AW545" s="334">
        <v>757.96100000000001</v>
      </c>
      <c r="AX545" s="336">
        <v>6050</v>
      </c>
      <c r="AY545" s="334">
        <v>681.846</v>
      </c>
      <c r="AZ545" s="336">
        <v>6060</v>
      </c>
      <c r="BA545" s="337">
        <v>683.34500000000003</v>
      </c>
      <c r="BB545" s="336">
        <v>6040</v>
      </c>
      <c r="BC545" s="334">
        <v>180.11199999999999</v>
      </c>
      <c r="BD545" s="336">
        <v>6040</v>
      </c>
      <c r="BE545" s="334">
        <v>189.065</v>
      </c>
    </row>
    <row r="546" spans="22:57">
      <c r="V546" s="346">
        <v>6070</v>
      </c>
      <c r="W546" s="333">
        <v>387.51900000000001</v>
      </c>
      <c r="X546" s="346">
        <v>6080</v>
      </c>
      <c r="Y546" s="334">
        <v>384.64600000000002</v>
      </c>
      <c r="Z546" s="335">
        <v>6070</v>
      </c>
      <c r="AA546" s="334">
        <v>864.75199999999995</v>
      </c>
      <c r="AB546" s="336">
        <v>6070</v>
      </c>
      <c r="AC546" s="334">
        <v>864.55</v>
      </c>
      <c r="AD546" s="336">
        <v>6070</v>
      </c>
      <c r="AE546" s="334">
        <v>758.25199999999995</v>
      </c>
      <c r="AF546" s="336">
        <v>6070</v>
      </c>
      <c r="AG546" s="334">
        <v>757.83799999999997</v>
      </c>
      <c r="AH546" s="336">
        <v>6070</v>
      </c>
      <c r="AI546" s="334">
        <v>758.08699999999999</v>
      </c>
      <c r="AJ546" s="336">
        <v>6050</v>
      </c>
      <c r="AK546" s="334">
        <v>759.21600000000001</v>
      </c>
      <c r="AL546" s="336">
        <v>6070</v>
      </c>
      <c r="AM546" s="334">
        <v>758.822</v>
      </c>
      <c r="AN546" s="336">
        <v>6070</v>
      </c>
      <c r="AO546" s="334">
        <v>759.45799999999997</v>
      </c>
      <c r="AP546" s="336">
        <v>6060</v>
      </c>
      <c r="AQ546" s="333">
        <v>758.64700000000005</v>
      </c>
      <c r="AR546" s="336">
        <v>6070</v>
      </c>
      <c r="AS546" s="334">
        <v>758.26</v>
      </c>
      <c r="AT546" s="336">
        <v>6070</v>
      </c>
      <c r="AU546" s="334">
        <v>756.68100000000004</v>
      </c>
      <c r="AV546" s="336">
        <v>6070</v>
      </c>
      <c r="AW546" s="334">
        <v>756.75099999999998</v>
      </c>
      <c r="AX546" s="336">
        <v>6060</v>
      </c>
      <c r="AY546" s="334">
        <v>680.63599999999997</v>
      </c>
      <c r="AZ546" s="336">
        <v>6070</v>
      </c>
      <c r="BA546" s="337">
        <v>682.13499999999999</v>
      </c>
      <c r="BB546" s="336">
        <v>6050</v>
      </c>
      <c r="BC546" s="334">
        <v>179.72399999999999</v>
      </c>
      <c r="BD546" s="336">
        <v>6050</v>
      </c>
      <c r="BE546" s="334">
        <v>188.66200000000001</v>
      </c>
    </row>
    <row r="547" spans="22:57">
      <c r="V547" s="346">
        <v>6080</v>
      </c>
      <c r="W547" s="333">
        <v>386.75200000000001</v>
      </c>
      <c r="X547" s="346">
        <v>6090</v>
      </c>
      <c r="Y547" s="334">
        <v>383.88400000000001</v>
      </c>
      <c r="Z547" s="335">
        <v>6080</v>
      </c>
      <c r="AA547" s="334">
        <v>863.26900000000001</v>
      </c>
      <c r="AB547" s="336">
        <v>6080</v>
      </c>
      <c r="AC547" s="334">
        <v>863.06899999999996</v>
      </c>
      <c r="AD547" s="336">
        <v>6080</v>
      </c>
      <c r="AE547" s="334">
        <v>757.04</v>
      </c>
      <c r="AF547" s="336">
        <v>6080</v>
      </c>
      <c r="AG547" s="334">
        <v>756.625</v>
      </c>
      <c r="AH547" s="336">
        <v>6080</v>
      </c>
      <c r="AI547" s="334">
        <v>756.875</v>
      </c>
      <c r="AJ547" s="336">
        <v>6060</v>
      </c>
      <c r="AK547" s="334">
        <v>758.00300000000004</v>
      </c>
      <c r="AL547" s="336">
        <v>6080</v>
      </c>
      <c r="AM547" s="334">
        <v>757.61</v>
      </c>
      <c r="AN547" s="336">
        <v>6080</v>
      </c>
      <c r="AO547" s="334">
        <v>758.24599999999998</v>
      </c>
      <c r="AP547" s="336">
        <v>6070</v>
      </c>
      <c r="AQ547" s="333">
        <v>757.43799999999999</v>
      </c>
      <c r="AR547" s="336">
        <v>6080</v>
      </c>
      <c r="AS547" s="334">
        <v>757.05</v>
      </c>
      <c r="AT547" s="336">
        <v>6080</v>
      </c>
      <c r="AU547" s="334">
        <v>755.47</v>
      </c>
      <c r="AV547" s="336">
        <v>6080</v>
      </c>
      <c r="AW547" s="334">
        <v>755.54100000000005</v>
      </c>
      <c r="AX547" s="336">
        <v>6070</v>
      </c>
      <c r="AY547" s="334">
        <v>679.42499999999995</v>
      </c>
      <c r="AZ547" s="336">
        <v>6080</v>
      </c>
      <c r="BA547" s="337">
        <v>680.92499999999995</v>
      </c>
      <c r="BB547" s="336">
        <v>6060</v>
      </c>
      <c r="BC547" s="334">
        <v>179.33600000000001</v>
      </c>
      <c r="BD547" s="336">
        <v>6060</v>
      </c>
      <c r="BE547" s="334">
        <v>188.26</v>
      </c>
    </row>
    <row r="548" spans="22:57">
      <c r="V548" s="346">
        <v>6090</v>
      </c>
      <c r="W548" s="333">
        <v>385.98599999999999</v>
      </c>
      <c r="X548" s="346">
        <v>6100</v>
      </c>
      <c r="Y548" s="334">
        <v>383.12299999999999</v>
      </c>
      <c r="Z548" s="335">
        <v>6090</v>
      </c>
      <c r="AA548" s="334">
        <v>861.78499999999997</v>
      </c>
      <c r="AB548" s="336">
        <v>6090</v>
      </c>
      <c r="AC548" s="334">
        <v>861.58799999999997</v>
      </c>
      <c r="AD548" s="336">
        <v>6090</v>
      </c>
      <c r="AE548" s="334">
        <v>755.827</v>
      </c>
      <c r="AF548" s="336">
        <v>6090</v>
      </c>
      <c r="AG548" s="334">
        <v>755.41099999999994</v>
      </c>
      <c r="AH548" s="336">
        <v>6090</v>
      </c>
      <c r="AI548" s="334">
        <v>755.66200000000003</v>
      </c>
      <c r="AJ548" s="336">
        <v>6070</v>
      </c>
      <c r="AK548" s="334">
        <v>756.79</v>
      </c>
      <c r="AL548" s="336">
        <v>6090</v>
      </c>
      <c r="AM548" s="334">
        <v>756.39700000000005</v>
      </c>
      <c r="AN548" s="336">
        <v>6090</v>
      </c>
      <c r="AO548" s="334">
        <v>757.03399999999999</v>
      </c>
      <c r="AP548" s="336">
        <v>6080</v>
      </c>
      <c r="AQ548" s="333">
        <v>756.22799999999995</v>
      </c>
      <c r="AR548" s="336">
        <v>6090</v>
      </c>
      <c r="AS548" s="334">
        <v>755.83900000000006</v>
      </c>
      <c r="AT548" s="336">
        <v>6090</v>
      </c>
      <c r="AU548" s="334">
        <v>754.25800000000004</v>
      </c>
      <c r="AV548" s="336">
        <v>6090</v>
      </c>
      <c r="AW548" s="334">
        <v>754.33100000000002</v>
      </c>
      <c r="AX548" s="336">
        <v>6080</v>
      </c>
      <c r="AY548" s="334">
        <v>678.21400000000006</v>
      </c>
      <c r="AZ548" s="336">
        <v>6090</v>
      </c>
      <c r="BA548" s="337">
        <v>679.71600000000001</v>
      </c>
      <c r="BB548" s="336">
        <v>6070</v>
      </c>
      <c r="BC548" s="334">
        <v>178.94800000000001</v>
      </c>
      <c r="BD548" s="336">
        <v>6070</v>
      </c>
      <c r="BE548" s="334">
        <v>187.858</v>
      </c>
    </row>
    <row r="549" spans="22:57">
      <c r="V549" s="346">
        <v>6100</v>
      </c>
      <c r="W549" s="333">
        <v>385.21899999999999</v>
      </c>
      <c r="X549" s="346">
        <v>6110</v>
      </c>
      <c r="Y549" s="334">
        <v>382.36200000000002</v>
      </c>
      <c r="Z549" s="335">
        <v>6100</v>
      </c>
      <c r="AA549" s="334">
        <v>860.30100000000004</v>
      </c>
      <c r="AB549" s="336">
        <v>6100</v>
      </c>
      <c r="AC549" s="334">
        <v>860.10699999999997</v>
      </c>
      <c r="AD549" s="336">
        <v>6100</v>
      </c>
      <c r="AE549" s="334">
        <v>754.61400000000003</v>
      </c>
      <c r="AF549" s="336">
        <v>6100</v>
      </c>
      <c r="AG549" s="334">
        <v>754.19799999999998</v>
      </c>
      <c r="AH549" s="336">
        <v>6100</v>
      </c>
      <c r="AI549" s="334">
        <v>754.45</v>
      </c>
      <c r="AJ549" s="336">
        <v>6080</v>
      </c>
      <c r="AK549" s="334">
        <v>755.577</v>
      </c>
      <c r="AL549" s="336">
        <v>6100</v>
      </c>
      <c r="AM549" s="334">
        <v>755.18499999999995</v>
      </c>
      <c r="AN549" s="336">
        <v>6100</v>
      </c>
      <c r="AO549" s="334">
        <v>755.82100000000003</v>
      </c>
      <c r="AP549" s="336">
        <v>6090</v>
      </c>
      <c r="AQ549" s="333">
        <v>755.01800000000003</v>
      </c>
      <c r="AR549" s="336">
        <v>6100</v>
      </c>
      <c r="AS549" s="334">
        <v>754.62800000000004</v>
      </c>
      <c r="AT549" s="336">
        <v>6100</v>
      </c>
      <c r="AU549" s="334">
        <v>753.04700000000003</v>
      </c>
      <c r="AV549" s="336">
        <v>6100</v>
      </c>
      <c r="AW549" s="334">
        <v>753.12099999999998</v>
      </c>
      <c r="AX549" s="336">
        <v>6090</v>
      </c>
      <c r="AY549" s="334">
        <v>677.00400000000002</v>
      </c>
      <c r="AZ549" s="336">
        <v>6100</v>
      </c>
      <c r="BA549" s="337">
        <v>678.50599999999997</v>
      </c>
      <c r="BB549" s="336">
        <v>6080</v>
      </c>
      <c r="BC549" s="334">
        <v>178.56</v>
      </c>
      <c r="BD549" s="336">
        <v>6080</v>
      </c>
      <c r="BE549" s="334">
        <v>187.45599999999999</v>
      </c>
    </row>
    <row r="550" spans="22:57">
      <c r="V550" s="346">
        <v>6110</v>
      </c>
      <c r="W550" s="333">
        <v>384.45299999999997</v>
      </c>
      <c r="X550" s="346">
        <v>6120</v>
      </c>
      <c r="Y550" s="334">
        <v>381.601</v>
      </c>
      <c r="Z550" s="335">
        <v>6110</v>
      </c>
      <c r="AA550" s="334">
        <v>858.81799999999998</v>
      </c>
      <c r="AB550" s="336">
        <v>6110</v>
      </c>
      <c r="AC550" s="334">
        <v>858.62599999999998</v>
      </c>
      <c r="AD550" s="336">
        <v>6110</v>
      </c>
      <c r="AE550" s="334">
        <v>753.40200000000004</v>
      </c>
      <c r="AF550" s="336">
        <v>6110</v>
      </c>
      <c r="AG550" s="334">
        <v>752.98400000000004</v>
      </c>
      <c r="AH550" s="336">
        <v>6110</v>
      </c>
      <c r="AI550" s="334">
        <v>753.23699999999997</v>
      </c>
      <c r="AJ550" s="336">
        <v>6090</v>
      </c>
      <c r="AK550" s="334">
        <v>754.36500000000001</v>
      </c>
      <c r="AL550" s="336">
        <v>6110</v>
      </c>
      <c r="AM550" s="334">
        <v>753.97199999999998</v>
      </c>
      <c r="AN550" s="336">
        <v>6110</v>
      </c>
      <c r="AO550" s="334">
        <v>754.60900000000004</v>
      </c>
      <c r="AP550" s="336">
        <v>6100</v>
      </c>
      <c r="AQ550" s="333">
        <v>753.80799999999999</v>
      </c>
      <c r="AR550" s="336">
        <v>6110</v>
      </c>
      <c r="AS550" s="334">
        <v>753.41700000000003</v>
      </c>
      <c r="AT550" s="336">
        <v>6110</v>
      </c>
      <c r="AU550" s="334">
        <v>751.83600000000001</v>
      </c>
      <c r="AV550" s="336">
        <v>6110</v>
      </c>
      <c r="AW550" s="334">
        <v>751.91099999999994</v>
      </c>
      <c r="AX550" s="336">
        <v>6100</v>
      </c>
      <c r="AY550" s="334">
        <v>675.79300000000001</v>
      </c>
      <c r="AZ550" s="336">
        <v>6110</v>
      </c>
      <c r="BA550" s="337">
        <v>677.29600000000005</v>
      </c>
      <c r="BB550" s="336">
        <v>6090</v>
      </c>
      <c r="BC550" s="334">
        <v>178.172</v>
      </c>
      <c r="BD550" s="336">
        <v>6090</v>
      </c>
      <c r="BE550" s="334">
        <v>187.054</v>
      </c>
    </row>
    <row r="551" spans="22:57">
      <c r="V551" s="346">
        <v>6120</v>
      </c>
      <c r="W551" s="333">
        <v>383.68700000000001</v>
      </c>
      <c r="X551" s="346">
        <v>6130</v>
      </c>
      <c r="Y551" s="334">
        <v>380.84</v>
      </c>
      <c r="Z551" s="335">
        <v>6120</v>
      </c>
      <c r="AA551" s="334">
        <v>857.33500000000004</v>
      </c>
      <c r="AB551" s="336">
        <v>6120</v>
      </c>
      <c r="AC551" s="334">
        <v>857.14499999999998</v>
      </c>
      <c r="AD551" s="336">
        <v>6120</v>
      </c>
      <c r="AE551" s="334">
        <v>752.18899999999996</v>
      </c>
      <c r="AF551" s="336">
        <v>6120</v>
      </c>
      <c r="AG551" s="334">
        <v>751.77</v>
      </c>
      <c r="AH551" s="336">
        <v>6120</v>
      </c>
      <c r="AI551" s="334">
        <v>752.02499999999998</v>
      </c>
      <c r="AJ551" s="336">
        <v>6100</v>
      </c>
      <c r="AK551" s="334">
        <v>753.15200000000004</v>
      </c>
      <c r="AL551" s="336">
        <v>6120</v>
      </c>
      <c r="AM551" s="334">
        <v>752.75900000000001</v>
      </c>
      <c r="AN551" s="336">
        <v>6120</v>
      </c>
      <c r="AO551" s="334">
        <v>753.39700000000005</v>
      </c>
      <c r="AP551" s="336">
        <v>6110</v>
      </c>
      <c r="AQ551" s="333">
        <v>752.59799999999996</v>
      </c>
      <c r="AR551" s="336">
        <v>6120</v>
      </c>
      <c r="AS551" s="334">
        <v>752.20600000000002</v>
      </c>
      <c r="AT551" s="336">
        <v>6120</v>
      </c>
      <c r="AU551" s="334">
        <v>750.625</v>
      </c>
      <c r="AV551" s="336">
        <v>6120</v>
      </c>
      <c r="AW551" s="334">
        <v>750.70100000000002</v>
      </c>
      <c r="AX551" s="336">
        <v>6110</v>
      </c>
      <c r="AY551" s="334">
        <v>674.58199999999999</v>
      </c>
      <c r="AZ551" s="336">
        <v>6120</v>
      </c>
      <c r="BA551" s="337">
        <v>676.08600000000001</v>
      </c>
      <c r="BB551" s="336">
        <v>6100</v>
      </c>
      <c r="BC551" s="334">
        <v>177.785</v>
      </c>
      <c r="BD551" s="336">
        <v>6100</v>
      </c>
      <c r="BE551" s="334">
        <v>186.65299999999999</v>
      </c>
    </row>
    <row r="552" spans="22:57">
      <c r="V552" s="346">
        <v>6130</v>
      </c>
      <c r="W552" s="333">
        <v>382.92200000000003</v>
      </c>
      <c r="X552" s="346">
        <v>6140</v>
      </c>
      <c r="Y552" s="334">
        <v>380.08</v>
      </c>
      <c r="Z552" s="335">
        <v>6130</v>
      </c>
      <c r="AA552" s="334">
        <v>855.85199999999998</v>
      </c>
      <c r="AB552" s="336">
        <v>6130</v>
      </c>
      <c r="AC552" s="334">
        <v>855.66499999999996</v>
      </c>
      <c r="AD552" s="336">
        <v>6130</v>
      </c>
      <c r="AE552" s="334">
        <v>750.976</v>
      </c>
      <c r="AF552" s="336">
        <v>6130</v>
      </c>
      <c r="AG552" s="334">
        <v>750.55700000000002</v>
      </c>
      <c r="AH552" s="336">
        <v>6130</v>
      </c>
      <c r="AI552" s="334">
        <v>750.81200000000001</v>
      </c>
      <c r="AJ552" s="336">
        <v>6110</v>
      </c>
      <c r="AK552" s="334">
        <v>751.93899999999996</v>
      </c>
      <c r="AL552" s="336">
        <v>6130</v>
      </c>
      <c r="AM552" s="334">
        <v>751.54700000000003</v>
      </c>
      <c r="AN552" s="336">
        <v>6130</v>
      </c>
      <c r="AO552" s="334">
        <v>752.18499999999995</v>
      </c>
      <c r="AP552" s="336">
        <v>6120</v>
      </c>
      <c r="AQ552" s="333">
        <v>751.38800000000003</v>
      </c>
      <c r="AR552" s="336">
        <v>6130</v>
      </c>
      <c r="AS552" s="334">
        <v>750.995</v>
      </c>
      <c r="AT552" s="336">
        <v>6130</v>
      </c>
      <c r="AU552" s="334">
        <v>749.41300000000001</v>
      </c>
      <c r="AV552" s="336">
        <v>6130</v>
      </c>
      <c r="AW552" s="334">
        <v>749.49099999999999</v>
      </c>
      <c r="AX552" s="336">
        <v>6120</v>
      </c>
      <c r="AY552" s="334">
        <v>673.37199999999996</v>
      </c>
      <c r="AZ552" s="336">
        <v>6130</v>
      </c>
      <c r="BA552" s="337">
        <v>674.87599999999998</v>
      </c>
      <c r="BB552" s="336">
        <v>6110</v>
      </c>
      <c r="BC552" s="334">
        <v>177.39699999999999</v>
      </c>
      <c r="BD552" s="336">
        <v>6110</v>
      </c>
      <c r="BE552" s="334">
        <v>186.251</v>
      </c>
    </row>
    <row r="553" spans="22:57">
      <c r="V553" s="346">
        <v>6140</v>
      </c>
      <c r="W553" s="333">
        <v>382.15600000000001</v>
      </c>
      <c r="X553" s="346">
        <v>6150</v>
      </c>
      <c r="Y553" s="334">
        <v>379.31900000000002</v>
      </c>
      <c r="Z553" s="335">
        <v>6140</v>
      </c>
      <c r="AA553" s="334">
        <v>854.36900000000003</v>
      </c>
      <c r="AB553" s="336">
        <v>6140</v>
      </c>
      <c r="AC553" s="334">
        <v>854.18399999999997</v>
      </c>
      <c r="AD553" s="336">
        <v>6140</v>
      </c>
      <c r="AE553" s="334">
        <v>749.76400000000001</v>
      </c>
      <c r="AF553" s="336">
        <v>6140</v>
      </c>
      <c r="AG553" s="334">
        <v>749.34299999999996</v>
      </c>
      <c r="AH553" s="336">
        <v>6140</v>
      </c>
      <c r="AI553" s="334">
        <v>749.6</v>
      </c>
      <c r="AJ553" s="336">
        <v>6120</v>
      </c>
      <c r="AK553" s="334">
        <v>750.726</v>
      </c>
      <c r="AL553" s="336">
        <v>6140</v>
      </c>
      <c r="AM553" s="334">
        <v>750.33399999999995</v>
      </c>
      <c r="AN553" s="336">
        <v>6140</v>
      </c>
      <c r="AO553" s="334">
        <v>750.97299999999996</v>
      </c>
      <c r="AP553" s="336">
        <v>6130</v>
      </c>
      <c r="AQ553" s="333">
        <v>750.178</v>
      </c>
      <c r="AR553" s="336">
        <v>6140</v>
      </c>
      <c r="AS553" s="334">
        <v>749.78399999999999</v>
      </c>
      <c r="AT553" s="336">
        <v>6140</v>
      </c>
      <c r="AU553" s="334">
        <v>748.202</v>
      </c>
      <c r="AV553" s="336">
        <v>6140</v>
      </c>
      <c r="AW553" s="334">
        <v>748.28099999999995</v>
      </c>
      <c r="AX553" s="336">
        <v>6130</v>
      </c>
      <c r="AY553" s="334">
        <v>672.16099999999994</v>
      </c>
      <c r="AZ553" s="336">
        <v>6140</v>
      </c>
      <c r="BA553" s="337">
        <v>673.66700000000003</v>
      </c>
      <c r="BB553" s="336">
        <v>6120</v>
      </c>
      <c r="BC553" s="334">
        <v>177.01</v>
      </c>
      <c r="BD553" s="336">
        <v>6120</v>
      </c>
      <c r="BE553" s="334">
        <v>185.84899999999999</v>
      </c>
    </row>
    <row r="554" spans="22:57">
      <c r="V554" s="346">
        <v>6150</v>
      </c>
      <c r="W554" s="333">
        <v>381.39100000000002</v>
      </c>
      <c r="X554" s="346">
        <v>6160</v>
      </c>
      <c r="Y554" s="334">
        <v>378.55900000000003</v>
      </c>
      <c r="Z554" s="335">
        <v>6150</v>
      </c>
      <c r="AA554" s="334">
        <v>852.88599999999997</v>
      </c>
      <c r="AB554" s="336">
        <v>6150</v>
      </c>
      <c r="AC554" s="334">
        <v>852.70399999999995</v>
      </c>
      <c r="AD554" s="336">
        <v>6150</v>
      </c>
      <c r="AE554" s="334">
        <v>748.55100000000004</v>
      </c>
      <c r="AF554" s="336">
        <v>6150</v>
      </c>
      <c r="AG554" s="334">
        <v>748.13</v>
      </c>
      <c r="AH554" s="336">
        <v>6150</v>
      </c>
      <c r="AI554" s="334">
        <v>748.38699999999994</v>
      </c>
      <c r="AJ554" s="336">
        <v>6130</v>
      </c>
      <c r="AK554" s="334">
        <v>749.51300000000003</v>
      </c>
      <c r="AL554" s="336">
        <v>6150</v>
      </c>
      <c r="AM554" s="334">
        <v>749.12099999999998</v>
      </c>
      <c r="AN554" s="336">
        <v>6150</v>
      </c>
      <c r="AO554" s="334">
        <v>749.76</v>
      </c>
      <c r="AP554" s="336">
        <v>6140</v>
      </c>
      <c r="AQ554" s="333">
        <v>748.96799999999996</v>
      </c>
      <c r="AR554" s="336">
        <v>6150</v>
      </c>
      <c r="AS554" s="334">
        <v>748.57299999999998</v>
      </c>
      <c r="AT554" s="336">
        <v>6150</v>
      </c>
      <c r="AU554" s="334">
        <v>746.99099999999999</v>
      </c>
      <c r="AV554" s="336">
        <v>6150</v>
      </c>
      <c r="AW554" s="334">
        <v>747.07100000000003</v>
      </c>
      <c r="AX554" s="336">
        <v>6140</v>
      </c>
      <c r="AY554" s="334">
        <v>670.95</v>
      </c>
      <c r="AZ554" s="336">
        <v>6150</v>
      </c>
      <c r="BA554" s="337">
        <v>672.45699999999999</v>
      </c>
      <c r="BB554" s="336">
        <v>6130</v>
      </c>
      <c r="BC554" s="334">
        <v>176.62200000000001</v>
      </c>
      <c r="BD554" s="336">
        <v>6130</v>
      </c>
      <c r="BE554" s="334">
        <v>185.44800000000001</v>
      </c>
    </row>
    <row r="555" spans="22:57">
      <c r="V555" s="346">
        <v>6160</v>
      </c>
      <c r="W555" s="333">
        <v>380.62599999999998</v>
      </c>
      <c r="X555" s="346">
        <v>6170</v>
      </c>
      <c r="Y555" s="334">
        <v>377.79899999999998</v>
      </c>
      <c r="Z555" s="335">
        <v>6160</v>
      </c>
      <c r="AA555" s="334">
        <v>851.40300000000002</v>
      </c>
      <c r="AB555" s="336">
        <v>6160</v>
      </c>
      <c r="AC555" s="334">
        <v>851.22299999999996</v>
      </c>
      <c r="AD555" s="336">
        <v>6160</v>
      </c>
      <c r="AE555" s="334">
        <v>747.33799999999997</v>
      </c>
      <c r="AF555" s="336">
        <v>6160</v>
      </c>
      <c r="AG555" s="334">
        <v>746.91600000000005</v>
      </c>
      <c r="AH555" s="336">
        <v>6160</v>
      </c>
      <c r="AI555" s="334">
        <v>747.17499999999995</v>
      </c>
      <c r="AJ555" s="336">
        <v>6140</v>
      </c>
      <c r="AK555" s="334">
        <v>748.30100000000004</v>
      </c>
      <c r="AL555" s="336">
        <v>6160</v>
      </c>
      <c r="AM555" s="334">
        <v>747.90899999999999</v>
      </c>
      <c r="AN555" s="336">
        <v>6160</v>
      </c>
      <c r="AO555" s="334">
        <v>748.548</v>
      </c>
      <c r="AP555" s="336">
        <v>6150</v>
      </c>
      <c r="AQ555" s="333">
        <v>747.75800000000004</v>
      </c>
      <c r="AR555" s="336">
        <v>6160</v>
      </c>
      <c r="AS555" s="334">
        <v>747.36300000000006</v>
      </c>
      <c r="AT555" s="336">
        <v>6160</v>
      </c>
      <c r="AU555" s="334">
        <v>745.78</v>
      </c>
      <c r="AV555" s="336">
        <v>6160</v>
      </c>
      <c r="AW555" s="334">
        <v>745.86099999999999</v>
      </c>
      <c r="AX555" s="336">
        <v>6150</v>
      </c>
      <c r="AY555" s="334">
        <v>669.74</v>
      </c>
      <c r="AZ555" s="336">
        <v>6160</v>
      </c>
      <c r="BA555" s="337">
        <v>671.24699999999996</v>
      </c>
      <c r="BB555" s="336">
        <v>6140</v>
      </c>
      <c r="BC555" s="334">
        <v>176.23500000000001</v>
      </c>
      <c r="BD555" s="336">
        <v>6140</v>
      </c>
      <c r="BE555" s="334">
        <v>185.04599999999999</v>
      </c>
    </row>
    <row r="556" spans="22:57">
      <c r="V556" s="346">
        <v>6170</v>
      </c>
      <c r="W556" s="333">
        <v>379.86099999999999</v>
      </c>
      <c r="X556" s="346">
        <v>6180</v>
      </c>
      <c r="Y556" s="334">
        <v>377.03899999999999</v>
      </c>
      <c r="Z556" s="335">
        <v>6170</v>
      </c>
      <c r="AA556" s="334">
        <v>849.92100000000005</v>
      </c>
      <c r="AB556" s="336">
        <v>6170</v>
      </c>
      <c r="AC556" s="334">
        <v>849.74300000000005</v>
      </c>
      <c r="AD556" s="336">
        <v>6170</v>
      </c>
      <c r="AE556" s="334">
        <v>746.12599999999998</v>
      </c>
      <c r="AF556" s="336">
        <v>6170</v>
      </c>
      <c r="AG556" s="334">
        <v>745.702</v>
      </c>
      <c r="AH556" s="336">
        <v>6170</v>
      </c>
      <c r="AI556" s="334">
        <v>745.96199999999999</v>
      </c>
      <c r="AJ556" s="336">
        <v>6150</v>
      </c>
      <c r="AK556" s="334">
        <v>747.08799999999997</v>
      </c>
      <c r="AL556" s="336">
        <v>6170</v>
      </c>
      <c r="AM556" s="334">
        <v>746.69600000000003</v>
      </c>
      <c r="AN556" s="336">
        <v>6170</v>
      </c>
      <c r="AO556" s="334">
        <v>747.33600000000001</v>
      </c>
      <c r="AP556" s="336">
        <v>6160</v>
      </c>
      <c r="AQ556" s="333">
        <v>746.548</v>
      </c>
      <c r="AR556" s="336">
        <v>6170</v>
      </c>
      <c r="AS556" s="334">
        <v>746.15200000000004</v>
      </c>
      <c r="AT556" s="336">
        <v>6170</v>
      </c>
      <c r="AU556" s="334">
        <v>744.56799999999998</v>
      </c>
      <c r="AV556" s="336">
        <v>6170</v>
      </c>
      <c r="AW556" s="334">
        <v>744.65099999999995</v>
      </c>
      <c r="AX556" s="336">
        <v>6160</v>
      </c>
      <c r="AY556" s="334">
        <v>668.529</v>
      </c>
      <c r="AZ556" s="336">
        <v>6170</v>
      </c>
      <c r="BA556" s="337">
        <v>670.03700000000003</v>
      </c>
      <c r="BB556" s="336">
        <v>6150</v>
      </c>
      <c r="BC556" s="334">
        <v>175.84800000000001</v>
      </c>
      <c r="BD556" s="336">
        <v>6150</v>
      </c>
      <c r="BE556" s="334">
        <v>184.64500000000001</v>
      </c>
    </row>
    <row r="557" spans="22:57">
      <c r="V557" s="346">
        <v>6180</v>
      </c>
      <c r="W557" s="333">
        <v>379.096</v>
      </c>
      <c r="X557" s="346">
        <v>6190</v>
      </c>
      <c r="Y557" s="334">
        <v>376.279</v>
      </c>
      <c r="Z557" s="335">
        <v>6180</v>
      </c>
      <c r="AA557" s="334">
        <v>848.43799999999999</v>
      </c>
      <c r="AB557" s="336">
        <v>6180</v>
      </c>
      <c r="AC557" s="334">
        <v>848.26300000000003</v>
      </c>
      <c r="AD557" s="336">
        <v>6180</v>
      </c>
      <c r="AE557" s="334">
        <v>744.91300000000001</v>
      </c>
      <c r="AF557" s="336">
        <v>6180</v>
      </c>
      <c r="AG557" s="334">
        <v>744.48900000000003</v>
      </c>
      <c r="AH557" s="336">
        <v>6180</v>
      </c>
      <c r="AI557" s="334">
        <v>744.75</v>
      </c>
      <c r="AJ557" s="336">
        <v>6160</v>
      </c>
      <c r="AK557" s="334">
        <v>745.875</v>
      </c>
      <c r="AL557" s="336">
        <v>6180</v>
      </c>
      <c r="AM557" s="334">
        <v>745.48400000000004</v>
      </c>
      <c r="AN557" s="336">
        <v>6180</v>
      </c>
      <c r="AO557" s="334">
        <v>746.12400000000002</v>
      </c>
      <c r="AP557" s="336">
        <v>6170</v>
      </c>
      <c r="AQ557" s="333">
        <v>745.33799999999997</v>
      </c>
      <c r="AR557" s="336">
        <v>6180</v>
      </c>
      <c r="AS557" s="334">
        <v>744.94100000000003</v>
      </c>
      <c r="AT557" s="336">
        <v>6180</v>
      </c>
      <c r="AU557" s="334">
        <v>743.35699999999997</v>
      </c>
      <c r="AV557" s="336">
        <v>6180</v>
      </c>
      <c r="AW557" s="334">
        <v>743.44100000000003</v>
      </c>
      <c r="AX557" s="336">
        <v>6170</v>
      </c>
      <c r="AY557" s="334">
        <v>667.31799999999998</v>
      </c>
      <c r="AZ557" s="336">
        <v>6180</v>
      </c>
      <c r="BA557" s="337">
        <v>668.827</v>
      </c>
      <c r="BB557" s="336">
        <v>6160</v>
      </c>
      <c r="BC557" s="334">
        <v>175.46100000000001</v>
      </c>
      <c r="BD557" s="336">
        <v>6160</v>
      </c>
      <c r="BE557" s="334">
        <v>184.244</v>
      </c>
    </row>
    <row r="558" spans="22:57">
      <c r="V558" s="346">
        <v>6190</v>
      </c>
      <c r="W558" s="333">
        <v>378.33100000000002</v>
      </c>
      <c r="X558" s="346">
        <v>6200</v>
      </c>
      <c r="Y558" s="334">
        <v>375.52</v>
      </c>
      <c r="Z558" s="335">
        <v>6190</v>
      </c>
      <c r="AA558" s="334">
        <v>846.95600000000002</v>
      </c>
      <c r="AB558" s="336">
        <v>6190</v>
      </c>
      <c r="AC558" s="334">
        <v>846.78300000000002</v>
      </c>
      <c r="AD558" s="336">
        <v>6190</v>
      </c>
      <c r="AE558" s="334">
        <v>743.70100000000002</v>
      </c>
      <c r="AF558" s="336">
        <v>6190</v>
      </c>
      <c r="AG558" s="334">
        <v>743.27499999999998</v>
      </c>
      <c r="AH558" s="336">
        <v>6190</v>
      </c>
      <c r="AI558" s="334">
        <v>743.53700000000003</v>
      </c>
      <c r="AJ558" s="336">
        <v>6170</v>
      </c>
      <c r="AK558" s="334">
        <v>744.66200000000003</v>
      </c>
      <c r="AL558" s="336">
        <v>6190</v>
      </c>
      <c r="AM558" s="334">
        <v>744.27099999999996</v>
      </c>
      <c r="AN558" s="336">
        <v>6190</v>
      </c>
      <c r="AO558" s="334">
        <v>744.91099999999994</v>
      </c>
      <c r="AP558" s="336">
        <v>6180</v>
      </c>
      <c r="AQ558" s="333">
        <v>744.12800000000004</v>
      </c>
      <c r="AR558" s="336">
        <v>6190</v>
      </c>
      <c r="AS558" s="334">
        <v>743.73</v>
      </c>
      <c r="AT558" s="336">
        <v>6190</v>
      </c>
      <c r="AU558" s="334">
        <v>742.14599999999996</v>
      </c>
      <c r="AV558" s="336">
        <v>6190</v>
      </c>
      <c r="AW558" s="334">
        <v>742.23099999999999</v>
      </c>
      <c r="AX558" s="336">
        <v>6180</v>
      </c>
      <c r="AY558" s="334">
        <v>666.10799999999995</v>
      </c>
      <c r="AZ558" s="336">
        <v>6190</v>
      </c>
      <c r="BA558" s="337">
        <v>667.61800000000005</v>
      </c>
      <c r="BB558" s="336">
        <v>6170</v>
      </c>
      <c r="BC558" s="334">
        <v>175.07400000000001</v>
      </c>
      <c r="BD558" s="336">
        <v>6170</v>
      </c>
      <c r="BE558" s="334">
        <v>183.84200000000001</v>
      </c>
    </row>
    <row r="559" spans="22:57">
      <c r="V559" s="346">
        <v>6200</v>
      </c>
      <c r="W559" s="333">
        <v>377.56700000000001</v>
      </c>
      <c r="X559" s="346">
        <v>6210</v>
      </c>
      <c r="Y559" s="334">
        <v>374.76100000000002</v>
      </c>
      <c r="Z559" s="335">
        <v>6200</v>
      </c>
      <c r="AA559" s="334">
        <v>845.47400000000005</v>
      </c>
      <c r="AB559" s="336">
        <v>6200</v>
      </c>
      <c r="AC559" s="334">
        <v>845.303</v>
      </c>
      <c r="AD559" s="336">
        <v>6200</v>
      </c>
      <c r="AE559" s="334">
        <v>742.48800000000006</v>
      </c>
      <c r="AF559" s="336">
        <v>6200</v>
      </c>
      <c r="AG559" s="334">
        <v>742.06200000000001</v>
      </c>
      <c r="AH559" s="336">
        <v>6200</v>
      </c>
      <c r="AI559" s="334">
        <v>742.32399999999996</v>
      </c>
      <c r="AJ559" s="336">
        <v>6180</v>
      </c>
      <c r="AK559" s="334">
        <v>743.44899999999996</v>
      </c>
      <c r="AL559" s="336">
        <v>6200</v>
      </c>
      <c r="AM559" s="334">
        <v>743.05799999999999</v>
      </c>
      <c r="AN559" s="336">
        <v>6200</v>
      </c>
      <c r="AO559" s="334">
        <v>743.69899999999996</v>
      </c>
      <c r="AP559" s="336">
        <v>6190</v>
      </c>
      <c r="AQ559" s="333">
        <v>742.91800000000001</v>
      </c>
      <c r="AR559" s="336">
        <v>6200</v>
      </c>
      <c r="AS559" s="334">
        <v>742.51900000000001</v>
      </c>
      <c r="AT559" s="336">
        <v>6200</v>
      </c>
      <c r="AU559" s="334">
        <v>740.93399999999997</v>
      </c>
      <c r="AV559" s="336">
        <v>6200</v>
      </c>
      <c r="AW559" s="334">
        <v>741.02099999999996</v>
      </c>
      <c r="AX559" s="336">
        <v>6190</v>
      </c>
      <c r="AY559" s="334">
        <v>664.89700000000005</v>
      </c>
      <c r="AZ559" s="336">
        <v>6200</v>
      </c>
      <c r="BA559" s="337">
        <v>666.40800000000002</v>
      </c>
      <c r="BB559" s="336">
        <v>6180</v>
      </c>
      <c r="BC559" s="334">
        <v>174.68700000000001</v>
      </c>
      <c r="BD559" s="336">
        <v>6180</v>
      </c>
      <c r="BE559" s="334">
        <v>183.441</v>
      </c>
    </row>
    <row r="560" spans="22:57">
      <c r="V560" s="346">
        <v>6210</v>
      </c>
      <c r="W560" s="333">
        <v>376.803</v>
      </c>
      <c r="X560" s="346">
        <v>6220</v>
      </c>
      <c r="Y560" s="334">
        <v>374.00200000000001</v>
      </c>
      <c r="Z560" s="335">
        <v>6210</v>
      </c>
      <c r="AA560" s="334">
        <v>843.99099999999999</v>
      </c>
      <c r="AB560" s="336">
        <v>6210</v>
      </c>
      <c r="AC560" s="334">
        <v>843.82399999999996</v>
      </c>
      <c r="AD560" s="336">
        <v>6210</v>
      </c>
      <c r="AE560" s="334">
        <v>741.27499999999998</v>
      </c>
      <c r="AF560" s="336">
        <v>6210</v>
      </c>
      <c r="AG560" s="334">
        <v>740.84799999999996</v>
      </c>
      <c r="AH560" s="336">
        <v>6210</v>
      </c>
      <c r="AI560" s="334">
        <v>741.11199999999997</v>
      </c>
      <c r="AJ560" s="336">
        <v>6190</v>
      </c>
      <c r="AK560" s="334">
        <v>742.23699999999997</v>
      </c>
      <c r="AL560" s="336">
        <v>6210</v>
      </c>
      <c r="AM560" s="334">
        <v>741.846</v>
      </c>
      <c r="AN560" s="336">
        <v>6210</v>
      </c>
      <c r="AO560" s="334">
        <v>742.48699999999997</v>
      </c>
      <c r="AP560" s="336">
        <v>6200</v>
      </c>
      <c r="AQ560" s="333">
        <v>741.70799999999997</v>
      </c>
      <c r="AR560" s="336">
        <v>6210</v>
      </c>
      <c r="AS560" s="334">
        <v>741.30799999999999</v>
      </c>
      <c r="AT560" s="336">
        <v>6210</v>
      </c>
      <c r="AU560" s="334">
        <v>739.72299999999996</v>
      </c>
      <c r="AV560" s="336">
        <v>6210</v>
      </c>
      <c r="AW560" s="334">
        <v>739.81100000000004</v>
      </c>
      <c r="AX560" s="336">
        <v>6200</v>
      </c>
      <c r="AY560" s="334">
        <v>663.68600000000004</v>
      </c>
      <c r="AZ560" s="336">
        <v>6210</v>
      </c>
      <c r="BA560" s="337">
        <v>665.19799999999998</v>
      </c>
      <c r="BB560" s="336">
        <v>6190</v>
      </c>
      <c r="BC560" s="334">
        <v>174.3</v>
      </c>
      <c r="BD560" s="336">
        <v>6190</v>
      </c>
      <c r="BE560" s="334">
        <v>183.04</v>
      </c>
    </row>
    <row r="561" spans="22:57">
      <c r="V561" s="346">
        <v>6220</v>
      </c>
      <c r="W561" s="333">
        <v>376.03899999999999</v>
      </c>
      <c r="X561" s="346">
        <v>6230</v>
      </c>
      <c r="Y561" s="334">
        <v>373.24299999999999</v>
      </c>
      <c r="Z561" s="335">
        <v>6220</v>
      </c>
      <c r="AA561" s="334">
        <v>842.50900000000001</v>
      </c>
      <c r="AB561" s="336">
        <v>6220</v>
      </c>
      <c r="AC561" s="334">
        <v>842.34400000000005</v>
      </c>
      <c r="AD561" s="336">
        <v>6220</v>
      </c>
      <c r="AE561" s="334">
        <v>740.06299999999999</v>
      </c>
      <c r="AF561" s="336">
        <v>6220</v>
      </c>
      <c r="AG561" s="334">
        <v>739.63400000000001</v>
      </c>
      <c r="AH561" s="336">
        <v>6220</v>
      </c>
      <c r="AI561" s="334">
        <v>739.899</v>
      </c>
      <c r="AJ561" s="336">
        <v>6200</v>
      </c>
      <c r="AK561" s="334">
        <v>741.024</v>
      </c>
      <c r="AL561" s="336">
        <v>6220</v>
      </c>
      <c r="AM561" s="334">
        <v>740.63300000000004</v>
      </c>
      <c r="AN561" s="336">
        <v>6220</v>
      </c>
      <c r="AO561" s="334">
        <v>741.27499999999998</v>
      </c>
      <c r="AP561" s="336">
        <v>6210</v>
      </c>
      <c r="AQ561" s="333">
        <v>740.49800000000005</v>
      </c>
      <c r="AR561" s="336">
        <v>6220</v>
      </c>
      <c r="AS561" s="334">
        <v>740.09699999999998</v>
      </c>
      <c r="AT561" s="336">
        <v>6220</v>
      </c>
      <c r="AU561" s="334">
        <v>738.51199999999994</v>
      </c>
      <c r="AV561" s="336">
        <v>6220</v>
      </c>
      <c r="AW561" s="334">
        <v>738.601</v>
      </c>
      <c r="AX561" s="336">
        <v>6210</v>
      </c>
      <c r="AY561" s="334">
        <v>662.476</v>
      </c>
      <c r="AZ561" s="336">
        <v>6220</v>
      </c>
      <c r="BA561" s="337">
        <v>663.98800000000006</v>
      </c>
      <c r="BB561" s="336">
        <v>6200</v>
      </c>
      <c r="BC561" s="334">
        <v>173.91300000000001</v>
      </c>
      <c r="BD561" s="336">
        <v>6200</v>
      </c>
      <c r="BE561" s="334">
        <v>182.63900000000001</v>
      </c>
    </row>
    <row r="562" spans="22:57">
      <c r="V562" s="346">
        <v>6230</v>
      </c>
      <c r="W562" s="333">
        <v>375.27499999999998</v>
      </c>
      <c r="X562" s="346">
        <v>6240</v>
      </c>
      <c r="Y562" s="334">
        <v>372.48399999999998</v>
      </c>
      <c r="Z562" s="335">
        <v>6230</v>
      </c>
      <c r="AA562" s="334">
        <v>841.02800000000002</v>
      </c>
      <c r="AB562" s="336">
        <v>6230</v>
      </c>
      <c r="AC562" s="334">
        <v>840.86500000000001</v>
      </c>
      <c r="AD562" s="336">
        <v>6230</v>
      </c>
      <c r="AE562" s="334">
        <v>738.85</v>
      </c>
      <c r="AF562" s="336">
        <v>6230</v>
      </c>
      <c r="AG562" s="334">
        <v>738.42100000000005</v>
      </c>
      <c r="AH562" s="336">
        <v>6230</v>
      </c>
      <c r="AI562" s="334">
        <v>738.68700000000001</v>
      </c>
      <c r="AJ562" s="336">
        <v>6210</v>
      </c>
      <c r="AK562" s="334">
        <v>739.81100000000004</v>
      </c>
      <c r="AL562" s="336">
        <v>6230</v>
      </c>
      <c r="AM562" s="334">
        <v>739.42100000000005</v>
      </c>
      <c r="AN562" s="336">
        <v>6230</v>
      </c>
      <c r="AO562" s="334">
        <v>740.06299999999999</v>
      </c>
      <c r="AP562" s="336">
        <v>6220</v>
      </c>
      <c r="AQ562" s="333">
        <v>739.28800000000001</v>
      </c>
      <c r="AR562" s="336">
        <v>6230</v>
      </c>
      <c r="AS562" s="334">
        <v>738.88599999999997</v>
      </c>
      <c r="AT562" s="336">
        <v>6230</v>
      </c>
      <c r="AU562" s="334">
        <v>737.30100000000004</v>
      </c>
      <c r="AV562" s="336">
        <v>6230</v>
      </c>
      <c r="AW562" s="334">
        <v>737.39099999999996</v>
      </c>
      <c r="AX562" s="336">
        <v>6220</v>
      </c>
      <c r="AY562" s="334">
        <v>661.26499999999999</v>
      </c>
      <c r="AZ562" s="336">
        <v>6230</v>
      </c>
      <c r="BA562" s="337">
        <v>662.77800000000002</v>
      </c>
      <c r="BB562" s="336">
        <v>6210</v>
      </c>
      <c r="BC562" s="334">
        <v>173.52699999999999</v>
      </c>
      <c r="BD562" s="336">
        <v>6210</v>
      </c>
      <c r="BE562" s="334">
        <v>182.238</v>
      </c>
    </row>
    <row r="563" spans="22:57">
      <c r="V563" s="346">
        <v>6240</v>
      </c>
      <c r="W563" s="333">
        <v>374.512</v>
      </c>
      <c r="X563" s="346">
        <v>6250</v>
      </c>
      <c r="Y563" s="334">
        <v>371.726</v>
      </c>
      <c r="Z563" s="335">
        <v>6240</v>
      </c>
      <c r="AA563" s="334">
        <v>839.54600000000005</v>
      </c>
      <c r="AB563" s="336">
        <v>6240</v>
      </c>
      <c r="AC563" s="334">
        <v>839.38499999999999</v>
      </c>
      <c r="AD563" s="336">
        <v>6240</v>
      </c>
      <c r="AE563" s="334">
        <v>737.63699999999994</v>
      </c>
      <c r="AF563" s="336">
        <v>6240</v>
      </c>
      <c r="AG563" s="334">
        <v>737.20699999999999</v>
      </c>
      <c r="AH563" s="336">
        <v>6240</v>
      </c>
      <c r="AI563" s="334">
        <v>737.47400000000005</v>
      </c>
      <c r="AJ563" s="336">
        <v>6220</v>
      </c>
      <c r="AK563" s="334">
        <v>738.59799999999996</v>
      </c>
      <c r="AL563" s="336">
        <v>6240</v>
      </c>
      <c r="AM563" s="334">
        <v>738.20799999999997</v>
      </c>
      <c r="AN563" s="336">
        <v>6240</v>
      </c>
      <c r="AO563" s="334">
        <v>738.85</v>
      </c>
      <c r="AP563" s="336">
        <v>6230</v>
      </c>
      <c r="AQ563" s="333">
        <v>738.07799999999997</v>
      </c>
      <c r="AR563" s="336">
        <v>6240</v>
      </c>
      <c r="AS563" s="334">
        <v>737.67600000000004</v>
      </c>
      <c r="AT563" s="336">
        <v>6240</v>
      </c>
      <c r="AU563" s="334">
        <v>736.08900000000006</v>
      </c>
      <c r="AV563" s="336">
        <v>6240</v>
      </c>
      <c r="AW563" s="334">
        <v>736.18100000000004</v>
      </c>
      <c r="AX563" s="336">
        <v>6230</v>
      </c>
      <c r="AY563" s="334">
        <v>660.05399999999997</v>
      </c>
      <c r="AZ563" s="336">
        <v>6240</v>
      </c>
      <c r="BA563" s="337">
        <v>661.56799999999998</v>
      </c>
      <c r="BB563" s="336">
        <v>6220</v>
      </c>
      <c r="BC563" s="334">
        <v>173.14</v>
      </c>
      <c r="BD563" s="336">
        <v>6220</v>
      </c>
      <c r="BE563" s="334">
        <v>181.83799999999999</v>
      </c>
    </row>
    <row r="564" spans="22:57">
      <c r="V564" s="346">
        <v>6250</v>
      </c>
      <c r="W564" s="333">
        <v>373.74799999999999</v>
      </c>
      <c r="X564" s="346">
        <v>6260</v>
      </c>
      <c r="Y564" s="334">
        <v>370.96699999999998</v>
      </c>
      <c r="Z564" s="335">
        <v>6250</v>
      </c>
      <c r="AA564" s="334">
        <v>838.06399999999996</v>
      </c>
      <c r="AB564" s="336">
        <v>6250</v>
      </c>
      <c r="AC564" s="334">
        <v>837.90599999999995</v>
      </c>
      <c r="AD564" s="336">
        <v>6250</v>
      </c>
      <c r="AE564" s="334">
        <v>736.42499999999995</v>
      </c>
      <c r="AF564" s="336">
        <v>6250</v>
      </c>
      <c r="AG564" s="334">
        <v>735.99300000000005</v>
      </c>
      <c r="AH564" s="336">
        <v>6250</v>
      </c>
      <c r="AI564" s="334">
        <v>736.26199999999994</v>
      </c>
      <c r="AJ564" s="336">
        <v>6230</v>
      </c>
      <c r="AK564" s="334">
        <v>737.38499999999999</v>
      </c>
      <c r="AL564" s="336">
        <v>6250</v>
      </c>
      <c r="AM564" s="334">
        <v>736.995</v>
      </c>
      <c r="AN564" s="336">
        <v>6250</v>
      </c>
      <c r="AO564" s="334">
        <v>737.63800000000003</v>
      </c>
      <c r="AP564" s="336">
        <v>6240</v>
      </c>
      <c r="AQ564" s="333">
        <v>736.86800000000005</v>
      </c>
      <c r="AR564" s="336">
        <v>6250</v>
      </c>
      <c r="AS564" s="334">
        <v>736.46500000000003</v>
      </c>
      <c r="AT564" s="336">
        <v>6250</v>
      </c>
      <c r="AU564" s="334">
        <v>734.87800000000004</v>
      </c>
      <c r="AV564" s="336">
        <v>6250</v>
      </c>
      <c r="AW564" s="334">
        <v>734.971</v>
      </c>
      <c r="AX564" s="336">
        <v>6240</v>
      </c>
      <c r="AY564" s="334">
        <v>658.84400000000005</v>
      </c>
      <c r="AZ564" s="336">
        <v>6250</v>
      </c>
      <c r="BA564" s="337">
        <v>660.35799999999995</v>
      </c>
      <c r="BB564" s="336">
        <v>6230</v>
      </c>
      <c r="BC564" s="334">
        <v>172.75299999999999</v>
      </c>
      <c r="BD564" s="336">
        <v>6230</v>
      </c>
      <c r="BE564" s="334">
        <v>181.43700000000001</v>
      </c>
    </row>
    <row r="565" spans="22:57">
      <c r="V565" s="346">
        <v>6260</v>
      </c>
      <c r="W565" s="333">
        <v>372.98500000000001</v>
      </c>
      <c r="X565" s="346">
        <v>6270</v>
      </c>
      <c r="Y565" s="334">
        <v>370.209</v>
      </c>
      <c r="Z565" s="335">
        <v>6260</v>
      </c>
      <c r="AA565" s="334">
        <v>836.58299999999997</v>
      </c>
      <c r="AB565" s="336">
        <v>6260</v>
      </c>
      <c r="AC565" s="334">
        <v>836.42700000000002</v>
      </c>
      <c r="AD565" s="336">
        <v>6260</v>
      </c>
      <c r="AE565" s="334">
        <v>735.21199999999999</v>
      </c>
      <c r="AF565" s="336">
        <v>6260</v>
      </c>
      <c r="AG565" s="334">
        <v>734.78</v>
      </c>
      <c r="AH565" s="336">
        <v>6260</v>
      </c>
      <c r="AI565" s="334">
        <v>735.04899999999998</v>
      </c>
      <c r="AJ565" s="336">
        <v>6240</v>
      </c>
      <c r="AK565" s="334">
        <v>736.173</v>
      </c>
      <c r="AL565" s="336">
        <v>6260</v>
      </c>
      <c r="AM565" s="334">
        <v>735.78300000000002</v>
      </c>
      <c r="AN565" s="336">
        <v>6260</v>
      </c>
      <c r="AO565" s="334">
        <v>736.42600000000004</v>
      </c>
      <c r="AP565" s="336">
        <v>6250</v>
      </c>
      <c r="AQ565" s="333">
        <v>735.65800000000002</v>
      </c>
      <c r="AR565" s="336">
        <v>6260</v>
      </c>
      <c r="AS565" s="334">
        <v>735.25400000000002</v>
      </c>
      <c r="AT565" s="336">
        <v>6260</v>
      </c>
      <c r="AU565" s="334">
        <v>733.66700000000003</v>
      </c>
      <c r="AV565" s="336">
        <v>6260</v>
      </c>
      <c r="AW565" s="334">
        <v>733.76099999999997</v>
      </c>
      <c r="AX565" s="336">
        <v>6250</v>
      </c>
      <c r="AY565" s="334">
        <v>657.63300000000004</v>
      </c>
      <c r="AZ565" s="336">
        <v>6260</v>
      </c>
      <c r="BA565" s="337">
        <v>659.149</v>
      </c>
      <c r="BB565" s="336">
        <v>6240</v>
      </c>
      <c r="BC565" s="334">
        <v>172.36699999999999</v>
      </c>
      <c r="BD565" s="336">
        <v>6240</v>
      </c>
      <c r="BE565" s="334">
        <v>181.036</v>
      </c>
    </row>
    <row r="566" spans="22:57">
      <c r="V566" s="346">
        <v>6270</v>
      </c>
      <c r="W566" s="333">
        <v>372.22199999999998</v>
      </c>
      <c r="X566" s="346">
        <v>6280</v>
      </c>
      <c r="Y566" s="334">
        <v>369.45100000000002</v>
      </c>
      <c r="Z566" s="335">
        <v>6270</v>
      </c>
      <c r="AA566" s="334">
        <v>835.101</v>
      </c>
      <c r="AB566" s="336">
        <v>6270</v>
      </c>
      <c r="AC566" s="334">
        <v>834.947</v>
      </c>
      <c r="AD566" s="336">
        <v>6270</v>
      </c>
      <c r="AE566" s="334">
        <v>733.99900000000002</v>
      </c>
      <c r="AF566" s="336">
        <v>6270</v>
      </c>
      <c r="AG566" s="334">
        <v>733.56600000000003</v>
      </c>
      <c r="AH566" s="336">
        <v>6270</v>
      </c>
      <c r="AI566" s="334">
        <v>733.83699999999999</v>
      </c>
      <c r="AJ566" s="336">
        <v>6250</v>
      </c>
      <c r="AK566" s="334">
        <v>734.96</v>
      </c>
      <c r="AL566" s="336">
        <v>6270</v>
      </c>
      <c r="AM566" s="334">
        <v>734.57</v>
      </c>
      <c r="AN566" s="336">
        <v>6270</v>
      </c>
      <c r="AO566" s="334">
        <v>735.21400000000006</v>
      </c>
      <c r="AP566" s="336">
        <v>6260</v>
      </c>
      <c r="AQ566" s="333">
        <v>734.44799999999998</v>
      </c>
      <c r="AR566" s="336">
        <v>6270</v>
      </c>
      <c r="AS566" s="334">
        <v>734.04300000000001</v>
      </c>
      <c r="AT566" s="336">
        <v>6270</v>
      </c>
      <c r="AU566" s="334">
        <v>732.45600000000002</v>
      </c>
      <c r="AV566" s="336">
        <v>6270</v>
      </c>
      <c r="AW566" s="334">
        <v>732.55100000000004</v>
      </c>
      <c r="AX566" s="336">
        <v>6260</v>
      </c>
      <c r="AY566" s="334">
        <v>656.42200000000003</v>
      </c>
      <c r="AZ566" s="336">
        <v>6270</v>
      </c>
      <c r="BA566" s="337">
        <v>657.93899999999996</v>
      </c>
      <c r="BB566" s="336">
        <v>6250</v>
      </c>
      <c r="BC566" s="334">
        <v>171.98099999999999</v>
      </c>
      <c r="BD566" s="336">
        <v>6250</v>
      </c>
      <c r="BE566" s="334">
        <v>180.636</v>
      </c>
    </row>
    <row r="567" spans="22:57">
      <c r="V567" s="346">
        <v>6280</v>
      </c>
      <c r="W567" s="333">
        <v>371.46</v>
      </c>
      <c r="X567" s="346">
        <v>6290</v>
      </c>
      <c r="Y567" s="334">
        <v>368.69400000000002</v>
      </c>
      <c r="Z567" s="335">
        <v>6280</v>
      </c>
      <c r="AA567" s="334">
        <v>833.62</v>
      </c>
      <c r="AB567" s="336">
        <v>6280</v>
      </c>
      <c r="AC567" s="334">
        <v>833.46900000000005</v>
      </c>
      <c r="AD567" s="336">
        <v>6280</v>
      </c>
      <c r="AE567" s="334">
        <v>732.78700000000003</v>
      </c>
      <c r="AF567" s="336">
        <v>6280</v>
      </c>
      <c r="AG567" s="334">
        <v>732.35299999999995</v>
      </c>
      <c r="AH567" s="336">
        <v>6280</v>
      </c>
      <c r="AI567" s="334">
        <v>732.62400000000002</v>
      </c>
      <c r="AJ567" s="336">
        <v>6260</v>
      </c>
      <c r="AK567" s="334">
        <v>733.74699999999996</v>
      </c>
      <c r="AL567" s="336">
        <v>6280</v>
      </c>
      <c r="AM567" s="334">
        <v>733.35799999999995</v>
      </c>
      <c r="AN567" s="336">
        <v>6280</v>
      </c>
      <c r="AO567" s="334">
        <v>734.00099999999998</v>
      </c>
      <c r="AP567" s="336">
        <v>6270</v>
      </c>
      <c r="AQ567" s="333">
        <v>733.23800000000006</v>
      </c>
      <c r="AR567" s="336">
        <v>6280</v>
      </c>
      <c r="AS567" s="334">
        <v>732.83199999999999</v>
      </c>
      <c r="AT567" s="336">
        <v>6280</v>
      </c>
      <c r="AU567" s="334">
        <v>731.24400000000003</v>
      </c>
      <c r="AV567" s="336">
        <v>6280</v>
      </c>
      <c r="AW567" s="334">
        <v>731.34100000000001</v>
      </c>
      <c r="AX567" s="336">
        <v>6270</v>
      </c>
      <c r="AY567" s="334">
        <v>655.21199999999999</v>
      </c>
      <c r="AZ567" s="336">
        <v>6280</v>
      </c>
      <c r="BA567" s="337">
        <v>656.72900000000004</v>
      </c>
      <c r="BB567" s="336">
        <v>6260</v>
      </c>
      <c r="BC567" s="334">
        <v>171.595</v>
      </c>
      <c r="BD567" s="336">
        <v>6260</v>
      </c>
      <c r="BE567" s="334">
        <v>180.23500000000001</v>
      </c>
    </row>
    <row r="568" spans="22:57">
      <c r="V568" s="346">
        <v>6290</v>
      </c>
      <c r="W568" s="333">
        <v>370.697</v>
      </c>
      <c r="X568" s="346">
        <v>6300</v>
      </c>
      <c r="Y568" s="334">
        <v>367.93599999999998</v>
      </c>
      <c r="Z568" s="335">
        <v>6290</v>
      </c>
      <c r="AA568" s="334">
        <v>832.13900000000001</v>
      </c>
      <c r="AB568" s="336">
        <v>6290</v>
      </c>
      <c r="AC568" s="334">
        <v>831.99</v>
      </c>
      <c r="AD568" s="336">
        <v>6290</v>
      </c>
      <c r="AE568" s="334">
        <v>731.57399999999996</v>
      </c>
      <c r="AF568" s="336">
        <v>6290</v>
      </c>
      <c r="AG568" s="334">
        <v>731.13900000000001</v>
      </c>
      <c r="AH568" s="336">
        <v>6290</v>
      </c>
      <c r="AI568" s="334">
        <v>731.41200000000003</v>
      </c>
      <c r="AJ568" s="336">
        <v>6270</v>
      </c>
      <c r="AK568" s="334">
        <v>732.53399999999999</v>
      </c>
      <c r="AL568" s="336">
        <v>6290</v>
      </c>
      <c r="AM568" s="334">
        <v>732.14499999999998</v>
      </c>
      <c r="AN568" s="336">
        <v>6290</v>
      </c>
      <c r="AO568" s="334">
        <v>732.78899999999999</v>
      </c>
      <c r="AP568" s="336">
        <v>6280</v>
      </c>
      <c r="AQ568" s="333">
        <v>732.02800000000002</v>
      </c>
      <c r="AR568" s="336">
        <v>6290</v>
      </c>
      <c r="AS568" s="334">
        <v>731.62099999999998</v>
      </c>
      <c r="AT568" s="336">
        <v>6290</v>
      </c>
      <c r="AU568" s="334">
        <v>730.03300000000002</v>
      </c>
      <c r="AV568" s="336">
        <v>6290</v>
      </c>
      <c r="AW568" s="334">
        <v>730.13099999999997</v>
      </c>
      <c r="AX568" s="336">
        <v>6280</v>
      </c>
      <c r="AY568" s="334">
        <v>654.00099999999998</v>
      </c>
      <c r="AZ568" s="336">
        <v>6290</v>
      </c>
      <c r="BA568" s="337">
        <v>655.51900000000001</v>
      </c>
      <c r="BB568" s="336">
        <v>6270</v>
      </c>
      <c r="BC568" s="334">
        <v>171.208</v>
      </c>
      <c r="BD568" s="336">
        <v>6270</v>
      </c>
      <c r="BE568" s="334">
        <v>179.83500000000001</v>
      </c>
    </row>
    <row r="569" spans="22:57">
      <c r="V569" s="346">
        <v>6300</v>
      </c>
      <c r="W569" s="333">
        <v>369.935</v>
      </c>
      <c r="X569" s="346">
        <v>6310</v>
      </c>
      <c r="Y569" s="334">
        <v>367.17899999999997</v>
      </c>
      <c r="Z569" s="335">
        <v>6300</v>
      </c>
      <c r="AA569" s="334">
        <v>830.65800000000002</v>
      </c>
      <c r="AB569" s="336">
        <v>6300</v>
      </c>
      <c r="AC569" s="334">
        <v>830.51099999999997</v>
      </c>
      <c r="AD569" s="336">
        <v>6300</v>
      </c>
      <c r="AE569" s="334">
        <v>730.36199999999997</v>
      </c>
      <c r="AF569" s="336">
        <v>6300</v>
      </c>
      <c r="AG569" s="334">
        <v>729.92499999999995</v>
      </c>
      <c r="AH569" s="336">
        <v>6300</v>
      </c>
      <c r="AI569" s="334">
        <v>730.19899999999996</v>
      </c>
      <c r="AJ569" s="336">
        <v>6280</v>
      </c>
      <c r="AK569" s="334">
        <v>731.322</v>
      </c>
      <c r="AL569" s="336">
        <v>6300</v>
      </c>
      <c r="AM569" s="334">
        <v>730.93299999999999</v>
      </c>
      <c r="AN569" s="336">
        <v>6300</v>
      </c>
      <c r="AO569" s="334">
        <v>731.577</v>
      </c>
      <c r="AP569" s="336">
        <v>6290</v>
      </c>
      <c r="AQ569" s="333">
        <v>730.81799999999998</v>
      </c>
      <c r="AR569" s="336">
        <v>6300</v>
      </c>
      <c r="AS569" s="334">
        <v>730.41</v>
      </c>
      <c r="AT569" s="336">
        <v>6300</v>
      </c>
      <c r="AU569" s="334">
        <v>728.822</v>
      </c>
      <c r="AV569" s="336">
        <v>6300</v>
      </c>
      <c r="AW569" s="334">
        <v>728.92100000000005</v>
      </c>
      <c r="AX569" s="336">
        <v>6290</v>
      </c>
      <c r="AY569" s="334">
        <v>652.79</v>
      </c>
      <c r="AZ569" s="336">
        <v>6300</v>
      </c>
      <c r="BA569" s="337">
        <v>654.30899999999997</v>
      </c>
      <c r="BB569" s="336">
        <v>6280</v>
      </c>
      <c r="BC569" s="334">
        <v>170.822</v>
      </c>
      <c r="BD569" s="336">
        <v>6280</v>
      </c>
      <c r="BE569" s="334">
        <v>179.435</v>
      </c>
    </row>
    <row r="570" spans="22:57">
      <c r="V570" s="346">
        <v>6310</v>
      </c>
      <c r="W570" s="333">
        <v>369.17200000000003</v>
      </c>
      <c r="X570" s="346">
        <v>6320</v>
      </c>
      <c r="Y570" s="334">
        <v>366.42200000000003</v>
      </c>
      <c r="Z570" s="335">
        <v>6310</v>
      </c>
      <c r="AA570" s="334">
        <v>829.17700000000002</v>
      </c>
      <c r="AB570" s="336">
        <v>6310</v>
      </c>
      <c r="AC570" s="334">
        <v>829.03200000000004</v>
      </c>
      <c r="AD570" s="336">
        <v>6310</v>
      </c>
      <c r="AE570" s="334">
        <v>729.149</v>
      </c>
      <c r="AF570" s="336">
        <v>6310</v>
      </c>
      <c r="AG570" s="334">
        <v>728.71199999999999</v>
      </c>
      <c r="AH570" s="336">
        <v>6310</v>
      </c>
      <c r="AI570" s="334">
        <v>728.98699999999997</v>
      </c>
      <c r="AJ570" s="336">
        <v>6290</v>
      </c>
      <c r="AK570" s="334">
        <v>730.10900000000004</v>
      </c>
      <c r="AL570" s="336">
        <v>6310</v>
      </c>
      <c r="AM570" s="334">
        <v>729.72</v>
      </c>
      <c r="AN570" s="336">
        <v>6310</v>
      </c>
      <c r="AO570" s="334">
        <v>730.36500000000001</v>
      </c>
      <c r="AP570" s="336">
        <v>6300</v>
      </c>
      <c r="AQ570" s="333">
        <v>729.60799999999995</v>
      </c>
      <c r="AR570" s="336">
        <v>6310</v>
      </c>
      <c r="AS570" s="334">
        <v>729.19899999999996</v>
      </c>
      <c r="AT570" s="336">
        <v>6310</v>
      </c>
      <c r="AU570" s="334">
        <v>727.61099999999999</v>
      </c>
      <c r="AV570" s="336">
        <v>6310</v>
      </c>
      <c r="AW570" s="334">
        <v>727.71100000000001</v>
      </c>
      <c r="AX570" s="336">
        <v>6300</v>
      </c>
      <c r="AY570" s="334">
        <v>651.58000000000004</v>
      </c>
      <c r="AZ570" s="336">
        <v>6310</v>
      </c>
      <c r="BA570" s="337">
        <v>653.09900000000005</v>
      </c>
      <c r="BB570" s="336">
        <v>6290</v>
      </c>
      <c r="BC570" s="334">
        <v>170.43700000000001</v>
      </c>
      <c r="BD570" s="336">
        <v>6290</v>
      </c>
      <c r="BE570" s="334">
        <v>179.035</v>
      </c>
    </row>
    <row r="571" spans="22:57">
      <c r="V571" s="346">
        <v>6320</v>
      </c>
      <c r="W571" s="333">
        <v>368.41</v>
      </c>
      <c r="X571" s="346">
        <v>6330</v>
      </c>
      <c r="Y571" s="334">
        <v>365.66500000000002</v>
      </c>
      <c r="Z571" s="335">
        <v>6320</v>
      </c>
      <c r="AA571" s="334">
        <v>827.69600000000003</v>
      </c>
      <c r="AB571" s="336">
        <v>6320</v>
      </c>
      <c r="AC571" s="334">
        <v>827.55399999999997</v>
      </c>
      <c r="AD571" s="336">
        <v>6320</v>
      </c>
      <c r="AE571" s="334">
        <v>727.93600000000004</v>
      </c>
      <c r="AF571" s="336">
        <v>6320</v>
      </c>
      <c r="AG571" s="334">
        <v>727.49800000000005</v>
      </c>
      <c r="AH571" s="336">
        <v>6320</v>
      </c>
      <c r="AI571" s="334">
        <v>727.774</v>
      </c>
      <c r="AJ571" s="336">
        <v>6300</v>
      </c>
      <c r="AK571" s="334">
        <v>728.89599999999996</v>
      </c>
      <c r="AL571" s="336">
        <v>6320</v>
      </c>
      <c r="AM571" s="334">
        <v>728.50699999999995</v>
      </c>
      <c r="AN571" s="336">
        <v>6320</v>
      </c>
      <c r="AO571" s="334">
        <v>729.15300000000002</v>
      </c>
      <c r="AP571" s="336">
        <v>6310</v>
      </c>
      <c r="AQ571" s="333">
        <v>728.39800000000002</v>
      </c>
      <c r="AR571" s="336">
        <v>6320</v>
      </c>
      <c r="AS571" s="334">
        <v>727.98800000000006</v>
      </c>
      <c r="AT571" s="336">
        <v>6320</v>
      </c>
      <c r="AU571" s="334">
        <v>726.399</v>
      </c>
      <c r="AV571" s="336">
        <v>6320</v>
      </c>
      <c r="AW571" s="334">
        <v>726.50099999999998</v>
      </c>
      <c r="AX571" s="336">
        <v>6310</v>
      </c>
      <c r="AY571" s="334">
        <v>650.36900000000003</v>
      </c>
      <c r="AZ571" s="336">
        <v>6320</v>
      </c>
      <c r="BA571" s="337">
        <v>651.89</v>
      </c>
      <c r="BB571" s="336">
        <v>6300</v>
      </c>
      <c r="BC571" s="334">
        <v>170.05099999999999</v>
      </c>
      <c r="BD571" s="336">
        <v>6300</v>
      </c>
      <c r="BE571" s="334">
        <v>178.63499999999999</v>
      </c>
    </row>
    <row r="572" spans="22:57">
      <c r="V572" s="346">
        <v>6330</v>
      </c>
      <c r="W572" s="333">
        <v>367.649</v>
      </c>
      <c r="X572" s="346">
        <v>6340</v>
      </c>
      <c r="Y572" s="334">
        <v>364.90800000000002</v>
      </c>
      <c r="Z572" s="335">
        <v>6330</v>
      </c>
      <c r="AA572" s="334">
        <v>826.21500000000003</v>
      </c>
      <c r="AB572" s="336">
        <v>6330</v>
      </c>
      <c r="AC572" s="334">
        <v>826.07500000000005</v>
      </c>
      <c r="AD572" s="336">
        <v>6330</v>
      </c>
      <c r="AE572" s="334">
        <v>726.72400000000005</v>
      </c>
      <c r="AF572" s="336">
        <v>6330</v>
      </c>
      <c r="AG572" s="334">
        <v>726.28399999999999</v>
      </c>
      <c r="AH572" s="336">
        <v>6330</v>
      </c>
      <c r="AI572" s="334">
        <v>726.56200000000001</v>
      </c>
      <c r="AJ572" s="336">
        <v>6310</v>
      </c>
      <c r="AK572" s="334">
        <v>727.68299999999999</v>
      </c>
      <c r="AL572" s="336">
        <v>6330</v>
      </c>
      <c r="AM572" s="334">
        <v>727.29499999999996</v>
      </c>
      <c r="AN572" s="336">
        <v>6330</v>
      </c>
      <c r="AO572" s="334">
        <v>727.94</v>
      </c>
      <c r="AP572" s="336">
        <v>6320</v>
      </c>
      <c r="AQ572" s="333">
        <v>727.18799999999999</v>
      </c>
      <c r="AR572" s="336">
        <v>6330</v>
      </c>
      <c r="AS572" s="334">
        <v>726.77800000000002</v>
      </c>
      <c r="AT572" s="336">
        <v>6330</v>
      </c>
      <c r="AU572" s="334">
        <v>725.18799999999999</v>
      </c>
      <c r="AV572" s="336">
        <v>6330</v>
      </c>
      <c r="AW572" s="334">
        <v>725.29100000000005</v>
      </c>
      <c r="AX572" s="336">
        <v>6320</v>
      </c>
      <c r="AY572" s="334">
        <v>649.15800000000002</v>
      </c>
      <c r="AZ572" s="336">
        <v>6330</v>
      </c>
      <c r="BA572" s="337">
        <v>650.67999999999995</v>
      </c>
      <c r="BB572" s="336">
        <v>6310</v>
      </c>
      <c r="BC572" s="334">
        <v>169.66499999999999</v>
      </c>
      <c r="BD572" s="336">
        <v>6310</v>
      </c>
      <c r="BE572" s="334">
        <v>178.23500000000001</v>
      </c>
    </row>
    <row r="573" spans="22:57">
      <c r="V573" s="346">
        <v>6340</v>
      </c>
      <c r="W573" s="333">
        <v>366.887</v>
      </c>
      <c r="X573" s="346">
        <v>6350</v>
      </c>
      <c r="Y573" s="334">
        <v>364.15100000000001</v>
      </c>
      <c r="Z573" s="335">
        <v>6340</v>
      </c>
      <c r="AA573" s="334">
        <v>824.73500000000001</v>
      </c>
      <c r="AB573" s="336">
        <v>6340</v>
      </c>
      <c r="AC573" s="334">
        <v>824.59699999999998</v>
      </c>
      <c r="AD573" s="336">
        <v>6340</v>
      </c>
      <c r="AE573" s="334">
        <v>725.51099999999997</v>
      </c>
      <c r="AF573" s="336">
        <v>6340</v>
      </c>
      <c r="AG573" s="334">
        <v>725.07100000000003</v>
      </c>
      <c r="AH573" s="336">
        <v>6340</v>
      </c>
      <c r="AI573" s="334">
        <v>725.34900000000005</v>
      </c>
      <c r="AJ573" s="336">
        <v>6320</v>
      </c>
      <c r="AK573" s="334">
        <v>726.47</v>
      </c>
      <c r="AL573" s="336">
        <v>6340</v>
      </c>
      <c r="AM573" s="334">
        <v>726.08199999999999</v>
      </c>
      <c r="AN573" s="336">
        <v>6340</v>
      </c>
      <c r="AO573" s="334">
        <v>726.72799999999995</v>
      </c>
      <c r="AP573" s="336">
        <v>6330</v>
      </c>
      <c r="AQ573" s="334">
        <v>725.97799999999995</v>
      </c>
      <c r="AR573" s="336">
        <v>6340</v>
      </c>
      <c r="AS573" s="334">
        <v>725.56700000000001</v>
      </c>
      <c r="AT573" s="336">
        <v>6340</v>
      </c>
      <c r="AU573" s="334">
        <v>723.97699999999998</v>
      </c>
      <c r="AV573" s="336">
        <v>6340</v>
      </c>
      <c r="AW573" s="334">
        <v>724.08100000000002</v>
      </c>
      <c r="AX573" s="336">
        <v>6330</v>
      </c>
      <c r="AY573" s="334">
        <v>647.94799999999998</v>
      </c>
      <c r="AZ573" s="336">
        <v>6340</v>
      </c>
      <c r="BA573" s="337">
        <v>649.47</v>
      </c>
      <c r="BB573" s="336">
        <v>6320</v>
      </c>
      <c r="BC573" s="334">
        <v>169.279</v>
      </c>
      <c r="BD573" s="336">
        <v>6320</v>
      </c>
      <c r="BE573" s="334">
        <v>177.83500000000001</v>
      </c>
    </row>
    <row r="574" spans="22:57">
      <c r="V574" s="346">
        <v>6350</v>
      </c>
      <c r="W574" s="333">
        <v>366.12599999999998</v>
      </c>
      <c r="X574" s="346">
        <v>6360</v>
      </c>
      <c r="Y574" s="334">
        <v>363.39499999999998</v>
      </c>
      <c r="Z574" s="335">
        <v>6350</v>
      </c>
      <c r="AA574" s="334">
        <v>823.25400000000002</v>
      </c>
      <c r="AB574" s="336">
        <v>6350</v>
      </c>
      <c r="AC574" s="334">
        <v>823.11900000000003</v>
      </c>
      <c r="AD574" s="336">
        <v>6350</v>
      </c>
      <c r="AE574" s="334">
        <v>724.29899999999998</v>
      </c>
      <c r="AF574" s="336">
        <v>6350</v>
      </c>
      <c r="AG574" s="334">
        <v>723.85699999999997</v>
      </c>
      <c r="AH574" s="336">
        <v>6350</v>
      </c>
      <c r="AI574" s="334">
        <v>724.13699999999994</v>
      </c>
      <c r="AJ574" s="336">
        <v>6330</v>
      </c>
      <c r="AK574" s="334">
        <v>725.25800000000004</v>
      </c>
      <c r="AL574" s="336">
        <v>6350</v>
      </c>
      <c r="AM574" s="334">
        <v>724.87</v>
      </c>
      <c r="AN574" s="336">
        <v>6350</v>
      </c>
      <c r="AO574" s="334">
        <v>725.51599999999996</v>
      </c>
      <c r="AP574" s="336">
        <v>6340</v>
      </c>
      <c r="AQ574" s="334">
        <v>724.76800000000003</v>
      </c>
      <c r="AR574" s="336">
        <v>6350</v>
      </c>
      <c r="AS574" s="334">
        <v>724.35599999999999</v>
      </c>
      <c r="AT574" s="336">
        <v>6350</v>
      </c>
      <c r="AU574" s="334">
        <v>722.76499999999999</v>
      </c>
      <c r="AV574" s="336">
        <v>6350</v>
      </c>
      <c r="AW574" s="334">
        <v>722.87099999999998</v>
      </c>
      <c r="AX574" s="336">
        <v>6340</v>
      </c>
      <c r="AY574" s="334">
        <v>646.73699999999997</v>
      </c>
      <c r="AZ574" s="336">
        <v>6350</v>
      </c>
      <c r="BA574" s="337">
        <v>648.26</v>
      </c>
      <c r="BB574" s="336">
        <v>6330</v>
      </c>
      <c r="BC574" s="334">
        <v>168.89400000000001</v>
      </c>
      <c r="BD574" s="336">
        <v>6330</v>
      </c>
      <c r="BE574" s="334">
        <v>177.435</v>
      </c>
    </row>
    <row r="575" spans="22:57">
      <c r="V575" s="346">
        <v>6360</v>
      </c>
      <c r="W575" s="333">
        <v>365.36500000000001</v>
      </c>
      <c r="X575" s="346">
        <v>6370</v>
      </c>
      <c r="Y575" s="334">
        <v>362.63900000000001</v>
      </c>
      <c r="Z575" s="335">
        <v>6360</v>
      </c>
      <c r="AA575" s="334">
        <v>821.774</v>
      </c>
      <c r="AB575" s="336">
        <v>6360</v>
      </c>
      <c r="AC575" s="334">
        <v>821.64099999999996</v>
      </c>
      <c r="AD575" s="336">
        <v>6360</v>
      </c>
      <c r="AE575" s="334">
        <v>723.08600000000001</v>
      </c>
      <c r="AF575" s="336">
        <v>6360</v>
      </c>
      <c r="AG575" s="334">
        <v>722.64400000000001</v>
      </c>
      <c r="AH575" s="336">
        <v>6360</v>
      </c>
      <c r="AI575" s="334">
        <v>722.92399999999998</v>
      </c>
      <c r="AJ575" s="336">
        <v>6340</v>
      </c>
      <c r="AK575" s="334">
        <v>724.04499999999996</v>
      </c>
      <c r="AL575" s="336">
        <v>6360</v>
      </c>
      <c r="AM575" s="334">
        <v>723.65700000000004</v>
      </c>
      <c r="AN575" s="336">
        <v>6360</v>
      </c>
      <c r="AO575" s="334">
        <v>724.30399999999997</v>
      </c>
      <c r="AP575" s="336">
        <v>6350</v>
      </c>
      <c r="AQ575" s="334">
        <v>723.55799999999999</v>
      </c>
      <c r="AR575" s="336">
        <v>6360</v>
      </c>
      <c r="AS575" s="334">
        <v>723.14499999999998</v>
      </c>
      <c r="AT575" s="336">
        <v>6360</v>
      </c>
      <c r="AU575" s="334">
        <v>721.55399999999997</v>
      </c>
      <c r="AV575" s="336">
        <v>6360</v>
      </c>
      <c r="AW575" s="334">
        <v>721.66099999999994</v>
      </c>
      <c r="AX575" s="336">
        <v>6350</v>
      </c>
      <c r="AY575" s="334">
        <v>645.52700000000004</v>
      </c>
      <c r="AZ575" s="336">
        <v>6360</v>
      </c>
      <c r="BA575" s="337">
        <v>647.04999999999995</v>
      </c>
      <c r="BB575" s="336">
        <v>6340</v>
      </c>
      <c r="BC575" s="334">
        <v>168.50800000000001</v>
      </c>
      <c r="BD575" s="336">
        <v>6340</v>
      </c>
      <c r="BE575" s="334">
        <v>177.036</v>
      </c>
    </row>
    <row r="576" spans="22:57">
      <c r="V576" s="346">
        <v>6370</v>
      </c>
      <c r="W576" s="333">
        <v>364.60399999999998</v>
      </c>
      <c r="X576" s="346">
        <v>6380</v>
      </c>
      <c r="Y576" s="334">
        <v>361.88299999999998</v>
      </c>
      <c r="Z576" s="335">
        <v>6370</v>
      </c>
      <c r="AA576" s="334">
        <v>820.29399999999998</v>
      </c>
      <c r="AB576" s="336">
        <v>6370</v>
      </c>
      <c r="AC576" s="334">
        <v>820.16200000000003</v>
      </c>
      <c r="AD576" s="336">
        <v>6370</v>
      </c>
      <c r="AE576" s="334">
        <v>721.87300000000005</v>
      </c>
      <c r="AF576" s="336">
        <v>6370</v>
      </c>
      <c r="AG576" s="334">
        <v>721.43</v>
      </c>
      <c r="AH576" s="336">
        <v>6370</v>
      </c>
      <c r="AI576" s="334">
        <v>721.71199999999999</v>
      </c>
      <c r="AJ576" s="336">
        <v>6350</v>
      </c>
      <c r="AK576" s="334">
        <v>722.83199999999999</v>
      </c>
      <c r="AL576" s="336">
        <v>6370</v>
      </c>
      <c r="AM576" s="334">
        <v>722.44399999999996</v>
      </c>
      <c r="AN576" s="336">
        <v>6370</v>
      </c>
      <c r="AO576" s="334">
        <v>723.09100000000001</v>
      </c>
      <c r="AP576" s="336">
        <v>6360</v>
      </c>
      <c r="AQ576" s="334">
        <v>722.34799999999996</v>
      </c>
      <c r="AR576" s="336">
        <v>6370</v>
      </c>
      <c r="AS576" s="334">
        <v>721.93399999999997</v>
      </c>
      <c r="AT576" s="336">
        <v>6370</v>
      </c>
      <c r="AU576" s="334">
        <v>720.34299999999996</v>
      </c>
      <c r="AV576" s="336">
        <v>6370</v>
      </c>
      <c r="AW576" s="334">
        <v>720.45100000000002</v>
      </c>
      <c r="AX576" s="336">
        <v>6360</v>
      </c>
      <c r="AY576" s="334">
        <v>644.31600000000003</v>
      </c>
      <c r="AZ576" s="336">
        <v>6370</v>
      </c>
      <c r="BA576" s="337">
        <v>645.84</v>
      </c>
      <c r="BB576" s="336">
        <v>6350</v>
      </c>
      <c r="BC576" s="334">
        <v>168.12299999999999</v>
      </c>
      <c r="BD576" s="336">
        <v>6350</v>
      </c>
      <c r="BE576" s="334">
        <v>176.636</v>
      </c>
    </row>
    <row r="577" spans="22:57">
      <c r="V577" s="346">
        <v>6380</v>
      </c>
      <c r="W577" s="333">
        <v>363.84300000000002</v>
      </c>
      <c r="X577" s="346">
        <v>6390</v>
      </c>
      <c r="Y577" s="334">
        <v>361.12700000000001</v>
      </c>
      <c r="Z577" s="335">
        <v>6380</v>
      </c>
      <c r="AA577" s="334">
        <v>818.81399999999996</v>
      </c>
      <c r="AB577" s="336">
        <v>6380</v>
      </c>
      <c r="AC577" s="334">
        <v>818.68499999999995</v>
      </c>
      <c r="AD577" s="336">
        <v>6380</v>
      </c>
      <c r="AE577" s="334">
        <v>720.66099999999994</v>
      </c>
      <c r="AF577" s="336">
        <v>6380</v>
      </c>
      <c r="AG577" s="334">
        <v>720.21699999999998</v>
      </c>
      <c r="AH577" s="336">
        <v>6380</v>
      </c>
      <c r="AI577" s="334">
        <v>720.49900000000002</v>
      </c>
      <c r="AJ577" s="336">
        <v>6360</v>
      </c>
      <c r="AK577" s="334">
        <v>721.61900000000003</v>
      </c>
      <c r="AL577" s="336">
        <v>6380</v>
      </c>
      <c r="AM577" s="334">
        <v>721.23199999999997</v>
      </c>
      <c r="AN577" s="336">
        <v>6380</v>
      </c>
      <c r="AO577" s="334">
        <v>721.87900000000002</v>
      </c>
      <c r="AP577" s="336">
        <v>6370</v>
      </c>
      <c r="AQ577" s="334">
        <v>721.13800000000003</v>
      </c>
      <c r="AR577" s="336">
        <v>6380</v>
      </c>
      <c r="AS577" s="334">
        <v>720.72299999999996</v>
      </c>
      <c r="AT577" s="336">
        <v>6380</v>
      </c>
      <c r="AU577" s="334">
        <v>719.13199999999995</v>
      </c>
      <c r="AV577" s="336">
        <v>6380</v>
      </c>
      <c r="AW577" s="334">
        <v>719.24099999999999</v>
      </c>
      <c r="AX577" s="336">
        <v>6370</v>
      </c>
      <c r="AY577" s="334">
        <v>643.10500000000002</v>
      </c>
      <c r="AZ577" s="336">
        <v>6380</v>
      </c>
      <c r="BA577" s="337">
        <v>644.63</v>
      </c>
      <c r="BB577" s="336">
        <v>6360</v>
      </c>
      <c r="BC577" s="334">
        <v>167.738</v>
      </c>
      <c r="BD577" s="336">
        <v>6360</v>
      </c>
      <c r="BE577" s="334">
        <v>176.23699999999999</v>
      </c>
    </row>
    <row r="578" spans="22:57">
      <c r="V578" s="346">
        <v>6390</v>
      </c>
      <c r="W578" s="333">
        <v>363.08199999999999</v>
      </c>
      <c r="X578" s="346">
        <v>6400</v>
      </c>
      <c r="Y578" s="334">
        <v>360.37200000000001</v>
      </c>
      <c r="Z578" s="335">
        <v>6390</v>
      </c>
      <c r="AA578" s="334">
        <v>817.33399999999995</v>
      </c>
      <c r="AB578" s="336">
        <v>6390</v>
      </c>
      <c r="AC578" s="334">
        <v>817.20699999999999</v>
      </c>
      <c r="AD578" s="336">
        <v>6390</v>
      </c>
      <c r="AE578" s="334">
        <v>719.44799999999998</v>
      </c>
      <c r="AF578" s="336">
        <v>6390</v>
      </c>
      <c r="AG578" s="334">
        <v>719.00300000000004</v>
      </c>
      <c r="AH578" s="336">
        <v>6390</v>
      </c>
      <c r="AI578" s="334">
        <v>719.28700000000003</v>
      </c>
      <c r="AJ578" s="336">
        <v>6370</v>
      </c>
      <c r="AK578" s="334">
        <v>720.40700000000004</v>
      </c>
      <c r="AL578" s="336">
        <v>6390</v>
      </c>
      <c r="AM578" s="334">
        <v>720.01900000000001</v>
      </c>
      <c r="AN578" s="336">
        <v>6390</v>
      </c>
      <c r="AO578" s="334">
        <v>720.66700000000003</v>
      </c>
      <c r="AP578" s="336">
        <v>6380</v>
      </c>
      <c r="AQ578" s="334">
        <v>719.928</v>
      </c>
      <c r="AR578" s="336">
        <v>6390</v>
      </c>
      <c r="AS578" s="334">
        <v>719.51199999999994</v>
      </c>
      <c r="AT578" s="336">
        <v>6390</v>
      </c>
      <c r="AU578" s="334">
        <v>717.92</v>
      </c>
      <c r="AV578" s="336">
        <v>6390</v>
      </c>
      <c r="AW578" s="334">
        <v>718.03099999999995</v>
      </c>
      <c r="AX578" s="336">
        <v>6380</v>
      </c>
      <c r="AY578" s="334">
        <v>641.89499999999998</v>
      </c>
      <c r="AZ578" s="336">
        <v>6390</v>
      </c>
      <c r="BA578" s="337">
        <v>643.42100000000005</v>
      </c>
      <c r="BB578" s="336">
        <v>6370</v>
      </c>
      <c r="BC578" s="334">
        <v>167.35300000000001</v>
      </c>
      <c r="BD578" s="336">
        <v>6370</v>
      </c>
      <c r="BE578" s="334">
        <v>175.83699999999999</v>
      </c>
    </row>
    <row r="579" spans="22:57">
      <c r="V579" s="346">
        <v>6400</v>
      </c>
      <c r="W579" s="333">
        <v>362.322</v>
      </c>
      <c r="X579" s="346">
        <v>6410</v>
      </c>
      <c r="Y579" s="334">
        <v>359.61599999999999</v>
      </c>
      <c r="Z579" s="335">
        <v>6400</v>
      </c>
      <c r="AA579" s="334">
        <v>815.85400000000004</v>
      </c>
      <c r="AB579" s="336">
        <v>6400</v>
      </c>
      <c r="AC579" s="334">
        <v>815.72900000000004</v>
      </c>
      <c r="AD579" s="336">
        <v>6400</v>
      </c>
      <c r="AE579" s="334">
        <v>718.23599999999999</v>
      </c>
      <c r="AF579" s="336">
        <v>6400</v>
      </c>
      <c r="AG579" s="334">
        <v>717.78899999999999</v>
      </c>
      <c r="AH579" s="336">
        <v>6400</v>
      </c>
      <c r="AI579" s="334">
        <v>718.07399999999996</v>
      </c>
      <c r="AJ579" s="336">
        <v>6380</v>
      </c>
      <c r="AK579" s="334">
        <v>719.19399999999996</v>
      </c>
      <c r="AL579" s="336">
        <v>6400</v>
      </c>
      <c r="AM579" s="334">
        <v>718.80700000000002</v>
      </c>
      <c r="AN579" s="336">
        <v>6400</v>
      </c>
      <c r="AO579" s="334">
        <v>719.45500000000004</v>
      </c>
      <c r="AP579" s="336">
        <v>6390</v>
      </c>
      <c r="AQ579" s="334">
        <v>718.71799999999996</v>
      </c>
      <c r="AR579" s="336">
        <v>6400</v>
      </c>
      <c r="AS579" s="334">
        <v>718.30100000000004</v>
      </c>
      <c r="AT579" s="336">
        <v>6400</v>
      </c>
      <c r="AU579" s="334">
        <v>716.70899999999995</v>
      </c>
      <c r="AV579" s="336">
        <v>6400</v>
      </c>
      <c r="AW579" s="334">
        <v>716.82100000000003</v>
      </c>
      <c r="AX579" s="336">
        <v>6390</v>
      </c>
      <c r="AY579" s="334">
        <v>640.68399999999997</v>
      </c>
      <c r="AZ579" s="336">
        <v>6400</v>
      </c>
      <c r="BA579" s="337">
        <v>642.21100000000001</v>
      </c>
      <c r="BB579" s="336">
        <v>6380</v>
      </c>
      <c r="BC579" s="334">
        <v>166.96799999999999</v>
      </c>
      <c r="BD579" s="336">
        <v>6380</v>
      </c>
      <c r="BE579" s="334">
        <v>175.43799999999999</v>
      </c>
    </row>
    <row r="580" spans="22:57">
      <c r="V580" s="346">
        <v>6410</v>
      </c>
      <c r="W580" s="333">
        <v>361.56200000000001</v>
      </c>
      <c r="X580" s="346">
        <v>6420</v>
      </c>
      <c r="Y580" s="334">
        <v>358.86099999999999</v>
      </c>
      <c r="Z580" s="335">
        <v>6410</v>
      </c>
      <c r="AA580" s="334">
        <v>814.37400000000002</v>
      </c>
      <c r="AB580" s="336">
        <v>6410</v>
      </c>
      <c r="AC580" s="334">
        <v>814.25199999999995</v>
      </c>
      <c r="AD580" s="336">
        <v>6410</v>
      </c>
      <c r="AE580" s="334">
        <v>717.02300000000002</v>
      </c>
      <c r="AF580" s="336">
        <v>6410</v>
      </c>
      <c r="AG580" s="334">
        <v>716.57600000000002</v>
      </c>
      <c r="AH580" s="336">
        <v>6410</v>
      </c>
      <c r="AI580" s="334">
        <v>716.86199999999997</v>
      </c>
      <c r="AJ580" s="336">
        <v>6390</v>
      </c>
      <c r="AK580" s="334">
        <v>717.98099999999999</v>
      </c>
      <c r="AL580" s="336">
        <v>6410</v>
      </c>
      <c r="AM580" s="334">
        <v>717.59400000000005</v>
      </c>
      <c r="AN580" s="336">
        <v>6410</v>
      </c>
      <c r="AO580" s="334">
        <v>718.24300000000005</v>
      </c>
      <c r="AP580" s="336">
        <v>6400</v>
      </c>
      <c r="AQ580" s="334">
        <v>717.50800000000004</v>
      </c>
      <c r="AR580" s="336">
        <v>6410</v>
      </c>
      <c r="AS580" s="334">
        <v>717.09</v>
      </c>
      <c r="AT580" s="336">
        <v>6410</v>
      </c>
      <c r="AU580" s="334">
        <v>715.49800000000005</v>
      </c>
      <c r="AV580" s="336">
        <v>6410</v>
      </c>
      <c r="AW580" s="334">
        <v>715.61099999999999</v>
      </c>
      <c r="AX580" s="336">
        <v>6400</v>
      </c>
      <c r="AY580" s="334">
        <v>639.47299999999996</v>
      </c>
      <c r="AZ580" s="336">
        <v>6410</v>
      </c>
      <c r="BA580" s="337">
        <v>641.00099999999998</v>
      </c>
      <c r="BB580" s="336">
        <v>6390</v>
      </c>
      <c r="BC580" s="334">
        <v>166.583</v>
      </c>
      <c r="BD580" s="336">
        <v>6390</v>
      </c>
      <c r="BE580" s="334">
        <v>175.03899999999999</v>
      </c>
    </row>
    <row r="581" spans="22:57">
      <c r="V581" s="346">
        <v>6420</v>
      </c>
      <c r="W581" s="333">
        <v>360.80200000000002</v>
      </c>
      <c r="X581" s="346">
        <v>6430</v>
      </c>
      <c r="Y581" s="334">
        <v>358.10599999999999</v>
      </c>
      <c r="Z581" s="335">
        <v>6420</v>
      </c>
      <c r="AA581" s="334">
        <v>812.89499999999998</v>
      </c>
      <c r="AB581" s="336">
        <v>6420</v>
      </c>
      <c r="AC581" s="334">
        <v>812.774</v>
      </c>
      <c r="AD581" s="336">
        <v>6420</v>
      </c>
      <c r="AE581" s="334">
        <v>715.81100000000004</v>
      </c>
      <c r="AF581" s="336">
        <v>6420</v>
      </c>
      <c r="AG581" s="334">
        <v>715.36199999999997</v>
      </c>
      <c r="AH581" s="336">
        <v>6420</v>
      </c>
      <c r="AI581" s="334">
        <v>715.649</v>
      </c>
      <c r="AJ581" s="336">
        <v>6400</v>
      </c>
      <c r="AK581" s="334">
        <v>716.76800000000003</v>
      </c>
      <c r="AL581" s="336">
        <v>6420</v>
      </c>
      <c r="AM581" s="334">
        <v>716.38199999999995</v>
      </c>
      <c r="AN581" s="336">
        <v>6420</v>
      </c>
      <c r="AO581" s="334">
        <v>717.03</v>
      </c>
      <c r="AP581" s="336">
        <v>6410</v>
      </c>
      <c r="AQ581" s="334">
        <v>716.298</v>
      </c>
      <c r="AR581" s="336">
        <v>6420</v>
      </c>
      <c r="AS581" s="334">
        <v>715.88</v>
      </c>
      <c r="AT581" s="336">
        <v>6420</v>
      </c>
      <c r="AU581" s="334">
        <v>714.28700000000003</v>
      </c>
      <c r="AV581" s="336">
        <v>6420</v>
      </c>
      <c r="AW581" s="334">
        <v>714.40099999999995</v>
      </c>
      <c r="AX581" s="336">
        <v>6410</v>
      </c>
      <c r="AY581" s="334">
        <v>638.26300000000003</v>
      </c>
      <c r="AZ581" s="336">
        <v>6420</v>
      </c>
      <c r="BA581" s="337">
        <v>639.79100000000005</v>
      </c>
      <c r="BB581" s="336">
        <v>6400</v>
      </c>
      <c r="BC581" s="334">
        <v>166.19800000000001</v>
      </c>
      <c r="BD581" s="336">
        <v>6400</v>
      </c>
      <c r="BE581" s="334">
        <v>174.64</v>
      </c>
    </row>
    <row r="582" spans="22:57">
      <c r="V582" s="346">
        <v>6430</v>
      </c>
      <c r="W582" s="333">
        <v>360.04199999999997</v>
      </c>
      <c r="X582" s="346">
        <v>6440</v>
      </c>
      <c r="Y582" s="334">
        <v>357.351</v>
      </c>
      <c r="Z582" s="335">
        <v>6430</v>
      </c>
      <c r="AA582" s="334">
        <v>811.41499999999996</v>
      </c>
      <c r="AB582" s="336">
        <v>6430</v>
      </c>
      <c r="AC582" s="334">
        <v>811.29700000000003</v>
      </c>
      <c r="AD582" s="336">
        <v>6430</v>
      </c>
      <c r="AE582" s="334">
        <v>714.59799999999996</v>
      </c>
      <c r="AF582" s="336">
        <v>6430</v>
      </c>
      <c r="AG582" s="334">
        <v>714.14800000000002</v>
      </c>
      <c r="AH582" s="336">
        <v>6430</v>
      </c>
      <c r="AI582" s="334">
        <v>714.43700000000001</v>
      </c>
      <c r="AJ582" s="336">
        <v>6410</v>
      </c>
      <c r="AK582" s="334">
        <v>715.55600000000004</v>
      </c>
      <c r="AL582" s="336">
        <v>6430</v>
      </c>
      <c r="AM582" s="334">
        <v>715.16899999999998</v>
      </c>
      <c r="AN582" s="336">
        <v>6430</v>
      </c>
      <c r="AO582" s="334">
        <v>715.81799999999998</v>
      </c>
      <c r="AP582" s="336">
        <v>6420</v>
      </c>
      <c r="AQ582" s="334">
        <v>715.08799999999997</v>
      </c>
      <c r="AR582" s="336">
        <v>6430</v>
      </c>
      <c r="AS582" s="334">
        <v>714.66899999999998</v>
      </c>
      <c r="AT582" s="336">
        <v>6430</v>
      </c>
      <c r="AU582" s="334">
        <v>713.07600000000002</v>
      </c>
      <c r="AV582" s="336">
        <v>6430</v>
      </c>
      <c r="AW582" s="334">
        <v>713.19100000000003</v>
      </c>
      <c r="AX582" s="336">
        <v>6420</v>
      </c>
      <c r="AY582" s="334">
        <v>637.05200000000002</v>
      </c>
      <c r="AZ582" s="336">
        <v>6430</v>
      </c>
      <c r="BA582" s="337">
        <v>638.58100000000002</v>
      </c>
      <c r="BB582" s="336">
        <v>6410</v>
      </c>
      <c r="BC582" s="334">
        <v>165.81299999999999</v>
      </c>
      <c r="BD582" s="336">
        <v>6410</v>
      </c>
      <c r="BE582" s="334">
        <v>174.24100000000001</v>
      </c>
    </row>
    <row r="583" spans="22:57">
      <c r="V583" s="346">
        <v>6440</v>
      </c>
      <c r="W583" s="333">
        <v>359.28300000000002</v>
      </c>
      <c r="X583" s="346">
        <v>6450</v>
      </c>
      <c r="Y583" s="334">
        <v>356.59699999999998</v>
      </c>
      <c r="Z583" s="335">
        <v>6440</v>
      </c>
      <c r="AA583" s="334">
        <v>809.93600000000004</v>
      </c>
      <c r="AB583" s="336">
        <v>6440</v>
      </c>
      <c r="AC583" s="334">
        <v>809.81899999999996</v>
      </c>
      <c r="AD583" s="336">
        <v>6440</v>
      </c>
      <c r="AE583" s="334">
        <v>713.38499999999999</v>
      </c>
      <c r="AF583" s="336">
        <v>6440</v>
      </c>
      <c r="AG583" s="334">
        <v>712.93499999999995</v>
      </c>
      <c r="AH583" s="336">
        <v>6440</v>
      </c>
      <c r="AI583" s="334">
        <v>713.22500000000002</v>
      </c>
      <c r="AJ583" s="336">
        <v>6420</v>
      </c>
      <c r="AK583" s="334">
        <v>714.34299999999996</v>
      </c>
      <c r="AL583" s="336">
        <v>6440</v>
      </c>
      <c r="AM583" s="334">
        <v>713.95699999999999</v>
      </c>
      <c r="AN583" s="336">
        <v>6440</v>
      </c>
      <c r="AO583" s="334">
        <v>714.60599999999999</v>
      </c>
      <c r="AP583" s="336">
        <v>6430</v>
      </c>
      <c r="AQ583" s="334">
        <v>713.87800000000004</v>
      </c>
      <c r="AR583" s="336">
        <v>6440</v>
      </c>
      <c r="AS583" s="334">
        <v>713.45799999999997</v>
      </c>
      <c r="AT583" s="336">
        <v>6440</v>
      </c>
      <c r="AU583" s="334">
        <v>711.86400000000003</v>
      </c>
      <c r="AV583" s="336">
        <v>6440</v>
      </c>
      <c r="AW583" s="334">
        <v>711.98099999999999</v>
      </c>
      <c r="AX583" s="336">
        <v>6430</v>
      </c>
      <c r="AY583" s="334">
        <v>635.84100000000001</v>
      </c>
      <c r="AZ583" s="336">
        <v>6440</v>
      </c>
      <c r="BA583" s="337">
        <v>637.37099999999998</v>
      </c>
      <c r="BB583" s="336">
        <v>6420</v>
      </c>
      <c r="BC583" s="334">
        <v>165.428</v>
      </c>
      <c r="BD583" s="336">
        <v>6420</v>
      </c>
      <c r="BE583" s="334">
        <v>173.84200000000001</v>
      </c>
    </row>
    <row r="584" spans="22:57">
      <c r="V584" s="346">
        <v>6450</v>
      </c>
      <c r="W584" s="333">
        <v>358.52300000000002</v>
      </c>
      <c r="X584" s="346">
        <v>6460</v>
      </c>
      <c r="Y584" s="334">
        <v>355.84199999999998</v>
      </c>
      <c r="Z584" s="335">
        <v>6450</v>
      </c>
      <c r="AA584" s="334">
        <v>808.45699999999999</v>
      </c>
      <c r="AB584" s="336">
        <v>6450</v>
      </c>
      <c r="AC584" s="334">
        <v>808.34199999999998</v>
      </c>
      <c r="AD584" s="336">
        <v>6450</v>
      </c>
      <c r="AE584" s="334">
        <v>712.173</v>
      </c>
      <c r="AF584" s="336">
        <v>6450</v>
      </c>
      <c r="AG584" s="334">
        <v>711.721</v>
      </c>
      <c r="AH584" s="336">
        <v>6450</v>
      </c>
      <c r="AI584" s="334">
        <v>712.01199999999994</v>
      </c>
      <c r="AJ584" s="336">
        <v>6430</v>
      </c>
      <c r="AK584" s="334">
        <v>713.13</v>
      </c>
      <c r="AL584" s="336">
        <v>6450</v>
      </c>
      <c r="AM584" s="334">
        <v>712.74400000000003</v>
      </c>
      <c r="AN584" s="336">
        <v>6450</v>
      </c>
      <c r="AO584" s="334">
        <v>713.39400000000001</v>
      </c>
      <c r="AP584" s="336">
        <v>6440</v>
      </c>
      <c r="AQ584" s="334">
        <v>712.66800000000001</v>
      </c>
      <c r="AR584" s="336">
        <v>6450</v>
      </c>
      <c r="AS584" s="334">
        <v>712.24699999999996</v>
      </c>
      <c r="AT584" s="336">
        <v>6450</v>
      </c>
      <c r="AU584" s="334">
        <v>710.65300000000002</v>
      </c>
      <c r="AV584" s="336">
        <v>6450</v>
      </c>
      <c r="AW584" s="334">
        <v>710.77099999999996</v>
      </c>
      <c r="AX584" s="336">
        <v>6440</v>
      </c>
      <c r="AY584" s="334">
        <v>634.63099999999997</v>
      </c>
      <c r="AZ584" s="336">
        <v>6450</v>
      </c>
      <c r="BA584" s="337">
        <v>636.16099999999994</v>
      </c>
      <c r="BB584" s="336">
        <v>6430</v>
      </c>
      <c r="BC584" s="334">
        <v>165.04400000000001</v>
      </c>
      <c r="BD584" s="336">
        <v>6430</v>
      </c>
      <c r="BE584" s="334">
        <v>173.44300000000001</v>
      </c>
    </row>
    <row r="585" spans="22:57">
      <c r="V585" s="346">
        <v>6460</v>
      </c>
      <c r="W585" s="333">
        <v>357.76400000000001</v>
      </c>
      <c r="X585" s="346">
        <v>6470</v>
      </c>
      <c r="Y585" s="334">
        <v>355.08800000000002</v>
      </c>
      <c r="Z585" s="335">
        <v>6460</v>
      </c>
      <c r="AA585" s="334">
        <v>806.97799999999995</v>
      </c>
      <c r="AB585" s="336">
        <v>6460</v>
      </c>
      <c r="AC585" s="334">
        <v>806.86500000000001</v>
      </c>
      <c r="AD585" s="336">
        <v>6460</v>
      </c>
      <c r="AE585" s="334">
        <v>710.96</v>
      </c>
      <c r="AF585" s="336">
        <v>6460</v>
      </c>
      <c r="AG585" s="334">
        <v>710.50800000000004</v>
      </c>
      <c r="AH585" s="336">
        <v>6460</v>
      </c>
      <c r="AI585" s="334">
        <v>710.8</v>
      </c>
      <c r="AJ585" s="336">
        <v>6440</v>
      </c>
      <c r="AK585" s="334">
        <v>711.91700000000003</v>
      </c>
      <c r="AL585" s="336">
        <v>6460</v>
      </c>
      <c r="AM585" s="334">
        <v>711.53099999999995</v>
      </c>
      <c r="AN585" s="336">
        <v>6460</v>
      </c>
      <c r="AO585" s="334">
        <v>712.18100000000004</v>
      </c>
      <c r="AP585" s="336">
        <v>6450</v>
      </c>
      <c r="AQ585" s="334">
        <v>711.45799999999997</v>
      </c>
      <c r="AR585" s="336">
        <v>6460</v>
      </c>
      <c r="AS585" s="334">
        <v>711.03599999999994</v>
      </c>
      <c r="AT585" s="336">
        <v>6460</v>
      </c>
      <c r="AU585" s="334">
        <v>709.44200000000001</v>
      </c>
      <c r="AV585" s="336">
        <v>6460</v>
      </c>
      <c r="AW585" s="334">
        <v>709.56100000000004</v>
      </c>
      <c r="AX585" s="336">
        <v>6450</v>
      </c>
      <c r="AY585" s="334">
        <v>633.41999999999996</v>
      </c>
      <c r="AZ585" s="336">
        <v>6460</v>
      </c>
      <c r="BA585" s="337">
        <v>634.95100000000002</v>
      </c>
      <c r="BB585" s="336">
        <v>6440</v>
      </c>
      <c r="BC585" s="334">
        <v>164.65899999999999</v>
      </c>
      <c r="BD585" s="336">
        <v>6440</v>
      </c>
      <c r="BE585" s="334">
        <v>173.04499999999999</v>
      </c>
    </row>
    <row r="586" spans="22:57">
      <c r="V586" s="346">
        <v>6470</v>
      </c>
      <c r="W586" s="333">
        <v>357.005</v>
      </c>
      <c r="X586" s="346">
        <v>6480</v>
      </c>
      <c r="Y586" s="334">
        <v>354.334</v>
      </c>
      <c r="Z586" s="335">
        <v>6470</v>
      </c>
      <c r="AA586" s="334">
        <v>805.49900000000002</v>
      </c>
      <c r="AB586" s="336">
        <v>6470</v>
      </c>
      <c r="AC586" s="334">
        <v>805.38800000000003</v>
      </c>
      <c r="AD586" s="336">
        <v>6470</v>
      </c>
      <c r="AE586" s="334">
        <v>709.74800000000005</v>
      </c>
      <c r="AF586" s="336">
        <v>6470</v>
      </c>
      <c r="AG586" s="334">
        <v>709.29399999999998</v>
      </c>
      <c r="AH586" s="336">
        <v>6470</v>
      </c>
      <c r="AI586" s="334">
        <v>709.58699999999999</v>
      </c>
      <c r="AJ586" s="336">
        <v>6450</v>
      </c>
      <c r="AK586" s="334">
        <v>710.70500000000004</v>
      </c>
      <c r="AL586" s="336">
        <v>6470</v>
      </c>
      <c r="AM586" s="334">
        <v>710.31899999999996</v>
      </c>
      <c r="AN586" s="336">
        <v>6470</v>
      </c>
      <c r="AO586" s="334">
        <v>710.96900000000005</v>
      </c>
      <c r="AP586" s="336">
        <v>6460</v>
      </c>
      <c r="AQ586" s="334">
        <v>710.24800000000005</v>
      </c>
      <c r="AR586" s="336">
        <v>6470</v>
      </c>
      <c r="AS586" s="334">
        <v>709.82500000000005</v>
      </c>
      <c r="AT586" s="336">
        <v>6470</v>
      </c>
      <c r="AU586" s="334">
        <v>708.23099999999999</v>
      </c>
      <c r="AV586" s="336">
        <v>6470</v>
      </c>
      <c r="AW586" s="334">
        <v>708.351</v>
      </c>
      <c r="AX586" s="336">
        <v>6460</v>
      </c>
      <c r="AY586" s="334">
        <v>632.20899999999995</v>
      </c>
      <c r="AZ586" s="336">
        <v>6470</v>
      </c>
      <c r="BA586" s="337">
        <v>633.74199999999996</v>
      </c>
      <c r="BB586" s="336">
        <v>6450</v>
      </c>
      <c r="BC586" s="334">
        <v>164.27500000000001</v>
      </c>
      <c r="BD586" s="336">
        <v>6450</v>
      </c>
      <c r="BE586" s="334">
        <v>172.64599999999999</v>
      </c>
    </row>
    <row r="587" spans="22:57">
      <c r="V587" s="346">
        <v>6480</v>
      </c>
      <c r="W587" s="333">
        <v>356.24599999999998</v>
      </c>
      <c r="X587" s="346">
        <v>6490</v>
      </c>
      <c r="Y587" s="334">
        <v>353.58</v>
      </c>
      <c r="Z587" s="335">
        <v>6480</v>
      </c>
      <c r="AA587" s="334">
        <v>804.02</v>
      </c>
      <c r="AB587" s="336">
        <v>6480</v>
      </c>
      <c r="AC587" s="334">
        <v>803.91099999999994</v>
      </c>
      <c r="AD587" s="336">
        <v>6480</v>
      </c>
      <c r="AE587" s="334">
        <v>708.53499999999997</v>
      </c>
      <c r="AF587" s="336">
        <v>6480</v>
      </c>
      <c r="AG587" s="334">
        <v>708.08</v>
      </c>
      <c r="AH587" s="336">
        <v>6480</v>
      </c>
      <c r="AI587" s="334">
        <v>708.375</v>
      </c>
      <c r="AJ587" s="336">
        <v>6460</v>
      </c>
      <c r="AK587" s="334">
        <v>709.49199999999996</v>
      </c>
      <c r="AL587" s="336">
        <v>6480</v>
      </c>
      <c r="AM587" s="334">
        <v>709.10599999999999</v>
      </c>
      <c r="AN587" s="336">
        <v>6480</v>
      </c>
      <c r="AO587" s="334">
        <v>709.75699999999995</v>
      </c>
      <c r="AP587" s="336">
        <v>6470</v>
      </c>
      <c r="AQ587" s="334">
        <v>709.03800000000001</v>
      </c>
      <c r="AR587" s="336">
        <v>6480</v>
      </c>
      <c r="AS587" s="334">
        <v>708.61400000000003</v>
      </c>
      <c r="AT587" s="336">
        <v>6480</v>
      </c>
      <c r="AU587" s="334">
        <v>707.01900000000001</v>
      </c>
      <c r="AV587" s="336">
        <v>6480</v>
      </c>
      <c r="AW587" s="334">
        <v>707.14099999999996</v>
      </c>
      <c r="AX587" s="336">
        <v>6470</v>
      </c>
      <c r="AY587" s="334">
        <v>630.99900000000002</v>
      </c>
      <c r="AZ587" s="336">
        <v>6480</v>
      </c>
      <c r="BA587" s="337">
        <v>632.53200000000004</v>
      </c>
      <c r="BB587" s="336">
        <v>6460</v>
      </c>
      <c r="BC587" s="334">
        <v>163.89099999999999</v>
      </c>
      <c r="BD587" s="336">
        <v>6460</v>
      </c>
      <c r="BE587" s="334">
        <v>172.24799999999999</v>
      </c>
    </row>
    <row r="588" spans="22:57">
      <c r="V588" s="346">
        <v>6490</v>
      </c>
      <c r="W588" s="333">
        <v>355.488</v>
      </c>
      <c r="X588" s="346">
        <v>6500</v>
      </c>
      <c r="Y588" s="334">
        <v>352.827</v>
      </c>
      <c r="Z588" s="335">
        <v>6490</v>
      </c>
      <c r="AA588" s="334">
        <v>802.54100000000005</v>
      </c>
      <c r="AB588" s="336">
        <v>6490</v>
      </c>
      <c r="AC588" s="334">
        <v>802.43499999999995</v>
      </c>
      <c r="AD588" s="336">
        <v>6490</v>
      </c>
      <c r="AE588" s="334">
        <v>707.32299999999998</v>
      </c>
      <c r="AF588" s="336">
        <v>6490</v>
      </c>
      <c r="AG588" s="334">
        <v>706.86699999999996</v>
      </c>
      <c r="AH588" s="336">
        <v>6490</v>
      </c>
      <c r="AI588" s="334">
        <v>707.16200000000003</v>
      </c>
      <c r="AJ588" s="336">
        <v>6470</v>
      </c>
      <c r="AK588" s="334">
        <v>708.279</v>
      </c>
      <c r="AL588" s="336">
        <v>6490</v>
      </c>
      <c r="AM588" s="334">
        <v>707.89400000000001</v>
      </c>
      <c r="AN588" s="336">
        <v>6490</v>
      </c>
      <c r="AO588" s="334">
        <v>708.54499999999996</v>
      </c>
      <c r="AP588" s="336">
        <v>6480</v>
      </c>
      <c r="AQ588" s="334">
        <v>707.82799999999997</v>
      </c>
      <c r="AR588" s="336">
        <v>6490</v>
      </c>
      <c r="AS588" s="334">
        <v>707.40300000000002</v>
      </c>
      <c r="AT588" s="336">
        <v>6490</v>
      </c>
      <c r="AU588" s="334">
        <v>705.80799999999999</v>
      </c>
      <c r="AV588" s="336">
        <v>6490</v>
      </c>
      <c r="AW588" s="334">
        <v>705.93100000000004</v>
      </c>
      <c r="AX588" s="336">
        <v>6480</v>
      </c>
      <c r="AY588" s="334">
        <v>629.78800000000001</v>
      </c>
      <c r="AZ588" s="336">
        <v>6490</v>
      </c>
      <c r="BA588" s="337">
        <v>631.322</v>
      </c>
      <c r="BB588" s="336">
        <v>6470</v>
      </c>
      <c r="BC588" s="334">
        <v>163.50700000000001</v>
      </c>
      <c r="BD588" s="336">
        <v>6470</v>
      </c>
      <c r="BE588" s="334">
        <v>171.84899999999999</v>
      </c>
    </row>
    <row r="589" spans="22:57">
      <c r="V589" s="346">
        <v>6500</v>
      </c>
      <c r="W589" s="333">
        <v>354.73</v>
      </c>
      <c r="X589" s="346">
        <v>6510</v>
      </c>
      <c r="Y589" s="334">
        <v>352.07299999999998</v>
      </c>
      <c r="Z589" s="335">
        <v>6500</v>
      </c>
      <c r="AA589" s="334">
        <v>801.06200000000001</v>
      </c>
      <c r="AB589" s="336">
        <v>6500</v>
      </c>
      <c r="AC589" s="334">
        <v>800.95799999999997</v>
      </c>
      <c r="AD589" s="336">
        <v>6500</v>
      </c>
      <c r="AE589" s="334">
        <v>706.11</v>
      </c>
      <c r="AF589" s="336">
        <v>6500</v>
      </c>
      <c r="AG589" s="334">
        <v>705.65300000000002</v>
      </c>
      <c r="AH589" s="336">
        <v>6500</v>
      </c>
      <c r="AI589" s="334">
        <v>705.95</v>
      </c>
      <c r="AJ589" s="336">
        <v>6480</v>
      </c>
      <c r="AK589" s="334">
        <v>707.06600000000003</v>
      </c>
      <c r="AL589" s="336">
        <v>6500</v>
      </c>
      <c r="AM589" s="334">
        <v>706.68100000000004</v>
      </c>
      <c r="AN589" s="336">
        <v>6500</v>
      </c>
      <c r="AO589" s="334">
        <v>707.33299999999997</v>
      </c>
      <c r="AP589" s="336">
        <v>6490</v>
      </c>
      <c r="AQ589" s="334">
        <v>706.61800000000005</v>
      </c>
      <c r="AR589" s="336">
        <v>6500</v>
      </c>
      <c r="AS589" s="334">
        <v>706.19200000000001</v>
      </c>
      <c r="AT589" s="336">
        <v>6500</v>
      </c>
      <c r="AU589" s="334">
        <v>704.59699999999998</v>
      </c>
      <c r="AV589" s="336">
        <v>6500</v>
      </c>
      <c r="AW589" s="334">
        <v>704.721</v>
      </c>
      <c r="AX589" s="336">
        <v>6490</v>
      </c>
      <c r="AY589" s="334">
        <v>628.57799999999997</v>
      </c>
      <c r="AZ589" s="336">
        <v>6500</v>
      </c>
      <c r="BA589" s="337">
        <v>630.11199999999997</v>
      </c>
      <c r="BB589" s="336">
        <v>6480</v>
      </c>
      <c r="BC589" s="334">
        <v>163.12299999999999</v>
      </c>
      <c r="BD589" s="336">
        <v>6480</v>
      </c>
      <c r="BE589" s="334">
        <v>171.45099999999999</v>
      </c>
    </row>
    <row r="590" spans="22:57">
      <c r="V590" s="346">
        <v>6510</v>
      </c>
      <c r="W590" s="333">
        <v>353.97199999999998</v>
      </c>
      <c r="X590" s="346">
        <v>6520</v>
      </c>
      <c r="Y590" s="334">
        <v>351.32</v>
      </c>
      <c r="Z590" s="335">
        <v>6510</v>
      </c>
      <c r="AA590" s="334">
        <v>799.58399999999995</v>
      </c>
      <c r="AB590" s="336">
        <v>6510</v>
      </c>
      <c r="AC590" s="334">
        <v>799.48199999999997</v>
      </c>
      <c r="AD590" s="336">
        <v>6510</v>
      </c>
      <c r="AE590" s="334">
        <v>704.89800000000002</v>
      </c>
      <c r="AF590" s="336">
        <v>6510</v>
      </c>
      <c r="AG590" s="334">
        <v>704.44</v>
      </c>
      <c r="AH590" s="336">
        <v>6510</v>
      </c>
      <c r="AI590" s="334">
        <v>704.73699999999997</v>
      </c>
      <c r="AJ590" s="336">
        <v>6490</v>
      </c>
      <c r="AK590" s="334">
        <v>705.85400000000004</v>
      </c>
      <c r="AL590" s="336">
        <v>6510</v>
      </c>
      <c r="AM590" s="334">
        <v>705.46900000000005</v>
      </c>
      <c r="AN590" s="336">
        <v>6510</v>
      </c>
      <c r="AO590" s="334">
        <v>706.12</v>
      </c>
      <c r="AP590" s="336">
        <v>6500</v>
      </c>
      <c r="AQ590" s="334">
        <v>705.40800000000002</v>
      </c>
      <c r="AR590" s="336">
        <v>6510</v>
      </c>
      <c r="AS590" s="334">
        <v>704.98199999999997</v>
      </c>
      <c r="AT590" s="336">
        <v>6510</v>
      </c>
      <c r="AU590" s="334">
        <v>703.38599999999997</v>
      </c>
      <c r="AV590" s="336">
        <v>6510</v>
      </c>
      <c r="AW590" s="334">
        <v>703.51099999999997</v>
      </c>
      <c r="AX590" s="336">
        <v>6500</v>
      </c>
      <c r="AY590" s="334">
        <v>627.36699999999996</v>
      </c>
      <c r="AZ590" s="336">
        <v>6510</v>
      </c>
      <c r="BA590" s="337">
        <v>628.90200000000004</v>
      </c>
      <c r="BB590" s="336">
        <v>6490</v>
      </c>
      <c r="BC590" s="334">
        <v>162.739</v>
      </c>
      <c r="BD590" s="336">
        <v>6490</v>
      </c>
      <c r="BE590" s="334">
        <v>171.053</v>
      </c>
    </row>
    <row r="591" spans="22:57">
      <c r="V591" s="346">
        <v>6520</v>
      </c>
      <c r="W591" s="333">
        <v>353.214</v>
      </c>
      <c r="X591" s="346">
        <v>6530</v>
      </c>
      <c r="Y591" s="334">
        <v>350.56700000000001</v>
      </c>
      <c r="Z591" s="335">
        <v>6520</v>
      </c>
      <c r="AA591" s="334">
        <v>798.10500000000002</v>
      </c>
      <c r="AB591" s="336">
        <v>6520</v>
      </c>
      <c r="AC591" s="334">
        <v>798.005</v>
      </c>
      <c r="AD591" s="336">
        <v>6520</v>
      </c>
      <c r="AE591" s="370">
        <v>703.68499999999995</v>
      </c>
      <c r="AF591" s="336">
        <v>6520</v>
      </c>
      <c r="AG591" s="334">
        <v>703.226</v>
      </c>
      <c r="AH591" s="336">
        <v>6520</v>
      </c>
      <c r="AI591" s="334">
        <v>703.52499999999998</v>
      </c>
      <c r="AJ591" s="336">
        <v>6500</v>
      </c>
      <c r="AK591" s="334">
        <v>704.64099999999996</v>
      </c>
      <c r="AL591" s="336">
        <v>6520</v>
      </c>
      <c r="AM591" s="334">
        <v>704.25599999999997</v>
      </c>
      <c r="AN591" s="336">
        <v>6520</v>
      </c>
      <c r="AO591" s="334">
        <v>704.90800000000002</v>
      </c>
      <c r="AP591" s="336">
        <v>6510</v>
      </c>
      <c r="AQ591" s="334">
        <v>704.19799999999998</v>
      </c>
      <c r="AR591" s="336">
        <v>6520</v>
      </c>
      <c r="AS591" s="334">
        <v>703.77099999999996</v>
      </c>
      <c r="AT591" s="336">
        <v>6520</v>
      </c>
      <c r="AU591" s="334">
        <v>702.17399999999998</v>
      </c>
      <c r="AV591" s="336">
        <v>6520</v>
      </c>
      <c r="AW591" s="334">
        <v>702.30100000000004</v>
      </c>
      <c r="AX591" s="336">
        <v>6510</v>
      </c>
      <c r="AY591" s="334">
        <v>626.15599999999995</v>
      </c>
      <c r="AZ591" s="336">
        <v>6520</v>
      </c>
      <c r="BA591" s="337">
        <v>627.69200000000001</v>
      </c>
      <c r="BB591" s="336">
        <v>6500</v>
      </c>
      <c r="BC591" s="334">
        <v>162.35499999999999</v>
      </c>
      <c r="BD591" s="336">
        <v>6500</v>
      </c>
      <c r="BE591" s="334">
        <v>170.655</v>
      </c>
    </row>
    <row r="592" spans="22:57">
      <c r="V592" s="346">
        <v>6530</v>
      </c>
      <c r="W592" s="333">
        <v>352.45600000000002</v>
      </c>
      <c r="X592" s="346">
        <v>6540</v>
      </c>
      <c r="Y592" s="334">
        <v>349.81400000000002</v>
      </c>
      <c r="Z592" s="335">
        <v>6530</v>
      </c>
      <c r="AA592" s="334">
        <v>796.62699999999995</v>
      </c>
      <c r="AB592" s="336">
        <v>6530</v>
      </c>
      <c r="AC592" s="334">
        <v>796.529</v>
      </c>
      <c r="AD592" s="336">
        <v>6530</v>
      </c>
      <c r="AE592" s="334">
        <v>702.47299999999996</v>
      </c>
      <c r="AF592" s="336">
        <v>6530</v>
      </c>
      <c r="AG592" s="334">
        <v>702.01300000000003</v>
      </c>
      <c r="AH592" s="336">
        <v>6530</v>
      </c>
      <c r="AI592" s="334">
        <v>702.31200000000001</v>
      </c>
      <c r="AJ592" s="336">
        <v>6510</v>
      </c>
      <c r="AK592" s="334">
        <v>703.428</v>
      </c>
      <c r="AL592" s="336">
        <v>6530</v>
      </c>
      <c r="AM592" s="334">
        <v>703.04399999999998</v>
      </c>
      <c r="AN592" s="336">
        <v>6530</v>
      </c>
      <c r="AO592" s="334">
        <v>703.69600000000003</v>
      </c>
      <c r="AP592" s="336">
        <v>6520</v>
      </c>
      <c r="AQ592" s="334">
        <v>702.98800000000006</v>
      </c>
      <c r="AR592" s="336">
        <v>6530</v>
      </c>
      <c r="AS592" s="334">
        <v>702.56</v>
      </c>
      <c r="AT592" s="336">
        <v>6530</v>
      </c>
      <c r="AU592" s="334">
        <v>700.96299999999997</v>
      </c>
      <c r="AV592" s="336">
        <v>6530</v>
      </c>
      <c r="AW592" s="334">
        <v>701.09100000000001</v>
      </c>
      <c r="AX592" s="336">
        <v>6520</v>
      </c>
      <c r="AY592" s="334">
        <v>624.94600000000003</v>
      </c>
      <c r="AZ592" s="336">
        <v>6530</v>
      </c>
      <c r="BA592" s="337">
        <v>626.48199999999997</v>
      </c>
      <c r="BB592" s="336">
        <v>6510</v>
      </c>
      <c r="BC592" s="334">
        <v>161.971</v>
      </c>
      <c r="BD592" s="336">
        <v>6510</v>
      </c>
      <c r="BE592" s="334">
        <v>170.25700000000001</v>
      </c>
    </row>
    <row r="593" spans="22:57">
      <c r="V593" s="346">
        <v>6540</v>
      </c>
      <c r="W593" s="333">
        <v>351.69799999999998</v>
      </c>
      <c r="X593" s="346">
        <v>6550</v>
      </c>
      <c r="Y593" s="334">
        <v>349.06200000000001</v>
      </c>
      <c r="Z593" s="335">
        <v>6540</v>
      </c>
      <c r="AA593" s="334">
        <v>795.149</v>
      </c>
      <c r="AB593" s="336">
        <v>6540</v>
      </c>
      <c r="AC593" s="334">
        <v>795.053</v>
      </c>
      <c r="AD593" s="336">
        <v>6540</v>
      </c>
      <c r="AE593" s="334">
        <v>701.26</v>
      </c>
      <c r="AF593" s="336">
        <v>6540</v>
      </c>
      <c r="AG593" s="334">
        <v>700.79899999999998</v>
      </c>
      <c r="AH593" s="336">
        <v>6540</v>
      </c>
      <c r="AI593" s="334">
        <v>701.1</v>
      </c>
      <c r="AJ593" s="336">
        <v>6520</v>
      </c>
      <c r="AK593" s="334">
        <v>702.21600000000001</v>
      </c>
      <c r="AL593" s="336">
        <v>6540</v>
      </c>
      <c r="AM593" s="334">
        <v>701.83100000000002</v>
      </c>
      <c r="AN593" s="336">
        <v>6540</v>
      </c>
      <c r="AO593" s="334">
        <v>702.48400000000004</v>
      </c>
      <c r="AP593" s="336">
        <v>6530</v>
      </c>
      <c r="AQ593" s="334">
        <v>701.77800000000002</v>
      </c>
      <c r="AR593" s="336">
        <v>6540</v>
      </c>
      <c r="AS593" s="334">
        <v>701.34900000000005</v>
      </c>
      <c r="AT593" s="336">
        <v>6540</v>
      </c>
      <c r="AU593" s="334">
        <v>699.75199999999995</v>
      </c>
      <c r="AV593" s="336">
        <v>6540</v>
      </c>
      <c r="AW593" s="334">
        <v>699.88099999999997</v>
      </c>
      <c r="AX593" s="336">
        <v>6530</v>
      </c>
      <c r="AY593" s="334">
        <v>623.73500000000001</v>
      </c>
      <c r="AZ593" s="336">
        <v>6540</v>
      </c>
      <c r="BA593" s="337">
        <v>625.27200000000005</v>
      </c>
      <c r="BB593" s="336">
        <v>6520</v>
      </c>
      <c r="BC593" s="334">
        <v>161.58799999999999</v>
      </c>
      <c r="BD593" s="336">
        <v>6520</v>
      </c>
      <c r="BE593" s="334">
        <v>169.85900000000001</v>
      </c>
    </row>
    <row r="594" spans="22:57">
      <c r="V594" s="346">
        <v>6550</v>
      </c>
      <c r="W594" s="333">
        <v>350.94099999999997</v>
      </c>
      <c r="X594" s="346">
        <v>6560</v>
      </c>
      <c r="Y594" s="334">
        <v>348.30900000000003</v>
      </c>
      <c r="Z594" s="335">
        <v>6550</v>
      </c>
      <c r="AA594" s="334">
        <v>793.67100000000005</v>
      </c>
      <c r="AB594" s="336">
        <v>6550</v>
      </c>
      <c r="AC594" s="334">
        <v>793.577</v>
      </c>
      <c r="AD594" s="336">
        <v>6550</v>
      </c>
      <c r="AE594" s="334">
        <v>700.04700000000003</v>
      </c>
      <c r="AF594" s="336">
        <v>6550</v>
      </c>
      <c r="AG594" s="334">
        <v>699.58500000000004</v>
      </c>
      <c r="AH594" s="336">
        <v>6550</v>
      </c>
      <c r="AI594" s="334">
        <v>699.88699999999994</v>
      </c>
      <c r="AJ594" s="336">
        <v>6530</v>
      </c>
      <c r="AK594" s="334">
        <v>701.00300000000004</v>
      </c>
      <c r="AL594" s="336">
        <v>6550</v>
      </c>
      <c r="AM594" s="334">
        <v>700.61900000000003</v>
      </c>
      <c r="AN594" s="336">
        <v>6550</v>
      </c>
      <c r="AO594" s="334">
        <v>701.27200000000005</v>
      </c>
      <c r="AP594" s="336">
        <v>6540</v>
      </c>
      <c r="AQ594" s="334">
        <v>700.56799999999998</v>
      </c>
      <c r="AR594" s="336">
        <v>6550</v>
      </c>
      <c r="AS594" s="334">
        <v>700.13800000000003</v>
      </c>
      <c r="AT594" s="336">
        <v>6550</v>
      </c>
      <c r="AU594" s="334">
        <v>698.54100000000005</v>
      </c>
      <c r="AV594" s="336">
        <v>6550</v>
      </c>
      <c r="AW594" s="334">
        <v>698.67100000000005</v>
      </c>
      <c r="AX594" s="336">
        <v>6540</v>
      </c>
      <c r="AY594" s="334">
        <v>622.524</v>
      </c>
      <c r="AZ594" s="336">
        <v>6550</v>
      </c>
      <c r="BA594" s="337">
        <v>624.06299999999999</v>
      </c>
      <c r="BB594" s="336">
        <v>6530</v>
      </c>
      <c r="BC594" s="334">
        <v>161.20400000000001</v>
      </c>
      <c r="BD594" s="336">
        <v>6530</v>
      </c>
      <c r="BE594" s="334">
        <v>169.46100000000001</v>
      </c>
    </row>
    <row r="595" spans="22:57">
      <c r="V595" s="346">
        <v>6560</v>
      </c>
      <c r="W595" s="333">
        <v>350.18400000000003</v>
      </c>
      <c r="X595" s="346">
        <v>6570</v>
      </c>
      <c r="Y595" s="334">
        <v>347.55700000000002</v>
      </c>
      <c r="Z595" s="335">
        <v>6560</v>
      </c>
      <c r="AA595" s="334">
        <v>792.19299999999998</v>
      </c>
      <c r="AB595" s="336">
        <v>6560</v>
      </c>
      <c r="AC595" s="334">
        <v>792.101</v>
      </c>
      <c r="AD595" s="336">
        <v>6560</v>
      </c>
      <c r="AE595" s="334">
        <v>698.83500000000004</v>
      </c>
      <c r="AF595" s="336">
        <v>6560</v>
      </c>
      <c r="AG595" s="334">
        <v>698.37199999999996</v>
      </c>
      <c r="AH595" s="336">
        <v>6560</v>
      </c>
      <c r="AI595" s="334">
        <v>698.67499999999995</v>
      </c>
      <c r="AJ595" s="336">
        <v>6540</v>
      </c>
      <c r="AK595" s="334">
        <v>699.79</v>
      </c>
      <c r="AL595" s="336">
        <v>6560</v>
      </c>
      <c r="AM595" s="334">
        <v>699.40599999999995</v>
      </c>
      <c r="AN595" s="336">
        <v>6560</v>
      </c>
      <c r="AO595" s="334">
        <v>700.05899999999997</v>
      </c>
      <c r="AP595" s="336">
        <v>6550</v>
      </c>
      <c r="AQ595" s="334">
        <v>699.35799999999995</v>
      </c>
      <c r="AR595" s="336">
        <v>6560</v>
      </c>
      <c r="AS595" s="334">
        <v>698.92700000000002</v>
      </c>
      <c r="AT595" s="336">
        <v>6560</v>
      </c>
      <c r="AU595" s="334">
        <v>697.32899999999995</v>
      </c>
      <c r="AV595" s="336">
        <v>6560</v>
      </c>
      <c r="AW595" s="334">
        <v>697.46100000000001</v>
      </c>
      <c r="AX595" s="336">
        <v>6550</v>
      </c>
      <c r="AY595" s="334">
        <v>621.31399999999996</v>
      </c>
      <c r="AZ595" s="336">
        <v>6560</v>
      </c>
      <c r="BA595" s="337">
        <v>622.85299999999995</v>
      </c>
      <c r="BB595" s="336">
        <v>6540</v>
      </c>
      <c r="BC595" s="334">
        <v>160.821</v>
      </c>
      <c r="BD595" s="336">
        <v>6540</v>
      </c>
      <c r="BE595" s="334">
        <v>169.06399999999999</v>
      </c>
    </row>
    <row r="596" spans="22:57">
      <c r="V596" s="346">
        <v>6570</v>
      </c>
      <c r="W596" s="333">
        <v>349.42700000000002</v>
      </c>
      <c r="X596" s="346">
        <v>6580</v>
      </c>
      <c r="Y596" s="334">
        <v>346.80500000000001</v>
      </c>
      <c r="Z596" s="335">
        <v>6570</v>
      </c>
      <c r="AA596" s="334">
        <v>790.71500000000003</v>
      </c>
      <c r="AB596" s="336">
        <v>6570</v>
      </c>
      <c r="AC596" s="334">
        <v>790.625</v>
      </c>
      <c r="AD596" s="336">
        <v>6570</v>
      </c>
      <c r="AE596" s="334">
        <v>697.62199999999996</v>
      </c>
      <c r="AF596" s="336">
        <v>6570</v>
      </c>
      <c r="AG596" s="334">
        <v>697.15800000000002</v>
      </c>
      <c r="AH596" s="336">
        <v>6570</v>
      </c>
      <c r="AI596" s="334">
        <v>697.46299999999997</v>
      </c>
      <c r="AJ596" s="336">
        <v>6550</v>
      </c>
      <c r="AK596" s="334">
        <v>698.577</v>
      </c>
      <c r="AL596" s="336">
        <v>6570</v>
      </c>
      <c r="AM596" s="334">
        <v>698.19399999999996</v>
      </c>
      <c r="AN596" s="336">
        <v>6570</v>
      </c>
      <c r="AO596" s="334">
        <v>698.84699999999998</v>
      </c>
      <c r="AP596" s="336">
        <v>6560</v>
      </c>
      <c r="AQ596" s="334">
        <v>698.14800000000002</v>
      </c>
      <c r="AR596" s="336">
        <v>6570</v>
      </c>
      <c r="AS596" s="334">
        <v>697.71600000000001</v>
      </c>
      <c r="AT596" s="336">
        <v>6570</v>
      </c>
      <c r="AU596" s="334">
        <v>696.11800000000005</v>
      </c>
      <c r="AV596" s="336">
        <v>6570</v>
      </c>
      <c r="AW596" s="334">
        <v>696.25099999999998</v>
      </c>
      <c r="AX596" s="336">
        <v>6560</v>
      </c>
      <c r="AY596" s="334">
        <v>620.10299999999995</v>
      </c>
      <c r="AZ596" s="336">
        <v>6570</v>
      </c>
      <c r="BA596" s="337">
        <v>621.64300000000003</v>
      </c>
      <c r="BB596" s="336">
        <v>6550</v>
      </c>
      <c r="BC596" s="334">
        <v>160.43700000000001</v>
      </c>
      <c r="BD596" s="336">
        <v>6550</v>
      </c>
      <c r="BE596" s="334">
        <v>168.666</v>
      </c>
    </row>
    <row r="597" spans="22:57">
      <c r="V597" s="346">
        <v>6580</v>
      </c>
      <c r="W597" s="333">
        <v>348.67</v>
      </c>
      <c r="X597" s="346">
        <v>6590</v>
      </c>
      <c r="Y597" s="334">
        <v>346.053</v>
      </c>
      <c r="Z597" s="335">
        <v>6580</v>
      </c>
      <c r="AA597" s="334">
        <v>789.23800000000006</v>
      </c>
      <c r="AB597" s="336">
        <v>6580</v>
      </c>
      <c r="AC597" s="334">
        <v>789.149</v>
      </c>
      <c r="AD597" s="336">
        <v>6580</v>
      </c>
      <c r="AE597" s="334">
        <v>696.41</v>
      </c>
      <c r="AF597" s="336">
        <v>6580</v>
      </c>
      <c r="AG597" s="334">
        <v>695.94399999999996</v>
      </c>
      <c r="AH597" s="336">
        <v>6580</v>
      </c>
      <c r="AI597" s="334">
        <v>696.25</v>
      </c>
      <c r="AJ597" s="336">
        <v>6560</v>
      </c>
      <c r="AK597" s="334">
        <v>697.36500000000001</v>
      </c>
      <c r="AL597" s="336">
        <v>6580</v>
      </c>
      <c r="AM597" s="334">
        <v>696.98099999999999</v>
      </c>
      <c r="AN597" s="336">
        <v>6580</v>
      </c>
      <c r="AO597" s="334">
        <v>697.63499999999999</v>
      </c>
      <c r="AP597" s="336">
        <v>6570</v>
      </c>
      <c r="AQ597" s="334">
        <v>696.93799999999999</v>
      </c>
      <c r="AR597" s="336">
        <v>6580</v>
      </c>
      <c r="AS597" s="334">
        <v>696.505</v>
      </c>
      <c r="AT597" s="336">
        <v>6580</v>
      </c>
      <c r="AU597" s="334">
        <v>694.90700000000004</v>
      </c>
      <c r="AV597" s="336">
        <v>6580</v>
      </c>
      <c r="AW597" s="334">
        <v>695.04100000000005</v>
      </c>
      <c r="AX597" s="336">
        <v>6570</v>
      </c>
      <c r="AY597" s="334">
        <v>618.89200000000005</v>
      </c>
      <c r="AZ597" s="336">
        <v>6580</v>
      </c>
      <c r="BA597" s="337">
        <v>620.43299999999999</v>
      </c>
      <c r="BB597" s="336">
        <v>6560</v>
      </c>
      <c r="BC597" s="334">
        <v>160.054</v>
      </c>
      <c r="BD597" s="336">
        <v>6560</v>
      </c>
      <c r="BE597" s="334">
        <v>168.26900000000001</v>
      </c>
    </row>
    <row r="598" spans="22:57">
      <c r="V598" s="346">
        <v>6590</v>
      </c>
      <c r="W598" s="333">
        <v>347.91399999999999</v>
      </c>
      <c r="X598" s="346">
        <v>6600</v>
      </c>
      <c r="Y598" s="334">
        <v>345.30200000000002</v>
      </c>
      <c r="Z598" s="335">
        <v>6590</v>
      </c>
      <c r="AA598" s="334">
        <v>787.76</v>
      </c>
      <c r="AB598" s="336">
        <v>6590</v>
      </c>
      <c r="AC598" s="334">
        <v>787.673</v>
      </c>
      <c r="AD598" s="336">
        <v>6590</v>
      </c>
      <c r="AE598" s="334">
        <v>695.197</v>
      </c>
      <c r="AF598" s="336">
        <v>6590</v>
      </c>
      <c r="AG598" s="334">
        <v>694.73099999999999</v>
      </c>
      <c r="AH598" s="336">
        <v>6590</v>
      </c>
      <c r="AI598" s="334">
        <v>695.03800000000001</v>
      </c>
      <c r="AJ598" s="336">
        <v>6570</v>
      </c>
      <c r="AK598" s="334">
        <v>696.15200000000004</v>
      </c>
      <c r="AL598" s="336">
        <v>6590</v>
      </c>
      <c r="AM598" s="334">
        <v>695.76900000000001</v>
      </c>
      <c r="AN598" s="336">
        <v>6590</v>
      </c>
      <c r="AO598" s="334">
        <v>696.423</v>
      </c>
      <c r="AP598" s="336">
        <v>6580</v>
      </c>
      <c r="AQ598" s="334">
        <v>695.72799999999995</v>
      </c>
      <c r="AR598" s="336">
        <v>6590</v>
      </c>
      <c r="AS598" s="334">
        <v>695.29399999999998</v>
      </c>
      <c r="AT598" s="336">
        <v>6590</v>
      </c>
      <c r="AU598" s="334">
        <v>693.69600000000003</v>
      </c>
      <c r="AV598" s="336">
        <v>6590</v>
      </c>
      <c r="AW598" s="334">
        <v>693.83100000000002</v>
      </c>
      <c r="AX598" s="336">
        <v>6580</v>
      </c>
      <c r="AY598" s="334">
        <v>617.68200000000002</v>
      </c>
      <c r="AZ598" s="336">
        <v>6590</v>
      </c>
      <c r="BA598" s="337">
        <v>619.22299999999996</v>
      </c>
      <c r="BB598" s="336">
        <v>6570</v>
      </c>
      <c r="BC598" s="334">
        <v>159.67099999999999</v>
      </c>
      <c r="BD598" s="336">
        <v>6570</v>
      </c>
      <c r="BE598" s="334">
        <v>167.87100000000001</v>
      </c>
    </row>
    <row r="599" spans="22:57">
      <c r="V599" s="346">
        <v>6600</v>
      </c>
      <c r="W599" s="333">
        <v>347.15800000000002</v>
      </c>
      <c r="X599" s="346">
        <v>6610</v>
      </c>
      <c r="Y599" s="334">
        <v>344.55</v>
      </c>
      <c r="Z599" s="335">
        <v>6600</v>
      </c>
      <c r="AA599" s="334">
        <v>786.28300000000002</v>
      </c>
      <c r="AB599" s="336">
        <v>6600</v>
      </c>
      <c r="AC599" s="334">
        <v>786.19799999999998</v>
      </c>
      <c r="AD599" s="336">
        <v>6600</v>
      </c>
      <c r="AE599" s="334">
        <v>693.98500000000001</v>
      </c>
      <c r="AF599" s="336">
        <v>6600</v>
      </c>
      <c r="AG599" s="334">
        <v>693.51700000000005</v>
      </c>
      <c r="AH599" s="336">
        <v>6600</v>
      </c>
      <c r="AI599" s="334">
        <v>693.82500000000005</v>
      </c>
      <c r="AJ599" s="336">
        <v>6580</v>
      </c>
      <c r="AK599" s="334">
        <v>694.93899999999996</v>
      </c>
      <c r="AL599" s="336">
        <v>6600</v>
      </c>
      <c r="AM599" s="334">
        <v>694.55600000000004</v>
      </c>
      <c r="AN599" s="336">
        <v>6600</v>
      </c>
      <c r="AO599" s="334">
        <v>695.21</v>
      </c>
      <c r="AP599" s="336">
        <v>6590</v>
      </c>
      <c r="AQ599" s="334">
        <v>694.51800000000003</v>
      </c>
      <c r="AR599" s="336">
        <v>6600</v>
      </c>
      <c r="AS599" s="334">
        <v>694.08299999999997</v>
      </c>
      <c r="AT599" s="336">
        <v>6600</v>
      </c>
      <c r="AU599" s="334">
        <v>692.48500000000001</v>
      </c>
      <c r="AV599" s="336">
        <v>6600</v>
      </c>
      <c r="AW599" s="334">
        <v>692.62099999999998</v>
      </c>
      <c r="AX599" s="336">
        <v>6590</v>
      </c>
      <c r="AY599" s="334">
        <v>616.471</v>
      </c>
      <c r="AZ599" s="336">
        <v>6600</v>
      </c>
      <c r="BA599" s="337">
        <v>618.01300000000003</v>
      </c>
      <c r="BB599" s="336">
        <v>6580</v>
      </c>
      <c r="BC599" s="334">
        <v>159.28800000000001</v>
      </c>
      <c r="BD599" s="336">
        <v>6580</v>
      </c>
      <c r="BE599" s="334">
        <v>167.47399999999999</v>
      </c>
    </row>
    <row r="600" spans="22:57">
      <c r="V600" s="346">
        <v>6610</v>
      </c>
      <c r="W600" s="333">
        <v>346.40199999999999</v>
      </c>
      <c r="X600" s="346">
        <v>6620</v>
      </c>
      <c r="Y600" s="334">
        <v>343.79899999999998</v>
      </c>
      <c r="Z600" s="335">
        <v>6610</v>
      </c>
      <c r="AA600" s="334">
        <v>784.80499999999995</v>
      </c>
      <c r="AB600" s="336">
        <v>6610</v>
      </c>
      <c r="AC600" s="334">
        <v>784.72199999999998</v>
      </c>
      <c r="AD600" s="336">
        <v>6610</v>
      </c>
      <c r="AE600" s="334">
        <v>692.77200000000005</v>
      </c>
      <c r="AF600" s="336">
        <v>6610</v>
      </c>
      <c r="AG600" s="334">
        <v>692.30399999999997</v>
      </c>
      <c r="AH600" s="336">
        <v>6610</v>
      </c>
      <c r="AI600" s="334">
        <v>692.61300000000006</v>
      </c>
      <c r="AJ600" s="336">
        <v>6590</v>
      </c>
      <c r="AK600" s="334">
        <v>693.726</v>
      </c>
      <c r="AL600" s="336">
        <v>6610</v>
      </c>
      <c r="AM600" s="334">
        <v>693.34400000000005</v>
      </c>
      <c r="AN600" s="336">
        <v>6610</v>
      </c>
      <c r="AO600" s="334">
        <v>693.99800000000005</v>
      </c>
      <c r="AP600" s="336">
        <v>6600</v>
      </c>
      <c r="AQ600" s="334">
        <v>693.30799999999999</v>
      </c>
      <c r="AR600" s="336">
        <v>6610</v>
      </c>
      <c r="AS600" s="334">
        <v>692.87199999999996</v>
      </c>
      <c r="AT600" s="336">
        <v>6610</v>
      </c>
      <c r="AU600" s="334">
        <v>691.27300000000002</v>
      </c>
      <c r="AV600" s="336">
        <v>6610</v>
      </c>
      <c r="AW600" s="334">
        <v>691.41099999999994</v>
      </c>
      <c r="AX600" s="336">
        <v>6600</v>
      </c>
      <c r="AY600" s="334">
        <v>615.26</v>
      </c>
      <c r="AZ600" s="336">
        <v>6610</v>
      </c>
      <c r="BA600" s="337">
        <v>616.803</v>
      </c>
      <c r="BB600" s="336">
        <v>6590</v>
      </c>
      <c r="BC600" s="334">
        <v>158.905</v>
      </c>
      <c r="BD600" s="336">
        <v>6590</v>
      </c>
      <c r="BE600" s="334">
        <v>167.077</v>
      </c>
    </row>
    <row r="601" spans="22:57">
      <c r="V601" s="346">
        <v>6620</v>
      </c>
      <c r="W601" s="333">
        <v>345.64600000000002</v>
      </c>
      <c r="X601" s="346">
        <v>6630</v>
      </c>
      <c r="Y601" s="334">
        <v>343.048</v>
      </c>
      <c r="Z601" s="335">
        <v>6620</v>
      </c>
      <c r="AA601" s="334">
        <v>783.32799999999997</v>
      </c>
      <c r="AB601" s="336">
        <v>6620</v>
      </c>
      <c r="AC601" s="334">
        <v>783.24699999999996</v>
      </c>
      <c r="AD601" s="336">
        <v>6620</v>
      </c>
      <c r="AE601" s="334">
        <v>691.56</v>
      </c>
      <c r="AF601" s="336">
        <v>6620</v>
      </c>
      <c r="AG601" s="334">
        <v>691.09</v>
      </c>
      <c r="AH601" s="336">
        <v>6620</v>
      </c>
      <c r="AI601" s="334">
        <v>691.4</v>
      </c>
      <c r="AJ601" s="336">
        <v>6600</v>
      </c>
      <c r="AK601" s="334">
        <v>692.51400000000001</v>
      </c>
      <c r="AL601" s="336">
        <v>6620</v>
      </c>
      <c r="AM601" s="334">
        <v>692.13099999999997</v>
      </c>
      <c r="AN601" s="336">
        <v>6620</v>
      </c>
      <c r="AO601" s="334">
        <v>692.78599999999994</v>
      </c>
      <c r="AP601" s="336">
        <v>6610</v>
      </c>
      <c r="AQ601" s="334">
        <v>692.09799999999996</v>
      </c>
      <c r="AR601" s="336">
        <v>6620</v>
      </c>
      <c r="AS601" s="334">
        <v>691.66200000000003</v>
      </c>
      <c r="AT601" s="336">
        <v>6620</v>
      </c>
      <c r="AU601" s="334">
        <v>690.06200000000001</v>
      </c>
      <c r="AV601" s="336">
        <v>6620</v>
      </c>
      <c r="AW601" s="334">
        <v>690.20100000000002</v>
      </c>
      <c r="AX601" s="336">
        <v>6610</v>
      </c>
      <c r="AY601" s="334">
        <v>614.04999999999995</v>
      </c>
      <c r="AZ601" s="336">
        <v>6620</v>
      </c>
      <c r="BA601" s="337">
        <v>615.59299999999996</v>
      </c>
      <c r="BB601" s="336">
        <v>6600</v>
      </c>
      <c r="BC601" s="334">
        <v>158.52199999999999</v>
      </c>
      <c r="BD601" s="336">
        <v>6600</v>
      </c>
      <c r="BE601" s="334">
        <v>166.68</v>
      </c>
    </row>
    <row r="602" spans="22:57">
      <c r="V602" s="346">
        <v>6630</v>
      </c>
      <c r="W602" s="333">
        <v>344.89</v>
      </c>
      <c r="X602" s="346">
        <v>6640</v>
      </c>
      <c r="Y602" s="334">
        <v>342.29700000000003</v>
      </c>
      <c r="Z602" s="335">
        <v>6630</v>
      </c>
      <c r="AA602" s="334">
        <v>781.851</v>
      </c>
      <c r="AB602" s="336">
        <v>6630</v>
      </c>
      <c r="AC602" s="334">
        <v>781.77200000000005</v>
      </c>
      <c r="AD602" s="336">
        <v>6630</v>
      </c>
      <c r="AE602" s="334">
        <v>690.34699999999998</v>
      </c>
      <c r="AF602" s="336">
        <v>6630</v>
      </c>
      <c r="AG602" s="334">
        <v>689.87699999999995</v>
      </c>
      <c r="AH602" s="336">
        <v>6630</v>
      </c>
      <c r="AI602" s="334">
        <v>690.18799999999999</v>
      </c>
      <c r="AJ602" s="336">
        <v>6610</v>
      </c>
      <c r="AK602" s="334">
        <v>691.30100000000004</v>
      </c>
      <c r="AL602" s="336">
        <v>6630</v>
      </c>
      <c r="AM602" s="334">
        <v>690.91899999999998</v>
      </c>
      <c r="AN602" s="336">
        <v>6630</v>
      </c>
      <c r="AO602" s="334">
        <v>691.57399999999996</v>
      </c>
      <c r="AP602" s="336">
        <v>6620</v>
      </c>
      <c r="AQ602" s="334">
        <v>690.88800000000003</v>
      </c>
      <c r="AR602" s="336">
        <v>6630</v>
      </c>
      <c r="AS602" s="334">
        <v>690.45100000000002</v>
      </c>
      <c r="AT602" s="336">
        <v>6630</v>
      </c>
      <c r="AU602" s="334">
        <v>688.851</v>
      </c>
      <c r="AV602" s="336">
        <v>6630</v>
      </c>
      <c r="AW602" s="334">
        <v>688.99099999999999</v>
      </c>
      <c r="AX602" s="336">
        <v>6620</v>
      </c>
      <c r="AY602" s="334">
        <v>612.83900000000006</v>
      </c>
      <c r="AZ602" s="336">
        <v>6630</v>
      </c>
      <c r="BA602" s="337">
        <v>614.38300000000004</v>
      </c>
      <c r="BB602" s="336">
        <v>6610</v>
      </c>
      <c r="BC602" s="334">
        <v>158.13999999999999</v>
      </c>
      <c r="BD602" s="336">
        <v>6610</v>
      </c>
      <c r="BE602" s="334">
        <v>166.28299999999999</v>
      </c>
    </row>
    <row r="603" spans="22:57">
      <c r="V603" s="346">
        <v>6640</v>
      </c>
      <c r="W603" s="333">
        <v>344.13499999999999</v>
      </c>
      <c r="X603" s="346">
        <v>6650</v>
      </c>
      <c r="Y603" s="334">
        <v>341.54700000000003</v>
      </c>
      <c r="Z603" s="335">
        <v>6640</v>
      </c>
      <c r="AA603" s="334">
        <v>780.37400000000002</v>
      </c>
      <c r="AB603" s="336">
        <v>6640</v>
      </c>
      <c r="AC603" s="334">
        <v>780.29600000000005</v>
      </c>
      <c r="AD603" s="336">
        <v>6640</v>
      </c>
      <c r="AE603" s="334">
        <v>689.13499999999999</v>
      </c>
      <c r="AF603" s="336">
        <v>6640</v>
      </c>
      <c r="AG603" s="334">
        <v>688.66300000000001</v>
      </c>
      <c r="AH603" s="336">
        <v>6640</v>
      </c>
      <c r="AI603" s="334">
        <v>688.976</v>
      </c>
      <c r="AJ603" s="336">
        <v>6620</v>
      </c>
      <c r="AK603" s="334">
        <v>690.08799999999997</v>
      </c>
      <c r="AL603" s="336">
        <v>6640</v>
      </c>
      <c r="AM603" s="334">
        <v>689.70600000000002</v>
      </c>
      <c r="AN603" s="336">
        <v>6640</v>
      </c>
      <c r="AO603" s="334">
        <v>690.36199999999997</v>
      </c>
      <c r="AP603" s="336">
        <v>6630</v>
      </c>
      <c r="AQ603" s="334">
        <v>689.678</v>
      </c>
      <c r="AR603" s="336">
        <v>6640</v>
      </c>
      <c r="AS603" s="334">
        <v>689.24</v>
      </c>
      <c r="AT603" s="336">
        <v>6640</v>
      </c>
      <c r="AU603" s="334">
        <v>687.64</v>
      </c>
      <c r="AV603" s="336">
        <v>6640</v>
      </c>
      <c r="AW603" s="334">
        <v>687.78099999999995</v>
      </c>
      <c r="AX603" s="336">
        <v>6630</v>
      </c>
      <c r="AY603" s="334">
        <v>611.62900000000002</v>
      </c>
      <c r="AZ603" s="336">
        <v>6640</v>
      </c>
      <c r="BA603" s="337">
        <v>613.17399999999998</v>
      </c>
      <c r="BB603" s="336">
        <v>6620</v>
      </c>
      <c r="BC603" s="334">
        <v>157.75700000000001</v>
      </c>
      <c r="BD603" s="336">
        <v>6620</v>
      </c>
      <c r="BE603" s="334">
        <v>165.886</v>
      </c>
    </row>
    <row r="604" spans="22:57">
      <c r="V604" s="346">
        <v>6650</v>
      </c>
      <c r="W604" s="333">
        <v>343.37900000000002</v>
      </c>
      <c r="X604" s="346">
        <v>6660</v>
      </c>
      <c r="Y604" s="334">
        <v>340.79599999999999</v>
      </c>
      <c r="Z604" s="335">
        <v>6650</v>
      </c>
      <c r="AA604" s="334">
        <v>778.89700000000005</v>
      </c>
      <c r="AB604" s="336">
        <v>6650</v>
      </c>
      <c r="AC604" s="334">
        <v>778.82100000000003</v>
      </c>
      <c r="AD604" s="336">
        <v>6650</v>
      </c>
      <c r="AE604" s="334">
        <v>687.92200000000003</v>
      </c>
      <c r="AF604" s="336">
        <v>6650</v>
      </c>
      <c r="AG604" s="334">
        <v>687.44899999999996</v>
      </c>
      <c r="AH604" s="336">
        <v>6650</v>
      </c>
      <c r="AI604" s="334">
        <v>687.76300000000003</v>
      </c>
      <c r="AJ604" s="336">
        <v>6630</v>
      </c>
      <c r="AK604" s="334">
        <v>688.87599999999998</v>
      </c>
      <c r="AL604" s="336">
        <v>6650</v>
      </c>
      <c r="AM604" s="334">
        <v>688.49400000000003</v>
      </c>
      <c r="AN604" s="336">
        <v>6650</v>
      </c>
      <c r="AO604" s="334">
        <v>689.149</v>
      </c>
      <c r="AP604" s="336">
        <v>6640</v>
      </c>
      <c r="AQ604" s="334">
        <v>688.46799999999996</v>
      </c>
      <c r="AR604" s="336">
        <v>6650</v>
      </c>
      <c r="AS604" s="334">
        <v>688.029</v>
      </c>
      <c r="AT604" s="336">
        <v>6650</v>
      </c>
      <c r="AU604" s="334">
        <v>686.428</v>
      </c>
      <c r="AV604" s="336">
        <v>6650</v>
      </c>
      <c r="AW604" s="334">
        <v>686.57100000000003</v>
      </c>
      <c r="AX604" s="336">
        <v>6640</v>
      </c>
      <c r="AY604" s="334">
        <v>610.41800000000001</v>
      </c>
      <c r="AZ604" s="336">
        <v>6650</v>
      </c>
      <c r="BA604" s="337">
        <v>611.96400000000006</v>
      </c>
      <c r="BB604" s="336">
        <v>6630</v>
      </c>
      <c r="BC604" s="334">
        <v>157.375</v>
      </c>
      <c r="BD604" s="336">
        <v>6630</v>
      </c>
      <c r="BE604" s="334">
        <v>165.49</v>
      </c>
    </row>
    <row r="605" spans="22:57">
      <c r="V605" s="346">
        <v>6660</v>
      </c>
      <c r="W605" s="333">
        <v>342.62400000000002</v>
      </c>
      <c r="X605" s="346">
        <v>6670</v>
      </c>
      <c r="Y605" s="334">
        <v>340.04599999999999</v>
      </c>
      <c r="Z605" s="335">
        <v>6660</v>
      </c>
      <c r="AA605" s="334">
        <v>777.42</v>
      </c>
      <c r="AB605" s="336">
        <v>6660</v>
      </c>
      <c r="AC605" s="334">
        <v>777.34699999999998</v>
      </c>
      <c r="AD605" s="336">
        <v>6660</v>
      </c>
      <c r="AE605" s="334">
        <v>686.71</v>
      </c>
      <c r="AF605" s="336">
        <v>6660</v>
      </c>
      <c r="AG605" s="334">
        <v>686.23599999999999</v>
      </c>
      <c r="AH605" s="336">
        <v>6660</v>
      </c>
      <c r="AI605" s="334">
        <v>686.55100000000004</v>
      </c>
      <c r="AJ605" s="336">
        <v>6640</v>
      </c>
      <c r="AK605" s="334">
        <v>687.66300000000001</v>
      </c>
      <c r="AL605" s="336">
        <v>6660</v>
      </c>
      <c r="AM605" s="334">
        <v>687.28099999999995</v>
      </c>
      <c r="AN605" s="336">
        <v>6660</v>
      </c>
      <c r="AO605" s="334">
        <v>687.93700000000001</v>
      </c>
      <c r="AP605" s="336">
        <v>6650</v>
      </c>
      <c r="AQ605" s="334">
        <v>687.25800000000004</v>
      </c>
      <c r="AR605" s="336">
        <v>6660</v>
      </c>
      <c r="AS605" s="334">
        <v>686.81799999999998</v>
      </c>
      <c r="AT605" s="336">
        <v>6660</v>
      </c>
      <c r="AU605" s="334">
        <v>685.21699999999998</v>
      </c>
      <c r="AV605" s="336">
        <v>6660</v>
      </c>
      <c r="AW605" s="334">
        <v>685.36099999999999</v>
      </c>
      <c r="AX605" s="336">
        <v>6650</v>
      </c>
      <c r="AY605" s="334">
        <v>609.20699999999999</v>
      </c>
      <c r="AZ605" s="336">
        <v>6660</v>
      </c>
      <c r="BA605" s="337">
        <v>610.75400000000002</v>
      </c>
      <c r="BB605" s="336">
        <v>6640</v>
      </c>
      <c r="BC605" s="334">
        <v>156.99199999999999</v>
      </c>
      <c r="BD605" s="336">
        <v>6640</v>
      </c>
      <c r="BE605" s="334">
        <v>165.09299999999999</v>
      </c>
    </row>
    <row r="606" spans="22:57">
      <c r="V606" s="346">
        <v>6670</v>
      </c>
      <c r="W606" s="333">
        <v>341.86900000000003</v>
      </c>
      <c r="X606" s="346">
        <v>6680</v>
      </c>
      <c r="Y606" s="334">
        <v>339.29599999999999</v>
      </c>
      <c r="Z606" s="335">
        <v>6670</v>
      </c>
      <c r="AA606" s="334">
        <v>775.94399999999996</v>
      </c>
      <c r="AB606" s="336">
        <v>6670</v>
      </c>
      <c r="AC606" s="334">
        <v>775.87199999999996</v>
      </c>
      <c r="AD606" s="336">
        <v>6670</v>
      </c>
      <c r="AE606" s="334">
        <v>685.49699999999996</v>
      </c>
      <c r="AF606" s="336">
        <v>6670</v>
      </c>
      <c r="AG606" s="334">
        <v>685.02200000000005</v>
      </c>
      <c r="AH606" s="336">
        <v>6670</v>
      </c>
      <c r="AI606" s="334">
        <v>685.33799999999997</v>
      </c>
      <c r="AJ606" s="336">
        <v>6650</v>
      </c>
      <c r="AK606" s="334">
        <v>686.45</v>
      </c>
      <c r="AL606" s="336">
        <v>6670</v>
      </c>
      <c r="AM606" s="334">
        <v>686.06899999999996</v>
      </c>
      <c r="AN606" s="336">
        <v>6670</v>
      </c>
      <c r="AO606" s="334">
        <v>686.72500000000002</v>
      </c>
      <c r="AP606" s="336">
        <v>6660</v>
      </c>
      <c r="AQ606" s="334">
        <v>686.048</v>
      </c>
      <c r="AR606" s="336">
        <v>6670</v>
      </c>
      <c r="AS606" s="334">
        <v>685.60699999999997</v>
      </c>
      <c r="AT606" s="336">
        <v>6670</v>
      </c>
      <c r="AU606" s="334">
        <v>684.00599999999997</v>
      </c>
      <c r="AV606" s="336">
        <v>6670</v>
      </c>
      <c r="AW606" s="334">
        <v>684.15099999999995</v>
      </c>
      <c r="AX606" s="336">
        <v>6660</v>
      </c>
      <c r="AY606" s="334">
        <v>607.99699999999996</v>
      </c>
      <c r="AZ606" s="336">
        <v>6670</v>
      </c>
      <c r="BA606" s="337">
        <v>609.54399999999998</v>
      </c>
      <c r="BB606" s="336">
        <v>6650</v>
      </c>
      <c r="BC606" s="334">
        <v>156.61000000000001</v>
      </c>
      <c r="BD606" s="336">
        <v>6650</v>
      </c>
      <c r="BE606" s="334">
        <v>164.697</v>
      </c>
    </row>
    <row r="607" spans="22:57">
      <c r="V607" s="346">
        <v>6680</v>
      </c>
      <c r="W607" s="333">
        <v>341.11500000000001</v>
      </c>
      <c r="X607" s="346">
        <v>6690</v>
      </c>
      <c r="Y607" s="334">
        <v>338.54599999999999</v>
      </c>
      <c r="Z607" s="335">
        <v>6680</v>
      </c>
      <c r="AA607" s="334">
        <v>774.46699999999998</v>
      </c>
      <c r="AB607" s="336">
        <v>6680</v>
      </c>
      <c r="AC607" s="334">
        <v>774.39700000000005</v>
      </c>
      <c r="AD607" s="336">
        <v>6680</v>
      </c>
      <c r="AE607" s="334">
        <v>684.28499999999997</v>
      </c>
      <c r="AF607" s="336">
        <v>6680</v>
      </c>
      <c r="AG607" s="334">
        <v>683.80799999999999</v>
      </c>
      <c r="AH607" s="336">
        <v>6680</v>
      </c>
      <c r="AI607" s="334">
        <v>684.12599999999998</v>
      </c>
      <c r="AJ607" s="336">
        <v>6660</v>
      </c>
      <c r="AK607" s="334">
        <v>685.23800000000006</v>
      </c>
      <c r="AL607" s="336">
        <v>6680</v>
      </c>
      <c r="AM607" s="334">
        <v>684.85599999999999</v>
      </c>
      <c r="AN607" s="336">
        <v>6680</v>
      </c>
      <c r="AO607" s="334">
        <v>685.51300000000003</v>
      </c>
      <c r="AP607" s="336">
        <v>6670</v>
      </c>
      <c r="AQ607" s="334">
        <v>684.83799999999997</v>
      </c>
      <c r="AR607" s="336">
        <v>6680</v>
      </c>
      <c r="AS607" s="334">
        <v>684.39599999999996</v>
      </c>
      <c r="AT607" s="336">
        <v>6680</v>
      </c>
      <c r="AU607" s="334">
        <v>682.79499999999996</v>
      </c>
      <c r="AV607" s="336">
        <v>6680</v>
      </c>
      <c r="AW607" s="334">
        <v>682.94100000000003</v>
      </c>
      <c r="AX607" s="336">
        <v>6670</v>
      </c>
      <c r="AY607" s="334">
        <v>606.78599999999994</v>
      </c>
      <c r="AZ607" s="336">
        <v>6680</v>
      </c>
      <c r="BA607" s="337">
        <v>608.33399999999995</v>
      </c>
      <c r="BB607" s="336">
        <v>6660</v>
      </c>
      <c r="BC607" s="334">
        <v>156.22800000000001</v>
      </c>
      <c r="BD607" s="336">
        <v>6660</v>
      </c>
      <c r="BE607" s="334">
        <v>164.3</v>
      </c>
    </row>
    <row r="608" spans="22:57">
      <c r="V608" s="346">
        <v>6690</v>
      </c>
      <c r="W608" s="333">
        <v>340.36</v>
      </c>
      <c r="X608" s="346">
        <v>6700</v>
      </c>
      <c r="Y608" s="334">
        <v>337.79599999999999</v>
      </c>
      <c r="Z608" s="335">
        <v>6690</v>
      </c>
      <c r="AA608" s="334">
        <v>772.99099999999999</v>
      </c>
      <c r="AB608" s="336">
        <v>6690</v>
      </c>
      <c r="AC608" s="334">
        <v>772.92200000000003</v>
      </c>
      <c r="AD608" s="336">
        <v>6690</v>
      </c>
      <c r="AE608" s="334">
        <v>683.072</v>
      </c>
      <c r="AF608" s="336">
        <v>6690</v>
      </c>
      <c r="AG608" s="334">
        <v>682.59500000000003</v>
      </c>
      <c r="AH608" s="336">
        <v>6690</v>
      </c>
      <c r="AI608" s="334">
        <v>682.91399999999999</v>
      </c>
      <c r="AJ608" s="336">
        <v>6670</v>
      </c>
      <c r="AK608" s="334">
        <v>684.02499999999998</v>
      </c>
      <c r="AL608" s="336">
        <v>6690</v>
      </c>
      <c r="AM608" s="334">
        <v>683.64400000000001</v>
      </c>
      <c r="AN608" s="336">
        <v>6690</v>
      </c>
      <c r="AO608" s="334">
        <v>684.30100000000004</v>
      </c>
      <c r="AP608" s="336">
        <v>6680</v>
      </c>
      <c r="AQ608" s="334">
        <v>683.62800000000004</v>
      </c>
      <c r="AR608" s="336">
        <v>6690</v>
      </c>
      <c r="AS608" s="334">
        <v>683.18499999999995</v>
      </c>
      <c r="AT608" s="336">
        <v>6690</v>
      </c>
      <c r="AU608" s="334">
        <v>681.58399999999995</v>
      </c>
      <c r="AV608" s="336">
        <v>6690</v>
      </c>
      <c r="AW608" s="334">
        <v>681.73099999999999</v>
      </c>
      <c r="AX608" s="336">
        <v>6680</v>
      </c>
      <c r="AY608" s="334">
        <v>605.57600000000002</v>
      </c>
      <c r="AZ608" s="336">
        <v>6690</v>
      </c>
      <c r="BA608" s="337">
        <v>607.12400000000002</v>
      </c>
      <c r="BB608" s="336">
        <v>6670</v>
      </c>
      <c r="BC608" s="334">
        <v>155.846</v>
      </c>
      <c r="BD608" s="336">
        <v>6670</v>
      </c>
      <c r="BE608" s="334">
        <v>163.904</v>
      </c>
    </row>
    <row r="609" spans="22:57">
      <c r="V609" s="346">
        <v>6700</v>
      </c>
      <c r="W609" s="333">
        <v>339.60599999999999</v>
      </c>
      <c r="X609" s="346">
        <v>6710</v>
      </c>
      <c r="Y609" s="334">
        <v>337.04700000000003</v>
      </c>
      <c r="Z609" s="335">
        <v>6700</v>
      </c>
      <c r="AA609" s="334">
        <v>771.51499999999999</v>
      </c>
      <c r="AB609" s="336">
        <v>6700</v>
      </c>
      <c r="AC609" s="334">
        <v>771.44799999999998</v>
      </c>
      <c r="AD609" s="336">
        <v>6700</v>
      </c>
      <c r="AE609" s="334">
        <v>681.86</v>
      </c>
      <c r="AF609" s="336">
        <v>6700</v>
      </c>
      <c r="AG609" s="334">
        <v>681.38099999999997</v>
      </c>
      <c r="AH609" s="336">
        <v>6700</v>
      </c>
      <c r="AI609" s="334">
        <v>681.70100000000002</v>
      </c>
      <c r="AJ609" s="336">
        <v>6680</v>
      </c>
      <c r="AK609" s="334">
        <v>682.81200000000001</v>
      </c>
      <c r="AL609" s="336">
        <v>6700</v>
      </c>
      <c r="AM609" s="334">
        <v>682.43100000000004</v>
      </c>
      <c r="AN609" s="336">
        <v>6700</v>
      </c>
      <c r="AO609" s="334">
        <v>683.08799999999997</v>
      </c>
      <c r="AP609" s="336">
        <v>6690</v>
      </c>
      <c r="AQ609" s="334">
        <v>682.41700000000003</v>
      </c>
      <c r="AR609" s="336">
        <v>6700</v>
      </c>
      <c r="AS609" s="334">
        <v>681.97400000000005</v>
      </c>
      <c r="AT609" s="336">
        <v>6700</v>
      </c>
      <c r="AU609" s="334">
        <v>680.37199999999996</v>
      </c>
      <c r="AV609" s="336">
        <v>6700</v>
      </c>
      <c r="AW609" s="334">
        <v>680.52099999999996</v>
      </c>
      <c r="AX609" s="336">
        <v>6690</v>
      </c>
      <c r="AY609" s="334">
        <v>604.36500000000001</v>
      </c>
      <c r="AZ609" s="336">
        <v>6700</v>
      </c>
      <c r="BA609" s="337">
        <v>605.91399999999999</v>
      </c>
      <c r="BB609" s="336">
        <v>6680</v>
      </c>
      <c r="BC609" s="334">
        <v>155.464</v>
      </c>
      <c r="BD609" s="336">
        <v>6680</v>
      </c>
      <c r="BE609" s="334">
        <v>163.50800000000001</v>
      </c>
    </row>
    <row r="610" spans="22:57">
      <c r="V610" s="346">
        <v>6710</v>
      </c>
      <c r="W610" s="333">
        <v>338.85199999999998</v>
      </c>
      <c r="X610" s="346">
        <v>6720</v>
      </c>
      <c r="Y610" s="334">
        <v>336.298</v>
      </c>
      <c r="Z610" s="335">
        <v>6710</v>
      </c>
      <c r="AA610" s="334">
        <v>770.03800000000001</v>
      </c>
      <c r="AB610" s="336">
        <v>6710</v>
      </c>
      <c r="AC610" s="334">
        <v>769.97299999999996</v>
      </c>
      <c r="AD610" s="336">
        <v>6710</v>
      </c>
      <c r="AE610" s="334">
        <v>680.64800000000002</v>
      </c>
      <c r="AF610" s="336">
        <v>6710</v>
      </c>
      <c r="AG610" s="334">
        <v>680.16800000000001</v>
      </c>
      <c r="AH610" s="336">
        <v>6710</v>
      </c>
      <c r="AI610" s="334">
        <v>680.48900000000003</v>
      </c>
      <c r="AJ610" s="336">
        <v>6690</v>
      </c>
      <c r="AK610" s="334">
        <v>681.6</v>
      </c>
      <c r="AL610" s="336">
        <v>6710</v>
      </c>
      <c r="AM610" s="334">
        <v>681.21900000000005</v>
      </c>
      <c r="AN610" s="336">
        <v>6710</v>
      </c>
      <c r="AO610" s="334">
        <v>681.87599999999998</v>
      </c>
      <c r="AP610" s="336">
        <v>6700</v>
      </c>
      <c r="AQ610" s="334">
        <v>681.20699999999999</v>
      </c>
      <c r="AR610" s="336">
        <v>6710</v>
      </c>
      <c r="AS610" s="334">
        <v>680.76300000000003</v>
      </c>
      <c r="AT610" s="336">
        <v>6710</v>
      </c>
      <c r="AU610" s="334">
        <v>679.16099999999994</v>
      </c>
      <c r="AV610" s="336">
        <v>6710</v>
      </c>
      <c r="AW610" s="334">
        <v>679.31100000000004</v>
      </c>
      <c r="AX610" s="336">
        <v>6700</v>
      </c>
      <c r="AY610" s="334">
        <v>603.154</v>
      </c>
      <c r="AZ610" s="336">
        <v>6710</v>
      </c>
      <c r="BA610" s="337">
        <v>604.70399999999995</v>
      </c>
      <c r="BB610" s="336">
        <v>6690</v>
      </c>
      <c r="BC610" s="334">
        <v>155.08199999999999</v>
      </c>
      <c r="BD610" s="336">
        <v>6690</v>
      </c>
      <c r="BE610" s="334">
        <v>163.11199999999999</v>
      </c>
    </row>
    <row r="611" spans="22:57">
      <c r="V611" s="346">
        <v>6720</v>
      </c>
      <c r="W611" s="333">
        <v>338.09800000000001</v>
      </c>
      <c r="X611" s="346">
        <v>6730</v>
      </c>
      <c r="Y611" s="334">
        <v>335.54899999999998</v>
      </c>
      <c r="Z611" s="335">
        <v>6720</v>
      </c>
      <c r="AA611" s="334">
        <v>768.56200000000001</v>
      </c>
      <c r="AB611" s="336">
        <v>6720</v>
      </c>
      <c r="AC611" s="334">
        <v>768.49900000000002</v>
      </c>
      <c r="AD611" s="336">
        <v>6720</v>
      </c>
      <c r="AE611" s="334">
        <v>679.43499999999995</v>
      </c>
      <c r="AF611" s="336">
        <v>6720</v>
      </c>
      <c r="AG611" s="334">
        <v>678.95399999999995</v>
      </c>
      <c r="AH611" s="336">
        <v>6720</v>
      </c>
      <c r="AI611" s="334">
        <v>679.27599999999995</v>
      </c>
      <c r="AJ611" s="336">
        <v>6700</v>
      </c>
      <c r="AK611" s="334">
        <v>680.38699999999994</v>
      </c>
      <c r="AL611" s="336">
        <v>6720</v>
      </c>
      <c r="AM611" s="334">
        <v>680.00599999999997</v>
      </c>
      <c r="AN611" s="336">
        <v>6720</v>
      </c>
      <c r="AO611" s="334">
        <v>680.66399999999999</v>
      </c>
      <c r="AP611" s="336">
        <v>6710</v>
      </c>
      <c r="AQ611" s="334">
        <v>679.99699999999996</v>
      </c>
      <c r="AR611" s="336">
        <v>6720</v>
      </c>
      <c r="AS611" s="334">
        <v>679.55200000000002</v>
      </c>
      <c r="AT611" s="336">
        <v>6720</v>
      </c>
      <c r="AU611" s="334">
        <v>677.95</v>
      </c>
      <c r="AV611" s="336">
        <v>6720</v>
      </c>
      <c r="AW611" s="334">
        <v>678.101</v>
      </c>
      <c r="AX611" s="336">
        <v>6710</v>
      </c>
      <c r="AY611" s="334">
        <v>601.94399999999996</v>
      </c>
      <c r="AZ611" s="336">
        <v>6720</v>
      </c>
      <c r="BA611" s="337">
        <v>603.49400000000003</v>
      </c>
      <c r="BB611" s="336">
        <v>6700</v>
      </c>
      <c r="BC611" s="334">
        <v>154.70099999999999</v>
      </c>
      <c r="BD611" s="336">
        <v>6700</v>
      </c>
      <c r="BE611" s="334">
        <v>162.71600000000001</v>
      </c>
    </row>
    <row r="612" spans="22:57">
      <c r="V612" s="346">
        <v>6730</v>
      </c>
      <c r="W612" s="333">
        <v>337.34500000000003</v>
      </c>
      <c r="X612" s="346">
        <v>6740</v>
      </c>
      <c r="Y612" s="334">
        <v>334.8</v>
      </c>
      <c r="Z612" s="335">
        <v>6730</v>
      </c>
      <c r="AA612" s="334">
        <v>767.08699999999999</v>
      </c>
      <c r="AB612" s="336">
        <v>6730</v>
      </c>
      <c r="AC612" s="334">
        <v>767.02499999999998</v>
      </c>
      <c r="AD612" s="336">
        <v>6730</v>
      </c>
      <c r="AE612" s="334">
        <v>678.22299999999996</v>
      </c>
      <c r="AF612" s="336">
        <v>6730</v>
      </c>
      <c r="AG612" s="334">
        <v>677.74099999999999</v>
      </c>
      <c r="AH612" s="336">
        <v>6730</v>
      </c>
      <c r="AI612" s="334">
        <v>678.06399999999996</v>
      </c>
      <c r="AJ612" s="336">
        <v>6710</v>
      </c>
      <c r="AK612" s="334">
        <v>679.17399999999998</v>
      </c>
      <c r="AL612" s="336">
        <v>6730</v>
      </c>
      <c r="AM612" s="334">
        <v>678.79399999999998</v>
      </c>
      <c r="AN612" s="336">
        <v>6730</v>
      </c>
      <c r="AO612" s="334">
        <v>679.452</v>
      </c>
      <c r="AP612" s="336">
        <v>6720</v>
      </c>
      <c r="AQ612" s="334">
        <v>678.78700000000003</v>
      </c>
      <c r="AR612" s="336">
        <v>6730</v>
      </c>
      <c r="AS612" s="334">
        <v>678.34100000000001</v>
      </c>
      <c r="AT612" s="336">
        <v>6730</v>
      </c>
      <c r="AU612" s="334">
        <v>676.73900000000003</v>
      </c>
      <c r="AV612" s="336">
        <v>6730</v>
      </c>
      <c r="AW612" s="334">
        <v>676.89099999999996</v>
      </c>
      <c r="AX612" s="336">
        <v>6720</v>
      </c>
      <c r="AY612" s="334">
        <v>600.73299999999995</v>
      </c>
      <c r="AZ612" s="336">
        <v>6730</v>
      </c>
      <c r="BA612" s="337">
        <v>602.28399999999999</v>
      </c>
      <c r="BB612" s="336">
        <v>6710</v>
      </c>
      <c r="BC612" s="334">
        <v>154.31899999999999</v>
      </c>
      <c r="BD612" s="336">
        <v>6710</v>
      </c>
      <c r="BE612" s="334">
        <v>162.32</v>
      </c>
    </row>
    <row r="613" spans="22:57">
      <c r="V613" s="346">
        <v>6740</v>
      </c>
      <c r="W613" s="333">
        <v>336.59100000000001</v>
      </c>
      <c r="X613" s="346">
        <v>6750</v>
      </c>
      <c r="Y613" s="334">
        <v>334.05200000000002</v>
      </c>
      <c r="Z613" s="335">
        <v>6740</v>
      </c>
      <c r="AA613" s="334">
        <v>765.61099999999999</v>
      </c>
      <c r="AB613" s="336">
        <v>6740</v>
      </c>
      <c r="AC613" s="334">
        <v>765.55100000000004</v>
      </c>
      <c r="AD613" s="336">
        <v>6740</v>
      </c>
      <c r="AE613" s="334">
        <v>677.01</v>
      </c>
      <c r="AF613" s="336">
        <v>6740</v>
      </c>
      <c r="AG613" s="334">
        <v>676.52700000000004</v>
      </c>
      <c r="AH613" s="336">
        <v>6740</v>
      </c>
      <c r="AI613" s="334">
        <v>676.851</v>
      </c>
      <c r="AJ613" s="336">
        <v>6720</v>
      </c>
      <c r="AK613" s="334">
        <v>677.96199999999999</v>
      </c>
      <c r="AL613" s="336">
        <v>6740</v>
      </c>
      <c r="AM613" s="334">
        <v>677.58100000000002</v>
      </c>
      <c r="AN613" s="336">
        <v>6740</v>
      </c>
      <c r="AO613" s="334">
        <v>678.24</v>
      </c>
      <c r="AP613" s="336">
        <v>6730</v>
      </c>
      <c r="AQ613" s="334">
        <v>677.577</v>
      </c>
      <c r="AR613" s="336">
        <v>6740</v>
      </c>
      <c r="AS613" s="334">
        <v>677.13099999999997</v>
      </c>
      <c r="AT613" s="336">
        <v>6740</v>
      </c>
      <c r="AU613" s="334">
        <v>675.52800000000002</v>
      </c>
      <c r="AV613" s="336">
        <v>6740</v>
      </c>
      <c r="AW613" s="334">
        <v>675.68100000000004</v>
      </c>
      <c r="AX613" s="336">
        <v>6730</v>
      </c>
      <c r="AY613" s="334">
        <v>599.52200000000005</v>
      </c>
      <c r="AZ613" s="336">
        <v>6740</v>
      </c>
      <c r="BA613" s="337">
        <v>601.07399999999996</v>
      </c>
      <c r="BB613" s="336">
        <v>6720</v>
      </c>
      <c r="BC613" s="334">
        <v>153.93799999999999</v>
      </c>
      <c r="BD613" s="336">
        <v>6720</v>
      </c>
      <c r="BE613" s="334">
        <v>161.92500000000001</v>
      </c>
    </row>
    <row r="614" spans="22:57">
      <c r="V614" s="346">
        <v>6750</v>
      </c>
      <c r="W614" s="333">
        <v>335.83800000000002</v>
      </c>
      <c r="X614" s="346">
        <v>6760</v>
      </c>
      <c r="Y614" s="334">
        <v>333.303</v>
      </c>
      <c r="Z614" s="335">
        <v>6750</v>
      </c>
      <c r="AA614" s="334">
        <v>764.13499999999999</v>
      </c>
      <c r="AB614" s="336">
        <v>6750</v>
      </c>
      <c r="AC614" s="334">
        <v>764.077</v>
      </c>
      <c r="AD614" s="336">
        <v>6750</v>
      </c>
      <c r="AE614" s="334">
        <v>675.798</v>
      </c>
      <c r="AF614" s="336">
        <v>6750</v>
      </c>
      <c r="AG614" s="334">
        <v>675.31299999999999</v>
      </c>
      <c r="AH614" s="336">
        <v>6750</v>
      </c>
      <c r="AI614" s="334">
        <v>675.63900000000001</v>
      </c>
      <c r="AJ614" s="336">
        <v>6730</v>
      </c>
      <c r="AK614" s="334">
        <v>676.74900000000002</v>
      </c>
      <c r="AL614" s="336">
        <v>6750</v>
      </c>
      <c r="AM614" s="334">
        <v>676.36900000000003</v>
      </c>
      <c r="AN614" s="336">
        <v>6750</v>
      </c>
      <c r="AO614" s="334">
        <v>677.02700000000004</v>
      </c>
      <c r="AP614" s="336">
        <v>6740</v>
      </c>
      <c r="AQ614" s="334">
        <v>676.36699999999996</v>
      </c>
      <c r="AR614" s="336">
        <v>6750</v>
      </c>
      <c r="AS614" s="334">
        <v>675.92</v>
      </c>
      <c r="AT614" s="336">
        <v>6750</v>
      </c>
      <c r="AU614" s="334">
        <v>674.31600000000003</v>
      </c>
      <c r="AV614" s="336">
        <v>6750</v>
      </c>
      <c r="AW614" s="334">
        <v>674.471</v>
      </c>
      <c r="AX614" s="336">
        <v>6740</v>
      </c>
      <c r="AY614" s="334">
        <v>598.31200000000001</v>
      </c>
      <c r="AZ614" s="336">
        <v>6750</v>
      </c>
      <c r="BA614" s="337">
        <v>599.86500000000001</v>
      </c>
      <c r="BB614" s="336">
        <v>6730</v>
      </c>
      <c r="BC614" s="334">
        <v>153.55600000000001</v>
      </c>
      <c r="BD614" s="336">
        <v>6730</v>
      </c>
      <c r="BE614" s="334">
        <v>161.529</v>
      </c>
    </row>
    <row r="615" spans="22:57">
      <c r="V615" s="346">
        <v>6760</v>
      </c>
      <c r="W615" s="333">
        <v>335.08499999999998</v>
      </c>
      <c r="X615" s="346">
        <v>6770</v>
      </c>
      <c r="Y615" s="334">
        <v>332.55500000000001</v>
      </c>
      <c r="Z615" s="335">
        <v>6760</v>
      </c>
      <c r="AA615" s="334">
        <v>762.65899999999999</v>
      </c>
      <c r="AB615" s="336">
        <v>6760</v>
      </c>
      <c r="AC615" s="334">
        <v>762.60299999999995</v>
      </c>
      <c r="AD615" s="336">
        <v>6760</v>
      </c>
      <c r="AE615" s="334">
        <v>674.58500000000004</v>
      </c>
      <c r="AF615" s="336">
        <v>6760</v>
      </c>
      <c r="AG615" s="334">
        <v>674.1</v>
      </c>
      <c r="AH615" s="336">
        <v>6760</v>
      </c>
      <c r="AI615" s="334">
        <v>674.42700000000002</v>
      </c>
      <c r="AJ615" s="336">
        <v>6740</v>
      </c>
      <c r="AK615" s="334">
        <v>675.53599999999994</v>
      </c>
      <c r="AL615" s="336">
        <v>6760</v>
      </c>
      <c r="AM615" s="334">
        <v>675.15599999999995</v>
      </c>
      <c r="AN615" s="336">
        <v>6760</v>
      </c>
      <c r="AO615" s="334">
        <v>675.81500000000005</v>
      </c>
      <c r="AP615" s="336">
        <v>6750</v>
      </c>
      <c r="AQ615" s="334">
        <v>675.15700000000004</v>
      </c>
      <c r="AR615" s="336">
        <v>6760</v>
      </c>
      <c r="AS615" s="334">
        <v>674.70899999999995</v>
      </c>
      <c r="AT615" s="336">
        <v>6760</v>
      </c>
      <c r="AU615" s="334">
        <v>673.10500000000002</v>
      </c>
      <c r="AV615" s="336">
        <v>6760</v>
      </c>
      <c r="AW615" s="334">
        <v>673.26099999999997</v>
      </c>
      <c r="AX615" s="336">
        <v>6750</v>
      </c>
      <c r="AY615" s="334">
        <v>597.101</v>
      </c>
      <c r="AZ615" s="336">
        <v>6760</v>
      </c>
      <c r="BA615" s="337">
        <v>598.65499999999997</v>
      </c>
      <c r="BB615" s="336">
        <v>6740</v>
      </c>
      <c r="BC615" s="334">
        <v>153.17500000000001</v>
      </c>
      <c r="BD615" s="336">
        <v>6740</v>
      </c>
      <c r="BE615" s="334">
        <v>161.13399999999999</v>
      </c>
    </row>
    <row r="616" spans="22:57">
      <c r="V616" s="346">
        <v>6770</v>
      </c>
      <c r="W616" s="333">
        <v>334.33300000000003</v>
      </c>
      <c r="X616" s="346">
        <v>6780</v>
      </c>
      <c r="Y616" s="334">
        <v>331.80700000000002</v>
      </c>
      <c r="Z616" s="335">
        <v>6770</v>
      </c>
      <c r="AA616" s="334">
        <v>761.18399999999997</v>
      </c>
      <c r="AB616" s="336">
        <v>6770</v>
      </c>
      <c r="AC616" s="334">
        <v>761.12900000000002</v>
      </c>
      <c r="AD616" s="336">
        <v>6770</v>
      </c>
      <c r="AE616" s="334">
        <v>673.37300000000005</v>
      </c>
      <c r="AF616" s="336">
        <v>6770</v>
      </c>
      <c r="AG616" s="334">
        <v>672.88599999999997</v>
      </c>
      <c r="AH616" s="336">
        <v>6770</v>
      </c>
      <c r="AI616" s="334">
        <v>673.21400000000006</v>
      </c>
      <c r="AJ616" s="336">
        <v>6750</v>
      </c>
      <c r="AK616" s="334">
        <v>674.32399999999996</v>
      </c>
      <c r="AL616" s="336">
        <v>6770</v>
      </c>
      <c r="AM616" s="334">
        <v>673.94399999999996</v>
      </c>
      <c r="AN616" s="336">
        <v>6770</v>
      </c>
      <c r="AO616" s="334">
        <v>674.60299999999995</v>
      </c>
      <c r="AP616" s="336">
        <v>6760</v>
      </c>
      <c r="AQ616" s="334">
        <v>673.947</v>
      </c>
      <c r="AR616" s="336">
        <v>6770</v>
      </c>
      <c r="AS616" s="334">
        <v>673.49800000000005</v>
      </c>
      <c r="AT616" s="336">
        <v>6770</v>
      </c>
      <c r="AU616" s="334">
        <v>671.89400000000001</v>
      </c>
      <c r="AV616" s="336">
        <v>6770</v>
      </c>
      <c r="AW616" s="334">
        <v>672.05100000000004</v>
      </c>
      <c r="AX616" s="336">
        <v>6760</v>
      </c>
      <c r="AY616" s="334">
        <v>595.89099999999996</v>
      </c>
      <c r="AZ616" s="336">
        <v>6770</v>
      </c>
      <c r="BA616" s="337">
        <v>597.44500000000005</v>
      </c>
      <c r="BB616" s="336">
        <v>6750</v>
      </c>
      <c r="BC616" s="334">
        <v>152.79400000000001</v>
      </c>
      <c r="BD616" s="336">
        <v>6750</v>
      </c>
      <c r="BE616" s="334">
        <v>160.738</v>
      </c>
    </row>
    <row r="617" spans="22:57">
      <c r="V617" s="346">
        <v>6780</v>
      </c>
      <c r="W617" s="333">
        <v>333.58</v>
      </c>
      <c r="X617" s="346">
        <v>6790</v>
      </c>
      <c r="Y617" s="334">
        <v>331.05900000000003</v>
      </c>
      <c r="Z617" s="335">
        <v>6780</v>
      </c>
      <c r="AA617" s="334">
        <v>759.70899999999995</v>
      </c>
      <c r="AB617" s="336">
        <v>6780</v>
      </c>
      <c r="AC617" s="334">
        <v>759.65599999999995</v>
      </c>
      <c r="AD617" s="336">
        <v>6780</v>
      </c>
      <c r="AE617" s="334">
        <v>672.16</v>
      </c>
      <c r="AF617" s="336">
        <v>6780</v>
      </c>
      <c r="AG617" s="334">
        <v>671.673</v>
      </c>
      <c r="AH617" s="336">
        <v>6780</v>
      </c>
      <c r="AI617" s="334">
        <v>672.00199999999995</v>
      </c>
      <c r="AJ617" s="336">
        <v>6760</v>
      </c>
      <c r="AK617" s="334">
        <v>673.11099999999999</v>
      </c>
      <c r="AL617" s="336">
        <v>6780</v>
      </c>
      <c r="AM617" s="334">
        <v>672.73099999999999</v>
      </c>
      <c r="AN617" s="336">
        <v>6780</v>
      </c>
      <c r="AO617" s="334">
        <v>673.39099999999996</v>
      </c>
      <c r="AP617" s="336">
        <v>6770</v>
      </c>
      <c r="AQ617" s="334">
        <v>672.73699999999997</v>
      </c>
      <c r="AR617" s="336">
        <v>6780</v>
      </c>
      <c r="AS617" s="334">
        <v>672.28700000000003</v>
      </c>
      <c r="AT617" s="336">
        <v>6780</v>
      </c>
      <c r="AU617" s="334">
        <v>670.68299999999999</v>
      </c>
      <c r="AV617" s="336">
        <v>6780</v>
      </c>
      <c r="AW617" s="334">
        <v>670.84100000000001</v>
      </c>
      <c r="AX617" s="336">
        <v>6770</v>
      </c>
      <c r="AY617" s="334">
        <v>594.67999999999995</v>
      </c>
      <c r="AZ617" s="336">
        <v>6780</v>
      </c>
      <c r="BA617" s="337">
        <v>596.23500000000001</v>
      </c>
      <c r="BB617" s="336">
        <v>6760</v>
      </c>
      <c r="BC617" s="334">
        <v>152.41300000000001</v>
      </c>
      <c r="BD617" s="336">
        <v>6760</v>
      </c>
      <c r="BE617" s="334">
        <v>160.34299999999999</v>
      </c>
    </row>
    <row r="618" spans="22:57">
      <c r="V618" s="346">
        <v>6790</v>
      </c>
      <c r="W618" s="333">
        <v>332.82799999999997</v>
      </c>
      <c r="X618" s="346">
        <v>6800</v>
      </c>
      <c r="Y618" s="334">
        <v>330.31099999999998</v>
      </c>
      <c r="Z618" s="335">
        <v>6790</v>
      </c>
      <c r="AA618" s="334">
        <v>758.23299999999995</v>
      </c>
      <c r="AB618" s="336">
        <v>6790</v>
      </c>
      <c r="AC618" s="334">
        <v>758.18200000000002</v>
      </c>
      <c r="AD618" s="336">
        <v>6790</v>
      </c>
      <c r="AE618" s="334">
        <v>670.94799999999998</v>
      </c>
      <c r="AF618" s="336">
        <v>6790</v>
      </c>
      <c r="AG618" s="334">
        <v>670.45899999999995</v>
      </c>
      <c r="AH618" s="336">
        <v>6790</v>
      </c>
      <c r="AI618" s="334">
        <v>670.78899999999999</v>
      </c>
      <c r="AJ618" s="336">
        <v>6770</v>
      </c>
      <c r="AK618" s="334">
        <v>671.89800000000002</v>
      </c>
      <c r="AL618" s="336">
        <v>6790</v>
      </c>
      <c r="AM618" s="334">
        <v>671.51900000000001</v>
      </c>
      <c r="AN618" s="336">
        <v>6790</v>
      </c>
      <c r="AO618" s="334">
        <v>672.17899999999997</v>
      </c>
      <c r="AP618" s="336">
        <v>6780</v>
      </c>
      <c r="AQ618" s="334">
        <v>671.52700000000004</v>
      </c>
      <c r="AR618" s="336">
        <v>6790</v>
      </c>
      <c r="AS618" s="334">
        <v>671.07600000000002</v>
      </c>
      <c r="AT618" s="336">
        <v>6790</v>
      </c>
      <c r="AU618" s="334">
        <v>669.47199999999998</v>
      </c>
      <c r="AV618" s="336">
        <v>6790</v>
      </c>
      <c r="AW618" s="334">
        <v>669.63099999999997</v>
      </c>
      <c r="AX618" s="336">
        <v>6780</v>
      </c>
      <c r="AY618" s="334">
        <v>593.46900000000005</v>
      </c>
      <c r="AZ618" s="336">
        <v>6790</v>
      </c>
      <c r="BA618" s="337">
        <v>595.02499999999998</v>
      </c>
      <c r="BB618" s="336">
        <v>6770</v>
      </c>
      <c r="BC618" s="334">
        <v>152.03200000000001</v>
      </c>
      <c r="BD618" s="336">
        <v>6770</v>
      </c>
      <c r="BE618" s="334">
        <v>159.94800000000001</v>
      </c>
    </row>
    <row r="619" spans="22:57">
      <c r="V619" s="346">
        <v>6800</v>
      </c>
      <c r="W619" s="333">
        <v>332.07600000000002</v>
      </c>
      <c r="X619" s="346">
        <v>6810</v>
      </c>
      <c r="Y619" s="334">
        <v>329.56400000000002</v>
      </c>
      <c r="Z619" s="335">
        <v>6800</v>
      </c>
      <c r="AA619" s="334">
        <v>756.75800000000004</v>
      </c>
      <c r="AB619" s="336">
        <v>6800</v>
      </c>
      <c r="AC619" s="334">
        <v>756.70899999999995</v>
      </c>
      <c r="AD619" s="336">
        <v>6800</v>
      </c>
      <c r="AE619" s="334">
        <v>669.73500000000001</v>
      </c>
      <c r="AF619" s="336">
        <v>6800</v>
      </c>
      <c r="AG619" s="334">
        <v>669.24599999999998</v>
      </c>
      <c r="AH619" s="336">
        <v>6800</v>
      </c>
      <c r="AI619" s="334">
        <v>669.577</v>
      </c>
      <c r="AJ619" s="336">
        <v>6780</v>
      </c>
      <c r="AK619" s="334">
        <v>670.68600000000004</v>
      </c>
      <c r="AL619" s="336">
        <v>6800</v>
      </c>
      <c r="AM619" s="334">
        <v>670.30700000000002</v>
      </c>
      <c r="AN619" s="336">
        <v>6800</v>
      </c>
      <c r="AO619" s="334">
        <v>670.96600000000001</v>
      </c>
      <c r="AP619" s="336">
        <v>6790</v>
      </c>
      <c r="AQ619" s="334">
        <v>670.31700000000001</v>
      </c>
      <c r="AR619" s="336">
        <v>6800</v>
      </c>
      <c r="AS619" s="334">
        <v>669.86500000000001</v>
      </c>
      <c r="AT619" s="336">
        <v>6800</v>
      </c>
      <c r="AU619" s="334">
        <v>668.26</v>
      </c>
      <c r="AV619" s="336">
        <v>6800</v>
      </c>
      <c r="AW619" s="334">
        <v>668.42100000000005</v>
      </c>
      <c r="AX619" s="336">
        <v>6790</v>
      </c>
      <c r="AY619" s="334">
        <v>592.25900000000001</v>
      </c>
      <c r="AZ619" s="336">
        <v>6800</v>
      </c>
      <c r="BA619" s="337">
        <v>593.81500000000005</v>
      </c>
      <c r="BB619" s="336">
        <v>6780</v>
      </c>
      <c r="BC619" s="334">
        <v>151.65100000000001</v>
      </c>
      <c r="BD619" s="336">
        <v>6780</v>
      </c>
      <c r="BE619" s="334">
        <v>159.553</v>
      </c>
    </row>
    <row r="620" spans="22:57">
      <c r="V620" s="346">
        <v>6810</v>
      </c>
      <c r="W620" s="333">
        <v>331.32400000000001</v>
      </c>
      <c r="X620" s="346">
        <v>6820</v>
      </c>
      <c r="Y620" s="334">
        <v>328.81700000000001</v>
      </c>
      <c r="Z620" s="335">
        <v>6810</v>
      </c>
      <c r="AA620" s="334">
        <v>755.28300000000002</v>
      </c>
      <c r="AB620" s="336">
        <v>6810</v>
      </c>
      <c r="AC620" s="334">
        <v>755.23500000000001</v>
      </c>
      <c r="AD620" s="336">
        <v>6810</v>
      </c>
      <c r="AE620" s="334">
        <v>668.52300000000002</v>
      </c>
      <c r="AF620" s="336">
        <v>6810</v>
      </c>
      <c r="AG620" s="334">
        <v>668.03200000000004</v>
      </c>
      <c r="AH620" s="336">
        <v>6810</v>
      </c>
      <c r="AI620" s="334">
        <v>668.36500000000001</v>
      </c>
      <c r="AJ620" s="336">
        <v>6790</v>
      </c>
      <c r="AK620" s="334">
        <v>669.47299999999996</v>
      </c>
      <c r="AL620" s="336">
        <v>6810</v>
      </c>
      <c r="AM620" s="334">
        <v>669.09400000000005</v>
      </c>
      <c r="AN620" s="336">
        <v>6810</v>
      </c>
      <c r="AO620" s="334">
        <v>669.75400000000002</v>
      </c>
      <c r="AP620" s="336">
        <v>6800</v>
      </c>
      <c r="AQ620" s="334">
        <v>669.10699999999997</v>
      </c>
      <c r="AR620" s="336">
        <v>6810</v>
      </c>
      <c r="AS620" s="334">
        <v>668.654</v>
      </c>
      <c r="AT620" s="336">
        <v>6810</v>
      </c>
      <c r="AU620" s="334">
        <v>667.04899999999998</v>
      </c>
      <c r="AV620" s="336">
        <v>6810</v>
      </c>
      <c r="AW620" s="334">
        <v>667.21100000000001</v>
      </c>
      <c r="AX620" s="336">
        <v>6800</v>
      </c>
      <c r="AY620" s="334">
        <v>591.048</v>
      </c>
      <c r="AZ620" s="336">
        <v>6810</v>
      </c>
      <c r="BA620" s="337">
        <v>592.60500000000002</v>
      </c>
      <c r="BB620" s="336">
        <v>6790</v>
      </c>
      <c r="BC620" s="334">
        <v>151.27099999999999</v>
      </c>
      <c r="BD620" s="336">
        <v>6790</v>
      </c>
      <c r="BE620" s="334">
        <v>159.15799999999999</v>
      </c>
    </row>
    <row r="621" spans="22:57">
      <c r="V621" s="346">
        <v>6820</v>
      </c>
      <c r="W621" s="333">
        <v>330.572</v>
      </c>
      <c r="X621" s="346">
        <v>6830</v>
      </c>
      <c r="Y621" s="334">
        <v>328.07</v>
      </c>
      <c r="Z621" s="335">
        <v>6820</v>
      </c>
      <c r="AA621" s="334">
        <v>753.80899999999997</v>
      </c>
      <c r="AB621" s="336">
        <v>6820</v>
      </c>
      <c r="AC621" s="334">
        <v>753.76199999999994</v>
      </c>
      <c r="AD621" s="336">
        <v>6820</v>
      </c>
      <c r="AE621" s="334">
        <v>667.31</v>
      </c>
      <c r="AF621" s="336">
        <v>6820</v>
      </c>
      <c r="AG621" s="334">
        <v>666.81799999999998</v>
      </c>
      <c r="AH621" s="336">
        <v>6820</v>
      </c>
      <c r="AI621" s="334">
        <v>667.15200000000004</v>
      </c>
      <c r="AJ621" s="336">
        <v>6800</v>
      </c>
      <c r="AK621" s="334">
        <v>668.26</v>
      </c>
      <c r="AL621" s="336">
        <v>6820</v>
      </c>
      <c r="AM621" s="334">
        <v>667.88199999999995</v>
      </c>
      <c r="AN621" s="336">
        <v>6820</v>
      </c>
      <c r="AO621" s="334">
        <v>668.54200000000003</v>
      </c>
      <c r="AP621" s="336">
        <v>6810</v>
      </c>
      <c r="AQ621" s="334">
        <v>667.89700000000005</v>
      </c>
      <c r="AR621" s="336">
        <v>6820</v>
      </c>
      <c r="AS621" s="334">
        <v>667.44299999999998</v>
      </c>
      <c r="AT621" s="336">
        <v>6820</v>
      </c>
      <c r="AU621" s="334">
        <v>665.83799999999997</v>
      </c>
      <c r="AV621" s="336">
        <v>6820</v>
      </c>
      <c r="AW621" s="334">
        <v>666.00099999999998</v>
      </c>
      <c r="AX621" s="336">
        <v>6810</v>
      </c>
      <c r="AY621" s="334">
        <v>589.83799999999997</v>
      </c>
      <c r="AZ621" s="336">
        <v>6820</v>
      </c>
      <c r="BA621" s="337">
        <v>591.39499999999998</v>
      </c>
      <c r="BB621" s="336">
        <v>6800</v>
      </c>
      <c r="BC621" s="334">
        <v>150.88999999999999</v>
      </c>
      <c r="BD621" s="336">
        <v>6800</v>
      </c>
      <c r="BE621" s="334">
        <v>158.76300000000001</v>
      </c>
    </row>
    <row r="622" spans="22:57">
      <c r="V622" s="346">
        <v>6830</v>
      </c>
      <c r="W622" s="333">
        <v>329.82</v>
      </c>
      <c r="X622" s="346">
        <v>6840</v>
      </c>
      <c r="Y622" s="334">
        <v>327.32299999999998</v>
      </c>
      <c r="Z622" s="335">
        <v>6830</v>
      </c>
      <c r="AA622" s="334">
        <v>752.33399999999995</v>
      </c>
      <c r="AB622" s="336">
        <v>6830</v>
      </c>
      <c r="AC622" s="334">
        <v>752.28899999999999</v>
      </c>
      <c r="AD622" s="336">
        <v>6830</v>
      </c>
      <c r="AE622" s="334">
        <v>666.09799999999996</v>
      </c>
      <c r="AF622" s="336">
        <v>6830</v>
      </c>
      <c r="AG622" s="334">
        <v>665.60500000000002</v>
      </c>
      <c r="AH622" s="336">
        <v>6830</v>
      </c>
      <c r="AI622" s="334">
        <v>665.94</v>
      </c>
      <c r="AJ622" s="336">
        <v>6810</v>
      </c>
      <c r="AK622" s="334">
        <v>667.048</v>
      </c>
      <c r="AL622" s="336">
        <v>6830</v>
      </c>
      <c r="AM622" s="334">
        <v>666.66899999999998</v>
      </c>
      <c r="AN622" s="336">
        <v>6830</v>
      </c>
      <c r="AO622" s="334">
        <v>667.33</v>
      </c>
      <c r="AP622" s="336">
        <v>6820</v>
      </c>
      <c r="AQ622" s="334">
        <v>666.68700000000001</v>
      </c>
      <c r="AR622" s="336">
        <v>6830</v>
      </c>
      <c r="AS622" s="334">
        <v>666.23199999999997</v>
      </c>
      <c r="AT622" s="336">
        <v>6830</v>
      </c>
      <c r="AU622" s="334">
        <v>664.62699999999995</v>
      </c>
      <c r="AV622" s="336">
        <v>6830</v>
      </c>
      <c r="AW622" s="334">
        <v>664.79100000000005</v>
      </c>
      <c r="AX622" s="336">
        <v>6820</v>
      </c>
      <c r="AY622" s="334">
        <v>588.62699999999995</v>
      </c>
      <c r="AZ622" s="336">
        <v>6830</v>
      </c>
      <c r="BA622" s="337">
        <v>590.18499999999995</v>
      </c>
      <c r="BB622" s="336">
        <v>6810</v>
      </c>
      <c r="BC622" s="334">
        <v>150.51</v>
      </c>
      <c r="BD622" s="336">
        <v>6810</v>
      </c>
      <c r="BE622" s="334">
        <v>158.369</v>
      </c>
    </row>
    <row r="623" spans="22:57">
      <c r="V623" s="346">
        <v>6840</v>
      </c>
      <c r="W623" s="333">
        <v>329.06900000000002</v>
      </c>
      <c r="X623" s="346">
        <v>6850</v>
      </c>
      <c r="Y623" s="334">
        <v>326.577</v>
      </c>
      <c r="Z623" s="335">
        <v>6840</v>
      </c>
      <c r="AA623" s="334">
        <v>750.85900000000004</v>
      </c>
      <c r="AB623" s="336">
        <v>6840</v>
      </c>
      <c r="AC623" s="334">
        <v>750.81600000000003</v>
      </c>
      <c r="AD623" s="336">
        <v>6840</v>
      </c>
      <c r="AE623" s="334">
        <v>664.88599999999997</v>
      </c>
      <c r="AF623" s="336">
        <v>6840</v>
      </c>
      <c r="AG623" s="334">
        <v>664.39099999999996</v>
      </c>
      <c r="AH623" s="336">
        <v>6840</v>
      </c>
      <c r="AI623" s="334">
        <v>664.72799999999995</v>
      </c>
      <c r="AJ623" s="336">
        <v>6820</v>
      </c>
      <c r="AK623" s="334">
        <v>665.83500000000004</v>
      </c>
      <c r="AL623" s="336">
        <v>6840</v>
      </c>
      <c r="AM623" s="334">
        <v>665.45699999999999</v>
      </c>
      <c r="AN623" s="336">
        <v>6840</v>
      </c>
      <c r="AO623" s="334">
        <v>666.11800000000005</v>
      </c>
      <c r="AP623" s="336">
        <v>6830</v>
      </c>
      <c r="AQ623" s="334">
        <v>665.47699999999998</v>
      </c>
      <c r="AR623" s="336">
        <v>6840</v>
      </c>
      <c r="AS623" s="334">
        <v>665.02099999999996</v>
      </c>
      <c r="AT623" s="336">
        <v>6840</v>
      </c>
      <c r="AU623" s="334">
        <v>663.41600000000005</v>
      </c>
      <c r="AV623" s="336">
        <v>6840</v>
      </c>
      <c r="AW623" s="334">
        <v>663.58100000000002</v>
      </c>
      <c r="AX623" s="336">
        <v>6830</v>
      </c>
      <c r="AY623" s="334">
        <v>587.41600000000005</v>
      </c>
      <c r="AZ623" s="336">
        <v>6840</v>
      </c>
      <c r="BA623" s="337">
        <v>588.97500000000002</v>
      </c>
      <c r="BB623" s="336">
        <v>6820</v>
      </c>
      <c r="BC623" s="334">
        <v>150.12899999999999</v>
      </c>
      <c r="BD623" s="336">
        <v>6820</v>
      </c>
      <c r="BE623" s="334">
        <v>157.97399999999999</v>
      </c>
    </row>
    <row r="624" spans="22:57">
      <c r="V624" s="346">
        <v>6850</v>
      </c>
      <c r="W624" s="333">
        <v>328.31799999999998</v>
      </c>
      <c r="X624" s="346">
        <v>6860</v>
      </c>
      <c r="Y624" s="334">
        <v>325.83</v>
      </c>
      <c r="Z624" s="335">
        <v>6850</v>
      </c>
      <c r="AA624" s="334">
        <v>749.38499999999999</v>
      </c>
      <c r="AB624" s="336">
        <v>6850</v>
      </c>
      <c r="AC624" s="334">
        <v>749.34299999999996</v>
      </c>
      <c r="AD624" s="336">
        <v>6850</v>
      </c>
      <c r="AE624" s="334">
        <v>663.673</v>
      </c>
      <c r="AF624" s="336">
        <v>6850</v>
      </c>
      <c r="AG624" s="334">
        <v>663.178</v>
      </c>
      <c r="AH624" s="336">
        <v>6850</v>
      </c>
      <c r="AI624" s="334">
        <v>663.51499999999999</v>
      </c>
      <c r="AJ624" s="336">
        <v>6830</v>
      </c>
      <c r="AK624" s="334">
        <v>664.62199999999996</v>
      </c>
      <c r="AL624" s="336">
        <v>6850</v>
      </c>
      <c r="AM624" s="334">
        <v>664.24400000000003</v>
      </c>
      <c r="AN624" s="336">
        <v>6850</v>
      </c>
      <c r="AO624" s="334">
        <v>664.90499999999997</v>
      </c>
      <c r="AP624" s="336">
        <v>6840</v>
      </c>
      <c r="AQ624" s="334">
        <v>664.26700000000005</v>
      </c>
      <c r="AR624" s="336">
        <v>6850</v>
      </c>
      <c r="AS624" s="334">
        <v>663.81</v>
      </c>
      <c r="AT624" s="336">
        <v>6850</v>
      </c>
      <c r="AU624" s="334">
        <v>662.20399999999995</v>
      </c>
      <c r="AV624" s="336">
        <v>6850</v>
      </c>
      <c r="AW624" s="334">
        <v>662.37099999999998</v>
      </c>
      <c r="AX624" s="336">
        <v>6840</v>
      </c>
      <c r="AY624" s="334">
        <v>586.20600000000002</v>
      </c>
      <c r="AZ624" s="336">
        <v>6850</v>
      </c>
      <c r="BA624" s="337">
        <v>587.76499999999999</v>
      </c>
      <c r="BB624" s="336">
        <v>6830</v>
      </c>
      <c r="BC624" s="334">
        <v>149.749</v>
      </c>
      <c r="BD624" s="336">
        <v>6830</v>
      </c>
      <c r="BE624" s="334">
        <v>157.58000000000001</v>
      </c>
    </row>
    <row r="625" spans="22:57">
      <c r="V625" s="346">
        <v>6860</v>
      </c>
      <c r="W625" s="333">
        <v>327.56700000000001</v>
      </c>
      <c r="X625" s="346">
        <v>6870</v>
      </c>
      <c r="Y625" s="334">
        <v>325.084</v>
      </c>
      <c r="Z625" s="335">
        <v>6860</v>
      </c>
      <c r="AA625" s="334">
        <v>747.91</v>
      </c>
      <c r="AB625" s="336">
        <v>6860</v>
      </c>
      <c r="AC625" s="334">
        <v>747.87</v>
      </c>
      <c r="AD625" s="336">
        <v>6860</v>
      </c>
      <c r="AE625" s="334">
        <v>662.46100000000001</v>
      </c>
      <c r="AF625" s="336">
        <v>6860</v>
      </c>
      <c r="AG625" s="334">
        <v>661.96400000000006</v>
      </c>
      <c r="AH625" s="336">
        <v>6860</v>
      </c>
      <c r="AI625" s="334">
        <v>662.303</v>
      </c>
      <c r="AJ625" s="336">
        <v>6840</v>
      </c>
      <c r="AK625" s="334">
        <v>663.41</v>
      </c>
      <c r="AL625" s="336">
        <v>6860</v>
      </c>
      <c r="AM625" s="334">
        <v>663.03200000000004</v>
      </c>
      <c r="AN625" s="336">
        <v>6860</v>
      </c>
      <c r="AO625" s="334">
        <v>663.69299999999998</v>
      </c>
      <c r="AP625" s="336">
        <v>6850</v>
      </c>
      <c r="AQ625" s="334">
        <v>663.05700000000002</v>
      </c>
      <c r="AR625" s="336">
        <v>6860</v>
      </c>
      <c r="AS625" s="334">
        <v>662.59900000000005</v>
      </c>
      <c r="AT625" s="336">
        <v>6860</v>
      </c>
      <c r="AU625" s="334">
        <v>660.99300000000005</v>
      </c>
      <c r="AV625" s="336">
        <v>6860</v>
      </c>
      <c r="AW625" s="334">
        <v>661.16099999999994</v>
      </c>
      <c r="AX625" s="336">
        <v>6850</v>
      </c>
      <c r="AY625" s="334">
        <v>584.995</v>
      </c>
      <c r="AZ625" s="336">
        <v>6860</v>
      </c>
      <c r="BA625" s="337">
        <v>586.55499999999995</v>
      </c>
      <c r="BB625" s="336">
        <v>6840</v>
      </c>
      <c r="BC625" s="334">
        <v>149.369</v>
      </c>
      <c r="BD625" s="336">
        <v>6840</v>
      </c>
      <c r="BE625" s="334">
        <v>157.185</v>
      </c>
    </row>
    <row r="626" spans="22:57">
      <c r="V626" s="346">
        <v>6870</v>
      </c>
      <c r="W626" s="333">
        <v>326.81599999999997</v>
      </c>
      <c r="X626" s="346">
        <v>6880</v>
      </c>
      <c r="Y626" s="334">
        <v>324.33800000000002</v>
      </c>
      <c r="Z626" s="335">
        <v>6870</v>
      </c>
      <c r="AA626" s="334">
        <v>746.43600000000004</v>
      </c>
      <c r="AB626" s="336">
        <v>6870</v>
      </c>
      <c r="AC626" s="334">
        <v>746.39700000000005</v>
      </c>
      <c r="AD626" s="336">
        <v>6870</v>
      </c>
      <c r="AE626" s="334">
        <v>661.24800000000005</v>
      </c>
      <c r="AF626" s="336">
        <v>6870</v>
      </c>
      <c r="AG626" s="334">
        <v>660.75</v>
      </c>
      <c r="AH626" s="336">
        <v>6870</v>
      </c>
      <c r="AI626" s="334">
        <v>661.09</v>
      </c>
      <c r="AJ626" s="336">
        <v>6850</v>
      </c>
      <c r="AK626" s="334">
        <v>662.197</v>
      </c>
      <c r="AL626" s="336">
        <v>6870</v>
      </c>
      <c r="AM626" s="334">
        <v>661.81899999999996</v>
      </c>
      <c r="AN626" s="336">
        <v>6870</v>
      </c>
      <c r="AO626" s="334">
        <v>662.48099999999999</v>
      </c>
      <c r="AP626" s="336">
        <v>6860</v>
      </c>
      <c r="AQ626" s="334">
        <v>661.846</v>
      </c>
      <c r="AR626" s="336">
        <v>6870</v>
      </c>
      <c r="AS626" s="334">
        <v>661.38800000000003</v>
      </c>
      <c r="AT626" s="336">
        <v>6870</v>
      </c>
      <c r="AU626" s="334">
        <v>659.78200000000004</v>
      </c>
      <c r="AV626" s="336">
        <v>6870</v>
      </c>
      <c r="AW626" s="334">
        <v>659.95100000000002</v>
      </c>
      <c r="AX626" s="336">
        <v>6860</v>
      </c>
      <c r="AY626" s="334">
        <v>583.78499999999997</v>
      </c>
      <c r="AZ626" s="336">
        <v>6870</v>
      </c>
      <c r="BA626" s="337">
        <v>585.34500000000003</v>
      </c>
      <c r="BB626" s="336">
        <v>6850</v>
      </c>
      <c r="BC626" s="334">
        <v>148.989</v>
      </c>
      <c r="BD626" s="336">
        <v>6850</v>
      </c>
      <c r="BE626" s="334">
        <v>156.791</v>
      </c>
    </row>
    <row r="627" spans="22:57">
      <c r="V627" s="346">
        <v>6880</v>
      </c>
      <c r="W627" s="333">
        <v>326.06599999999997</v>
      </c>
      <c r="X627" s="346">
        <v>6890</v>
      </c>
      <c r="Y627" s="334">
        <v>323.59199999999998</v>
      </c>
      <c r="Z627" s="335">
        <v>6880</v>
      </c>
      <c r="AA627" s="334">
        <v>744.96199999999999</v>
      </c>
      <c r="AB627" s="336">
        <v>6880</v>
      </c>
      <c r="AC627" s="334">
        <v>744.92499999999995</v>
      </c>
      <c r="AD627" s="336">
        <v>6880</v>
      </c>
      <c r="AE627" s="334">
        <v>660.03599999999994</v>
      </c>
      <c r="AF627" s="336">
        <v>6880</v>
      </c>
      <c r="AG627" s="334">
        <v>659.53700000000003</v>
      </c>
      <c r="AH627" s="336">
        <v>6880</v>
      </c>
      <c r="AI627" s="334">
        <v>659.87800000000004</v>
      </c>
      <c r="AJ627" s="336">
        <v>6860</v>
      </c>
      <c r="AK627" s="334">
        <v>660.98400000000004</v>
      </c>
      <c r="AL627" s="336">
        <v>6880</v>
      </c>
      <c r="AM627" s="334">
        <v>660.60699999999997</v>
      </c>
      <c r="AN627" s="336">
        <v>6880</v>
      </c>
      <c r="AO627" s="334">
        <v>661.26900000000001</v>
      </c>
      <c r="AP627" s="336">
        <v>6870</v>
      </c>
      <c r="AQ627" s="334">
        <v>660.63599999999997</v>
      </c>
      <c r="AR627" s="336">
        <v>6880</v>
      </c>
      <c r="AS627" s="334">
        <v>660.17700000000002</v>
      </c>
      <c r="AT627" s="336">
        <v>6880</v>
      </c>
      <c r="AU627" s="334">
        <v>658.57100000000003</v>
      </c>
      <c r="AV627" s="336">
        <v>6880</v>
      </c>
      <c r="AW627" s="334">
        <v>658.74099999999999</v>
      </c>
      <c r="AX627" s="336">
        <v>6870</v>
      </c>
      <c r="AY627" s="334">
        <v>582.57399999999996</v>
      </c>
      <c r="AZ627" s="336">
        <v>6880</v>
      </c>
      <c r="BA627" s="337">
        <v>584.13599999999997</v>
      </c>
      <c r="BB627" s="336">
        <v>6860</v>
      </c>
      <c r="BC627" s="334">
        <v>148.60900000000001</v>
      </c>
      <c r="BD627" s="336">
        <v>6860</v>
      </c>
      <c r="BE627" s="334">
        <v>156.39699999999999</v>
      </c>
    </row>
    <row r="628" spans="22:57">
      <c r="V628" s="346">
        <v>6890</v>
      </c>
      <c r="W628" s="333">
        <v>325.31599999999997</v>
      </c>
      <c r="X628" s="346">
        <v>6900</v>
      </c>
      <c r="Y628" s="334">
        <v>322.84699999999998</v>
      </c>
      <c r="Z628" s="335">
        <v>6890</v>
      </c>
      <c r="AA628" s="334">
        <v>743.48800000000006</v>
      </c>
      <c r="AB628" s="336">
        <v>6890</v>
      </c>
      <c r="AC628" s="334">
        <v>743.452</v>
      </c>
      <c r="AD628" s="336">
        <v>6890</v>
      </c>
      <c r="AE628" s="334">
        <v>658.82399999999996</v>
      </c>
      <c r="AF628" s="336">
        <v>6890</v>
      </c>
      <c r="AG628" s="334">
        <v>658.32299999999998</v>
      </c>
      <c r="AH628" s="336">
        <v>6890</v>
      </c>
      <c r="AI628" s="334">
        <v>658.66600000000005</v>
      </c>
      <c r="AJ628" s="336">
        <v>6870</v>
      </c>
      <c r="AK628" s="334">
        <v>659.77200000000005</v>
      </c>
      <c r="AL628" s="336">
        <v>6890</v>
      </c>
      <c r="AM628" s="334">
        <v>659.39499999999998</v>
      </c>
      <c r="AN628" s="336">
        <v>6890</v>
      </c>
      <c r="AO628" s="334">
        <v>660.05700000000002</v>
      </c>
      <c r="AP628" s="336">
        <v>6880</v>
      </c>
      <c r="AQ628" s="334">
        <v>659.42600000000004</v>
      </c>
      <c r="AR628" s="336">
        <v>6890</v>
      </c>
      <c r="AS628" s="334">
        <v>658.96699999999998</v>
      </c>
      <c r="AT628" s="336">
        <v>6890</v>
      </c>
      <c r="AU628" s="334">
        <v>657.36</v>
      </c>
      <c r="AV628" s="336">
        <v>6890</v>
      </c>
      <c r="AW628" s="334">
        <v>657.53099999999995</v>
      </c>
      <c r="AX628" s="336">
        <v>6880</v>
      </c>
      <c r="AY628" s="334">
        <v>581.36300000000006</v>
      </c>
      <c r="AZ628" s="336">
        <v>6890</v>
      </c>
      <c r="BA628" s="337">
        <v>582.92600000000004</v>
      </c>
      <c r="BB628" s="336">
        <v>6870</v>
      </c>
      <c r="BC628" s="334">
        <v>148.22999999999999</v>
      </c>
      <c r="BD628" s="336">
        <v>6870</v>
      </c>
      <c r="BE628" s="334">
        <v>156.00299999999999</v>
      </c>
    </row>
    <row r="629" spans="22:57">
      <c r="V629" s="346">
        <v>6900</v>
      </c>
      <c r="W629" s="333">
        <v>324.56599999999997</v>
      </c>
      <c r="X629" s="346">
        <v>6910</v>
      </c>
      <c r="Y629" s="334">
        <v>322.101</v>
      </c>
      <c r="Z629" s="335">
        <v>6900</v>
      </c>
      <c r="AA629" s="334">
        <v>742.01400000000001</v>
      </c>
      <c r="AB629" s="336">
        <v>6900</v>
      </c>
      <c r="AC629" s="334">
        <v>741.98</v>
      </c>
      <c r="AD629" s="336">
        <v>6900</v>
      </c>
      <c r="AE629" s="334">
        <v>657.61099999999999</v>
      </c>
      <c r="AF629" s="336">
        <v>6900</v>
      </c>
      <c r="AG629" s="334">
        <v>657.11</v>
      </c>
      <c r="AH629" s="336">
        <v>6900</v>
      </c>
      <c r="AI629" s="334">
        <v>657.45299999999997</v>
      </c>
      <c r="AJ629" s="336">
        <v>6880</v>
      </c>
      <c r="AK629" s="334">
        <v>658.55899999999997</v>
      </c>
      <c r="AL629" s="336">
        <v>6900</v>
      </c>
      <c r="AM629" s="334">
        <v>658.18200000000002</v>
      </c>
      <c r="AN629" s="336">
        <v>6900</v>
      </c>
      <c r="AO629" s="334">
        <v>658.84400000000005</v>
      </c>
      <c r="AP629" s="336">
        <v>6890</v>
      </c>
      <c r="AQ629" s="334">
        <v>658.21600000000001</v>
      </c>
      <c r="AR629" s="336">
        <v>6900</v>
      </c>
      <c r="AS629" s="334">
        <v>657.75599999999997</v>
      </c>
      <c r="AT629" s="336">
        <v>6900</v>
      </c>
      <c r="AU629" s="334">
        <v>656.149</v>
      </c>
      <c r="AV629" s="336">
        <v>6900</v>
      </c>
      <c r="AW629" s="334">
        <v>656.32100000000003</v>
      </c>
      <c r="AX629" s="336">
        <v>6890</v>
      </c>
      <c r="AY629" s="334">
        <v>580.15300000000002</v>
      </c>
      <c r="AZ629" s="336">
        <v>6900</v>
      </c>
      <c r="BA629" s="337">
        <v>581.71600000000001</v>
      </c>
      <c r="BB629" s="336">
        <v>6880</v>
      </c>
      <c r="BC629" s="334">
        <v>147.85</v>
      </c>
      <c r="BD629" s="336">
        <v>6880</v>
      </c>
      <c r="BE629" s="334">
        <v>155.60900000000001</v>
      </c>
    </row>
    <row r="630" spans="22:57">
      <c r="V630" s="346">
        <v>6910</v>
      </c>
      <c r="W630" s="333">
        <v>323.81599999999997</v>
      </c>
      <c r="X630" s="346">
        <v>6920</v>
      </c>
      <c r="Y630" s="334">
        <v>321.35599999999999</v>
      </c>
      <c r="Z630" s="335">
        <v>6910</v>
      </c>
      <c r="AA630" s="334">
        <v>740.54</v>
      </c>
      <c r="AB630" s="336">
        <v>6910</v>
      </c>
      <c r="AC630" s="334">
        <v>740.50800000000004</v>
      </c>
      <c r="AD630" s="336">
        <v>6910</v>
      </c>
      <c r="AE630" s="334">
        <v>656.399</v>
      </c>
      <c r="AF630" s="336">
        <v>6910</v>
      </c>
      <c r="AG630" s="334">
        <v>655.89599999999996</v>
      </c>
      <c r="AH630" s="336">
        <v>6910</v>
      </c>
      <c r="AI630" s="334">
        <v>656.24099999999999</v>
      </c>
      <c r="AJ630" s="336">
        <v>6890</v>
      </c>
      <c r="AK630" s="334">
        <v>657.346</v>
      </c>
      <c r="AL630" s="336">
        <v>6910</v>
      </c>
      <c r="AM630" s="334">
        <v>656.97</v>
      </c>
      <c r="AN630" s="336">
        <v>6910</v>
      </c>
      <c r="AO630" s="334">
        <v>657.63199999999995</v>
      </c>
      <c r="AP630" s="336">
        <v>6900</v>
      </c>
      <c r="AQ630" s="334">
        <v>657.00599999999997</v>
      </c>
      <c r="AR630" s="336">
        <v>6910</v>
      </c>
      <c r="AS630" s="334">
        <v>656.54499999999996</v>
      </c>
      <c r="AT630" s="336">
        <v>6910</v>
      </c>
      <c r="AU630" s="334">
        <v>654.93700000000001</v>
      </c>
      <c r="AV630" s="336">
        <v>6910</v>
      </c>
      <c r="AW630" s="334">
        <v>655.11099999999999</v>
      </c>
      <c r="AX630" s="336">
        <v>6900</v>
      </c>
      <c r="AY630" s="334">
        <v>578.94200000000001</v>
      </c>
      <c r="AZ630" s="336">
        <v>6910</v>
      </c>
      <c r="BA630" s="337">
        <v>580.50599999999997</v>
      </c>
      <c r="BB630" s="336">
        <v>6890</v>
      </c>
      <c r="BC630" s="334">
        <v>147.471</v>
      </c>
      <c r="BD630" s="336">
        <v>6890</v>
      </c>
      <c r="BE630" s="334">
        <v>155.215</v>
      </c>
    </row>
    <row r="631" spans="22:57">
      <c r="V631" s="346">
        <v>6920</v>
      </c>
      <c r="W631" s="333">
        <v>323.06599999999997</v>
      </c>
      <c r="X631" s="346">
        <v>6930</v>
      </c>
      <c r="Y631" s="334">
        <v>320.61099999999999</v>
      </c>
      <c r="Z631" s="335">
        <v>6920</v>
      </c>
      <c r="AA631" s="334">
        <v>739.06600000000003</v>
      </c>
      <c r="AB631" s="336">
        <v>6920</v>
      </c>
      <c r="AC631" s="334">
        <v>739.03499999999997</v>
      </c>
      <c r="AD631" s="336">
        <v>6920</v>
      </c>
      <c r="AE631" s="334">
        <v>655.18600000000004</v>
      </c>
      <c r="AF631" s="336">
        <v>6920</v>
      </c>
      <c r="AG631" s="334">
        <v>654.68200000000002</v>
      </c>
      <c r="AH631" s="336">
        <v>6920</v>
      </c>
      <c r="AI631" s="334">
        <v>655.029</v>
      </c>
      <c r="AJ631" s="336">
        <v>6900</v>
      </c>
      <c r="AK631" s="334">
        <v>656.13400000000001</v>
      </c>
      <c r="AL631" s="336">
        <v>6920</v>
      </c>
      <c r="AM631" s="334">
        <v>655.75699999999995</v>
      </c>
      <c r="AN631" s="336">
        <v>6920</v>
      </c>
      <c r="AO631" s="334">
        <v>656.42</v>
      </c>
      <c r="AP631" s="336">
        <v>6910</v>
      </c>
      <c r="AQ631" s="334">
        <v>655.79600000000005</v>
      </c>
      <c r="AR631" s="336">
        <v>6920</v>
      </c>
      <c r="AS631" s="334">
        <v>655.33399999999995</v>
      </c>
      <c r="AT631" s="336">
        <v>6920</v>
      </c>
      <c r="AU631" s="334">
        <v>653.726</v>
      </c>
      <c r="AV631" s="336">
        <v>6920</v>
      </c>
      <c r="AW631" s="334">
        <v>653.90099999999995</v>
      </c>
      <c r="AX631" s="336">
        <v>6910</v>
      </c>
      <c r="AY631" s="334">
        <v>577.73199999999997</v>
      </c>
      <c r="AZ631" s="336">
        <v>6920</v>
      </c>
      <c r="BA631" s="337">
        <v>579.29600000000005</v>
      </c>
      <c r="BB631" s="336">
        <v>6900</v>
      </c>
      <c r="BC631" s="334">
        <v>147.09100000000001</v>
      </c>
      <c r="BD631" s="336">
        <v>6900</v>
      </c>
      <c r="BE631" s="334">
        <v>154.822</v>
      </c>
    </row>
    <row r="632" spans="22:57">
      <c r="V632" s="346">
        <v>6930</v>
      </c>
      <c r="W632" s="333">
        <v>322.31700000000001</v>
      </c>
      <c r="X632" s="346">
        <v>6940</v>
      </c>
      <c r="Y632" s="334">
        <v>319.86599999999999</v>
      </c>
      <c r="Z632" s="335">
        <v>6930</v>
      </c>
      <c r="AA632" s="334">
        <v>737.59299999999996</v>
      </c>
      <c r="AB632" s="336">
        <v>6930</v>
      </c>
      <c r="AC632" s="334">
        <v>737.56299999999999</v>
      </c>
      <c r="AD632" s="336">
        <v>6930</v>
      </c>
      <c r="AE632" s="334">
        <v>653.97400000000005</v>
      </c>
      <c r="AF632" s="336">
        <v>6930</v>
      </c>
      <c r="AG632" s="334">
        <v>653.46900000000005</v>
      </c>
      <c r="AH632" s="336">
        <v>6930</v>
      </c>
      <c r="AI632" s="334">
        <v>653.81600000000003</v>
      </c>
      <c r="AJ632" s="336">
        <v>6910</v>
      </c>
      <c r="AK632" s="334">
        <v>654.92100000000005</v>
      </c>
      <c r="AL632" s="336">
        <v>6930</v>
      </c>
      <c r="AM632" s="334">
        <v>654.54499999999996</v>
      </c>
      <c r="AN632" s="336">
        <v>6930</v>
      </c>
      <c r="AO632" s="334">
        <v>655.20799999999997</v>
      </c>
      <c r="AP632" s="336">
        <v>6920</v>
      </c>
      <c r="AQ632" s="334">
        <v>654.58600000000001</v>
      </c>
      <c r="AR632" s="336">
        <v>6930</v>
      </c>
      <c r="AS632" s="334">
        <v>654.12300000000005</v>
      </c>
      <c r="AT632" s="336">
        <v>6930</v>
      </c>
      <c r="AU632" s="334">
        <v>652.51499999999999</v>
      </c>
      <c r="AV632" s="336">
        <v>6930</v>
      </c>
      <c r="AW632" s="334">
        <v>652.69100000000003</v>
      </c>
      <c r="AX632" s="336">
        <v>6920</v>
      </c>
      <c r="AY632" s="334">
        <v>576.52099999999996</v>
      </c>
      <c r="AZ632" s="336">
        <v>6930</v>
      </c>
      <c r="BA632" s="337">
        <v>578.08600000000001</v>
      </c>
      <c r="BB632" s="336">
        <v>6910</v>
      </c>
      <c r="BC632" s="334">
        <v>146.71199999999999</v>
      </c>
      <c r="BD632" s="336">
        <v>6910</v>
      </c>
      <c r="BE632" s="334">
        <v>154.428</v>
      </c>
    </row>
    <row r="633" spans="22:57">
      <c r="V633" s="346">
        <v>6940</v>
      </c>
      <c r="W633" s="333">
        <v>321.36799999999999</v>
      </c>
      <c r="X633" s="346">
        <v>6950</v>
      </c>
      <c r="Y633" s="334">
        <v>319.12200000000001</v>
      </c>
      <c r="Z633" s="335">
        <v>6940</v>
      </c>
      <c r="AA633" s="334">
        <v>736.11900000000003</v>
      </c>
      <c r="AB633" s="336">
        <v>6940</v>
      </c>
      <c r="AC633" s="334">
        <v>736.09100000000001</v>
      </c>
      <c r="AD633" s="336">
        <v>6940</v>
      </c>
      <c r="AE633" s="334">
        <v>652.76199999999994</v>
      </c>
      <c r="AF633" s="336">
        <v>6940</v>
      </c>
      <c r="AG633" s="334">
        <v>652.255</v>
      </c>
      <c r="AH633" s="336">
        <v>6940</v>
      </c>
      <c r="AI633" s="334">
        <v>652.60400000000004</v>
      </c>
      <c r="AJ633" s="336">
        <v>6920</v>
      </c>
      <c r="AK633" s="334">
        <v>653.70899999999995</v>
      </c>
      <c r="AL633" s="336">
        <v>6940</v>
      </c>
      <c r="AM633" s="334">
        <v>653.33199999999999</v>
      </c>
      <c r="AN633" s="336">
        <v>6940</v>
      </c>
      <c r="AO633" s="334">
        <v>653.99599999999998</v>
      </c>
      <c r="AP633" s="336">
        <v>6930</v>
      </c>
      <c r="AQ633" s="334">
        <v>653.37599999999998</v>
      </c>
      <c r="AR633" s="336">
        <v>6940</v>
      </c>
      <c r="AS633" s="334">
        <v>652.91200000000003</v>
      </c>
      <c r="AT633" s="336">
        <v>6940</v>
      </c>
      <c r="AU633" s="334">
        <v>651.30399999999997</v>
      </c>
      <c r="AV633" s="336">
        <v>6940</v>
      </c>
      <c r="AW633" s="334">
        <v>651.48099999999999</v>
      </c>
      <c r="AX633" s="336">
        <v>6930</v>
      </c>
      <c r="AY633" s="334">
        <v>575.31100000000004</v>
      </c>
      <c r="AZ633" s="336">
        <v>6940</v>
      </c>
      <c r="BA633" s="337">
        <v>576.87599999999998</v>
      </c>
      <c r="BB633" s="336">
        <v>6920</v>
      </c>
      <c r="BC633" s="334">
        <v>146.333</v>
      </c>
      <c r="BD633" s="336">
        <v>6920</v>
      </c>
      <c r="BE633" s="334">
        <v>154.035</v>
      </c>
    </row>
    <row r="634" spans="22:57">
      <c r="V634" s="346">
        <v>6950</v>
      </c>
      <c r="W634" s="333">
        <v>320.81900000000002</v>
      </c>
      <c r="X634" s="346">
        <v>6960</v>
      </c>
      <c r="Y634" s="334">
        <v>318.37700000000001</v>
      </c>
      <c r="Z634" s="335">
        <v>6950</v>
      </c>
      <c r="AA634" s="334">
        <v>734.64599999999996</v>
      </c>
      <c r="AB634" s="336">
        <v>6950</v>
      </c>
      <c r="AC634" s="334">
        <v>734.61900000000003</v>
      </c>
      <c r="AD634" s="336">
        <v>6950</v>
      </c>
      <c r="AE634" s="334">
        <v>651.54899999999998</v>
      </c>
      <c r="AF634" s="336">
        <v>6950</v>
      </c>
      <c r="AG634" s="334">
        <v>651.04200000000003</v>
      </c>
      <c r="AH634" s="336">
        <v>6950</v>
      </c>
      <c r="AI634" s="334">
        <v>651.39099999999996</v>
      </c>
      <c r="AJ634" s="336">
        <v>6930</v>
      </c>
      <c r="AK634" s="334">
        <v>652.49599999999998</v>
      </c>
      <c r="AL634" s="336">
        <v>6950</v>
      </c>
      <c r="AM634" s="334">
        <v>652.12</v>
      </c>
      <c r="AN634" s="336">
        <v>6950</v>
      </c>
      <c r="AO634" s="334">
        <v>652.78300000000002</v>
      </c>
      <c r="AP634" s="336">
        <v>6940</v>
      </c>
      <c r="AQ634" s="334">
        <v>652.16600000000005</v>
      </c>
      <c r="AR634" s="336">
        <v>6950</v>
      </c>
      <c r="AS634" s="334">
        <v>651.70100000000002</v>
      </c>
      <c r="AT634" s="336">
        <v>6950</v>
      </c>
      <c r="AU634" s="334">
        <v>650.09299999999996</v>
      </c>
      <c r="AV634" s="336">
        <v>6950</v>
      </c>
      <c r="AW634" s="334">
        <v>650.27099999999996</v>
      </c>
      <c r="AX634" s="336">
        <v>6940</v>
      </c>
      <c r="AY634" s="334">
        <v>574.1</v>
      </c>
      <c r="AZ634" s="336">
        <v>6950</v>
      </c>
      <c r="BA634" s="337">
        <v>575.66600000000005</v>
      </c>
      <c r="BB634" s="336">
        <v>6930</v>
      </c>
      <c r="BC634" s="334">
        <v>145.95400000000001</v>
      </c>
      <c r="BD634" s="336">
        <v>6930</v>
      </c>
      <c r="BE634" s="334">
        <v>153.64099999999999</v>
      </c>
    </row>
    <row r="635" spans="22:57">
      <c r="V635" s="346">
        <v>6960</v>
      </c>
      <c r="W635" s="333">
        <v>320.07</v>
      </c>
      <c r="X635" s="346">
        <v>6970</v>
      </c>
      <c r="Y635" s="334">
        <v>317.63299999999998</v>
      </c>
      <c r="Z635" s="335">
        <v>6960</v>
      </c>
      <c r="AA635" s="334">
        <v>733.173</v>
      </c>
      <c r="AB635" s="336">
        <v>6960</v>
      </c>
      <c r="AC635" s="334">
        <v>733.14800000000002</v>
      </c>
      <c r="AD635" s="336">
        <v>6960</v>
      </c>
      <c r="AE635" s="334">
        <v>650.33699999999999</v>
      </c>
      <c r="AF635" s="336">
        <v>6960</v>
      </c>
      <c r="AG635" s="334">
        <v>649.82799999999997</v>
      </c>
      <c r="AH635" s="336">
        <v>6960</v>
      </c>
      <c r="AI635" s="334">
        <v>650.17899999999997</v>
      </c>
      <c r="AJ635" s="336">
        <v>6940</v>
      </c>
      <c r="AK635" s="334">
        <v>651.28300000000002</v>
      </c>
      <c r="AL635" s="336">
        <v>6960</v>
      </c>
      <c r="AM635" s="334">
        <v>650.90800000000002</v>
      </c>
      <c r="AN635" s="336">
        <v>6960</v>
      </c>
      <c r="AO635" s="334">
        <v>651.57100000000003</v>
      </c>
      <c r="AP635" s="336">
        <v>6950</v>
      </c>
      <c r="AQ635" s="334">
        <v>650.95600000000002</v>
      </c>
      <c r="AR635" s="336">
        <v>6960</v>
      </c>
      <c r="AS635" s="334">
        <v>650.49</v>
      </c>
      <c r="AT635" s="336">
        <v>6960</v>
      </c>
      <c r="AU635" s="334">
        <v>648.88099999999997</v>
      </c>
      <c r="AV635" s="336">
        <v>6960</v>
      </c>
      <c r="AW635" s="334">
        <v>649.06100000000004</v>
      </c>
      <c r="AX635" s="336">
        <v>6950</v>
      </c>
      <c r="AY635" s="334">
        <v>572.89</v>
      </c>
      <c r="AZ635" s="336">
        <v>6960</v>
      </c>
      <c r="BA635" s="337">
        <v>574.45600000000002</v>
      </c>
      <c r="BB635" s="336">
        <v>6940</v>
      </c>
      <c r="BC635" s="334">
        <v>145.57499999999999</v>
      </c>
      <c r="BD635" s="336">
        <v>6940</v>
      </c>
      <c r="BE635" s="334">
        <v>153.24799999999999</v>
      </c>
    </row>
    <row r="636" spans="22:57">
      <c r="V636" s="346">
        <v>6970</v>
      </c>
      <c r="W636" s="333">
        <v>319.32100000000003</v>
      </c>
      <c r="X636" s="346">
        <v>6980</v>
      </c>
      <c r="Y636" s="334">
        <v>316.88900000000001</v>
      </c>
      <c r="Z636" s="335">
        <v>6970</v>
      </c>
      <c r="AA636" s="334">
        <v>731.7</v>
      </c>
      <c r="AB636" s="336">
        <v>6970</v>
      </c>
      <c r="AC636" s="334">
        <v>731.67600000000004</v>
      </c>
      <c r="AD636" s="336">
        <v>6970</v>
      </c>
      <c r="AE636" s="334">
        <v>649.12400000000002</v>
      </c>
      <c r="AF636" s="336">
        <v>6970</v>
      </c>
      <c r="AG636" s="334">
        <v>648.61500000000001</v>
      </c>
      <c r="AH636" s="336">
        <v>6970</v>
      </c>
      <c r="AI636" s="334">
        <v>648.96699999999998</v>
      </c>
      <c r="AJ636" s="336">
        <v>6950</v>
      </c>
      <c r="AK636" s="334">
        <v>650.07100000000003</v>
      </c>
      <c r="AL636" s="336">
        <v>6970</v>
      </c>
      <c r="AM636" s="334">
        <v>649.69500000000005</v>
      </c>
      <c r="AN636" s="336">
        <v>6970</v>
      </c>
      <c r="AO636" s="334">
        <v>650.35900000000004</v>
      </c>
      <c r="AP636" s="336">
        <v>6960</v>
      </c>
      <c r="AQ636" s="334">
        <v>649.74599999999998</v>
      </c>
      <c r="AR636" s="336">
        <v>6970</v>
      </c>
      <c r="AS636" s="334">
        <v>649.279</v>
      </c>
      <c r="AT636" s="336">
        <v>6970</v>
      </c>
      <c r="AU636" s="334">
        <v>647.66999999999996</v>
      </c>
      <c r="AV636" s="336">
        <v>6970</v>
      </c>
      <c r="AW636" s="334">
        <v>647.851</v>
      </c>
      <c r="AX636" s="336">
        <v>6960</v>
      </c>
      <c r="AY636" s="334">
        <v>571.67899999999997</v>
      </c>
      <c r="AZ636" s="336">
        <v>6970</v>
      </c>
      <c r="BA636" s="337">
        <v>573.24599999999998</v>
      </c>
      <c r="BB636" s="336">
        <v>6950</v>
      </c>
      <c r="BC636" s="334">
        <v>145.196</v>
      </c>
      <c r="BD636" s="336">
        <v>6950</v>
      </c>
      <c r="BE636" s="334">
        <v>152.85499999999999</v>
      </c>
    </row>
    <row r="637" spans="22:57">
      <c r="V637" s="346">
        <v>6980</v>
      </c>
      <c r="W637" s="333">
        <v>318.57299999999998</v>
      </c>
      <c r="X637" s="346">
        <v>6990</v>
      </c>
      <c r="Y637" s="334">
        <v>316.14600000000002</v>
      </c>
      <c r="Z637" s="335">
        <v>6980</v>
      </c>
      <c r="AA637" s="334">
        <v>730.22699999999998</v>
      </c>
      <c r="AB637" s="336">
        <v>6980</v>
      </c>
      <c r="AC637" s="334">
        <v>730.20399999999995</v>
      </c>
      <c r="AD637" s="336">
        <v>6980</v>
      </c>
      <c r="AE637" s="334">
        <v>647.91200000000003</v>
      </c>
      <c r="AF637" s="336">
        <v>6980</v>
      </c>
      <c r="AG637" s="334">
        <v>647.40099999999995</v>
      </c>
      <c r="AH637" s="336">
        <v>6980</v>
      </c>
      <c r="AI637" s="334">
        <v>647.75400000000002</v>
      </c>
      <c r="AJ637" s="336">
        <v>6960</v>
      </c>
      <c r="AK637" s="334">
        <v>648.85799999999995</v>
      </c>
      <c r="AL637" s="336">
        <v>6980</v>
      </c>
      <c r="AM637" s="334">
        <v>648.48299999999995</v>
      </c>
      <c r="AN637" s="336">
        <v>6980</v>
      </c>
      <c r="AO637" s="334">
        <v>649.14700000000005</v>
      </c>
      <c r="AP637" s="336">
        <v>6970</v>
      </c>
      <c r="AQ637" s="334">
        <v>648.53599999999994</v>
      </c>
      <c r="AR637" s="336">
        <v>6980</v>
      </c>
      <c r="AS637" s="334">
        <v>648.06799999999998</v>
      </c>
      <c r="AT637" s="336">
        <v>6980</v>
      </c>
      <c r="AU637" s="334">
        <v>646.45899999999995</v>
      </c>
      <c r="AV637" s="336">
        <v>6980</v>
      </c>
      <c r="AW637" s="334">
        <v>646.64099999999996</v>
      </c>
      <c r="AX637" s="336">
        <v>6970</v>
      </c>
      <c r="AY637" s="334">
        <v>570.46900000000005</v>
      </c>
      <c r="AZ637" s="336">
        <v>6980</v>
      </c>
      <c r="BA637" s="337">
        <v>572.03599999999994</v>
      </c>
      <c r="BB637" s="336">
        <v>6960</v>
      </c>
      <c r="BC637" s="334">
        <v>144.81700000000001</v>
      </c>
      <c r="BD637" s="336">
        <v>6960</v>
      </c>
      <c r="BE637" s="334">
        <v>152.46199999999999</v>
      </c>
    </row>
    <row r="638" spans="22:57">
      <c r="V638" s="346">
        <v>6990</v>
      </c>
      <c r="W638" s="333">
        <v>317.82499999999999</v>
      </c>
      <c r="X638" s="346">
        <v>7000</v>
      </c>
      <c r="Y638" s="334">
        <v>315.40199999999999</v>
      </c>
      <c r="Z638" s="335">
        <v>6990</v>
      </c>
      <c r="AA638" s="334">
        <v>728.75400000000002</v>
      </c>
      <c r="AB638" s="336">
        <v>6990</v>
      </c>
      <c r="AC638" s="334">
        <v>728.73299999999995</v>
      </c>
      <c r="AD638" s="336">
        <v>6990</v>
      </c>
      <c r="AE638" s="334">
        <v>646.70000000000005</v>
      </c>
      <c r="AF638" s="336">
        <v>6990</v>
      </c>
      <c r="AG638" s="334">
        <v>646.18700000000001</v>
      </c>
      <c r="AH638" s="336">
        <v>6990</v>
      </c>
      <c r="AI638" s="334">
        <v>646.54200000000003</v>
      </c>
      <c r="AJ638" s="336">
        <v>6970</v>
      </c>
      <c r="AK638" s="334">
        <v>647.64599999999996</v>
      </c>
      <c r="AL638" s="336">
        <v>6990</v>
      </c>
      <c r="AM638" s="334">
        <v>647.27</v>
      </c>
      <c r="AN638" s="336">
        <v>6990</v>
      </c>
      <c r="AO638" s="334">
        <v>647.93499999999995</v>
      </c>
      <c r="AP638" s="336">
        <v>6980</v>
      </c>
      <c r="AQ638" s="334">
        <v>647.32600000000002</v>
      </c>
      <c r="AR638" s="336">
        <v>6990</v>
      </c>
      <c r="AS638" s="334">
        <v>646.85699999999997</v>
      </c>
      <c r="AT638" s="336">
        <v>6990</v>
      </c>
      <c r="AU638" s="334">
        <v>645.24800000000005</v>
      </c>
      <c r="AV638" s="336">
        <v>6990</v>
      </c>
      <c r="AW638" s="334">
        <v>645.43100000000004</v>
      </c>
      <c r="AX638" s="336">
        <v>6980</v>
      </c>
      <c r="AY638" s="334">
        <v>569.25800000000004</v>
      </c>
      <c r="AZ638" s="336">
        <v>6990</v>
      </c>
      <c r="BA638" s="337">
        <v>570.827</v>
      </c>
      <c r="BB638" s="336">
        <v>6970</v>
      </c>
      <c r="BC638" s="334">
        <v>144.43899999999999</v>
      </c>
      <c r="BD638" s="336">
        <v>6970</v>
      </c>
      <c r="BE638" s="334">
        <v>152.06899999999999</v>
      </c>
    </row>
    <row r="639" spans="22:57">
      <c r="V639" s="346">
        <v>7000</v>
      </c>
      <c r="W639" s="333">
        <v>317.077</v>
      </c>
      <c r="X639" s="346">
        <v>7010</v>
      </c>
      <c r="Y639" s="334">
        <v>314.65899999999999</v>
      </c>
      <c r="Z639" s="335">
        <v>7000</v>
      </c>
      <c r="AA639" s="334">
        <v>727.28099999999995</v>
      </c>
      <c r="AB639" s="336">
        <v>7000</v>
      </c>
      <c r="AC639" s="334">
        <v>727.26199999999994</v>
      </c>
      <c r="AD639" s="336">
        <v>7000</v>
      </c>
      <c r="AE639" s="334">
        <v>645.48699999999997</v>
      </c>
      <c r="AF639" s="336">
        <v>7000</v>
      </c>
      <c r="AG639" s="334">
        <v>644.97400000000005</v>
      </c>
      <c r="AH639" s="336">
        <v>7000</v>
      </c>
      <c r="AI639" s="334">
        <v>645.33000000000004</v>
      </c>
      <c r="AJ639" s="336">
        <v>6980</v>
      </c>
      <c r="AK639" s="334">
        <v>646.43299999999999</v>
      </c>
      <c r="AL639" s="336">
        <v>7000</v>
      </c>
      <c r="AM639" s="334">
        <v>646.05799999999999</v>
      </c>
      <c r="AN639" s="336">
        <v>7000</v>
      </c>
      <c r="AO639" s="334">
        <v>646.72299999999996</v>
      </c>
      <c r="AP639" s="336">
        <v>6990</v>
      </c>
      <c r="AQ639" s="334">
        <v>646.11500000000001</v>
      </c>
      <c r="AR639" s="336">
        <v>7000</v>
      </c>
      <c r="AS639" s="334">
        <v>645.64599999999996</v>
      </c>
      <c r="AT639" s="336">
        <v>7000</v>
      </c>
      <c r="AU639" s="334">
        <v>644.03700000000003</v>
      </c>
      <c r="AV639" s="336">
        <v>7000</v>
      </c>
      <c r="AW639" s="334">
        <v>644.22</v>
      </c>
      <c r="AX639" s="336">
        <v>6990</v>
      </c>
      <c r="AY639" s="334">
        <v>568.048</v>
      </c>
      <c r="AZ639" s="336">
        <v>7000</v>
      </c>
      <c r="BA639" s="337">
        <v>569.61699999999996</v>
      </c>
      <c r="BB639" s="336">
        <v>6980</v>
      </c>
      <c r="BC639" s="334">
        <v>144.06</v>
      </c>
      <c r="BD639" s="336">
        <v>6980</v>
      </c>
      <c r="BE639" s="334">
        <v>151.67699999999999</v>
      </c>
    </row>
    <row r="640" spans="22:57">
      <c r="V640" s="346">
        <v>7010</v>
      </c>
      <c r="W640" s="333">
        <v>316.32900000000001</v>
      </c>
      <c r="X640" s="346">
        <v>7020</v>
      </c>
      <c r="Y640" s="334">
        <v>313.916</v>
      </c>
      <c r="Z640" s="335">
        <v>7010</v>
      </c>
      <c r="AA640" s="334">
        <v>725.80799999999999</v>
      </c>
      <c r="AB640" s="336">
        <v>7010</v>
      </c>
      <c r="AC640" s="334">
        <v>725.79</v>
      </c>
      <c r="AD640" s="336">
        <v>7010</v>
      </c>
      <c r="AE640" s="334">
        <v>644.27499999999998</v>
      </c>
      <c r="AF640" s="336">
        <v>7010</v>
      </c>
      <c r="AG640" s="334">
        <v>643.76</v>
      </c>
      <c r="AH640" s="336">
        <v>7010</v>
      </c>
      <c r="AI640" s="334">
        <v>644.11699999999996</v>
      </c>
      <c r="AJ640" s="336">
        <v>6990</v>
      </c>
      <c r="AK640" s="334">
        <v>645.22</v>
      </c>
      <c r="AL640" s="336">
        <v>7010</v>
      </c>
      <c r="AM640" s="334">
        <v>644.846</v>
      </c>
      <c r="AN640" s="336">
        <v>7010</v>
      </c>
      <c r="AO640" s="334">
        <v>645.51</v>
      </c>
      <c r="AP640" s="336">
        <v>7000</v>
      </c>
      <c r="AQ640" s="334">
        <v>644.90499999999997</v>
      </c>
      <c r="AR640" s="336">
        <v>7010</v>
      </c>
      <c r="AS640" s="334">
        <v>644.43499999999995</v>
      </c>
      <c r="AT640" s="336">
        <v>7010</v>
      </c>
      <c r="AU640" s="334">
        <v>642.82600000000002</v>
      </c>
      <c r="AV640" s="336">
        <v>7010</v>
      </c>
      <c r="AW640" s="334">
        <v>643.01</v>
      </c>
      <c r="AX640" s="336">
        <v>7000</v>
      </c>
      <c r="AY640" s="334">
        <v>566.83699999999999</v>
      </c>
      <c r="AZ640" s="336">
        <v>7010</v>
      </c>
      <c r="BA640" s="337">
        <v>568.40700000000004</v>
      </c>
      <c r="BB640" s="336">
        <v>6990</v>
      </c>
      <c r="BC640" s="334">
        <v>143.68199999999999</v>
      </c>
      <c r="BD640" s="336">
        <v>6990</v>
      </c>
      <c r="BE640" s="334">
        <v>151.28399999999999</v>
      </c>
    </row>
    <row r="641" spans="22:57">
      <c r="V641" s="346">
        <v>7020</v>
      </c>
      <c r="W641" s="333">
        <v>315.58199999999999</v>
      </c>
      <c r="X641" s="346">
        <v>7030</v>
      </c>
      <c r="Y641" s="334">
        <v>313.173</v>
      </c>
      <c r="Z641" s="335">
        <v>7020</v>
      </c>
      <c r="AA641" s="334">
        <v>724.33600000000001</v>
      </c>
      <c r="AB641" s="336">
        <v>7020</v>
      </c>
      <c r="AC641" s="334">
        <v>724.31899999999996</v>
      </c>
      <c r="AD641" s="336">
        <v>7020</v>
      </c>
      <c r="AE641" s="370">
        <v>643.06299999999999</v>
      </c>
      <c r="AF641" s="336">
        <v>7020</v>
      </c>
      <c r="AG641" s="334">
        <v>642.54700000000003</v>
      </c>
      <c r="AH641" s="336">
        <v>7020</v>
      </c>
      <c r="AI641" s="334">
        <v>642.90499999999997</v>
      </c>
      <c r="AJ641" s="336">
        <v>7000</v>
      </c>
      <c r="AK641" s="334">
        <v>644.00800000000004</v>
      </c>
      <c r="AL641" s="336">
        <v>7020</v>
      </c>
      <c r="AM641" s="334">
        <v>643.63300000000004</v>
      </c>
      <c r="AN641" s="336">
        <v>7020</v>
      </c>
      <c r="AO641" s="334">
        <v>644.298</v>
      </c>
      <c r="AP641" s="336">
        <v>7010</v>
      </c>
      <c r="AQ641" s="334">
        <v>643.69500000000005</v>
      </c>
      <c r="AR641" s="336">
        <v>7020</v>
      </c>
      <c r="AS641" s="334">
        <v>643.22400000000005</v>
      </c>
      <c r="AT641" s="336">
        <v>7020</v>
      </c>
      <c r="AU641" s="334">
        <v>641.61400000000003</v>
      </c>
      <c r="AV641" s="336">
        <v>7020</v>
      </c>
      <c r="AW641" s="334">
        <v>641.79999999999995</v>
      </c>
      <c r="AX641" s="336">
        <v>7010</v>
      </c>
      <c r="AY641" s="334">
        <v>565.62699999999995</v>
      </c>
      <c r="AZ641" s="336">
        <v>7020</v>
      </c>
      <c r="BA641" s="337">
        <v>567.197</v>
      </c>
      <c r="BB641" s="336">
        <v>7000</v>
      </c>
      <c r="BC641" s="334">
        <v>143.304</v>
      </c>
      <c r="BD641" s="336">
        <v>7000</v>
      </c>
      <c r="BE641" s="334">
        <v>150.89099999999999</v>
      </c>
    </row>
    <row r="642" spans="22:57">
      <c r="V642" s="346">
        <v>7030</v>
      </c>
      <c r="W642" s="333">
        <v>314.834</v>
      </c>
      <c r="X642" s="346">
        <v>7040</v>
      </c>
      <c r="Y642" s="334">
        <v>312.43</v>
      </c>
      <c r="Z642" s="335">
        <v>7030</v>
      </c>
      <c r="AA642" s="334">
        <v>722.86300000000006</v>
      </c>
      <c r="AB642" s="336">
        <v>7030</v>
      </c>
      <c r="AC642" s="334">
        <v>722.84799999999996</v>
      </c>
      <c r="AD642" s="336">
        <v>7030</v>
      </c>
      <c r="AE642" s="334">
        <v>641.85</v>
      </c>
      <c r="AF642" s="336">
        <v>7030</v>
      </c>
      <c r="AG642" s="334">
        <v>641.33299999999997</v>
      </c>
      <c r="AH642" s="336">
        <v>7030</v>
      </c>
      <c r="AI642" s="334">
        <v>641.69299999999998</v>
      </c>
      <c r="AJ642" s="336">
        <v>7010</v>
      </c>
      <c r="AK642" s="334">
        <v>642.79499999999996</v>
      </c>
      <c r="AL642" s="336">
        <v>7030</v>
      </c>
      <c r="AM642" s="334">
        <v>642.42100000000005</v>
      </c>
      <c r="AN642" s="336">
        <v>7030</v>
      </c>
      <c r="AO642" s="334">
        <v>643.08600000000001</v>
      </c>
      <c r="AP642" s="336">
        <v>7020</v>
      </c>
      <c r="AQ642" s="334">
        <v>642.48500000000001</v>
      </c>
      <c r="AR642" s="336">
        <v>7030</v>
      </c>
      <c r="AS642" s="334">
        <v>642.01300000000003</v>
      </c>
      <c r="AT642" s="336">
        <v>7030</v>
      </c>
      <c r="AU642" s="334">
        <v>640.40300000000002</v>
      </c>
      <c r="AV642" s="336">
        <v>7030</v>
      </c>
      <c r="AW642" s="334">
        <v>640.59</v>
      </c>
      <c r="AX642" s="336">
        <v>7020</v>
      </c>
      <c r="AY642" s="334">
        <v>564.41600000000005</v>
      </c>
      <c r="AZ642" s="336">
        <v>7030</v>
      </c>
      <c r="BA642" s="337">
        <v>565.98699999999997</v>
      </c>
      <c r="BB642" s="336">
        <v>7010</v>
      </c>
      <c r="BC642" s="334">
        <v>142.92599999999999</v>
      </c>
      <c r="BD642" s="336">
        <v>7010</v>
      </c>
      <c r="BE642" s="334">
        <v>150.499</v>
      </c>
    </row>
    <row r="643" spans="22:57">
      <c r="V643" s="346">
        <v>7040</v>
      </c>
      <c r="W643" s="333">
        <v>314.08699999999999</v>
      </c>
      <c r="X643" s="346">
        <v>7050</v>
      </c>
      <c r="Y643" s="334">
        <v>311.68700000000001</v>
      </c>
      <c r="Z643" s="335">
        <v>7040</v>
      </c>
      <c r="AA643" s="334">
        <v>721.39099999999996</v>
      </c>
      <c r="AB643" s="336">
        <v>7040</v>
      </c>
      <c r="AC643" s="334">
        <v>721.37699999999995</v>
      </c>
      <c r="AD643" s="336">
        <v>7040</v>
      </c>
      <c r="AE643" s="334">
        <v>640.63800000000003</v>
      </c>
      <c r="AF643" s="336">
        <v>7040</v>
      </c>
      <c r="AG643" s="334">
        <v>640.12</v>
      </c>
      <c r="AH643" s="336">
        <v>7040</v>
      </c>
      <c r="AI643" s="334">
        <v>640.48</v>
      </c>
      <c r="AJ643" s="336">
        <v>7020</v>
      </c>
      <c r="AK643" s="334">
        <v>641.58299999999997</v>
      </c>
      <c r="AL643" s="336">
        <v>7040</v>
      </c>
      <c r="AM643" s="334">
        <v>641.20799999999997</v>
      </c>
      <c r="AN643" s="336">
        <v>7040</v>
      </c>
      <c r="AO643" s="334">
        <v>641.87400000000002</v>
      </c>
      <c r="AP643" s="336">
        <v>7030</v>
      </c>
      <c r="AQ643" s="334">
        <v>641.27499999999998</v>
      </c>
      <c r="AR643" s="336">
        <v>7040</v>
      </c>
      <c r="AS643" s="334">
        <v>640.80200000000002</v>
      </c>
      <c r="AT643" s="336">
        <v>7040</v>
      </c>
      <c r="AU643" s="334">
        <v>639.19200000000001</v>
      </c>
      <c r="AV643" s="336">
        <v>7040</v>
      </c>
      <c r="AW643" s="334">
        <v>639.38</v>
      </c>
      <c r="AX643" s="336">
        <v>7030</v>
      </c>
      <c r="AY643" s="334">
        <v>563.20600000000002</v>
      </c>
      <c r="AZ643" s="336">
        <v>7040</v>
      </c>
      <c r="BA643" s="337">
        <v>564.77700000000004</v>
      </c>
      <c r="BB643" s="336">
        <v>7020</v>
      </c>
      <c r="BC643" s="334">
        <v>142.548</v>
      </c>
      <c r="BD643" s="336">
        <v>7020</v>
      </c>
      <c r="BE643" s="334">
        <v>150.107</v>
      </c>
    </row>
    <row r="644" spans="22:57">
      <c r="V644" s="346">
        <v>7050</v>
      </c>
      <c r="W644" s="333">
        <v>313.33999999999997</v>
      </c>
      <c r="X644" s="346">
        <v>7060</v>
      </c>
      <c r="Y644" s="334">
        <v>310.94499999999999</v>
      </c>
      <c r="Z644" s="335">
        <v>7050</v>
      </c>
      <c r="AA644" s="334">
        <v>719.91899999999998</v>
      </c>
      <c r="AB644" s="336">
        <v>7050</v>
      </c>
      <c r="AC644" s="334">
        <v>719.90599999999995</v>
      </c>
      <c r="AD644" s="336">
        <v>7050</v>
      </c>
      <c r="AE644" s="334">
        <v>639.42600000000004</v>
      </c>
      <c r="AF644" s="336">
        <v>7050</v>
      </c>
      <c r="AG644" s="334">
        <v>638.90599999999995</v>
      </c>
      <c r="AH644" s="336">
        <v>7050</v>
      </c>
      <c r="AI644" s="334">
        <v>639.26800000000003</v>
      </c>
      <c r="AJ644" s="336">
        <v>7030</v>
      </c>
      <c r="AK644" s="334">
        <v>640.37</v>
      </c>
      <c r="AL644" s="336">
        <v>7050</v>
      </c>
      <c r="AM644" s="334">
        <v>639.99599999999998</v>
      </c>
      <c r="AN644" s="336">
        <v>7050</v>
      </c>
      <c r="AO644" s="334">
        <v>640.66200000000003</v>
      </c>
      <c r="AP644" s="336">
        <v>7040</v>
      </c>
      <c r="AQ644" s="334">
        <v>640.06500000000005</v>
      </c>
      <c r="AR644" s="336">
        <v>7050</v>
      </c>
      <c r="AS644" s="334">
        <v>639.59100000000001</v>
      </c>
      <c r="AT644" s="336">
        <v>7050</v>
      </c>
      <c r="AU644" s="334">
        <v>637.98099999999999</v>
      </c>
      <c r="AV644" s="336">
        <v>7050</v>
      </c>
      <c r="AW644" s="334">
        <v>638.16999999999996</v>
      </c>
      <c r="AX644" s="336">
        <v>7040</v>
      </c>
      <c r="AY644" s="334">
        <v>561.99599999999998</v>
      </c>
      <c r="AZ644" s="336">
        <v>7050</v>
      </c>
      <c r="BA644" s="337">
        <v>563.56700000000001</v>
      </c>
      <c r="BB644" s="336">
        <v>7030</v>
      </c>
      <c r="BC644" s="334">
        <v>142.16999999999999</v>
      </c>
      <c r="BD644" s="336">
        <v>7030</v>
      </c>
      <c r="BE644" s="334">
        <v>149.715</v>
      </c>
    </row>
    <row r="645" spans="22:57">
      <c r="V645" s="346">
        <v>7060</v>
      </c>
      <c r="W645" s="333">
        <v>312.39400000000001</v>
      </c>
      <c r="X645" s="346">
        <v>7070</v>
      </c>
      <c r="Y645" s="334">
        <v>310.20299999999997</v>
      </c>
      <c r="Z645" s="335">
        <v>7060</v>
      </c>
      <c r="AA645" s="334">
        <v>718.447</v>
      </c>
      <c r="AB645" s="336">
        <v>7060</v>
      </c>
      <c r="AC645" s="334">
        <v>718.43499999999995</v>
      </c>
      <c r="AD645" s="336">
        <v>7060</v>
      </c>
      <c r="AE645" s="334">
        <v>638.21299999999997</v>
      </c>
      <c r="AF645" s="336">
        <v>7060</v>
      </c>
      <c r="AG645" s="334">
        <v>637.69200000000001</v>
      </c>
      <c r="AH645" s="336">
        <v>7060</v>
      </c>
      <c r="AI645" s="334">
        <v>638.05600000000004</v>
      </c>
      <c r="AJ645" s="336">
        <v>7040</v>
      </c>
      <c r="AK645" s="334">
        <v>639.15700000000004</v>
      </c>
      <c r="AL645" s="336">
        <v>7060</v>
      </c>
      <c r="AM645" s="334">
        <v>638.78399999999999</v>
      </c>
      <c r="AN645" s="336">
        <v>7060</v>
      </c>
      <c r="AO645" s="334">
        <v>639.44899999999996</v>
      </c>
      <c r="AP645" s="336">
        <v>7050</v>
      </c>
      <c r="AQ645" s="334">
        <v>638.85500000000002</v>
      </c>
      <c r="AR645" s="336">
        <v>7060</v>
      </c>
      <c r="AS645" s="334">
        <v>638.38</v>
      </c>
      <c r="AT645" s="336">
        <v>7060</v>
      </c>
      <c r="AU645" s="334">
        <v>636.77</v>
      </c>
      <c r="AV645" s="336">
        <v>7060</v>
      </c>
      <c r="AW645" s="334">
        <v>636.96</v>
      </c>
      <c r="AX645" s="336">
        <v>7050</v>
      </c>
      <c r="AY645" s="334">
        <v>560.78499999999997</v>
      </c>
      <c r="AZ645" s="336">
        <v>7060</v>
      </c>
      <c r="BA645" s="337">
        <v>562.35799999999995</v>
      </c>
      <c r="BB645" s="336">
        <v>7040</v>
      </c>
      <c r="BC645" s="334">
        <v>141.792</v>
      </c>
      <c r="BD645" s="336">
        <v>7040</v>
      </c>
      <c r="BE645" s="334">
        <v>149.32300000000001</v>
      </c>
    </row>
    <row r="646" spans="22:57">
      <c r="V646" s="346">
        <v>7070</v>
      </c>
      <c r="W646" s="333">
        <v>311.84699999999998</v>
      </c>
      <c r="X646" s="346">
        <v>7080</v>
      </c>
      <c r="Y646" s="334">
        <v>309.46100000000001</v>
      </c>
      <c r="Z646" s="335">
        <v>7070</v>
      </c>
      <c r="AA646" s="334">
        <v>716.97500000000002</v>
      </c>
      <c r="AB646" s="336">
        <v>7070</v>
      </c>
      <c r="AC646" s="334">
        <v>716.96500000000003</v>
      </c>
      <c r="AD646" s="336">
        <v>7070</v>
      </c>
      <c r="AE646" s="334">
        <v>637.00099999999998</v>
      </c>
      <c r="AF646" s="336">
        <v>7070</v>
      </c>
      <c r="AG646" s="334">
        <v>636.47900000000004</v>
      </c>
      <c r="AH646" s="336">
        <v>7070</v>
      </c>
      <c r="AI646" s="334">
        <v>636.84299999999996</v>
      </c>
      <c r="AJ646" s="336">
        <v>7050</v>
      </c>
      <c r="AK646" s="334">
        <v>637.94500000000005</v>
      </c>
      <c r="AL646" s="336">
        <v>7070</v>
      </c>
      <c r="AM646" s="334">
        <v>637.57100000000003</v>
      </c>
      <c r="AN646" s="336">
        <v>7070</v>
      </c>
      <c r="AO646" s="334">
        <v>638.23699999999997</v>
      </c>
      <c r="AP646" s="336">
        <v>7060</v>
      </c>
      <c r="AQ646" s="334">
        <v>637.64499999999998</v>
      </c>
      <c r="AR646" s="336">
        <v>7070</v>
      </c>
      <c r="AS646" s="334">
        <v>637.16899999999998</v>
      </c>
      <c r="AT646" s="336">
        <v>7070</v>
      </c>
      <c r="AU646" s="334">
        <v>635.55899999999997</v>
      </c>
      <c r="AV646" s="336">
        <v>7070</v>
      </c>
      <c r="AW646" s="334">
        <v>635.75</v>
      </c>
      <c r="AX646" s="336">
        <v>7060</v>
      </c>
      <c r="AY646" s="334">
        <v>559.57500000000005</v>
      </c>
      <c r="AZ646" s="336">
        <v>7070</v>
      </c>
      <c r="BA646" s="337">
        <v>561.14800000000002</v>
      </c>
      <c r="BB646" s="336">
        <v>7050</v>
      </c>
      <c r="BC646" s="334">
        <v>141.41399999999999</v>
      </c>
      <c r="BD646" s="336">
        <v>7050</v>
      </c>
      <c r="BE646" s="334">
        <v>148.93100000000001</v>
      </c>
    </row>
    <row r="647" spans="22:57">
      <c r="V647" s="346">
        <v>7080</v>
      </c>
      <c r="W647" s="333">
        <v>311.101</v>
      </c>
      <c r="X647" s="346">
        <v>7090</v>
      </c>
      <c r="Y647" s="334">
        <v>308.71899999999999</v>
      </c>
      <c r="Z647" s="335">
        <v>7080</v>
      </c>
      <c r="AA647" s="334">
        <v>715.50300000000004</v>
      </c>
      <c r="AB647" s="336">
        <v>7080</v>
      </c>
      <c r="AC647" s="334">
        <v>715.49400000000003</v>
      </c>
      <c r="AD647" s="336">
        <v>7080</v>
      </c>
      <c r="AE647" s="334">
        <v>635.78800000000001</v>
      </c>
      <c r="AF647" s="336">
        <v>7080</v>
      </c>
      <c r="AG647" s="334">
        <v>635.26499999999999</v>
      </c>
      <c r="AH647" s="336">
        <v>7080</v>
      </c>
      <c r="AI647" s="334">
        <v>635.63099999999997</v>
      </c>
      <c r="AJ647" s="336">
        <v>7060</v>
      </c>
      <c r="AK647" s="334">
        <v>636.73199999999997</v>
      </c>
      <c r="AL647" s="336">
        <v>7080</v>
      </c>
      <c r="AM647" s="334">
        <v>636.35900000000004</v>
      </c>
      <c r="AN647" s="336">
        <v>7080</v>
      </c>
      <c r="AO647" s="334">
        <v>637.02499999999998</v>
      </c>
      <c r="AP647" s="336">
        <v>7070</v>
      </c>
      <c r="AQ647" s="334">
        <v>636.43499999999995</v>
      </c>
      <c r="AR647" s="336">
        <v>7080</v>
      </c>
      <c r="AS647" s="334">
        <v>635.95899999999995</v>
      </c>
      <c r="AT647" s="336">
        <v>7080</v>
      </c>
      <c r="AU647" s="334">
        <v>634.34699999999998</v>
      </c>
      <c r="AV647" s="336">
        <v>7080</v>
      </c>
      <c r="AW647" s="334">
        <v>634.54</v>
      </c>
      <c r="AX647" s="336">
        <v>7070</v>
      </c>
      <c r="AY647" s="334">
        <v>558.36400000000003</v>
      </c>
      <c r="AZ647" s="336">
        <v>7080</v>
      </c>
      <c r="BA647" s="337">
        <v>559.93799999999999</v>
      </c>
      <c r="BB647" s="336">
        <v>7060</v>
      </c>
      <c r="BC647" s="334">
        <v>141.03700000000001</v>
      </c>
      <c r="BD647" s="336">
        <v>7060</v>
      </c>
      <c r="BE647" s="334">
        <v>148.53899999999999</v>
      </c>
    </row>
    <row r="648" spans="22:57">
      <c r="V648" s="346">
        <v>7090</v>
      </c>
      <c r="W648" s="333">
        <v>310.35500000000002</v>
      </c>
      <c r="X648" s="346">
        <v>7100</v>
      </c>
      <c r="Y648" s="334">
        <v>307.97800000000001</v>
      </c>
      <c r="Z648" s="335">
        <v>7090</v>
      </c>
      <c r="AA648" s="334">
        <v>714.03099999999995</v>
      </c>
      <c r="AB648" s="336">
        <v>7090</v>
      </c>
      <c r="AC648" s="334">
        <v>714.024</v>
      </c>
      <c r="AD648" s="336">
        <v>7090</v>
      </c>
      <c r="AE648" s="334">
        <v>634.57600000000002</v>
      </c>
      <c r="AF648" s="336">
        <v>7090</v>
      </c>
      <c r="AG648" s="334">
        <v>634.05200000000002</v>
      </c>
      <c r="AH648" s="336">
        <v>7090</v>
      </c>
      <c r="AI648" s="334">
        <v>634.41899999999998</v>
      </c>
      <c r="AJ648" s="336">
        <v>7070</v>
      </c>
      <c r="AK648" s="334">
        <v>635.51900000000001</v>
      </c>
      <c r="AL648" s="336">
        <v>7090</v>
      </c>
      <c r="AM648" s="334">
        <v>635.14599999999996</v>
      </c>
      <c r="AN648" s="336">
        <v>7090</v>
      </c>
      <c r="AO648" s="334">
        <v>635.81299999999999</v>
      </c>
      <c r="AP648" s="336">
        <v>7080</v>
      </c>
      <c r="AQ648" s="334">
        <v>635.22500000000002</v>
      </c>
      <c r="AR648" s="336">
        <v>7090</v>
      </c>
      <c r="AS648" s="334">
        <v>634.74800000000005</v>
      </c>
      <c r="AT648" s="336">
        <v>7090</v>
      </c>
      <c r="AU648" s="334">
        <v>633.13599999999997</v>
      </c>
      <c r="AV648" s="336">
        <v>7090</v>
      </c>
      <c r="AW648" s="334">
        <v>633.33000000000004</v>
      </c>
      <c r="AX648" s="336">
        <v>7080</v>
      </c>
      <c r="AY648" s="334">
        <v>557.154</v>
      </c>
      <c r="AZ648" s="336">
        <v>7090</v>
      </c>
      <c r="BA648" s="337">
        <v>558.72799999999995</v>
      </c>
      <c r="BB648" s="336">
        <v>7070</v>
      </c>
      <c r="BC648" s="334">
        <v>140.65899999999999</v>
      </c>
      <c r="BD648" s="336">
        <v>7070</v>
      </c>
      <c r="BE648" s="334">
        <v>148.14699999999999</v>
      </c>
    </row>
    <row r="649" spans="22:57">
      <c r="V649" s="346">
        <v>7100</v>
      </c>
      <c r="W649" s="333">
        <v>309.60899999999998</v>
      </c>
      <c r="X649" s="346">
        <v>7110</v>
      </c>
      <c r="Y649" s="334">
        <v>307.23599999999999</v>
      </c>
      <c r="Z649" s="335">
        <v>7100</v>
      </c>
      <c r="AA649" s="334">
        <v>712.56</v>
      </c>
      <c r="AB649" s="336">
        <v>7100</v>
      </c>
      <c r="AC649" s="334">
        <v>712.553</v>
      </c>
      <c r="AD649" s="336">
        <v>7100</v>
      </c>
      <c r="AE649" s="334">
        <v>633.36400000000003</v>
      </c>
      <c r="AF649" s="336">
        <v>7100</v>
      </c>
      <c r="AG649" s="334">
        <v>632.83799999999997</v>
      </c>
      <c r="AH649" s="336">
        <v>7100</v>
      </c>
      <c r="AI649" s="334">
        <v>633.20600000000002</v>
      </c>
      <c r="AJ649" s="336">
        <v>7080</v>
      </c>
      <c r="AK649" s="334">
        <v>634.30700000000002</v>
      </c>
      <c r="AL649" s="336">
        <v>7100</v>
      </c>
      <c r="AM649" s="334">
        <v>633.93399999999997</v>
      </c>
      <c r="AN649" s="336">
        <v>7100</v>
      </c>
      <c r="AO649" s="334">
        <v>634.601</v>
      </c>
      <c r="AP649" s="336">
        <v>7090</v>
      </c>
      <c r="AQ649" s="334">
        <v>634.01400000000001</v>
      </c>
      <c r="AR649" s="336">
        <v>7100</v>
      </c>
      <c r="AS649" s="334">
        <v>633.53700000000003</v>
      </c>
      <c r="AT649" s="336">
        <v>7100</v>
      </c>
      <c r="AU649" s="334">
        <v>631.92499999999995</v>
      </c>
      <c r="AV649" s="336">
        <v>7100</v>
      </c>
      <c r="AW649" s="334">
        <v>632.12</v>
      </c>
      <c r="AX649" s="336">
        <v>7090</v>
      </c>
      <c r="AY649" s="334">
        <v>555.94399999999996</v>
      </c>
      <c r="AZ649" s="336">
        <v>7100</v>
      </c>
      <c r="BA649" s="337">
        <v>557.51800000000003</v>
      </c>
      <c r="BB649" s="336">
        <v>7080</v>
      </c>
      <c r="BC649" s="334">
        <v>140.28200000000001</v>
      </c>
      <c r="BD649" s="336">
        <v>7080</v>
      </c>
      <c r="BE649" s="334">
        <v>147.755</v>
      </c>
    </row>
    <row r="650" spans="22:57">
      <c r="V650" s="346">
        <v>7110</v>
      </c>
      <c r="W650" s="333">
        <v>308.863</v>
      </c>
      <c r="X650" s="346">
        <v>7120</v>
      </c>
      <c r="Y650" s="334">
        <v>306.495</v>
      </c>
      <c r="Z650" s="335">
        <v>7110</v>
      </c>
      <c r="AA650" s="334">
        <v>711.08799999999997</v>
      </c>
      <c r="AB650" s="336">
        <v>7110</v>
      </c>
      <c r="AC650" s="334">
        <v>711.08299999999997</v>
      </c>
      <c r="AD650" s="336">
        <v>7110</v>
      </c>
      <c r="AE650" s="334">
        <v>632.15099999999995</v>
      </c>
      <c r="AF650" s="336">
        <v>7110</v>
      </c>
      <c r="AG650" s="334">
        <v>631.625</v>
      </c>
      <c r="AH650" s="336">
        <v>7110</v>
      </c>
      <c r="AI650" s="334">
        <v>631.99400000000003</v>
      </c>
      <c r="AJ650" s="336">
        <v>7090</v>
      </c>
      <c r="AK650" s="334">
        <v>633.09400000000005</v>
      </c>
      <c r="AL650" s="336">
        <v>7110</v>
      </c>
      <c r="AM650" s="334">
        <v>632.72199999999998</v>
      </c>
      <c r="AN650" s="336">
        <v>7110</v>
      </c>
      <c r="AO650" s="334">
        <v>633.38800000000003</v>
      </c>
      <c r="AP650" s="336">
        <v>7100</v>
      </c>
      <c r="AQ650" s="334">
        <v>632.80399999999997</v>
      </c>
      <c r="AR650" s="336">
        <v>7110</v>
      </c>
      <c r="AS650" s="334">
        <v>632.32600000000002</v>
      </c>
      <c r="AT650" s="336">
        <v>7110</v>
      </c>
      <c r="AU650" s="334">
        <v>630.71400000000006</v>
      </c>
      <c r="AV650" s="336">
        <v>7110</v>
      </c>
      <c r="AW650" s="334">
        <v>630.91</v>
      </c>
      <c r="AX650" s="336">
        <v>7100</v>
      </c>
      <c r="AY650" s="334">
        <v>554.73299999999995</v>
      </c>
      <c r="AZ650" s="336">
        <v>7110</v>
      </c>
      <c r="BA650" s="337">
        <v>556.30899999999997</v>
      </c>
      <c r="BB650" s="336">
        <v>7090</v>
      </c>
      <c r="BC650" s="334">
        <v>139.905</v>
      </c>
      <c r="BD650" s="336">
        <v>7090</v>
      </c>
      <c r="BE650" s="334">
        <v>147.364</v>
      </c>
    </row>
    <row r="651" spans="22:57">
      <c r="V651" s="346">
        <v>7120</v>
      </c>
      <c r="W651" s="333">
        <v>308.11799999999999</v>
      </c>
      <c r="X651" s="346">
        <v>7130</v>
      </c>
      <c r="Y651" s="334">
        <v>305.75400000000002</v>
      </c>
      <c r="Z651" s="335">
        <v>7120</v>
      </c>
      <c r="AA651" s="334">
        <v>709.61699999999996</v>
      </c>
      <c r="AB651" s="336">
        <v>7120</v>
      </c>
      <c r="AC651" s="334">
        <v>709.61300000000006</v>
      </c>
      <c r="AD651" s="336">
        <v>7120</v>
      </c>
      <c r="AE651" s="334">
        <v>630.93899999999996</v>
      </c>
      <c r="AF651" s="336">
        <v>7120</v>
      </c>
      <c r="AG651" s="334">
        <v>630.41099999999994</v>
      </c>
      <c r="AH651" s="336">
        <v>7120</v>
      </c>
      <c r="AI651" s="334">
        <v>630.78200000000004</v>
      </c>
      <c r="AJ651" s="336">
        <v>7100</v>
      </c>
      <c r="AK651" s="334">
        <v>631.88199999999995</v>
      </c>
      <c r="AL651" s="336">
        <v>7120</v>
      </c>
      <c r="AM651" s="334">
        <v>631.50900000000001</v>
      </c>
      <c r="AN651" s="336">
        <v>7120</v>
      </c>
      <c r="AO651" s="334">
        <v>632.17600000000004</v>
      </c>
      <c r="AP651" s="336">
        <v>7110</v>
      </c>
      <c r="AQ651" s="334">
        <v>631.59400000000005</v>
      </c>
      <c r="AR651" s="336">
        <v>7120</v>
      </c>
      <c r="AS651" s="334">
        <v>631.11500000000001</v>
      </c>
      <c r="AT651" s="336">
        <v>7120</v>
      </c>
      <c r="AU651" s="334">
        <v>629.50300000000004</v>
      </c>
      <c r="AV651" s="336">
        <v>7120</v>
      </c>
      <c r="AW651" s="334">
        <v>629.70000000000005</v>
      </c>
      <c r="AX651" s="336">
        <v>7110</v>
      </c>
      <c r="AY651" s="334">
        <v>553.52300000000002</v>
      </c>
      <c r="AZ651" s="336">
        <v>7120</v>
      </c>
      <c r="BA651" s="337">
        <v>555.09900000000005</v>
      </c>
      <c r="BB651" s="336">
        <v>7100</v>
      </c>
      <c r="BC651" s="334">
        <v>139.52799999999999</v>
      </c>
      <c r="BD651" s="336">
        <v>7100</v>
      </c>
      <c r="BE651" s="334">
        <v>146.97300000000001</v>
      </c>
    </row>
    <row r="652" spans="22:57">
      <c r="V652" s="346">
        <v>7130</v>
      </c>
      <c r="W652" s="333">
        <v>307.37299999999999</v>
      </c>
      <c r="X652" s="346">
        <v>7140</v>
      </c>
      <c r="Y652" s="334">
        <v>305.01400000000001</v>
      </c>
      <c r="Z652" s="335">
        <v>7130</v>
      </c>
      <c r="AA652" s="334">
        <v>708.14599999999996</v>
      </c>
      <c r="AB652" s="336">
        <v>7130</v>
      </c>
      <c r="AC652" s="334">
        <v>708.14300000000003</v>
      </c>
      <c r="AD652" s="336">
        <v>7130</v>
      </c>
      <c r="AE652" s="334">
        <v>629.72699999999998</v>
      </c>
      <c r="AF652" s="336">
        <v>7130</v>
      </c>
      <c r="AG652" s="334">
        <v>629.19799999999998</v>
      </c>
      <c r="AH652" s="336">
        <v>7130</v>
      </c>
      <c r="AI652" s="334">
        <v>629.57000000000005</v>
      </c>
      <c r="AJ652" s="336">
        <v>7110</v>
      </c>
      <c r="AK652" s="334">
        <v>630.66899999999998</v>
      </c>
      <c r="AL652" s="336">
        <v>7130</v>
      </c>
      <c r="AM652" s="334">
        <v>630.29700000000003</v>
      </c>
      <c r="AN652" s="336">
        <v>7130</v>
      </c>
      <c r="AO652" s="334">
        <v>630.96400000000006</v>
      </c>
      <c r="AP652" s="336">
        <v>7120</v>
      </c>
      <c r="AQ652" s="334">
        <v>630.38400000000001</v>
      </c>
      <c r="AR652" s="336">
        <v>7130</v>
      </c>
      <c r="AS652" s="334">
        <v>629.904</v>
      </c>
      <c r="AT652" s="336">
        <v>7130</v>
      </c>
      <c r="AU652" s="334">
        <v>628.29200000000003</v>
      </c>
      <c r="AV652" s="336">
        <v>7130</v>
      </c>
      <c r="AW652" s="334">
        <v>628.49</v>
      </c>
      <c r="AX652" s="336">
        <v>7120</v>
      </c>
      <c r="AY652" s="334">
        <v>552.31299999999999</v>
      </c>
      <c r="AZ652" s="336">
        <v>7130</v>
      </c>
      <c r="BA652" s="337">
        <v>553.88900000000001</v>
      </c>
      <c r="BB652" s="336">
        <v>7110</v>
      </c>
      <c r="BC652" s="334">
        <v>139.15100000000001</v>
      </c>
      <c r="BD652" s="336">
        <v>7110</v>
      </c>
      <c r="BE652" s="334">
        <v>146.58099999999999</v>
      </c>
    </row>
    <row r="653" spans="22:57">
      <c r="V653" s="346">
        <v>7140</v>
      </c>
      <c r="W653" s="333">
        <v>306.62799999999999</v>
      </c>
      <c r="X653" s="346">
        <v>7150</v>
      </c>
      <c r="Y653" s="334">
        <v>304.27300000000002</v>
      </c>
      <c r="Z653" s="335">
        <v>7140</v>
      </c>
      <c r="AA653" s="334">
        <v>706.67399999999998</v>
      </c>
      <c r="AB653" s="336">
        <v>7140</v>
      </c>
      <c r="AC653" s="334">
        <v>706.673</v>
      </c>
      <c r="AD653" s="336">
        <v>7140</v>
      </c>
      <c r="AE653" s="334">
        <v>628.51400000000001</v>
      </c>
      <c r="AF653" s="336">
        <v>7140</v>
      </c>
      <c r="AG653" s="334">
        <v>627.98400000000004</v>
      </c>
      <c r="AH653" s="336">
        <v>7140</v>
      </c>
      <c r="AI653" s="334">
        <v>628.35699999999997</v>
      </c>
      <c r="AJ653" s="336">
        <v>7120</v>
      </c>
      <c r="AK653" s="334">
        <v>629.45699999999999</v>
      </c>
      <c r="AL653" s="336">
        <v>7140</v>
      </c>
      <c r="AM653" s="334">
        <v>629.08399999999995</v>
      </c>
      <c r="AN653" s="336">
        <v>7140</v>
      </c>
      <c r="AO653" s="334">
        <v>629.75199999999995</v>
      </c>
      <c r="AP653" s="336">
        <v>7130</v>
      </c>
      <c r="AQ653" s="334">
        <v>629.17399999999998</v>
      </c>
      <c r="AR653" s="336">
        <v>7140</v>
      </c>
      <c r="AS653" s="334">
        <v>628.69299999999998</v>
      </c>
      <c r="AT653" s="336">
        <v>7140</v>
      </c>
      <c r="AU653" s="334">
        <v>627.08100000000002</v>
      </c>
      <c r="AV653" s="336">
        <v>7140</v>
      </c>
      <c r="AW653" s="334">
        <v>627.28</v>
      </c>
      <c r="AX653" s="336">
        <v>7130</v>
      </c>
      <c r="AY653" s="334">
        <v>551.10199999999998</v>
      </c>
      <c r="AZ653" s="336">
        <v>7140</v>
      </c>
      <c r="BA653" s="337">
        <v>552.67899999999997</v>
      </c>
      <c r="BB653" s="336">
        <v>7120</v>
      </c>
      <c r="BC653" s="334">
        <v>138.774</v>
      </c>
      <c r="BD653" s="336">
        <v>7120</v>
      </c>
      <c r="BE653" s="334">
        <v>146.19</v>
      </c>
    </row>
    <row r="654" spans="22:57">
      <c r="V654" s="346">
        <v>7150</v>
      </c>
      <c r="W654" s="333">
        <v>305.88299999999998</v>
      </c>
      <c r="X654" s="346">
        <v>7160</v>
      </c>
      <c r="Y654" s="334">
        <v>303.53300000000002</v>
      </c>
      <c r="Z654" s="335">
        <v>7150</v>
      </c>
      <c r="AA654" s="334">
        <v>705.20299999999997</v>
      </c>
      <c r="AB654" s="336">
        <v>7150</v>
      </c>
      <c r="AC654" s="334">
        <v>705.20299999999997</v>
      </c>
      <c r="AD654" s="336">
        <v>7150</v>
      </c>
      <c r="AE654" s="334">
        <v>627.30200000000002</v>
      </c>
      <c r="AF654" s="336">
        <v>7150</v>
      </c>
      <c r="AG654" s="334">
        <v>626.77</v>
      </c>
      <c r="AH654" s="336">
        <v>7150</v>
      </c>
      <c r="AI654" s="334">
        <v>627.14499999999998</v>
      </c>
      <c r="AJ654" s="336">
        <v>7130</v>
      </c>
      <c r="AK654" s="334">
        <v>628.24400000000003</v>
      </c>
      <c r="AL654" s="336">
        <v>7150</v>
      </c>
      <c r="AM654" s="334">
        <v>627.87199999999996</v>
      </c>
      <c r="AN654" s="336">
        <v>7150</v>
      </c>
      <c r="AO654" s="334">
        <v>628.54</v>
      </c>
      <c r="AP654" s="336">
        <v>7140</v>
      </c>
      <c r="AQ654" s="334">
        <v>627.96400000000006</v>
      </c>
      <c r="AR654" s="336">
        <v>7150</v>
      </c>
      <c r="AS654" s="334">
        <v>627.48199999999997</v>
      </c>
      <c r="AT654" s="336">
        <v>7150</v>
      </c>
      <c r="AU654" s="334">
        <v>625.86900000000003</v>
      </c>
      <c r="AV654" s="336">
        <v>7150</v>
      </c>
      <c r="AW654" s="334">
        <v>626.07000000000005</v>
      </c>
      <c r="AX654" s="336">
        <v>7140</v>
      </c>
      <c r="AY654" s="334">
        <v>549.89200000000005</v>
      </c>
      <c r="AZ654" s="336">
        <v>7150</v>
      </c>
      <c r="BA654" s="337">
        <v>551.47</v>
      </c>
      <c r="BB654" s="336">
        <v>7130</v>
      </c>
      <c r="BC654" s="334">
        <v>138.39699999999999</v>
      </c>
      <c r="BD654" s="336">
        <v>7130</v>
      </c>
      <c r="BE654" s="334">
        <v>145.79900000000001</v>
      </c>
    </row>
    <row r="655" spans="22:57">
      <c r="V655" s="346">
        <v>7160</v>
      </c>
      <c r="W655" s="333">
        <v>305.13799999999998</v>
      </c>
      <c r="X655" s="346">
        <v>7170</v>
      </c>
      <c r="Y655" s="334">
        <v>302.79300000000001</v>
      </c>
      <c r="Z655" s="335">
        <v>7160</v>
      </c>
      <c r="AA655" s="334">
        <v>703.73199999999997</v>
      </c>
      <c r="AB655" s="336">
        <v>7160</v>
      </c>
      <c r="AC655" s="334">
        <v>703.73299999999995</v>
      </c>
      <c r="AD655" s="336">
        <v>7160</v>
      </c>
      <c r="AE655" s="334">
        <v>626.09</v>
      </c>
      <c r="AF655" s="336">
        <v>7160</v>
      </c>
      <c r="AG655" s="334">
        <v>625.55700000000002</v>
      </c>
      <c r="AH655" s="336">
        <v>7160</v>
      </c>
      <c r="AI655" s="334">
        <v>625.93299999999999</v>
      </c>
      <c r="AJ655" s="336">
        <v>7140</v>
      </c>
      <c r="AK655" s="334">
        <v>627.03099999999995</v>
      </c>
      <c r="AL655" s="336">
        <v>7160</v>
      </c>
      <c r="AM655" s="334">
        <v>626.66</v>
      </c>
      <c r="AN655" s="336">
        <v>7160</v>
      </c>
      <c r="AO655" s="334">
        <v>627.327</v>
      </c>
      <c r="AP655" s="336">
        <v>7150</v>
      </c>
      <c r="AQ655" s="334">
        <v>626.75400000000002</v>
      </c>
      <c r="AR655" s="336">
        <v>7160</v>
      </c>
      <c r="AS655" s="334">
        <v>626.27099999999996</v>
      </c>
      <c r="AT655" s="336">
        <v>7160</v>
      </c>
      <c r="AU655" s="334">
        <v>624.65800000000002</v>
      </c>
      <c r="AV655" s="336">
        <v>7160</v>
      </c>
      <c r="AW655" s="334">
        <v>624.86</v>
      </c>
      <c r="AX655" s="336">
        <v>7150</v>
      </c>
      <c r="AY655" s="334">
        <v>548.68200000000002</v>
      </c>
      <c r="AZ655" s="336">
        <v>7160</v>
      </c>
      <c r="BA655" s="337">
        <v>550.26</v>
      </c>
      <c r="BB655" s="336">
        <v>7140</v>
      </c>
      <c r="BC655" s="334">
        <v>138.02099999999999</v>
      </c>
      <c r="BD655" s="336">
        <v>7140</v>
      </c>
      <c r="BE655" s="334">
        <v>145.40799999999999</v>
      </c>
    </row>
    <row r="656" spans="22:57">
      <c r="V656" s="346">
        <v>7170</v>
      </c>
      <c r="W656" s="333">
        <v>304.39400000000001</v>
      </c>
      <c r="X656" s="346">
        <v>7180</v>
      </c>
      <c r="Y656" s="334">
        <v>302.053</v>
      </c>
      <c r="Z656" s="335">
        <v>7170</v>
      </c>
      <c r="AA656" s="334">
        <v>702.26199999999994</v>
      </c>
      <c r="AB656" s="336">
        <v>7170</v>
      </c>
      <c r="AC656" s="334">
        <v>702.26400000000001</v>
      </c>
      <c r="AD656" s="336">
        <v>7170</v>
      </c>
      <c r="AE656" s="334">
        <v>624.87699999999995</v>
      </c>
      <c r="AF656" s="336">
        <v>7170</v>
      </c>
      <c r="AG656" s="334">
        <v>624.34299999999996</v>
      </c>
      <c r="AH656" s="336">
        <v>7170</v>
      </c>
      <c r="AI656" s="334">
        <v>624.72</v>
      </c>
      <c r="AJ656" s="336">
        <v>7150</v>
      </c>
      <c r="AK656" s="334">
        <v>625.81899999999996</v>
      </c>
      <c r="AL656" s="336">
        <v>7170</v>
      </c>
      <c r="AM656" s="334">
        <v>625.447</v>
      </c>
      <c r="AN656" s="336">
        <v>7170</v>
      </c>
      <c r="AO656" s="334">
        <v>626.11500000000001</v>
      </c>
      <c r="AP656" s="336">
        <v>7160</v>
      </c>
      <c r="AQ656" s="334">
        <v>625.54399999999998</v>
      </c>
      <c r="AR656" s="336">
        <v>7170</v>
      </c>
      <c r="AS656" s="334">
        <v>625.05999999999995</v>
      </c>
      <c r="AT656" s="336">
        <v>7170</v>
      </c>
      <c r="AU656" s="334">
        <v>623.447</v>
      </c>
      <c r="AV656" s="336">
        <v>7170</v>
      </c>
      <c r="AW656" s="334">
        <v>623.65</v>
      </c>
      <c r="AX656" s="336">
        <v>7160</v>
      </c>
      <c r="AY656" s="334">
        <v>547.47199999999998</v>
      </c>
      <c r="AZ656" s="336">
        <v>7170</v>
      </c>
      <c r="BA656" s="337">
        <v>549.04999999999995</v>
      </c>
      <c r="BB656" s="336">
        <v>7150</v>
      </c>
      <c r="BC656" s="334">
        <v>137.64400000000001</v>
      </c>
      <c r="BD656" s="336">
        <v>7150</v>
      </c>
      <c r="BE656" s="334">
        <v>145.017</v>
      </c>
    </row>
    <row r="657" spans="22:57">
      <c r="V657" s="346">
        <v>7180</v>
      </c>
      <c r="W657" s="333">
        <v>303.64999999999998</v>
      </c>
      <c r="X657" s="346">
        <v>7190</v>
      </c>
      <c r="Y657" s="334">
        <v>301.31299999999999</v>
      </c>
      <c r="Z657" s="335">
        <v>7180</v>
      </c>
      <c r="AA657" s="334">
        <v>700.79100000000005</v>
      </c>
      <c r="AB657" s="336">
        <v>7180</v>
      </c>
      <c r="AC657" s="334">
        <v>700.79399999999998</v>
      </c>
      <c r="AD657" s="336">
        <v>7180</v>
      </c>
      <c r="AE657" s="334">
        <v>623.66499999999996</v>
      </c>
      <c r="AF657" s="336">
        <v>7180</v>
      </c>
      <c r="AG657" s="334">
        <v>623.13</v>
      </c>
      <c r="AH657" s="336">
        <v>7180</v>
      </c>
      <c r="AI657" s="334">
        <v>623.50800000000004</v>
      </c>
      <c r="AJ657" s="336">
        <v>7160</v>
      </c>
      <c r="AK657" s="334">
        <v>624.60599999999999</v>
      </c>
      <c r="AL657" s="336">
        <v>7180</v>
      </c>
      <c r="AM657" s="334">
        <v>624.23500000000001</v>
      </c>
      <c r="AN657" s="336">
        <v>7180</v>
      </c>
      <c r="AO657" s="334">
        <v>624.90300000000002</v>
      </c>
      <c r="AP657" s="336">
        <v>7170</v>
      </c>
      <c r="AQ657" s="334">
        <v>624.33399999999995</v>
      </c>
      <c r="AR657" s="336">
        <v>7180</v>
      </c>
      <c r="AS657" s="334">
        <v>623.84900000000005</v>
      </c>
      <c r="AT657" s="336">
        <v>7180</v>
      </c>
      <c r="AU657" s="334">
        <v>622.23599999999999</v>
      </c>
      <c r="AV657" s="336">
        <v>7180</v>
      </c>
      <c r="AW657" s="334">
        <v>622.44000000000005</v>
      </c>
      <c r="AX657" s="336">
        <v>7170</v>
      </c>
      <c r="AY657" s="334">
        <v>546.26099999999997</v>
      </c>
      <c r="AZ657" s="336">
        <v>7180</v>
      </c>
      <c r="BA657" s="337">
        <v>547.84100000000001</v>
      </c>
      <c r="BB657" s="336">
        <v>7160</v>
      </c>
      <c r="BC657" s="334">
        <v>137.268</v>
      </c>
      <c r="BD657" s="336">
        <v>7160</v>
      </c>
      <c r="BE657" s="334">
        <v>144.62700000000001</v>
      </c>
    </row>
    <row r="658" spans="22:57">
      <c r="V658" s="346">
        <v>7190</v>
      </c>
      <c r="W658" s="333">
        <v>302.90600000000001</v>
      </c>
      <c r="X658" s="346">
        <v>7200</v>
      </c>
      <c r="Y658" s="334">
        <v>300.57400000000001</v>
      </c>
      <c r="Z658" s="335">
        <v>7190</v>
      </c>
      <c r="AA658" s="334">
        <v>699.32</v>
      </c>
      <c r="AB658" s="336">
        <v>7190</v>
      </c>
      <c r="AC658" s="334">
        <v>699.32500000000005</v>
      </c>
      <c r="AD658" s="336">
        <v>7190</v>
      </c>
      <c r="AE658" s="334">
        <v>622.45299999999997</v>
      </c>
      <c r="AF658" s="336">
        <v>7190</v>
      </c>
      <c r="AG658" s="334">
        <v>621.91600000000005</v>
      </c>
      <c r="AH658" s="336">
        <v>7190</v>
      </c>
      <c r="AI658" s="334">
        <v>622.29600000000005</v>
      </c>
      <c r="AJ658" s="336">
        <v>7170</v>
      </c>
      <c r="AK658" s="334">
        <v>623.39400000000001</v>
      </c>
      <c r="AL658" s="336">
        <v>7190</v>
      </c>
      <c r="AM658" s="334">
        <v>623.02300000000002</v>
      </c>
      <c r="AN658" s="336">
        <v>7190</v>
      </c>
      <c r="AO658" s="334">
        <v>623.69100000000003</v>
      </c>
      <c r="AP658" s="336">
        <v>7180</v>
      </c>
      <c r="AQ658" s="334">
        <v>623.12300000000005</v>
      </c>
      <c r="AR658" s="336">
        <v>7190</v>
      </c>
      <c r="AS658" s="334">
        <v>622.63800000000003</v>
      </c>
      <c r="AT658" s="336">
        <v>7190</v>
      </c>
      <c r="AU658" s="334">
        <v>621.02499999999998</v>
      </c>
      <c r="AV658" s="336">
        <v>7190</v>
      </c>
      <c r="AW658" s="334">
        <v>621.23</v>
      </c>
      <c r="AX658" s="336">
        <v>7180</v>
      </c>
      <c r="AY658" s="334">
        <v>545.05100000000004</v>
      </c>
      <c r="AZ658" s="336">
        <v>7190</v>
      </c>
      <c r="BA658" s="337">
        <v>546.63099999999997</v>
      </c>
      <c r="BB658" s="336">
        <v>7170</v>
      </c>
      <c r="BC658" s="334">
        <v>136.892</v>
      </c>
      <c r="BD658" s="336">
        <v>7170</v>
      </c>
      <c r="BE658" s="334">
        <v>144.23599999999999</v>
      </c>
    </row>
    <row r="659" spans="22:57">
      <c r="V659" s="346">
        <v>7200</v>
      </c>
      <c r="W659" s="333">
        <v>302.16199999999998</v>
      </c>
      <c r="X659" s="346">
        <v>7210</v>
      </c>
      <c r="Y659" s="334">
        <v>299.83499999999998</v>
      </c>
      <c r="Z659" s="335">
        <v>7200</v>
      </c>
      <c r="AA659" s="334">
        <v>697.85</v>
      </c>
      <c r="AB659" s="336">
        <v>7200</v>
      </c>
      <c r="AC659" s="334">
        <v>697.85599999999999</v>
      </c>
      <c r="AD659" s="336">
        <v>7200</v>
      </c>
      <c r="AE659" s="334">
        <v>621.24</v>
      </c>
      <c r="AF659" s="336">
        <v>7200</v>
      </c>
      <c r="AG659" s="334">
        <v>620.70299999999997</v>
      </c>
      <c r="AH659" s="336">
        <v>7200</v>
      </c>
      <c r="AI659" s="334">
        <v>621.08299999999997</v>
      </c>
      <c r="AJ659" s="336">
        <v>7180</v>
      </c>
      <c r="AK659" s="334">
        <v>622.18100000000004</v>
      </c>
      <c r="AL659" s="336">
        <v>7200</v>
      </c>
      <c r="AM659" s="334">
        <v>621.80999999999995</v>
      </c>
      <c r="AN659" s="336">
        <v>7200</v>
      </c>
      <c r="AO659" s="334">
        <v>622.47900000000004</v>
      </c>
      <c r="AP659" s="336">
        <v>7190</v>
      </c>
      <c r="AQ659" s="334">
        <v>621.91300000000001</v>
      </c>
      <c r="AR659" s="336">
        <v>7200</v>
      </c>
      <c r="AS659" s="334">
        <v>621.42700000000002</v>
      </c>
      <c r="AT659" s="336">
        <v>7200</v>
      </c>
      <c r="AU659" s="334">
        <v>619.81399999999996</v>
      </c>
      <c r="AV659" s="336">
        <v>7200</v>
      </c>
      <c r="AW659" s="334">
        <v>620.02</v>
      </c>
      <c r="AX659" s="336">
        <v>7190</v>
      </c>
      <c r="AY659" s="334">
        <v>543.84100000000001</v>
      </c>
      <c r="AZ659" s="336">
        <v>7200</v>
      </c>
      <c r="BA659" s="337">
        <v>545.42100000000005</v>
      </c>
      <c r="BB659" s="336">
        <v>7180</v>
      </c>
      <c r="BC659" s="334">
        <v>136.51599999999999</v>
      </c>
      <c r="BD659" s="336">
        <v>7180</v>
      </c>
      <c r="BE659" s="334">
        <v>143.846</v>
      </c>
    </row>
    <row r="660" spans="22:57">
      <c r="V660" s="346">
        <v>7210</v>
      </c>
      <c r="W660" s="333">
        <v>301.41899999999998</v>
      </c>
      <c r="X660" s="346">
        <v>7220</v>
      </c>
      <c r="Y660" s="334">
        <v>299.096</v>
      </c>
      <c r="Z660" s="335">
        <v>7210</v>
      </c>
      <c r="AA660" s="334">
        <v>696.37900000000002</v>
      </c>
      <c r="AB660" s="336">
        <v>7210</v>
      </c>
      <c r="AC660" s="334">
        <v>696.38599999999997</v>
      </c>
      <c r="AD660" s="336">
        <v>7210</v>
      </c>
      <c r="AE660" s="334">
        <v>620.02800000000002</v>
      </c>
      <c r="AF660" s="336">
        <v>7210</v>
      </c>
      <c r="AG660" s="334">
        <v>619.48900000000003</v>
      </c>
      <c r="AH660" s="336">
        <v>7210</v>
      </c>
      <c r="AI660" s="334">
        <v>619.87099999999998</v>
      </c>
      <c r="AJ660" s="336">
        <v>7190</v>
      </c>
      <c r="AK660" s="334">
        <v>620.96900000000005</v>
      </c>
      <c r="AL660" s="336">
        <v>7210</v>
      </c>
      <c r="AM660" s="334">
        <v>620.59799999999996</v>
      </c>
      <c r="AN660" s="336">
        <v>7210</v>
      </c>
      <c r="AO660" s="334">
        <v>621.26700000000005</v>
      </c>
      <c r="AP660" s="336">
        <v>7200</v>
      </c>
      <c r="AQ660" s="334">
        <v>620.70299999999997</v>
      </c>
      <c r="AR660" s="336">
        <v>7210</v>
      </c>
      <c r="AS660" s="334">
        <v>620.21600000000001</v>
      </c>
      <c r="AT660" s="336">
        <v>7210</v>
      </c>
      <c r="AU660" s="334">
        <v>618.60199999999998</v>
      </c>
      <c r="AV660" s="336">
        <v>7210</v>
      </c>
      <c r="AW660" s="334">
        <v>618.80999999999995</v>
      </c>
      <c r="AX660" s="336">
        <v>7200</v>
      </c>
      <c r="AY660" s="334">
        <v>542.63099999999997</v>
      </c>
      <c r="AZ660" s="336">
        <v>7210</v>
      </c>
      <c r="BA660" s="337">
        <v>544.21100000000001</v>
      </c>
      <c r="BB660" s="336">
        <v>7190</v>
      </c>
      <c r="BC660" s="334">
        <v>136.13999999999999</v>
      </c>
      <c r="BD660" s="336">
        <v>7190</v>
      </c>
      <c r="BE660" s="334">
        <v>143.45599999999999</v>
      </c>
    </row>
    <row r="661" spans="22:57">
      <c r="V661" s="346">
        <v>7220</v>
      </c>
      <c r="W661" s="333">
        <v>300.67500000000001</v>
      </c>
      <c r="X661" s="346">
        <v>7230</v>
      </c>
      <c r="Y661" s="334">
        <v>298.35700000000003</v>
      </c>
      <c r="Z661" s="335">
        <v>7220</v>
      </c>
      <c r="AA661" s="334">
        <v>694.90899999999999</v>
      </c>
      <c r="AB661" s="336">
        <v>7220</v>
      </c>
      <c r="AC661" s="334">
        <v>694.91700000000003</v>
      </c>
      <c r="AD661" s="336">
        <v>7220</v>
      </c>
      <c r="AE661" s="334">
        <v>618.81600000000003</v>
      </c>
      <c r="AF661" s="336">
        <v>7220</v>
      </c>
      <c r="AG661" s="334">
        <v>618.27499999999998</v>
      </c>
      <c r="AH661" s="336">
        <v>7220</v>
      </c>
      <c r="AI661" s="334">
        <v>618.65899999999999</v>
      </c>
      <c r="AJ661" s="336">
        <v>7200</v>
      </c>
      <c r="AK661" s="334">
        <v>619.75599999999997</v>
      </c>
      <c r="AL661" s="336">
        <v>7220</v>
      </c>
      <c r="AM661" s="334">
        <v>619.38599999999997</v>
      </c>
      <c r="AN661" s="336">
        <v>7220</v>
      </c>
      <c r="AO661" s="334">
        <v>620.05399999999997</v>
      </c>
      <c r="AP661" s="336">
        <v>7210</v>
      </c>
      <c r="AQ661" s="334">
        <v>619.49300000000005</v>
      </c>
      <c r="AR661" s="336">
        <v>7220</v>
      </c>
      <c r="AS661" s="334">
        <v>619.005</v>
      </c>
      <c r="AT661" s="336">
        <v>7220</v>
      </c>
      <c r="AU661" s="334">
        <v>617.39099999999996</v>
      </c>
      <c r="AV661" s="336">
        <v>7220</v>
      </c>
      <c r="AW661" s="334">
        <v>617.6</v>
      </c>
      <c r="AX661" s="336">
        <v>7210</v>
      </c>
      <c r="AY661" s="334">
        <v>541.42100000000005</v>
      </c>
      <c r="AZ661" s="336">
        <v>7220</v>
      </c>
      <c r="BA661" s="337">
        <v>543.00199999999995</v>
      </c>
      <c r="BB661" s="336">
        <v>7200</v>
      </c>
      <c r="BC661" s="334">
        <v>135.76400000000001</v>
      </c>
      <c r="BD661" s="336">
        <v>7200</v>
      </c>
      <c r="BE661" s="334">
        <v>143.066</v>
      </c>
    </row>
    <row r="662" spans="22:57">
      <c r="V662" s="346">
        <v>7230</v>
      </c>
      <c r="W662" s="333">
        <v>299.93200000000002</v>
      </c>
      <c r="X662" s="346">
        <v>7240</v>
      </c>
      <c r="Y662" s="334">
        <v>297.61799999999999</v>
      </c>
      <c r="Z662" s="335">
        <v>7230</v>
      </c>
      <c r="AA662" s="334">
        <v>693.43899999999996</v>
      </c>
      <c r="AB662" s="336">
        <v>7230</v>
      </c>
      <c r="AC662" s="334">
        <v>693.44799999999998</v>
      </c>
      <c r="AD662" s="336">
        <v>7230</v>
      </c>
      <c r="AE662" s="334">
        <v>617.60400000000004</v>
      </c>
      <c r="AF662" s="336">
        <v>7230</v>
      </c>
      <c r="AG662" s="334">
        <v>617.06200000000001</v>
      </c>
      <c r="AH662" s="336">
        <v>7230</v>
      </c>
      <c r="AI662" s="334">
        <v>617.44600000000003</v>
      </c>
      <c r="AJ662" s="336">
        <v>7210</v>
      </c>
      <c r="AK662" s="334">
        <v>618.54300000000001</v>
      </c>
      <c r="AL662" s="336">
        <v>7230</v>
      </c>
      <c r="AM662" s="334">
        <v>618.173</v>
      </c>
      <c r="AN662" s="336">
        <v>7230</v>
      </c>
      <c r="AO662" s="334">
        <v>618.84199999999998</v>
      </c>
      <c r="AP662" s="336">
        <v>7220</v>
      </c>
      <c r="AQ662" s="334">
        <v>618.28300000000002</v>
      </c>
      <c r="AR662" s="336">
        <v>7230</v>
      </c>
      <c r="AS662" s="334">
        <v>617.79399999999998</v>
      </c>
      <c r="AT662" s="336">
        <v>7230</v>
      </c>
      <c r="AU662" s="334">
        <v>616.17999999999995</v>
      </c>
      <c r="AV662" s="336">
        <v>7230</v>
      </c>
      <c r="AW662" s="334">
        <v>616.39</v>
      </c>
      <c r="AX662" s="336">
        <v>7220</v>
      </c>
      <c r="AY662" s="334">
        <v>540.21100000000001</v>
      </c>
      <c r="AZ662" s="336">
        <v>7230</v>
      </c>
      <c r="BA662" s="337">
        <v>541.79200000000003</v>
      </c>
      <c r="BB662" s="336">
        <v>7210</v>
      </c>
      <c r="BC662" s="334">
        <v>135.38900000000001</v>
      </c>
      <c r="BD662" s="336">
        <v>7210</v>
      </c>
      <c r="BE662" s="334">
        <v>142.67599999999999</v>
      </c>
    </row>
    <row r="663" spans="22:57">
      <c r="V663" s="346">
        <v>7240</v>
      </c>
      <c r="W663" s="333">
        <v>299.19</v>
      </c>
      <c r="X663" s="346">
        <v>7250</v>
      </c>
      <c r="Y663" s="334">
        <v>296.88</v>
      </c>
      <c r="Z663" s="335">
        <v>7240</v>
      </c>
      <c r="AA663" s="334">
        <v>691.96900000000005</v>
      </c>
      <c r="AB663" s="336">
        <v>7240</v>
      </c>
      <c r="AC663" s="334">
        <v>691.97900000000004</v>
      </c>
      <c r="AD663" s="336">
        <v>7240</v>
      </c>
      <c r="AE663" s="334">
        <v>616.39099999999996</v>
      </c>
      <c r="AF663" s="336">
        <v>7240</v>
      </c>
      <c r="AG663" s="334">
        <v>615.84799999999996</v>
      </c>
      <c r="AH663" s="336">
        <v>7240</v>
      </c>
      <c r="AI663" s="334">
        <v>616.23400000000004</v>
      </c>
      <c r="AJ663" s="336">
        <v>7220</v>
      </c>
      <c r="AK663" s="334">
        <v>617.33100000000002</v>
      </c>
      <c r="AL663" s="336">
        <v>7240</v>
      </c>
      <c r="AM663" s="334">
        <v>616.96100000000001</v>
      </c>
      <c r="AN663" s="336">
        <v>7240</v>
      </c>
      <c r="AO663" s="334">
        <v>617.63</v>
      </c>
      <c r="AP663" s="336">
        <v>7230</v>
      </c>
      <c r="AQ663" s="334">
        <v>617.07299999999998</v>
      </c>
      <c r="AR663" s="336">
        <v>7240</v>
      </c>
      <c r="AS663" s="334">
        <v>616.58299999999997</v>
      </c>
      <c r="AT663" s="336">
        <v>7240</v>
      </c>
      <c r="AU663" s="334">
        <v>614.96900000000005</v>
      </c>
      <c r="AV663" s="336">
        <v>7240</v>
      </c>
      <c r="AW663" s="334">
        <v>615.17999999999995</v>
      </c>
      <c r="AX663" s="336">
        <v>7230</v>
      </c>
      <c r="AY663" s="334">
        <v>539.00099999999998</v>
      </c>
      <c r="AZ663" s="336">
        <v>7240</v>
      </c>
      <c r="BA663" s="337">
        <v>540.58299999999997</v>
      </c>
      <c r="BB663" s="336">
        <v>7220</v>
      </c>
      <c r="BC663" s="334">
        <v>135.01400000000001</v>
      </c>
      <c r="BD663" s="336">
        <v>7220</v>
      </c>
      <c r="BE663" s="334">
        <v>142.286</v>
      </c>
    </row>
    <row r="664" spans="22:57">
      <c r="V664" s="346">
        <v>7250</v>
      </c>
      <c r="W664" s="333">
        <v>298.447</v>
      </c>
      <c r="X664" s="346">
        <v>7260</v>
      </c>
      <c r="Y664" s="334">
        <v>296.14100000000002</v>
      </c>
      <c r="Z664" s="335">
        <v>7250</v>
      </c>
      <c r="AA664" s="334">
        <v>690.49900000000002</v>
      </c>
      <c r="AB664" s="336">
        <v>7250</v>
      </c>
      <c r="AC664" s="334">
        <v>690.51</v>
      </c>
      <c r="AD664" s="336">
        <v>7250</v>
      </c>
      <c r="AE664" s="334">
        <v>615.17899999999997</v>
      </c>
      <c r="AF664" s="336">
        <v>7250</v>
      </c>
      <c r="AG664" s="334">
        <v>614.63499999999999</v>
      </c>
      <c r="AH664" s="336">
        <v>7250</v>
      </c>
      <c r="AI664" s="334">
        <v>615.02200000000005</v>
      </c>
      <c r="AJ664" s="336">
        <v>7230</v>
      </c>
      <c r="AK664" s="334">
        <v>616.11800000000005</v>
      </c>
      <c r="AL664" s="336">
        <v>7250</v>
      </c>
      <c r="AM664" s="334">
        <v>615.74800000000005</v>
      </c>
      <c r="AN664" s="336">
        <v>7250</v>
      </c>
      <c r="AO664" s="334">
        <v>616.41800000000001</v>
      </c>
      <c r="AP664" s="336">
        <v>7240</v>
      </c>
      <c r="AQ664" s="334">
        <v>615.86300000000006</v>
      </c>
      <c r="AR664" s="336">
        <v>7250</v>
      </c>
      <c r="AS664" s="334">
        <v>615.37199999999996</v>
      </c>
      <c r="AT664" s="336">
        <v>7250</v>
      </c>
      <c r="AU664" s="334">
        <v>613.75800000000004</v>
      </c>
      <c r="AV664" s="336">
        <v>7250</v>
      </c>
      <c r="AW664" s="334">
        <v>613.97</v>
      </c>
      <c r="AX664" s="336">
        <v>7240</v>
      </c>
      <c r="AY664" s="334">
        <v>537.79100000000005</v>
      </c>
      <c r="AZ664" s="336">
        <v>7250</v>
      </c>
      <c r="BA664" s="337">
        <v>539.37300000000005</v>
      </c>
      <c r="BB664" s="336">
        <v>7230</v>
      </c>
      <c r="BC664" s="334">
        <v>134.63800000000001</v>
      </c>
      <c r="BD664" s="336">
        <v>7230</v>
      </c>
      <c r="BE664" s="334">
        <v>141.89599999999999</v>
      </c>
    </row>
    <row r="665" spans="22:57">
      <c r="V665" s="346">
        <v>7260</v>
      </c>
      <c r="W665" s="333">
        <v>297.70400000000001</v>
      </c>
      <c r="X665" s="346">
        <v>7270</v>
      </c>
      <c r="Y665" s="334">
        <v>295.40300000000002</v>
      </c>
      <c r="Z665" s="335">
        <v>7260</v>
      </c>
      <c r="AA665" s="334">
        <v>689.029</v>
      </c>
      <c r="AB665" s="336">
        <v>7260</v>
      </c>
      <c r="AC665" s="334">
        <v>689.04200000000003</v>
      </c>
      <c r="AD665" s="336">
        <v>7260</v>
      </c>
      <c r="AE665" s="334">
        <v>613.96699999999998</v>
      </c>
      <c r="AF665" s="336">
        <v>7260</v>
      </c>
      <c r="AG665" s="334">
        <v>613.42100000000005</v>
      </c>
      <c r="AH665" s="336">
        <v>7260</v>
      </c>
      <c r="AI665" s="334">
        <v>613.80999999999995</v>
      </c>
      <c r="AJ665" s="336">
        <v>7240</v>
      </c>
      <c r="AK665" s="334">
        <v>614.90599999999995</v>
      </c>
      <c r="AL665" s="336">
        <v>7260</v>
      </c>
      <c r="AM665" s="334">
        <v>614.53599999999994</v>
      </c>
      <c r="AN665" s="336">
        <v>7260</v>
      </c>
      <c r="AO665" s="334">
        <v>615.20600000000002</v>
      </c>
      <c r="AP665" s="336">
        <v>7250</v>
      </c>
      <c r="AQ665" s="334">
        <v>614.65300000000002</v>
      </c>
      <c r="AR665" s="336">
        <v>7260</v>
      </c>
      <c r="AS665" s="334">
        <v>614.16099999999994</v>
      </c>
      <c r="AT665" s="336">
        <v>7260</v>
      </c>
      <c r="AU665" s="334">
        <v>612.54700000000003</v>
      </c>
      <c r="AV665" s="336">
        <v>7260</v>
      </c>
      <c r="AW665" s="334">
        <v>612.76</v>
      </c>
      <c r="AX665" s="336">
        <v>7250</v>
      </c>
      <c r="AY665" s="334">
        <v>536.58000000000004</v>
      </c>
      <c r="AZ665" s="336">
        <v>7260</v>
      </c>
      <c r="BA665" s="337">
        <v>538.16399999999999</v>
      </c>
      <c r="BB665" s="336">
        <v>7240</v>
      </c>
      <c r="BC665" s="334">
        <v>134.26300000000001</v>
      </c>
      <c r="BD665" s="336">
        <v>7240</v>
      </c>
      <c r="BE665" s="334">
        <v>141.50700000000001</v>
      </c>
    </row>
    <row r="666" spans="22:57">
      <c r="V666" s="346">
        <v>7270</v>
      </c>
      <c r="W666" s="333">
        <v>296.96199999999999</v>
      </c>
      <c r="X666" s="346">
        <v>7280</v>
      </c>
      <c r="Y666" s="334">
        <v>294.66500000000002</v>
      </c>
      <c r="Z666" s="335">
        <v>7270</v>
      </c>
      <c r="AA666" s="334">
        <v>687.56</v>
      </c>
      <c r="AB666" s="336">
        <v>7270</v>
      </c>
      <c r="AC666" s="334">
        <v>687.57299999999998</v>
      </c>
      <c r="AD666" s="336">
        <v>7270</v>
      </c>
      <c r="AE666" s="334">
        <v>612.75400000000002</v>
      </c>
      <c r="AF666" s="336">
        <v>7270</v>
      </c>
      <c r="AG666" s="334">
        <v>612.20799999999997</v>
      </c>
      <c r="AH666" s="336">
        <v>7270</v>
      </c>
      <c r="AI666" s="334">
        <v>612.59699999999998</v>
      </c>
      <c r="AJ666" s="336">
        <v>7250</v>
      </c>
      <c r="AK666" s="334">
        <v>613.69299999999998</v>
      </c>
      <c r="AL666" s="336">
        <v>7270</v>
      </c>
      <c r="AM666" s="334">
        <v>613.32399999999996</v>
      </c>
      <c r="AN666" s="336">
        <v>7270</v>
      </c>
      <c r="AO666" s="334">
        <v>613.99400000000003</v>
      </c>
      <c r="AP666" s="336">
        <v>7260</v>
      </c>
      <c r="AQ666" s="334">
        <v>613.44200000000001</v>
      </c>
      <c r="AR666" s="336">
        <v>7270</v>
      </c>
      <c r="AS666" s="334">
        <v>612.95000000000005</v>
      </c>
      <c r="AT666" s="336">
        <v>7270</v>
      </c>
      <c r="AU666" s="334">
        <v>611.33600000000001</v>
      </c>
      <c r="AV666" s="336">
        <v>7270</v>
      </c>
      <c r="AW666" s="334">
        <v>611.54999999999995</v>
      </c>
      <c r="AX666" s="336">
        <v>7260</v>
      </c>
      <c r="AY666" s="334">
        <v>535.37</v>
      </c>
      <c r="AZ666" s="336">
        <v>7270</v>
      </c>
      <c r="BA666" s="337">
        <v>536.95399999999995</v>
      </c>
      <c r="BB666" s="336">
        <v>7250</v>
      </c>
      <c r="BC666" s="334">
        <v>133.88900000000001</v>
      </c>
      <c r="BD666" s="336">
        <v>7250</v>
      </c>
      <c r="BE666" s="334">
        <v>141.11799999999999</v>
      </c>
    </row>
    <row r="667" spans="22:57">
      <c r="V667" s="346">
        <v>7280</v>
      </c>
      <c r="W667" s="333">
        <v>296.22000000000003</v>
      </c>
      <c r="X667" s="346">
        <v>7290</v>
      </c>
      <c r="Y667" s="334">
        <v>293.928</v>
      </c>
      <c r="Z667" s="335">
        <v>7280</v>
      </c>
      <c r="AA667" s="334">
        <v>686.09</v>
      </c>
      <c r="AB667" s="336">
        <v>7280</v>
      </c>
      <c r="AC667" s="334">
        <v>686.10500000000002</v>
      </c>
      <c r="AD667" s="336">
        <v>7280</v>
      </c>
      <c r="AE667" s="334">
        <v>611.54200000000003</v>
      </c>
      <c r="AF667" s="336">
        <v>7280</v>
      </c>
      <c r="AG667" s="334">
        <v>610.99400000000003</v>
      </c>
      <c r="AH667" s="336">
        <v>7280</v>
      </c>
      <c r="AI667" s="334">
        <v>611.38499999999999</v>
      </c>
      <c r="AJ667" s="336">
        <v>7260</v>
      </c>
      <c r="AK667" s="334">
        <v>612.48099999999999</v>
      </c>
      <c r="AL667" s="336">
        <v>7280</v>
      </c>
      <c r="AM667" s="334">
        <v>612.11199999999997</v>
      </c>
      <c r="AN667" s="336">
        <v>7280</v>
      </c>
      <c r="AO667" s="334">
        <v>612.78099999999995</v>
      </c>
      <c r="AP667" s="336">
        <v>7270</v>
      </c>
      <c r="AQ667" s="334">
        <v>612.23199999999997</v>
      </c>
      <c r="AR667" s="336">
        <v>7280</v>
      </c>
      <c r="AS667" s="334">
        <v>611.73900000000003</v>
      </c>
      <c r="AT667" s="336">
        <v>7280</v>
      </c>
      <c r="AU667" s="334">
        <v>610.125</v>
      </c>
      <c r="AV667" s="336">
        <v>7280</v>
      </c>
      <c r="AW667" s="334">
        <v>610.34</v>
      </c>
      <c r="AX667" s="336">
        <v>7270</v>
      </c>
      <c r="AY667" s="334">
        <v>534.16</v>
      </c>
      <c r="AZ667" s="336">
        <v>7280</v>
      </c>
      <c r="BA667" s="337">
        <v>535.74400000000003</v>
      </c>
      <c r="BB667" s="336">
        <v>7260</v>
      </c>
      <c r="BC667" s="334">
        <v>133.51400000000001</v>
      </c>
      <c r="BD667" s="336">
        <v>7260</v>
      </c>
      <c r="BE667" s="334">
        <v>140.72900000000001</v>
      </c>
    </row>
    <row r="668" spans="22:57">
      <c r="V668" s="346">
        <v>7290</v>
      </c>
      <c r="W668" s="333">
        <v>295.47800000000001</v>
      </c>
      <c r="X668" s="346">
        <v>7300</v>
      </c>
      <c r="Y668" s="334">
        <v>293.19</v>
      </c>
      <c r="Z668" s="335">
        <v>7290</v>
      </c>
      <c r="AA668" s="334">
        <v>684.62099999999998</v>
      </c>
      <c r="AB668" s="336">
        <v>7290</v>
      </c>
      <c r="AC668" s="334">
        <v>684.63599999999997</v>
      </c>
      <c r="AD668" s="336">
        <v>7290</v>
      </c>
      <c r="AE668" s="334">
        <v>610.33000000000004</v>
      </c>
      <c r="AF668" s="336">
        <v>7290</v>
      </c>
      <c r="AG668" s="334">
        <v>609.78099999999995</v>
      </c>
      <c r="AH668" s="336">
        <v>7290</v>
      </c>
      <c r="AI668" s="334">
        <v>610.173</v>
      </c>
      <c r="AJ668" s="336">
        <v>7270</v>
      </c>
      <c r="AK668" s="334">
        <v>611.26800000000003</v>
      </c>
      <c r="AL668" s="336">
        <v>7290</v>
      </c>
      <c r="AM668" s="334">
        <v>610.899</v>
      </c>
      <c r="AN668" s="336">
        <v>7290</v>
      </c>
      <c r="AO668" s="334">
        <v>611.56899999999996</v>
      </c>
      <c r="AP668" s="336">
        <v>7280</v>
      </c>
      <c r="AQ668" s="334">
        <v>611.02200000000005</v>
      </c>
      <c r="AR668" s="336">
        <v>7290</v>
      </c>
      <c r="AS668" s="334">
        <v>610.52800000000002</v>
      </c>
      <c r="AT668" s="336">
        <v>7290</v>
      </c>
      <c r="AU668" s="334">
        <v>608.91300000000001</v>
      </c>
      <c r="AV668" s="336">
        <v>7290</v>
      </c>
      <c r="AW668" s="334">
        <v>609.13</v>
      </c>
      <c r="AX668" s="336">
        <v>7280</v>
      </c>
      <c r="AY668" s="334">
        <v>532.95000000000005</v>
      </c>
      <c r="AZ668" s="336">
        <v>7290</v>
      </c>
      <c r="BA668" s="337">
        <v>534.53499999999997</v>
      </c>
      <c r="BB668" s="336">
        <v>7270</v>
      </c>
      <c r="BC668" s="334">
        <v>133.13999999999999</v>
      </c>
      <c r="BD668" s="336">
        <v>7270</v>
      </c>
      <c r="BE668" s="334">
        <v>140.34</v>
      </c>
    </row>
    <row r="669" spans="22:57">
      <c r="V669" s="346">
        <v>7300</v>
      </c>
      <c r="W669" s="333">
        <v>294.73700000000002</v>
      </c>
      <c r="X669" s="346">
        <v>7310</v>
      </c>
      <c r="Y669" s="334">
        <v>292.45299999999997</v>
      </c>
      <c r="Z669" s="335">
        <v>7300</v>
      </c>
      <c r="AA669" s="334">
        <v>683.15099999999995</v>
      </c>
      <c r="AB669" s="336">
        <v>7300</v>
      </c>
      <c r="AC669" s="334">
        <v>683.16800000000001</v>
      </c>
      <c r="AD669" s="336">
        <v>7300</v>
      </c>
      <c r="AE669" s="334">
        <v>609.11800000000005</v>
      </c>
      <c r="AF669" s="336">
        <v>7300</v>
      </c>
      <c r="AG669" s="334">
        <v>608.56700000000001</v>
      </c>
      <c r="AH669" s="336">
        <v>7300</v>
      </c>
      <c r="AI669" s="334">
        <v>608.96100000000001</v>
      </c>
      <c r="AJ669" s="336">
        <v>7280</v>
      </c>
      <c r="AK669" s="334">
        <v>610.05600000000004</v>
      </c>
      <c r="AL669" s="336">
        <v>7300</v>
      </c>
      <c r="AM669" s="334">
        <v>609.68700000000001</v>
      </c>
      <c r="AN669" s="336">
        <v>7300</v>
      </c>
      <c r="AO669" s="334">
        <v>610.35699999999997</v>
      </c>
      <c r="AP669" s="336">
        <v>7290</v>
      </c>
      <c r="AQ669" s="334">
        <v>609.81200000000001</v>
      </c>
      <c r="AR669" s="336">
        <v>7300</v>
      </c>
      <c r="AS669" s="334">
        <v>609.31700000000001</v>
      </c>
      <c r="AT669" s="336">
        <v>7300</v>
      </c>
      <c r="AU669" s="334">
        <v>607.702</v>
      </c>
      <c r="AV669" s="336">
        <v>7300</v>
      </c>
      <c r="AW669" s="334">
        <v>607.91999999999996</v>
      </c>
      <c r="AX669" s="336">
        <v>7290</v>
      </c>
      <c r="AY669" s="334">
        <v>531.74099999999999</v>
      </c>
      <c r="AZ669" s="336">
        <v>7300</v>
      </c>
      <c r="BA669" s="337">
        <v>533.32500000000005</v>
      </c>
      <c r="BB669" s="336">
        <v>7280</v>
      </c>
      <c r="BC669" s="334">
        <v>132.76599999999999</v>
      </c>
      <c r="BD669" s="336">
        <v>7280</v>
      </c>
      <c r="BE669" s="334">
        <v>139.95099999999999</v>
      </c>
    </row>
    <row r="670" spans="22:57">
      <c r="V670" s="346">
        <v>7310</v>
      </c>
      <c r="W670" s="333">
        <v>293.995</v>
      </c>
      <c r="X670" s="346">
        <v>7320</v>
      </c>
      <c r="Y670" s="334">
        <v>291.71600000000001</v>
      </c>
      <c r="Z670" s="335">
        <v>7310</v>
      </c>
      <c r="AA670" s="334">
        <v>681.68200000000002</v>
      </c>
      <c r="AB670" s="336">
        <v>7310</v>
      </c>
      <c r="AC670" s="334">
        <v>681.7</v>
      </c>
      <c r="AD670" s="336">
        <v>7310</v>
      </c>
      <c r="AE670" s="334">
        <v>607.90499999999997</v>
      </c>
      <c r="AF670" s="336">
        <v>7310</v>
      </c>
      <c r="AG670" s="334">
        <v>607.35299999999995</v>
      </c>
      <c r="AH670" s="336">
        <v>7310</v>
      </c>
      <c r="AI670" s="334">
        <v>607.74800000000005</v>
      </c>
      <c r="AJ670" s="336">
        <v>7290</v>
      </c>
      <c r="AK670" s="334">
        <v>608.84299999999996</v>
      </c>
      <c r="AL670" s="336">
        <v>7310</v>
      </c>
      <c r="AM670" s="334">
        <v>608.47500000000002</v>
      </c>
      <c r="AN670" s="336">
        <v>7310</v>
      </c>
      <c r="AO670" s="334">
        <v>609.14499999999998</v>
      </c>
      <c r="AP670" s="336">
        <v>7300</v>
      </c>
      <c r="AQ670" s="334">
        <v>608.60199999999998</v>
      </c>
      <c r="AR670" s="336">
        <v>7310</v>
      </c>
      <c r="AS670" s="334">
        <v>608.10599999999999</v>
      </c>
      <c r="AT670" s="336">
        <v>7310</v>
      </c>
      <c r="AU670" s="334">
        <v>606.49099999999999</v>
      </c>
      <c r="AV670" s="336">
        <v>7310</v>
      </c>
      <c r="AW670" s="334">
        <v>606.71</v>
      </c>
      <c r="AX670" s="336">
        <v>7300</v>
      </c>
      <c r="AY670" s="334">
        <v>530.53099999999995</v>
      </c>
      <c r="AZ670" s="336">
        <v>7310</v>
      </c>
      <c r="BA670" s="337">
        <v>532.11599999999999</v>
      </c>
      <c r="BB670" s="336">
        <v>7290</v>
      </c>
      <c r="BC670" s="334">
        <v>132.392</v>
      </c>
      <c r="BD670" s="336">
        <v>7290</v>
      </c>
      <c r="BE670" s="334">
        <v>139.56299999999999</v>
      </c>
    </row>
    <row r="671" spans="22:57">
      <c r="V671" s="346">
        <v>7320</v>
      </c>
      <c r="W671" s="333">
        <v>293.25400000000002</v>
      </c>
      <c r="X671" s="346">
        <v>7330</v>
      </c>
      <c r="Y671" s="334">
        <v>290.97899999999998</v>
      </c>
      <c r="Z671" s="335">
        <v>7320</v>
      </c>
      <c r="AA671" s="334">
        <v>680.21299999999997</v>
      </c>
      <c r="AB671" s="336">
        <v>7320</v>
      </c>
      <c r="AC671" s="334">
        <v>680.23199999999997</v>
      </c>
      <c r="AD671" s="336">
        <v>7320</v>
      </c>
      <c r="AE671" s="334">
        <v>606.69299999999998</v>
      </c>
      <c r="AF671" s="336">
        <v>7320</v>
      </c>
      <c r="AG671" s="334">
        <v>606.14</v>
      </c>
      <c r="AH671" s="336">
        <v>7320</v>
      </c>
      <c r="AI671" s="334">
        <v>606.53599999999994</v>
      </c>
      <c r="AJ671" s="336">
        <v>7300</v>
      </c>
      <c r="AK671" s="334">
        <v>607.63099999999997</v>
      </c>
      <c r="AL671" s="336">
        <v>7320</v>
      </c>
      <c r="AM671" s="334">
        <v>607.26199999999994</v>
      </c>
      <c r="AN671" s="336">
        <v>7320</v>
      </c>
      <c r="AO671" s="334">
        <v>607.93299999999999</v>
      </c>
      <c r="AP671" s="336">
        <v>7310</v>
      </c>
      <c r="AQ671" s="334">
        <v>607.39200000000005</v>
      </c>
      <c r="AR671" s="336">
        <v>7320</v>
      </c>
      <c r="AS671" s="334">
        <v>606.89499999999998</v>
      </c>
      <c r="AT671" s="336">
        <v>7320</v>
      </c>
      <c r="AU671" s="334">
        <v>605.28</v>
      </c>
      <c r="AV671" s="336">
        <v>7320</v>
      </c>
      <c r="AW671" s="334">
        <v>605.5</v>
      </c>
      <c r="AX671" s="336">
        <v>7310</v>
      </c>
      <c r="AY671" s="334">
        <v>529.32100000000003</v>
      </c>
      <c r="AZ671" s="336">
        <v>7320</v>
      </c>
      <c r="BA671" s="337">
        <v>530.90700000000004</v>
      </c>
      <c r="BB671" s="336">
        <v>7300</v>
      </c>
      <c r="BC671" s="334">
        <v>132.018</v>
      </c>
      <c r="BD671" s="336">
        <v>7300</v>
      </c>
      <c r="BE671" s="334">
        <v>139.17500000000001</v>
      </c>
    </row>
    <row r="672" spans="22:57">
      <c r="V672" s="346">
        <v>7330</v>
      </c>
      <c r="W672" s="333">
        <v>292.51299999999998</v>
      </c>
      <c r="X672" s="346">
        <v>7340</v>
      </c>
      <c r="Y672" s="334">
        <v>290.24299999999999</v>
      </c>
      <c r="Z672" s="335">
        <v>7330</v>
      </c>
      <c r="AA672" s="334">
        <v>678.74400000000003</v>
      </c>
      <c r="AB672" s="336">
        <v>7330</v>
      </c>
      <c r="AC672" s="334">
        <v>678.76400000000001</v>
      </c>
      <c r="AD672" s="336">
        <v>7330</v>
      </c>
      <c r="AE672" s="334">
        <v>605.48099999999999</v>
      </c>
      <c r="AF672" s="336">
        <v>7330</v>
      </c>
      <c r="AG672" s="334">
        <v>604.92600000000004</v>
      </c>
      <c r="AH672" s="336">
        <v>7330</v>
      </c>
      <c r="AI672" s="334">
        <v>605.32399999999996</v>
      </c>
      <c r="AJ672" s="336">
        <v>7310</v>
      </c>
      <c r="AK672" s="334">
        <v>606.41800000000001</v>
      </c>
      <c r="AL672" s="336">
        <v>7330</v>
      </c>
      <c r="AM672" s="334">
        <v>606.04999999999995</v>
      </c>
      <c r="AN672" s="336">
        <v>7330</v>
      </c>
      <c r="AO672" s="334">
        <v>606.72</v>
      </c>
      <c r="AP672" s="336">
        <v>7320</v>
      </c>
      <c r="AQ672" s="334">
        <v>606.18200000000002</v>
      </c>
      <c r="AR672" s="336">
        <v>7330</v>
      </c>
      <c r="AS672" s="334">
        <v>605.68399999999997</v>
      </c>
      <c r="AT672" s="336">
        <v>7330</v>
      </c>
      <c r="AU672" s="334">
        <v>604.06899999999996</v>
      </c>
      <c r="AV672" s="336">
        <v>7330</v>
      </c>
      <c r="AW672" s="334">
        <v>604.28899999999999</v>
      </c>
      <c r="AX672" s="336">
        <v>7320</v>
      </c>
      <c r="AY672" s="334">
        <v>528.11099999999999</v>
      </c>
      <c r="AZ672" s="336">
        <v>7330</v>
      </c>
      <c r="BA672" s="337">
        <v>529.697</v>
      </c>
      <c r="BB672" s="336">
        <v>7310</v>
      </c>
      <c r="BC672" s="334">
        <v>131.64400000000001</v>
      </c>
      <c r="BD672" s="336">
        <v>7310</v>
      </c>
      <c r="BE672" s="334">
        <v>138.78700000000001</v>
      </c>
    </row>
    <row r="673" spans="22:57">
      <c r="V673" s="346">
        <v>7340</v>
      </c>
      <c r="W673" s="333">
        <v>291.77300000000002</v>
      </c>
      <c r="X673" s="346">
        <v>7350</v>
      </c>
      <c r="Y673" s="334">
        <v>289.50700000000001</v>
      </c>
      <c r="Z673" s="335">
        <v>7340</v>
      </c>
      <c r="AA673" s="334">
        <v>677.27499999999998</v>
      </c>
      <c r="AB673" s="336">
        <v>7340</v>
      </c>
      <c r="AC673" s="334">
        <v>677.29600000000005</v>
      </c>
      <c r="AD673" s="336">
        <v>7340</v>
      </c>
      <c r="AE673" s="334">
        <v>604.26900000000001</v>
      </c>
      <c r="AF673" s="336">
        <v>7340</v>
      </c>
      <c r="AG673" s="334">
        <v>603.71299999999997</v>
      </c>
      <c r="AH673" s="336">
        <v>7340</v>
      </c>
      <c r="AI673" s="334">
        <v>604.11199999999997</v>
      </c>
      <c r="AJ673" s="336">
        <v>7320</v>
      </c>
      <c r="AK673" s="334">
        <v>605.20600000000002</v>
      </c>
      <c r="AL673" s="336">
        <v>7340</v>
      </c>
      <c r="AM673" s="334">
        <v>604.83799999999997</v>
      </c>
      <c r="AN673" s="336">
        <v>7340</v>
      </c>
      <c r="AO673" s="334">
        <v>605.50800000000004</v>
      </c>
      <c r="AP673" s="336">
        <v>7330</v>
      </c>
      <c r="AQ673" s="334">
        <v>604.97199999999998</v>
      </c>
      <c r="AR673" s="336">
        <v>7340</v>
      </c>
      <c r="AS673" s="334">
        <v>604.47299999999996</v>
      </c>
      <c r="AT673" s="336">
        <v>7340</v>
      </c>
      <c r="AU673" s="334">
        <v>602.85799999999995</v>
      </c>
      <c r="AV673" s="336">
        <v>7340</v>
      </c>
      <c r="AW673" s="334">
        <v>603.07899999999995</v>
      </c>
      <c r="AX673" s="336">
        <v>7330</v>
      </c>
      <c r="AY673" s="334">
        <v>526.90099999999995</v>
      </c>
      <c r="AZ673" s="336">
        <v>7340</v>
      </c>
      <c r="BA673" s="337">
        <v>528.48800000000006</v>
      </c>
      <c r="BB673" s="336">
        <v>7320</v>
      </c>
      <c r="BC673" s="334">
        <v>131.27099999999999</v>
      </c>
      <c r="BD673" s="336">
        <v>7320</v>
      </c>
      <c r="BE673" s="334">
        <v>138.399</v>
      </c>
    </row>
    <row r="674" spans="22:57">
      <c r="V674" s="346">
        <v>7350</v>
      </c>
      <c r="W674" s="333">
        <v>291.03199999999998</v>
      </c>
      <c r="X674" s="346">
        <v>7360</v>
      </c>
      <c r="Y674" s="334">
        <v>288.77</v>
      </c>
      <c r="Z674" s="335">
        <v>7350</v>
      </c>
      <c r="AA674" s="334">
        <v>675.80700000000002</v>
      </c>
      <c r="AB674" s="336">
        <v>7350</v>
      </c>
      <c r="AC674" s="334">
        <v>675.82799999999997</v>
      </c>
      <c r="AD674" s="336">
        <v>7350</v>
      </c>
      <c r="AE674" s="334">
        <v>603.05600000000004</v>
      </c>
      <c r="AF674" s="336">
        <v>7350</v>
      </c>
      <c r="AG674" s="334">
        <v>602.49900000000002</v>
      </c>
      <c r="AH674" s="336">
        <v>7350</v>
      </c>
      <c r="AI674" s="334">
        <v>602.899</v>
      </c>
      <c r="AJ674" s="336">
        <v>7330</v>
      </c>
      <c r="AK674" s="334">
        <v>603.99300000000005</v>
      </c>
      <c r="AL674" s="336">
        <v>7350</v>
      </c>
      <c r="AM674" s="334">
        <v>603.625</v>
      </c>
      <c r="AN674" s="336">
        <v>7350</v>
      </c>
      <c r="AO674" s="334">
        <v>604.29600000000005</v>
      </c>
      <c r="AP674" s="336">
        <v>7340</v>
      </c>
      <c r="AQ674" s="334">
        <v>603.76199999999994</v>
      </c>
      <c r="AR674" s="336">
        <v>7350</v>
      </c>
      <c r="AS674" s="334">
        <v>603.26300000000003</v>
      </c>
      <c r="AT674" s="336">
        <v>7350</v>
      </c>
      <c r="AU674" s="334">
        <v>601.64700000000005</v>
      </c>
      <c r="AV674" s="336">
        <v>7350</v>
      </c>
      <c r="AW674" s="334">
        <v>601.87</v>
      </c>
      <c r="AX674" s="336">
        <v>7340</v>
      </c>
      <c r="AY674" s="334">
        <v>525.69100000000003</v>
      </c>
      <c r="AZ674" s="336">
        <v>7350</v>
      </c>
      <c r="BA674" s="337">
        <v>527.27800000000002</v>
      </c>
      <c r="BB674" s="336">
        <v>7330</v>
      </c>
      <c r="BC674" s="334">
        <v>130.898</v>
      </c>
      <c r="BD674" s="336">
        <v>7330</v>
      </c>
      <c r="BE674" s="334">
        <v>138.012</v>
      </c>
    </row>
    <row r="675" spans="22:57">
      <c r="V675" s="346">
        <v>7360</v>
      </c>
      <c r="W675" s="333">
        <v>290.29199999999997</v>
      </c>
      <c r="X675" s="346">
        <v>7370</v>
      </c>
      <c r="Y675" s="334">
        <v>288.03399999999999</v>
      </c>
      <c r="Z675" s="335">
        <v>7360</v>
      </c>
      <c r="AA675" s="334">
        <v>674.33799999999997</v>
      </c>
      <c r="AB675" s="336">
        <v>7360</v>
      </c>
      <c r="AC675" s="334">
        <v>674.36</v>
      </c>
      <c r="AD675" s="336">
        <v>7360</v>
      </c>
      <c r="AE675" s="334">
        <v>601.84400000000005</v>
      </c>
      <c r="AF675" s="336">
        <v>7360</v>
      </c>
      <c r="AG675" s="334">
        <v>601.28599999999994</v>
      </c>
      <c r="AH675" s="336">
        <v>7360</v>
      </c>
      <c r="AI675" s="334">
        <v>601.68700000000001</v>
      </c>
      <c r="AJ675" s="336">
        <v>7340</v>
      </c>
      <c r="AK675" s="334">
        <v>602.78099999999995</v>
      </c>
      <c r="AL675" s="336">
        <v>7360</v>
      </c>
      <c r="AM675" s="334">
        <v>602.41300000000001</v>
      </c>
      <c r="AN675" s="336">
        <v>7360</v>
      </c>
      <c r="AO675" s="334">
        <v>603.08399999999995</v>
      </c>
      <c r="AP675" s="336">
        <v>7350</v>
      </c>
      <c r="AQ675" s="334">
        <v>602.55100000000004</v>
      </c>
      <c r="AR675" s="336">
        <v>7360</v>
      </c>
      <c r="AS675" s="334">
        <v>602.05200000000002</v>
      </c>
      <c r="AT675" s="336">
        <v>7360</v>
      </c>
      <c r="AU675" s="334">
        <v>600.43600000000004</v>
      </c>
      <c r="AV675" s="336">
        <v>7360</v>
      </c>
      <c r="AW675" s="334">
        <v>600.66</v>
      </c>
      <c r="AX675" s="336">
        <v>7350</v>
      </c>
      <c r="AY675" s="334">
        <v>524.48199999999997</v>
      </c>
      <c r="AZ675" s="336">
        <v>7360</v>
      </c>
      <c r="BA675" s="337">
        <v>526.06899999999996</v>
      </c>
      <c r="BB675" s="336">
        <v>7340</v>
      </c>
      <c r="BC675" s="334">
        <v>130.52500000000001</v>
      </c>
      <c r="BD675" s="336">
        <v>7340</v>
      </c>
      <c r="BE675" s="334">
        <v>137.625</v>
      </c>
    </row>
    <row r="676" spans="22:57">
      <c r="V676" s="346">
        <v>7370</v>
      </c>
      <c r="W676" s="333">
        <v>289.55200000000002</v>
      </c>
      <c r="X676" s="346">
        <v>7380</v>
      </c>
      <c r="Y676" s="334">
        <v>287.29899999999998</v>
      </c>
      <c r="Z676" s="335">
        <v>7370</v>
      </c>
      <c r="AA676" s="334">
        <v>672.86900000000003</v>
      </c>
      <c r="AB676" s="336">
        <v>7370</v>
      </c>
      <c r="AC676" s="334">
        <v>672.89300000000003</v>
      </c>
      <c r="AD676" s="336">
        <v>7370</v>
      </c>
      <c r="AE676" s="334">
        <v>600.63199999999995</v>
      </c>
      <c r="AF676" s="336">
        <v>7370</v>
      </c>
      <c r="AG676" s="334">
        <v>600.072</v>
      </c>
      <c r="AH676" s="336">
        <v>7370</v>
      </c>
      <c r="AI676" s="334">
        <v>600.47500000000002</v>
      </c>
      <c r="AJ676" s="336">
        <v>7350</v>
      </c>
      <c r="AK676" s="334">
        <v>601.56799999999998</v>
      </c>
      <c r="AL676" s="336">
        <v>7370</v>
      </c>
      <c r="AM676" s="334">
        <v>601.20100000000002</v>
      </c>
      <c r="AN676" s="336">
        <v>7370</v>
      </c>
      <c r="AO676" s="334">
        <v>601.87199999999996</v>
      </c>
      <c r="AP676" s="336">
        <v>7360</v>
      </c>
      <c r="AQ676" s="334">
        <v>601.34100000000001</v>
      </c>
      <c r="AR676" s="336">
        <v>7370</v>
      </c>
      <c r="AS676" s="334">
        <v>600.84100000000001</v>
      </c>
      <c r="AT676" s="336">
        <v>7370</v>
      </c>
      <c r="AU676" s="334">
        <v>599.22500000000002</v>
      </c>
      <c r="AV676" s="336">
        <v>7370</v>
      </c>
      <c r="AW676" s="334">
        <v>599.45000000000005</v>
      </c>
      <c r="AX676" s="336">
        <v>7360</v>
      </c>
      <c r="AY676" s="334">
        <v>523.27200000000005</v>
      </c>
      <c r="AZ676" s="336">
        <v>7370</v>
      </c>
      <c r="BA676" s="337">
        <v>524.86</v>
      </c>
      <c r="BB676" s="336">
        <v>7350</v>
      </c>
      <c r="BC676" s="334">
        <v>130.15299999999999</v>
      </c>
      <c r="BD676" s="336">
        <v>7350</v>
      </c>
      <c r="BE676" s="334">
        <v>137.23699999999999</v>
      </c>
    </row>
    <row r="677" spans="22:57">
      <c r="V677" s="346">
        <v>7380</v>
      </c>
      <c r="W677" s="333">
        <v>288.81200000000001</v>
      </c>
      <c r="X677" s="346">
        <v>7390</v>
      </c>
      <c r="Y677" s="334">
        <v>286.56299999999999</v>
      </c>
      <c r="Z677" s="335">
        <v>7380</v>
      </c>
      <c r="AA677" s="334">
        <v>671.40099999999995</v>
      </c>
      <c r="AB677" s="336">
        <v>7380</v>
      </c>
      <c r="AC677" s="334">
        <v>671.42499999999995</v>
      </c>
      <c r="AD677" s="336">
        <v>7380</v>
      </c>
      <c r="AE677" s="334">
        <v>599.41999999999996</v>
      </c>
      <c r="AF677" s="336">
        <v>7380</v>
      </c>
      <c r="AG677" s="334">
        <v>598.85900000000004</v>
      </c>
      <c r="AH677" s="336">
        <v>7380</v>
      </c>
      <c r="AI677" s="334">
        <v>599.26300000000003</v>
      </c>
      <c r="AJ677" s="336">
        <v>7360</v>
      </c>
      <c r="AK677" s="334">
        <v>600.35599999999999</v>
      </c>
      <c r="AL677" s="336">
        <v>7380</v>
      </c>
      <c r="AM677" s="334">
        <v>599.98900000000003</v>
      </c>
      <c r="AN677" s="336">
        <v>7380</v>
      </c>
      <c r="AO677" s="334">
        <v>600.66</v>
      </c>
      <c r="AP677" s="336">
        <v>7370</v>
      </c>
      <c r="AQ677" s="334">
        <v>600.13099999999997</v>
      </c>
      <c r="AR677" s="336">
        <v>7380</v>
      </c>
      <c r="AS677" s="334">
        <v>599.63</v>
      </c>
      <c r="AT677" s="336">
        <v>7380</v>
      </c>
      <c r="AU677" s="334">
        <v>598.01400000000001</v>
      </c>
      <c r="AV677" s="336">
        <v>7380</v>
      </c>
      <c r="AW677" s="334">
        <v>598.24</v>
      </c>
      <c r="AX677" s="336">
        <v>7370</v>
      </c>
      <c r="AY677" s="334">
        <v>522.06200000000001</v>
      </c>
      <c r="AZ677" s="336">
        <v>7380</v>
      </c>
      <c r="BA677" s="337">
        <v>523.65099999999995</v>
      </c>
      <c r="BB677" s="336">
        <v>7360</v>
      </c>
      <c r="BC677" s="334">
        <v>129.78</v>
      </c>
      <c r="BD677" s="336">
        <v>7360</v>
      </c>
      <c r="BE677" s="334">
        <v>136.851</v>
      </c>
    </row>
    <row r="678" spans="22:57">
      <c r="V678" s="346">
        <v>7390</v>
      </c>
      <c r="W678" s="333">
        <v>288.072</v>
      </c>
      <c r="X678" s="346">
        <v>7400</v>
      </c>
      <c r="Y678" s="334">
        <v>285.82799999999997</v>
      </c>
      <c r="Z678" s="335">
        <v>7390</v>
      </c>
      <c r="AA678" s="334">
        <v>669.93299999999999</v>
      </c>
      <c r="AB678" s="336">
        <v>7390</v>
      </c>
      <c r="AC678" s="334">
        <v>669.95799999999997</v>
      </c>
      <c r="AD678" s="336">
        <v>7390</v>
      </c>
      <c r="AE678" s="334">
        <v>598.20799999999997</v>
      </c>
      <c r="AF678" s="336">
        <v>7390</v>
      </c>
      <c r="AG678" s="334">
        <v>597.64499999999998</v>
      </c>
      <c r="AH678" s="336">
        <v>7390</v>
      </c>
      <c r="AI678" s="334">
        <v>598.05100000000004</v>
      </c>
      <c r="AJ678" s="336">
        <v>7370</v>
      </c>
      <c r="AK678" s="334">
        <v>599.14300000000003</v>
      </c>
      <c r="AL678" s="336">
        <v>7390</v>
      </c>
      <c r="AM678" s="334">
        <v>598.77599999999995</v>
      </c>
      <c r="AN678" s="336">
        <v>7390</v>
      </c>
      <c r="AO678" s="334">
        <v>599.44799999999998</v>
      </c>
      <c r="AP678" s="336">
        <v>7380</v>
      </c>
      <c r="AQ678" s="334">
        <v>598.92100000000005</v>
      </c>
      <c r="AR678" s="336">
        <v>7390</v>
      </c>
      <c r="AS678" s="334">
        <v>598.41899999999998</v>
      </c>
      <c r="AT678" s="336">
        <v>7390</v>
      </c>
      <c r="AU678" s="334">
        <v>596.803</v>
      </c>
      <c r="AV678" s="336">
        <v>7390</v>
      </c>
      <c r="AW678" s="334">
        <v>597.03</v>
      </c>
      <c r="AX678" s="336">
        <v>7380</v>
      </c>
      <c r="AY678" s="334">
        <v>520.85199999999998</v>
      </c>
      <c r="AZ678" s="336">
        <v>7390</v>
      </c>
      <c r="BA678" s="337">
        <v>522.44100000000003</v>
      </c>
      <c r="BB678" s="336">
        <v>7370</v>
      </c>
      <c r="BC678" s="334">
        <v>129.40799999999999</v>
      </c>
      <c r="BD678" s="336">
        <v>7370</v>
      </c>
      <c r="BE678" s="334">
        <v>136.464</v>
      </c>
    </row>
    <row r="679" spans="22:57">
      <c r="V679" s="346">
        <v>7400</v>
      </c>
      <c r="W679" s="333">
        <v>287.33300000000003</v>
      </c>
      <c r="X679" s="346">
        <v>7410</v>
      </c>
      <c r="Y679" s="334">
        <v>285.09300000000002</v>
      </c>
      <c r="Z679" s="335">
        <v>7400</v>
      </c>
      <c r="AA679" s="334">
        <v>668.46500000000003</v>
      </c>
      <c r="AB679" s="336">
        <v>7400</v>
      </c>
      <c r="AC679" s="334">
        <v>668.49099999999999</v>
      </c>
      <c r="AD679" s="336">
        <v>7400</v>
      </c>
      <c r="AE679" s="334">
        <v>596.99599999999998</v>
      </c>
      <c r="AF679" s="336">
        <v>7400</v>
      </c>
      <c r="AG679" s="334">
        <v>596.43200000000002</v>
      </c>
      <c r="AH679" s="336">
        <v>7400</v>
      </c>
      <c r="AI679" s="334">
        <v>596.83799999999997</v>
      </c>
      <c r="AJ679" s="336">
        <v>7380</v>
      </c>
      <c r="AK679" s="334">
        <v>597.93100000000004</v>
      </c>
      <c r="AL679" s="336">
        <v>7400</v>
      </c>
      <c r="AM679" s="334">
        <v>597.56399999999996</v>
      </c>
      <c r="AN679" s="336">
        <v>7400</v>
      </c>
      <c r="AO679" s="334">
        <v>598.23599999999999</v>
      </c>
      <c r="AP679" s="336">
        <v>7390</v>
      </c>
      <c r="AQ679" s="334">
        <v>597.71100000000001</v>
      </c>
      <c r="AR679" s="336">
        <v>7400</v>
      </c>
      <c r="AS679" s="334">
        <v>597.20799999999997</v>
      </c>
      <c r="AT679" s="336">
        <v>7400</v>
      </c>
      <c r="AU679" s="334">
        <v>595.59199999999998</v>
      </c>
      <c r="AV679" s="336">
        <v>7400</v>
      </c>
      <c r="AW679" s="334">
        <v>595.82000000000005</v>
      </c>
      <c r="AX679" s="336">
        <v>7390</v>
      </c>
      <c r="AY679" s="334">
        <v>519.64300000000003</v>
      </c>
      <c r="AZ679" s="336">
        <v>7400</v>
      </c>
      <c r="BA679" s="337">
        <v>521.23199999999997</v>
      </c>
      <c r="BB679" s="336">
        <v>7380</v>
      </c>
      <c r="BC679" s="334">
        <v>129.036</v>
      </c>
      <c r="BD679" s="336">
        <v>7380</v>
      </c>
      <c r="BE679" s="334">
        <v>136.078</v>
      </c>
    </row>
    <row r="680" spans="22:57">
      <c r="V680" s="346">
        <v>7410</v>
      </c>
      <c r="W680" s="333">
        <v>286.59399999999999</v>
      </c>
      <c r="X680" s="346">
        <v>7420</v>
      </c>
      <c r="Y680" s="334">
        <v>284.358</v>
      </c>
      <c r="Z680" s="335">
        <v>7410</v>
      </c>
      <c r="AA680" s="334">
        <v>666.99699999999996</v>
      </c>
      <c r="AB680" s="336">
        <v>7410</v>
      </c>
      <c r="AC680" s="334">
        <v>667.024</v>
      </c>
      <c r="AD680" s="336">
        <v>7410</v>
      </c>
      <c r="AE680" s="334">
        <v>595.78300000000002</v>
      </c>
      <c r="AF680" s="336">
        <v>7410</v>
      </c>
      <c r="AG680" s="334">
        <v>595.21799999999996</v>
      </c>
      <c r="AH680" s="336">
        <v>7410</v>
      </c>
      <c r="AI680" s="334">
        <v>595.62599999999998</v>
      </c>
      <c r="AJ680" s="336">
        <v>7390</v>
      </c>
      <c r="AK680" s="334">
        <v>596.71799999999996</v>
      </c>
      <c r="AL680" s="336">
        <v>7410</v>
      </c>
      <c r="AM680" s="334">
        <v>596.35199999999998</v>
      </c>
      <c r="AN680" s="336">
        <v>7410</v>
      </c>
      <c r="AO680" s="334">
        <v>597.024</v>
      </c>
      <c r="AP680" s="336">
        <v>7400</v>
      </c>
      <c r="AQ680" s="334">
        <v>596.50099999999998</v>
      </c>
      <c r="AR680" s="336">
        <v>7410</v>
      </c>
      <c r="AS680" s="334">
        <v>595.99699999999996</v>
      </c>
      <c r="AT680" s="336">
        <v>7410</v>
      </c>
      <c r="AU680" s="334">
        <v>594.38</v>
      </c>
      <c r="AV680" s="336">
        <v>7410</v>
      </c>
      <c r="AW680" s="334">
        <v>594.61</v>
      </c>
      <c r="AX680" s="336">
        <v>7400</v>
      </c>
      <c r="AY680" s="334">
        <v>518.43299999999999</v>
      </c>
      <c r="AZ680" s="336">
        <v>7410</v>
      </c>
      <c r="BA680" s="337">
        <v>520.02300000000002</v>
      </c>
      <c r="BB680" s="336">
        <v>7390</v>
      </c>
      <c r="BC680" s="334">
        <v>128.66499999999999</v>
      </c>
      <c r="BD680" s="336">
        <v>7390</v>
      </c>
      <c r="BE680" s="334">
        <v>135.69200000000001</v>
      </c>
    </row>
    <row r="681" spans="22:57">
      <c r="V681" s="346">
        <v>7420</v>
      </c>
      <c r="W681" s="333">
        <v>285.85500000000002</v>
      </c>
      <c r="X681" s="346">
        <v>7430</v>
      </c>
      <c r="Y681" s="334">
        <v>283.62299999999999</v>
      </c>
      <c r="Z681" s="335">
        <v>7420</v>
      </c>
      <c r="AA681" s="334">
        <v>665.529</v>
      </c>
      <c r="AB681" s="336">
        <v>7420</v>
      </c>
      <c r="AC681" s="334">
        <v>665.55700000000002</v>
      </c>
      <c r="AD681" s="336">
        <v>7420</v>
      </c>
      <c r="AE681" s="334">
        <v>594.57100000000003</v>
      </c>
      <c r="AF681" s="336">
        <v>7420</v>
      </c>
      <c r="AG681" s="334">
        <v>594.005</v>
      </c>
      <c r="AH681" s="336">
        <v>7420</v>
      </c>
      <c r="AI681" s="334">
        <v>594.41399999999999</v>
      </c>
      <c r="AJ681" s="336">
        <v>7400</v>
      </c>
      <c r="AK681" s="334">
        <v>595.50599999999997</v>
      </c>
      <c r="AL681" s="336">
        <v>7420</v>
      </c>
      <c r="AM681" s="334">
        <v>595.14</v>
      </c>
      <c r="AN681" s="336">
        <v>7420</v>
      </c>
      <c r="AO681" s="334">
        <v>595.81100000000004</v>
      </c>
      <c r="AP681" s="336">
        <v>7410</v>
      </c>
      <c r="AQ681" s="334">
        <v>595.29100000000005</v>
      </c>
      <c r="AR681" s="336">
        <v>7420</v>
      </c>
      <c r="AS681" s="334">
        <v>594.78599999999994</v>
      </c>
      <c r="AT681" s="336">
        <v>7420</v>
      </c>
      <c r="AU681" s="334">
        <v>593.16899999999998</v>
      </c>
      <c r="AV681" s="336">
        <v>7420</v>
      </c>
      <c r="AW681" s="334">
        <v>593.4</v>
      </c>
      <c r="AX681" s="336">
        <v>7410</v>
      </c>
      <c r="AY681" s="334">
        <v>517.22400000000005</v>
      </c>
      <c r="AZ681" s="336">
        <v>7420</v>
      </c>
      <c r="BA681" s="337">
        <v>518.81399999999996</v>
      </c>
      <c r="BB681" s="336">
        <v>7400</v>
      </c>
      <c r="BC681" s="334">
        <v>128.29300000000001</v>
      </c>
      <c r="BD681" s="336">
        <v>7400</v>
      </c>
      <c r="BE681" s="334">
        <v>135.30600000000001</v>
      </c>
    </row>
    <row r="682" spans="22:57">
      <c r="V682" s="346">
        <v>7430</v>
      </c>
      <c r="W682" s="333">
        <v>285.11599999999999</v>
      </c>
      <c r="X682" s="346">
        <v>7440</v>
      </c>
      <c r="Y682" s="334">
        <v>282.88900000000001</v>
      </c>
      <c r="Z682" s="335">
        <v>7430</v>
      </c>
      <c r="AA682" s="334">
        <v>664.06100000000004</v>
      </c>
      <c r="AB682" s="336">
        <v>7430</v>
      </c>
      <c r="AC682" s="334">
        <v>664.09</v>
      </c>
      <c r="AD682" s="336">
        <v>7430</v>
      </c>
      <c r="AE682" s="334">
        <v>593.35900000000004</v>
      </c>
      <c r="AF682" s="336">
        <v>7430</v>
      </c>
      <c r="AG682" s="334">
        <v>592.79100000000005</v>
      </c>
      <c r="AH682" s="336">
        <v>7430</v>
      </c>
      <c r="AI682" s="334">
        <v>593.202</v>
      </c>
      <c r="AJ682" s="336">
        <v>7410</v>
      </c>
      <c r="AK682" s="334">
        <v>594.29300000000001</v>
      </c>
      <c r="AL682" s="336">
        <v>7430</v>
      </c>
      <c r="AM682" s="334">
        <v>593.92700000000002</v>
      </c>
      <c r="AN682" s="336">
        <v>7430</v>
      </c>
      <c r="AO682" s="334">
        <v>594.59900000000005</v>
      </c>
      <c r="AP682" s="336">
        <v>7420</v>
      </c>
      <c r="AQ682" s="334">
        <v>594.08100000000002</v>
      </c>
      <c r="AR682" s="336">
        <v>7430</v>
      </c>
      <c r="AS682" s="334">
        <v>593.57500000000005</v>
      </c>
      <c r="AT682" s="336">
        <v>7430</v>
      </c>
      <c r="AU682" s="334">
        <v>591.95799999999997</v>
      </c>
      <c r="AV682" s="336">
        <v>7430</v>
      </c>
      <c r="AW682" s="334">
        <v>592.19000000000005</v>
      </c>
      <c r="AX682" s="336">
        <v>7420</v>
      </c>
      <c r="AY682" s="334">
        <v>516.01400000000001</v>
      </c>
      <c r="AZ682" s="336">
        <v>7430</v>
      </c>
      <c r="BA682" s="337">
        <v>517.60500000000002</v>
      </c>
      <c r="BB682" s="336">
        <v>7410</v>
      </c>
      <c r="BC682" s="334">
        <v>127.922</v>
      </c>
      <c r="BD682" s="336">
        <v>7410</v>
      </c>
      <c r="BE682" s="334">
        <v>134.92099999999999</v>
      </c>
    </row>
    <row r="683" spans="22:57">
      <c r="V683" s="346">
        <v>7440</v>
      </c>
      <c r="W683" s="333">
        <v>284.37700000000001</v>
      </c>
      <c r="X683" s="346">
        <v>7450</v>
      </c>
      <c r="Y683" s="334">
        <v>282.154</v>
      </c>
      <c r="Z683" s="335">
        <v>7440</v>
      </c>
      <c r="AA683" s="334">
        <v>662.59299999999996</v>
      </c>
      <c r="AB683" s="336">
        <v>7440</v>
      </c>
      <c r="AC683" s="334">
        <v>662.62300000000005</v>
      </c>
      <c r="AD683" s="336">
        <v>7440</v>
      </c>
      <c r="AE683" s="334">
        <v>592.14700000000005</v>
      </c>
      <c r="AF683" s="336">
        <v>7440</v>
      </c>
      <c r="AG683" s="334">
        <v>591.57799999999997</v>
      </c>
      <c r="AH683" s="336">
        <v>7440</v>
      </c>
      <c r="AI683" s="334">
        <v>591.99</v>
      </c>
      <c r="AJ683" s="336">
        <v>7420</v>
      </c>
      <c r="AK683" s="334">
        <v>593.08100000000002</v>
      </c>
      <c r="AL683" s="336">
        <v>7440</v>
      </c>
      <c r="AM683" s="334">
        <v>592.71500000000003</v>
      </c>
      <c r="AN683" s="336">
        <v>7440</v>
      </c>
      <c r="AO683" s="334">
        <v>593.38699999999994</v>
      </c>
      <c r="AP683" s="336">
        <v>7430</v>
      </c>
      <c r="AQ683" s="334">
        <v>592.87099999999998</v>
      </c>
      <c r="AR683" s="336">
        <v>7440</v>
      </c>
      <c r="AS683" s="334">
        <v>592.36400000000003</v>
      </c>
      <c r="AT683" s="336">
        <v>7440</v>
      </c>
      <c r="AU683" s="334">
        <v>590.74699999999996</v>
      </c>
      <c r="AV683" s="336">
        <v>7440</v>
      </c>
      <c r="AW683" s="334">
        <v>590.98</v>
      </c>
      <c r="AX683" s="336">
        <v>7430</v>
      </c>
      <c r="AY683" s="334">
        <v>514.80399999999997</v>
      </c>
      <c r="AZ683" s="336">
        <v>7440</v>
      </c>
      <c r="BA683" s="337">
        <v>516.39599999999996</v>
      </c>
      <c r="BB683" s="336">
        <v>7420</v>
      </c>
      <c r="BC683" s="334">
        <v>127.55200000000001</v>
      </c>
      <c r="BD683" s="336">
        <v>7420</v>
      </c>
      <c r="BE683" s="334">
        <v>134.535</v>
      </c>
    </row>
    <row r="684" spans="22:57">
      <c r="V684" s="346">
        <v>7450</v>
      </c>
      <c r="W684" s="333">
        <v>283.63900000000001</v>
      </c>
      <c r="X684" s="346">
        <v>7460</v>
      </c>
      <c r="Y684" s="334">
        <v>281.42</v>
      </c>
      <c r="Z684" s="335">
        <v>7450</v>
      </c>
      <c r="AA684" s="334">
        <v>661.12599999999998</v>
      </c>
      <c r="AB684" s="336">
        <v>7450</v>
      </c>
      <c r="AC684" s="334">
        <v>661.15599999999995</v>
      </c>
      <c r="AD684" s="336">
        <v>7450</v>
      </c>
      <c r="AE684" s="334">
        <v>590.93499999999995</v>
      </c>
      <c r="AF684" s="336">
        <v>7450</v>
      </c>
      <c r="AG684" s="334">
        <v>590.36400000000003</v>
      </c>
      <c r="AH684" s="336">
        <v>7450</v>
      </c>
      <c r="AI684" s="334">
        <v>590.77700000000004</v>
      </c>
      <c r="AJ684" s="336">
        <v>7430</v>
      </c>
      <c r="AK684" s="334">
        <v>591.86900000000003</v>
      </c>
      <c r="AL684" s="336">
        <v>7450</v>
      </c>
      <c r="AM684" s="334">
        <v>591.50300000000004</v>
      </c>
      <c r="AN684" s="336">
        <v>7450</v>
      </c>
      <c r="AO684" s="334">
        <v>592.17499999999995</v>
      </c>
      <c r="AP684" s="336">
        <v>7440</v>
      </c>
      <c r="AQ684" s="334">
        <v>591.66099999999994</v>
      </c>
      <c r="AR684" s="336">
        <v>7450</v>
      </c>
      <c r="AS684" s="334">
        <v>591.15300000000002</v>
      </c>
      <c r="AT684" s="336">
        <v>7450</v>
      </c>
      <c r="AU684" s="334">
        <v>589.53599999999994</v>
      </c>
      <c r="AV684" s="336">
        <v>7450</v>
      </c>
      <c r="AW684" s="334">
        <v>589.77</v>
      </c>
      <c r="AX684" s="336">
        <v>7440</v>
      </c>
      <c r="AY684" s="334">
        <v>513.59500000000003</v>
      </c>
      <c r="AZ684" s="336">
        <v>7450</v>
      </c>
      <c r="BA684" s="337">
        <v>515.18700000000001</v>
      </c>
      <c r="BB684" s="336">
        <v>7430</v>
      </c>
      <c r="BC684" s="334">
        <v>127.181</v>
      </c>
      <c r="BD684" s="336">
        <v>7430</v>
      </c>
      <c r="BE684" s="334">
        <v>134.15</v>
      </c>
    </row>
    <row r="685" spans="22:57">
      <c r="V685" s="346">
        <v>7460</v>
      </c>
      <c r="W685" s="333">
        <v>282.90100000000001</v>
      </c>
      <c r="X685" s="346">
        <v>7470</v>
      </c>
      <c r="Y685" s="334">
        <v>280.68700000000001</v>
      </c>
      <c r="Z685" s="335">
        <v>7460</v>
      </c>
      <c r="AA685" s="334">
        <v>659.65800000000002</v>
      </c>
      <c r="AB685" s="336">
        <v>7460</v>
      </c>
      <c r="AC685" s="334">
        <v>659.69</v>
      </c>
      <c r="AD685" s="336">
        <v>7460</v>
      </c>
      <c r="AE685" s="334">
        <v>589.72299999999996</v>
      </c>
      <c r="AF685" s="336">
        <v>7460</v>
      </c>
      <c r="AG685" s="334">
        <v>589.15099999999995</v>
      </c>
      <c r="AH685" s="336">
        <v>7460</v>
      </c>
      <c r="AI685" s="334">
        <v>589.56500000000005</v>
      </c>
      <c r="AJ685" s="336">
        <v>7440</v>
      </c>
      <c r="AK685" s="334">
        <v>590.65599999999995</v>
      </c>
      <c r="AL685" s="336">
        <v>7460</v>
      </c>
      <c r="AM685" s="334">
        <v>590.29100000000005</v>
      </c>
      <c r="AN685" s="336">
        <v>7460</v>
      </c>
      <c r="AO685" s="334">
        <v>590.96299999999997</v>
      </c>
      <c r="AP685" s="336">
        <v>7450</v>
      </c>
      <c r="AQ685" s="334">
        <v>590.45100000000002</v>
      </c>
      <c r="AR685" s="336">
        <v>7460</v>
      </c>
      <c r="AS685" s="334">
        <v>589.94200000000001</v>
      </c>
      <c r="AT685" s="336">
        <v>7460</v>
      </c>
      <c r="AU685" s="334">
        <v>588.32500000000005</v>
      </c>
      <c r="AV685" s="336">
        <v>7460</v>
      </c>
      <c r="AW685" s="334">
        <v>588.55999999999995</v>
      </c>
      <c r="AX685" s="336">
        <v>7450</v>
      </c>
      <c r="AY685" s="334">
        <v>512.38599999999997</v>
      </c>
      <c r="AZ685" s="336">
        <v>7460</v>
      </c>
      <c r="BA685" s="337">
        <v>513.97699999999998</v>
      </c>
      <c r="BB685" s="336">
        <v>7440</v>
      </c>
      <c r="BC685" s="334">
        <v>126.81100000000001</v>
      </c>
      <c r="BD685" s="336">
        <v>7440</v>
      </c>
      <c r="BE685" s="334">
        <v>133.76599999999999</v>
      </c>
    </row>
    <row r="686" spans="22:57">
      <c r="V686" s="346">
        <v>7470</v>
      </c>
      <c r="W686" s="333">
        <v>282.16300000000001</v>
      </c>
      <c r="X686" s="346">
        <v>7480</v>
      </c>
      <c r="Y686" s="334">
        <v>279.95299999999997</v>
      </c>
      <c r="Z686" s="335">
        <v>7470</v>
      </c>
      <c r="AA686" s="334">
        <v>658.19100000000003</v>
      </c>
      <c r="AB686" s="336">
        <v>7470</v>
      </c>
      <c r="AC686" s="334">
        <v>658.22299999999996</v>
      </c>
      <c r="AD686" s="336">
        <v>7470</v>
      </c>
      <c r="AE686" s="334">
        <v>588.51</v>
      </c>
      <c r="AF686" s="336">
        <v>7470</v>
      </c>
      <c r="AG686" s="334">
        <v>587.93700000000001</v>
      </c>
      <c r="AH686" s="336">
        <v>7470</v>
      </c>
      <c r="AI686" s="334">
        <v>588.35299999999995</v>
      </c>
      <c r="AJ686" s="336">
        <v>7450</v>
      </c>
      <c r="AK686" s="334">
        <v>589.44399999999996</v>
      </c>
      <c r="AL686" s="336">
        <v>7470</v>
      </c>
      <c r="AM686" s="334">
        <v>589.07799999999997</v>
      </c>
      <c r="AN686" s="336">
        <v>7470</v>
      </c>
      <c r="AO686" s="334">
        <v>589.75099999999998</v>
      </c>
      <c r="AP686" s="336">
        <v>7460</v>
      </c>
      <c r="AQ686" s="334">
        <v>589.24</v>
      </c>
      <c r="AR686" s="336">
        <v>7470</v>
      </c>
      <c r="AS686" s="334">
        <v>588.73099999999999</v>
      </c>
      <c r="AT686" s="336">
        <v>7470</v>
      </c>
      <c r="AU686" s="334">
        <v>587.11400000000003</v>
      </c>
      <c r="AV686" s="336">
        <v>7470</v>
      </c>
      <c r="AW686" s="334">
        <v>587.35</v>
      </c>
      <c r="AX686" s="336">
        <v>7460</v>
      </c>
      <c r="AY686" s="334">
        <v>511.17599999999999</v>
      </c>
      <c r="AZ686" s="336">
        <v>7470</v>
      </c>
      <c r="BA686" s="337">
        <v>512.76800000000003</v>
      </c>
      <c r="BB686" s="336">
        <v>7450</v>
      </c>
      <c r="BC686" s="334">
        <v>126.441</v>
      </c>
      <c r="BD686" s="336">
        <v>7450</v>
      </c>
      <c r="BE686" s="334">
        <v>133.381</v>
      </c>
    </row>
    <row r="687" spans="22:57">
      <c r="V687" s="346">
        <v>7480</v>
      </c>
      <c r="W687" s="333">
        <v>281.42500000000001</v>
      </c>
      <c r="X687" s="346">
        <v>7490</v>
      </c>
      <c r="Y687" s="334">
        <v>279.21899999999999</v>
      </c>
      <c r="Z687" s="335">
        <v>7480</v>
      </c>
      <c r="AA687" s="334">
        <v>656.72400000000005</v>
      </c>
      <c r="AB687" s="336">
        <v>7480</v>
      </c>
      <c r="AC687" s="334">
        <v>656.75699999999995</v>
      </c>
      <c r="AD687" s="336">
        <v>7480</v>
      </c>
      <c r="AE687" s="334">
        <v>587.298</v>
      </c>
      <c r="AF687" s="336">
        <v>7480</v>
      </c>
      <c r="AG687" s="334">
        <v>586.72400000000005</v>
      </c>
      <c r="AH687" s="336">
        <v>7480</v>
      </c>
      <c r="AI687" s="334">
        <v>587.14099999999996</v>
      </c>
      <c r="AJ687" s="336">
        <v>7460</v>
      </c>
      <c r="AK687" s="334">
        <v>588.23099999999999</v>
      </c>
      <c r="AL687" s="336">
        <v>7480</v>
      </c>
      <c r="AM687" s="334">
        <v>587.86599999999999</v>
      </c>
      <c r="AN687" s="336">
        <v>7480</v>
      </c>
      <c r="AO687" s="334">
        <v>588.53899999999999</v>
      </c>
      <c r="AP687" s="336">
        <v>7470</v>
      </c>
      <c r="AQ687" s="334">
        <v>588.03</v>
      </c>
      <c r="AR687" s="336">
        <v>7480</v>
      </c>
      <c r="AS687" s="334">
        <v>587.52099999999996</v>
      </c>
      <c r="AT687" s="336">
        <v>7480</v>
      </c>
      <c r="AU687" s="334">
        <v>585.90300000000002</v>
      </c>
      <c r="AV687" s="336">
        <v>7480</v>
      </c>
      <c r="AW687" s="334">
        <v>586.14</v>
      </c>
      <c r="AX687" s="336">
        <v>7470</v>
      </c>
      <c r="AY687" s="334">
        <v>509.96699999999998</v>
      </c>
      <c r="AZ687" s="336">
        <v>7480</v>
      </c>
      <c r="BA687" s="337">
        <v>511.55900000000003</v>
      </c>
      <c r="BB687" s="336">
        <v>7460</v>
      </c>
      <c r="BC687" s="334">
        <v>126.072</v>
      </c>
      <c r="BD687" s="336">
        <v>7460</v>
      </c>
      <c r="BE687" s="334">
        <v>132.99700000000001</v>
      </c>
    </row>
    <row r="688" spans="22:57">
      <c r="V688" s="346">
        <v>7490</v>
      </c>
      <c r="W688" s="333">
        <v>280.68799999999999</v>
      </c>
      <c r="X688" s="346">
        <v>7500</v>
      </c>
      <c r="Y688" s="334">
        <v>278.48599999999999</v>
      </c>
      <c r="Z688" s="335">
        <v>7490</v>
      </c>
      <c r="AA688" s="334">
        <v>655.25599999999997</v>
      </c>
      <c r="AB688" s="336">
        <v>7490</v>
      </c>
      <c r="AC688" s="334">
        <v>655.29</v>
      </c>
      <c r="AD688" s="336">
        <v>7490</v>
      </c>
      <c r="AE688" s="334">
        <v>586.08600000000001</v>
      </c>
      <c r="AF688" s="336">
        <v>7490</v>
      </c>
      <c r="AG688" s="334">
        <v>585.51</v>
      </c>
      <c r="AH688" s="336">
        <v>7490</v>
      </c>
      <c r="AI688" s="334">
        <v>585.92899999999997</v>
      </c>
      <c r="AJ688" s="336">
        <v>7470</v>
      </c>
      <c r="AK688" s="334">
        <v>587.01900000000001</v>
      </c>
      <c r="AL688" s="336">
        <v>7490</v>
      </c>
      <c r="AM688" s="334">
        <v>586.654</v>
      </c>
      <c r="AN688" s="336">
        <v>7490</v>
      </c>
      <c r="AO688" s="334">
        <v>587.327</v>
      </c>
      <c r="AP688" s="336">
        <v>7480</v>
      </c>
      <c r="AQ688" s="334">
        <v>586.82000000000005</v>
      </c>
      <c r="AR688" s="336">
        <v>7490</v>
      </c>
      <c r="AS688" s="334">
        <v>586.30999999999995</v>
      </c>
      <c r="AT688" s="336">
        <v>7490</v>
      </c>
      <c r="AU688" s="334">
        <v>584.69200000000001</v>
      </c>
      <c r="AV688" s="336">
        <v>7490</v>
      </c>
      <c r="AW688" s="334">
        <v>584.92999999999995</v>
      </c>
      <c r="AX688" s="336">
        <v>7480</v>
      </c>
      <c r="AY688" s="334">
        <v>508.75700000000001</v>
      </c>
      <c r="AZ688" s="336">
        <v>7490</v>
      </c>
      <c r="BA688" s="337">
        <v>510.35</v>
      </c>
      <c r="BB688" s="336">
        <v>7470</v>
      </c>
      <c r="BC688" s="334">
        <v>125.702</v>
      </c>
      <c r="BD688" s="336">
        <v>7470</v>
      </c>
      <c r="BE688" s="334">
        <v>132.613</v>
      </c>
    </row>
    <row r="689" spans="22:57">
      <c r="V689" s="346">
        <v>7500</v>
      </c>
      <c r="W689" s="333">
        <v>279.95</v>
      </c>
      <c r="X689" s="346">
        <v>7510</v>
      </c>
      <c r="Y689" s="334">
        <v>277.75299999999999</v>
      </c>
      <c r="Z689" s="335">
        <v>7500</v>
      </c>
      <c r="AA689" s="334">
        <v>653.78899999999999</v>
      </c>
      <c r="AB689" s="336">
        <v>7500</v>
      </c>
      <c r="AC689" s="334">
        <v>653.82399999999996</v>
      </c>
      <c r="AD689" s="336">
        <v>7500</v>
      </c>
      <c r="AE689" s="334">
        <v>584.87400000000002</v>
      </c>
      <c r="AF689" s="336">
        <v>7500</v>
      </c>
      <c r="AG689" s="334">
        <v>584.29700000000003</v>
      </c>
      <c r="AH689" s="336">
        <v>7500</v>
      </c>
      <c r="AI689" s="334">
        <v>584.71699999999998</v>
      </c>
      <c r="AJ689" s="336">
        <v>7480</v>
      </c>
      <c r="AK689" s="334">
        <v>585.80600000000004</v>
      </c>
      <c r="AL689" s="336">
        <v>7500</v>
      </c>
      <c r="AM689" s="334">
        <v>585.44200000000001</v>
      </c>
      <c r="AN689" s="336">
        <v>7500</v>
      </c>
      <c r="AO689" s="334">
        <v>586.11500000000001</v>
      </c>
      <c r="AP689" s="336">
        <v>7490</v>
      </c>
      <c r="AQ689" s="334">
        <v>585.61</v>
      </c>
      <c r="AR689" s="336">
        <v>7500</v>
      </c>
      <c r="AS689" s="334">
        <v>585.09900000000005</v>
      </c>
      <c r="AT689" s="336">
        <v>7500</v>
      </c>
      <c r="AU689" s="334">
        <v>583.48099999999999</v>
      </c>
      <c r="AV689" s="336">
        <v>7500</v>
      </c>
      <c r="AW689" s="334">
        <v>583.72</v>
      </c>
      <c r="AX689" s="336">
        <v>7490</v>
      </c>
      <c r="AY689" s="334">
        <v>507.548</v>
      </c>
      <c r="AZ689" s="336">
        <v>7500</v>
      </c>
      <c r="BA689" s="337">
        <v>509.14100000000002</v>
      </c>
      <c r="BB689" s="336">
        <v>7480</v>
      </c>
      <c r="BC689" s="334">
        <v>125.333</v>
      </c>
      <c r="BD689" s="336">
        <v>7480</v>
      </c>
      <c r="BE689" s="334">
        <v>132.22999999999999</v>
      </c>
    </row>
    <row r="690" spans="22:57">
      <c r="V690" s="346">
        <v>7510</v>
      </c>
      <c r="W690" s="333">
        <v>279.21300000000002</v>
      </c>
      <c r="X690" s="346">
        <v>7520</v>
      </c>
      <c r="Y690" s="334">
        <v>277.02</v>
      </c>
      <c r="Z690" s="335">
        <v>7510</v>
      </c>
      <c r="AA690" s="334">
        <v>652.322</v>
      </c>
      <c r="AB690" s="336">
        <v>7510</v>
      </c>
      <c r="AC690" s="334">
        <v>652.35799999999995</v>
      </c>
      <c r="AD690" s="336">
        <v>7510</v>
      </c>
      <c r="AE690" s="334">
        <v>583.66200000000003</v>
      </c>
      <c r="AF690" s="336">
        <v>7510</v>
      </c>
      <c r="AG690" s="334">
        <v>583.08299999999997</v>
      </c>
      <c r="AH690" s="336">
        <v>7510</v>
      </c>
      <c r="AI690" s="334">
        <v>583.50400000000002</v>
      </c>
      <c r="AJ690" s="336">
        <v>7490</v>
      </c>
      <c r="AK690" s="334">
        <v>584.59400000000005</v>
      </c>
      <c r="AL690" s="336">
        <v>7510</v>
      </c>
      <c r="AM690" s="334">
        <v>584.23</v>
      </c>
      <c r="AN690" s="336">
        <v>7510</v>
      </c>
      <c r="AO690" s="334">
        <v>584.90200000000004</v>
      </c>
      <c r="AP690" s="336">
        <v>7500</v>
      </c>
      <c r="AQ690" s="334">
        <v>584.4</v>
      </c>
      <c r="AR690" s="336">
        <v>7510</v>
      </c>
      <c r="AS690" s="334">
        <v>583.88800000000003</v>
      </c>
      <c r="AT690" s="336">
        <v>7510</v>
      </c>
      <c r="AU690" s="334">
        <v>582.27</v>
      </c>
      <c r="AV690" s="336">
        <v>7510</v>
      </c>
      <c r="AW690" s="334">
        <v>582.51</v>
      </c>
      <c r="AX690" s="336">
        <v>7500</v>
      </c>
      <c r="AY690" s="334">
        <v>506.339</v>
      </c>
      <c r="AZ690" s="336">
        <v>7510</v>
      </c>
      <c r="BA690" s="337">
        <v>507.93299999999999</v>
      </c>
      <c r="BB690" s="336">
        <v>7490</v>
      </c>
      <c r="BC690" s="334">
        <v>124.964</v>
      </c>
      <c r="BD690" s="336">
        <v>7490</v>
      </c>
      <c r="BE690" s="334">
        <v>131.84700000000001</v>
      </c>
    </row>
    <row r="691" spans="22:57">
      <c r="V691" s="346">
        <v>7520</v>
      </c>
      <c r="W691" s="333">
        <v>278.47699999999998</v>
      </c>
      <c r="X691" s="346">
        <v>7530</v>
      </c>
      <c r="Y691" s="334">
        <v>276.28800000000001</v>
      </c>
      <c r="Z691" s="335">
        <v>7520</v>
      </c>
      <c r="AA691" s="334">
        <v>650.85599999999999</v>
      </c>
      <c r="AB691" s="336">
        <v>7520</v>
      </c>
      <c r="AC691" s="334">
        <v>650.89200000000005</v>
      </c>
      <c r="AD691" s="336">
        <v>7520</v>
      </c>
      <c r="AE691" s="334">
        <v>582.45000000000005</v>
      </c>
      <c r="AF691" s="336">
        <v>7520</v>
      </c>
      <c r="AG691" s="334">
        <v>581.87</v>
      </c>
      <c r="AH691" s="336">
        <v>7520</v>
      </c>
      <c r="AI691" s="334">
        <v>582.29200000000003</v>
      </c>
      <c r="AJ691" s="336">
        <v>7500</v>
      </c>
      <c r="AK691" s="334">
        <v>583.38099999999997</v>
      </c>
      <c r="AL691" s="336">
        <v>7520</v>
      </c>
      <c r="AM691" s="334">
        <v>583.01700000000005</v>
      </c>
      <c r="AN691" s="336">
        <v>7520</v>
      </c>
      <c r="AO691" s="334">
        <v>583.69000000000005</v>
      </c>
      <c r="AP691" s="336">
        <v>7510</v>
      </c>
      <c r="AQ691" s="334">
        <v>583.19000000000005</v>
      </c>
      <c r="AR691" s="336">
        <v>7520</v>
      </c>
      <c r="AS691" s="334">
        <v>582.67700000000002</v>
      </c>
      <c r="AT691" s="336">
        <v>7520</v>
      </c>
      <c r="AU691" s="334">
        <v>581.05899999999997</v>
      </c>
      <c r="AV691" s="336">
        <v>7520</v>
      </c>
      <c r="AW691" s="334">
        <v>581.29999999999995</v>
      </c>
      <c r="AX691" s="336">
        <v>7510</v>
      </c>
      <c r="AY691" s="334">
        <v>505.12900000000002</v>
      </c>
      <c r="AZ691" s="336">
        <v>7520</v>
      </c>
      <c r="BA691" s="337">
        <v>506.72399999999999</v>
      </c>
      <c r="BB691" s="336">
        <v>7500</v>
      </c>
      <c r="BC691" s="334">
        <v>124.596</v>
      </c>
      <c r="BD691" s="336">
        <v>7500</v>
      </c>
      <c r="BE691" s="334">
        <v>131.464</v>
      </c>
    </row>
    <row r="692" spans="22:57">
      <c r="V692" s="346">
        <v>7530</v>
      </c>
      <c r="W692" s="333">
        <v>277.74</v>
      </c>
      <c r="X692" s="346">
        <v>7540</v>
      </c>
      <c r="Y692" s="334">
        <v>275.55500000000001</v>
      </c>
      <c r="Z692" s="335">
        <v>7530</v>
      </c>
      <c r="AA692" s="334">
        <v>649.38900000000001</v>
      </c>
      <c r="AB692" s="336">
        <v>7530</v>
      </c>
      <c r="AC692" s="334">
        <v>649.42600000000004</v>
      </c>
      <c r="AD692" s="336">
        <v>7530</v>
      </c>
      <c r="AE692" s="334">
        <v>581.23800000000006</v>
      </c>
      <c r="AF692" s="336">
        <v>7530</v>
      </c>
      <c r="AG692" s="334">
        <v>580.65700000000004</v>
      </c>
      <c r="AH692" s="336">
        <v>7530</v>
      </c>
      <c r="AI692" s="334">
        <v>581.08000000000004</v>
      </c>
      <c r="AJ692" s="336">
        <v>7510</v>
      </c>
      <c r="AK692" s="334">
        <v>582.16899999999998</v>
      </c>
      <c r="AL692" s="336">
        <v>7530</v>
      </c>
      <c r="AM692" s="334">
        <v>581.80499999999995</v>
      </c>
      <c r="AN692" s="336">
        <v>7530</v>
      </c>
      <c r="AO692" s="334">
        <v>582.47799999999995</v>
      </c>
      <c r="AP692" s="336">
        <v>7520</v>
      </c>
      <c r="AQ692" s="334">
        <v>581.98</v>
      </c>
      <c r="AR692" s="336">
        <v>7530</v>
      </c>
      <c r="AS692" s="334">
        <v>581.46600000000001</v>
      </c>
      <c r="AT692" s="336">
        <v>7530</v>
      </c>
      <c r="AU692" s="334">
        <v>579.84799999999996</v>
      </c>
      <c r="AV692" s="336">
        <v>7530</v>
      </c>
      <c r="AW692" s="334">
        <v>580.09</v>
      </c>
      <c r="AX692" s="336">
        <v>7520</v>
      </c>
      <c r="AY692" s="334">
        <v>503.92</v>
      </c>
      <c r="AZ692" s="336">
        <v>7530</v>
      </c>
      <c r="BA692" s="337">
        <v>505.51499999999999</v>
      </c>
      <c r="BB692" s="336">
        <v>7510</v>
      </c>
      <c r="BC692" s="334">
        <v>124.22799999999999</v>
      </c>
      <c r="BD692" s="336">
        <v>7510</v>
      </c>
      <c r="BE692" s="334">
        <v>131.08099999999999</v>
      </c>
    </row>
    <row r="693" spans="22:57">
      <c r="V693" s="346">
        <v>7540</v>
      </c>
      <c r="W693" s="333">
        <v>277.00299999999999</v>
      </c>
      <c r="X693" s="346">
        <v>7550</v>
      </c>
      <c r="Y693" s="334">
        <v>274.82299999999998</v>
      </c>
      <c r="Z693" s="335">
        <v>7540</v>
      </c>
      <c r="AA693" s="334">
        <v>647.92200000000003</v>
      </c>
      <c r="AB693" s="336">
        <v>7540</v>
      </c>
      <c r="AC693" s="334">
        <v>647.96</v>
      </c>
      <c r="AD693" s="336">
        <v>7540</v>
      </c>
      <c r="AE693" s="334">
        <v>580.02499999999998</v>
      </c>
      <c r="AF693" s="336">
        <v>7540</v>
      </c>
      <c r="AG693" s="334">
        <v>579.44299999999998</v>
      </c>
      <c r="AH693" s="336">
        <v>7540</v>
      </c>
      <c r="AI693" s="334">
        <v>579.86800000000005</v>
      </c>
      <c r="AJ693" s="336">
        <v>7520</v>
      </c>
      <c r="AK693" s="334">
        <v>580.95699999999999</v>
      </c>
      <c r="AL693" s="336">
        <v>7540</v>
      </c>
      <c r="AM693" s="334">
        <v>580.59299999999996</v>
      </c>
      <c r="AN693" s="336">
        <v>7540</v>
      </c>
      <c r="AO693" s="334">
        <v>581.26599999999996</v>
      </c>
      <c r="AP693" s="336">
        <v>7530</v>
      </c>
      <c r="AQ693" s="334">
        <v>580.77</v>
      </c>
      <c r="AR693" s="336">
        <v>7540</v>
      </c>
      <c r="AS693" s="334">
        <v>580.255</v>
      </c>
      <c r="AT693" s="336">
        <v>7540</v>
      </c>
      <c r="AU693" s="334">
        <v>578.63699999999994</v>
      </c>
      <c r="AV693" s="336">
        <v>7540</v>
      </c>
      <c r="AW693" s="334">
        <v>578.88</v>
      </c>
      <c r="AX693" s="336">
        <v>7530</v>
      </c>
      <c r="AY693" s="334">
        <v>502.71100000000001</v>
      </c>
      <c r="AZ693" s="336">
        <v>7540</v>
      </c>
      <c r="BA693" s="337">
        <v>504.30599999999998</v>
      </c>
      <c r="BB693" s="336">
        <v>7520</v>
      </c>
      <c r="BC693" s="334">
        <v>123.86</v>
      </c>
      <c r="BD693" s="336">
        <v>7520</v>
      </c>
      <c r="BE693" s="334">
        <v>130.69900000000001</v>
      </c>
    </row>
    <row r="694" spans="22:57">
      <c r="V694" s="346">
        <v>7550</v>
      </c>
      <c r="W694" s="333">
        <v>276.267</v>
      </c>
      <c r="X694" s="346">
        <v>7560</v>
      </c>
      <c r="Y694" s="334">
        <v>274.09100000000001</v>
      </c>
      <c r="Z694" s="335">
        <v>7550</v>
      </c>
      <c r="AA694" s="334">
        <v>646.45600000000002</v>
      </c>
      <c r="AB694" s="336">
        <v>7550</v>
      </c>
      <c r="AC694" s="334">
        <v>646.49400000000003</v>
      </c>
      <c r="AD694" s="336">
        <v>7550</v>
      </c>
      <c r="AE694" s="334">
        <v>578.81299999999999</v>
      </c>
      <c r="AF694" s="336">
        <v>7550</v>
      </c>
      <c r="AG694" s="334">
        <v>578.23</v>
      </c>
      <c r="AH694" s="336">
        <v>7550</v>
      </c>
      <c r="AI694" s="334">
        <v>578.65599999999995</v>
      </c>
      <c r="AJ694" s="336">
        <v>7530</v>
      </c>
      <c r="AK694" s="334">
        <v>579.74400000000003</v>
      </c>
      <c r="AL694" s="336">
        <v>7550</v>
      </c>
      <c r="AM694" s="334">
        <v>579.38099999999997</v>
      </c>
      <c r="AN694" s="336">
        <v>7550</v>
      </c>
      <c r="AO694" s="334">
        <v>580.05399999999997</v>
      </c>
      <c r="AP694" s="336">
        <v>7540</v>
      </c>
      <c r="AQ694" s="334">
        <v>579.55999999999995</v>
      </c>
      <c r="AR694" s="336">
        <v>7550</v>
      </c>
      <c r="AS694" s="334">
        <v>579.04399999999998</v>
      </c>
      <c r="AT694" s="336">
        <v>7550</v>
      </c>
      <c r="AU694" s="334">
        <v>577.42600000000004</v>
      </c>
      <c r="AV694" s="336">
        <v>7550</v>
      </c>
      <c r="AW694" s="334">
        <v>577.66999999999996</v>
      </c>
      <c r="AX694" s="336">
        <v>7540</v>
      </c>
      <c r="AY694" s="334">
        <v>501.50200000000001</v>
      </c>
      <c r="AZ694" s="336">
        <v>7550</v>
      </c>
      <c r="BA694" s="337">
        <v>503.09699999999998</v>
      </c>
      <c r="BB694" s="336">
        <v>7530</v>
      </c>
      <c r="BC694" s="334">
        <v>123.49299999999999</v>
      </c>
      <c r="BD694" s="336">
        <v>7530</v>
      </c>
      <c r="BE694" s="334">
        <v>130.31700000000001</v>
      </c>
    </row>
    <row r="695" spans="22:57">
      <c r="V695" s="346">
        <v>7560</v>
      </c>
      <c r="W695" s="333">
        <v>275.53100000000001</v>
      </c>
      <c r="X695" s="346">
        <v>7570</v>
      </c>
      <c r="Y695" s="334">
        <v>273.35899999999998</v>
      </c>
      <c r="Z695" s="335">
        <v>7560</v>
      </c>
      <c r="AA695" s="334">
        <v>644.99</v>
      </c>
      <c r="AB695" s="336">
        <v>7560</v>
      </c>
      <c r="AC695" s="334">
        <v>645.029</v>
      </c>
      <c r="AD695" s="336">
        <v>7560</v>
      </c>
      <c r="AE695" s="334">
        <v>577.601</v>
      </c>
      <c r="AF695" s="336">
        <v>7560</v>
      </c>
      <c r="AG695" s="334">
        <v>577.01599999999996</v>
      </c>
      <c r="AH695" s="336">
        <v>7560</v>
      </c>
      <c r="AI695" s="334">
        <v>577.44399999999996</v>
      </c>
      <c r="AJ695" s="336">
        <v>7540</v>
      </c>
      <c r="AK695" s="334">
        <v>578.53200000000004</v>
      </c>
      <c r="AL695" s="336">
        <v>7560</v>
      </c>
      <c r="AM695" s="334">
        <v>578.16899999999998</v>
      </c>
      <c r="AN695" s="336">
        <v>7560</v>
      </c>
      <c r="AO695" s="334">
        <v>578.84199999999998</v>
      </c>
      <c r="AP695" s="336">
        <v>7550</v>
      </c>
      <c r="AQ695" s="334">
        <v>578.34900000000005</v>
      </c>
      <c r="AR695" s="336">
        <v>7560</v>
      </c>
      <c r="AS695" s="334">
        <v>577.83299999999997</v>
      </c>
      <c r="AT695" s="336">
        <v>7560</v>
      </c>
      <c r="AU695" s="334">
        <v>576.21500000000003</v>
      </c>
      <c r="AV695" s="336">
        <v>7560</v>
      </c>
      <c r="AW695" s="334">
        <v>576.46</v>
      </c>
      <c r="AX695" s="336">
        <v>7550</v>
      </c>
      <c r="AY695" s="334">
        <v>500.29199999999997</v>
      </c>
      <c r="AZ695" s="336">
        <v>7560</v>
      </c>
      <c r="BA695" s="337">
        <v>501.88799999999998</v>
      </c>
      <c r="BB695" s="336">
        <v>7540</v>
      </c>
      <c r="BC695" s="334">
        <v>123.126</v>
      </c>
      <c r="BD695" s="336">
        <v>7540</v>
      </c>
      <c r="BE695" s="334">
        <v>129.93600000000001</v>
      </c>
    </row>
    <row r="696" spans="22:57">
      <c r="V696" s="346">
        <v>7570</v>
      </c>
      <c r="W696" s="333">
        <v>274.79500000000002</v>
      </c>
      <c r="X696" s="346">
        <v>7580</v>
      </c>
      <c r="Y696" s="334">
        <v>272.62799999999999</v>
      </c>
      <c r="Z696" s="335">
        <v>7570</v>
      </c>
      <c r="AA696" s="334">
        <v>643.52300000000002</v>
      </c>
      <c r="AB696" s="336">
        <v>7570</v>
      </c>
      <c r="AC696" s="334">
        <v>643.56299999999999</v>
      </c>
      <c r="AD696" s="336">
        <v>7570</v>
      </c>
      <c r="AE696" s="334">
        <v>576.38900000000001</v>
      </c>
      <c r="AF696" s="336">
        <v>7570</v>
      </c>
      <c r="AG696" s="334">
        <v>575.803</v>
      </c>
      <c r="AH696" s="336">
        <v>7570</v>
      </c>
      <c r="AI696" s="334">
        <v>576.23099999999999</v>
      </c>
      <c r="AJ696" s="336">
        <v>7550</v>
      </c>
      <c r="AK696" s="334">
        <v>577.31899999999996</v>
      </c>
      <c r="AL696" s="336">
        <v>7570</v>
      </c>
      <c r="AM696" s="334">
        <v>576.95600000000002</v>
      </c>
      <c r="AN696" s="336">
        <v>7570</v>
      </c>
      <c r="AO696" s="334">
        <v>577.63</v>
      </c>
      <c r="AP696" s="336">
        <v>7560</v>
      </c>
      <c r="AQ696" s="334">
        <v>577.13900000000001</v>
      </c>
      <c r="AR696" s="336">
        <v>7570</v>
      </c>
      <c r="AS696" s="334">
        <v>576.62199999999996</v>
      </c>
      <c r="AT696" s="336">
        <v>7570</v>
      </c>
      <c r="AU696" s="334">
        <v>575.00400000000002</v>
      </c>
      <c r="AV696" s="336">
        <v>7570</v>
      </c>
      <c r="AW696" s="334">
        <v>575.25</v>
      </c>
      <c r="AX696" s="336">
        <v>7560</v>
      </c>
      <c r="AY696" s="334">
        <v>499.08300000000003</v>
      </c>
      <c r="AZ696" s="336">
        <v>7570</v>
      </c>
      <c r="BA696" s="337">
        <v>500.68</v>
      </c>
      <c r="BB696" s="336">
        <v>7550</v>
      </c>
      <c r="BC696" s="334">
        <v>122.759</v>
      </c>
      <c r="BD696" s="336">
        <v>7550</v>
      </c>
      <c r="BE696" s="334">
        <v>129.554</v>
      </c>
    </row>
    <row r="697" spans="22:57">
      <c r="V697" s="346">
        <v>7580</v>
      </c>
      <c r="W697" s="333">
        <v>274.06</v>
      </c>
      <c r="X697" s="346">
        <v>7590</v>
      </c>
      <c r="Y697" s="334">
        <v>271.89600000000002</v>
      </c>
      <c r="Z697" s="335">
        <v>7580</v>
      </c>
      <c r="AA697" s="334">
        <v>642.05700000000002</v>
      </c>
      <c r="AB697" s="336">
        <v>7580</v>
      </c>
      <c r="AC697" s="334">
        <v>642.09799999999996</v>
      </c>
      <c r="AD697" s="336">
        <v>7580</v>
      </c>
      <c r="AE697" s="334">
        <v>575.17700000000002</v>
      </c>
      <c r="AF697" s="336">
        <v>7580</v>
      </c>
      <c r="AG697" s="334">
        <v>574.58900000000006</v>
      </c>
      <c r="AH697" s="336">
        <v>7580</v>
      </c>
      <c r="AI697" s="334">
        <v>575.01900000000001</v>
      </c>
      <c r="AJ697" s="336">
        <v>7560</v>
      </c>
      <c r="AK697" s="334">
        <v>576.10699999999997</v>
      </c>
      <c r="AL697" s="336">
        <v>7580</v>
      </c>
      <c r="AM697" s="334">
        <v>575.74400000000003</v>
      </c>
      <c r="AN697" s="336">
        <v>7580</v>
      </c>
      <c r="AO697" s="334">
        <v>576.41800000000001</v>
      </c>
      <c r="AP697" s="336">
        <v>7570</v>
      </c>
      <c r="AQ697" s="334">
        <v>575.92899999999997</v>
      </c>
      <c r="AR697" s="336">
        <v>7580</v>
      </c>
      <c r="AS697" s="334">
        <v>575.41099999999994</v>
      </c>
      <c r="AT697" s="336">
        <v>7580</v>
      </c>
      <c r="AU697" s="334">
        <v>573.79300000000001</v>
      </c>
      <c r="AV697" s="336">
        <v>7580</v>
      </c>
      <c r="AW697" s="334">
        <v>574.04</v>
      </c>
      <c r="AX697" s="336">
        <v>7570</v>
      </c>
      <c r="AY697" s="334">
        <v>497.87400000000002</v>
      </c>
      <c r="AZ697" s="336">
        <v>7580</v>
      </c>
      <c r="BA697" s="337">
        <v>499.471</v>
      </c>
      <c r="BB697" s="336">
        <v>7560</v>
      </c>
      <c r="BC697" s="334">
        <v>122.393</v>
      </c>
      <c r="BD697" s="336">
        <v>7560</v>
      </c>
      <c r="BE697" s="334">
        <v>129.173</v>
      </c>
    </row>
    <row r="698" spans="22:57">
      <c r="V698" s="346">
        <v>7590</v>
      </c>
      <c r="W698" s="333">
        <v>273.32499999999999</v>
      </c>
      <c r="X698" s="346">
        <v>7600</v>
      </c>
      <c r="Y698" s="334">
        <v>271.16500000000002</v>
      </c>
      <c r="Z698" s="335">
        <v>7590</v>
      </c>
      <c r="AA698" s="334">
        <v>640.59100000000001</v>
      </c>
      <c r="AB698" s="336">
        <v>7590</v>
      </c>
      <c r="AC698" s="334">
        <v>640.63199999999995</v>
      </c>
      <c r="AD698" s="336">
        <v>7590</v>
      </c>
      <c r="AE698" s="334">
        <v>573.96500000000003</v>
      </c>
      <c r="AF698" s="336">
        <v>7590</v>
      </c>
      <c r="AG698" s="334">
        <v>573.37599999999998</v>
      </c>
      <c r="AH698" s="336">
        <v>7590</v>
      </c>
      <c r="AI698" s="334">
        <v>573.80700000000002</v>
      </c>
      <c r="AJ698" s="336">
        <v>7570</v>
      </c>
      <c r="AK698" s="334">
        <v>574.89400000000001</v>
      </c>
      <c r="AL698" s="336">
        <v>7590</v>
      </c>
      <c r="AM698" s="334">
        <v>574.53200000000004</v>
      </c>
      <c r="AN698" s="336">
        <v>7590</v>
      </c>
      <c r="AO698" s="334">
        <v>575.20600000000002</v>
      </c>
      <c r="AP698" s="336">
        <v>7580</v>
      </c>
      <c r="AQ698" s="334">
        <v>574.71900000000005</v>
      </c>
      <c r="AR698" s="336">
        <v>7590</v>
      </c>
      <c r="AS698" s="334">
        <v>574.20000000000005</v>
      </c>
      <c r="AT698" s="336">
        <v>7590</v>
      </c>
      <c r="AU698" s="334">
        <v>572.58199999999999</v>
      </c>
      <c r="AV698" s="336">
        <v>7590</v>
      </c>
      <c r="AW698" s="334">
        <v>572.83000000000004</v>
      </c>
      <c r="AX698" s="336">
        <v>7580</v>
      </c>
      <c r="AY698" s="334">
        <v>496.66500000000002</v>
      </c>
      <c r="AZ698" s="336">
        <v>7590</v>
      </c>
      <c r="BA698" s="337">
        <v>498.262</v>
      </c>
      <c r="BB698" s="336">
        <v>7570</v>
      </c>
      <c r="BC698" s="334">
        <v>122.027</v>
      </c>
      <c r="BD698" s="336">
        <v>7570</v>
      </c>
      <c r="BE698" s="334">
        <v>128.79300000000001</v>
      </c>
    </row>
    <row r="699" spans="22:57">
      <c r="V699" s="346">
        <v>7600</v>
      </c>
      <c r="W699" s="333">
        <v>272.589</v>
      </c>
      <c r="X699" s="346">
        <v>7610</v>
      </c>
      <c r="Y699" s="334">
        <v>270.43400000000003</v>
      </c>
      <c r="Z699" s="335">
        <v>7600</v>
      </c>
      <c r="AA699" s="334">
        <v>639.125</v>
      </c>
      <c r="AB699" s="336">
        <v>7600</v>
      </c>
      <c r="AC699" s="334">
        <v>639.16700000000003</v>
      </c>
      <c r="AD699" s="336">
        <v>7600</v>
      </c>
      <c r="AE699" s="334">
        <v>572.75300000000004</v>
      </c>
      <c r="AF699" s="336">
        <v>7600</v>
      </c>
      <c r="AG699" s="334">
        <v>572.16200000000003</v>
      </c>
      <c r="AH699" s="336">
        <v>7600</v>
      </c>
      <c r="AI699" s="334">
        <v>572.59500000000003</v>
      </c>
      <c r="AJ699" s="336">
        <v>7580</v>
      </c>
      <c r="AK699" s="334">
        <v>573.68200000000002</v>
      </c>
      <c r="AL699" s="336">
        <v>7600</v>
      </c>
      <c r="AM699" s="334">
        <v>573.32000000000005</v>
      </c>
      <c r="AN699" s="336">
        <v>7600</v>
      </c>
      <c r="AO699" s="334">
        <v>573.99300000000005</v>
      </c>
      <c r="AP699" s="336">
        <v>7590</v>
      </c>
      <c r="AQ699" s="334">
        <v>573.50900000000001</v>
      </c>
      <c r="AR699" s="336">
        <v>7600</v>
      </c>
      <c r="AS699" s="334">
        <v>572.98900000000003</v>
      </c>
      <c r="AT699" s="336">
        <v>7600</v>
      </c>
      <c r="AU699" s="334">
        <v>571.37099999999998</v>
      </c>
      <c r="AV699" s="336">
        <v>7600</v>
      </c>
      <c r="AW699" s="334">
        <v>571.62</v>
      </c>
      <c r="AX699" s="336">
        <v>7590</v>
      </c>
      <c r="AY699" s="334">
        <v>495.45600000000002</v>
      </c>
      <c r="AZ699" s="336">
        <v>7600</v>
      </c>
      <c r="BA699" s="337">
        <v>497.053</v>
      </c>
      <c r="BB699" s="336">
        <v>7580</v>
      </c>
      <c r="BC699" s="334">
        <v>121.661</v>
      </c>
      <c r="BD699" s="336">
        <v>7580</v>
      </c>
      <c r="BE699" s="334">
        <v>128.41300000000001</v>
      </c>
    </row>
    <row r="700" spans="22:57">
      <c r="V700" s="346">
        <v>7610</v>
      </c>
      <c r="W700" s="333">
        <v>271.85500000000002</v>
      </c>
      <c r="X700" s="346">
        <v>7620</v>
      </c>
      <c r="Y700" s="334">
        <v>269.70299999999997</v>
      </c>
      <c r="Z700" s="335">
        <v>7610</v>
      </c>
      <c r="AA700" s="334">
        <v>637.66</v>
      </c>
      <c r="AB700" s="336">
        <v>7610</v>
      </c>
      <c r="AC700" s="334">
        <v>637.702</v>
      </c>
      <c r="AD700" s="336">
        <v>7610</v>
      </c>
      <c r="AE700" s="334">
        <v>571.54100000000005</v>
      </c>
      <c r="AF700" s="336">
        <v>7610</v>
      </c>
      <c r="AG700" s="334">
        <v>570.94899999999996</v>
      </c>
      <c r="AH700" s="336">
        <v>7610</v>
      </c>
      <c r="AI700" s="334">
        <v>571.38300000000004</v>
      </c>
      <c r="AJ700" s="336">
        <v>7590</v>
      </c>
      <c r="AK700" s="334">
        <v>572.47</v>
      </c>
      <c r="AL700" s="336">
        <v>7610</v>
      </c>
      <c r="AM700" s="334">
        <v>572.10799999999995</v>
      </c>
      <c r="AN700" s="336">
        <v>7610</v>
      </c>
      <c r="AO700" s="334">
        <v>572.78099999999995</v>
      </c>
      <c r="AP700" s="336">
        <v>7600</v>
      </c>
      <c r="AQ700" s="334">
        <v>572.29899999999998</v>
      </c>
      <c r="AR700" s="336">
        <v>7610</v>
      </c>
      <c r="AS700" s="334">
        <v>571.77800000000002</v>
      </c>
      <c r="AT700" s="336">
        <v>7610</v>
      </c>
      <c r="AU700" s="334">
        <v>570.16</v>
      </c>
      <c r="AV700" s="336">
        <v>7610</v>
      </c>
      <c r="AW700" s="334">
        <v>570.41</v>
      </c>
      <c r="AX700" s="336">
        <v>7600</v>
      </c>
      <c r="AY700" s="334">
        <v>494.24700000000001</v>
      </c>
      <c r="AZ700" s="336">
        <v>7610</v>
      </c>
      <c r="BA700" s="337">
        <v>495.84500000000003</v>
      </c>
      <c r="BB700" s="336">
        <v>7590</v>
      </c>
      <c r="BC700" s="334">
        <v>121.295</v>
      </c>
      <c r="BD700" s="336">
        <v>7590</v>
      </c>
      <c r="BE700" s="334">
        <v>128.03299999999999</v>
      </c>
    </row>
    <row r="701" spans="22:57">
      <c r="V701" s="346">
        <v>7620</v>
      </c>
      <c r="W701" s="333">
        <v>271.12</v>
      </c>
      <c r="X701" s="346">
        <v>7630</v>
      </c>
      <c r="Y701" s="334">
        <v>268.97300000000001</v>
      </c>
      <c r="Z701" s="335">
        <v>7620</v>
      </c>
      <c r="AA701" s="334">
        <v>636.19399999999996</v>
      </c>
      <c r="AB701" s="336">
        <v>7620</v>
      </c>
      <c r="AC701" s="334">
        <v>636.23699999999997</v>
      </c>
      <c r="AD701" s="336">
        <v>7620</v>
      </c>
      <c r="AE701" s="334">
        <v>570.32899999999995</v>
      </c>
      <c r="AF701" s="336">
        <v>7620</v>
      </c>
      <c r="AG701" s="334">
        <v>569.73500000000001</v>
      </c>
      <c r="AH701" s="336">
        <v>7620</v>
      </c>
      <c r="AI701" s="334">
        <v>570.17100000000005</v>
      </c>
      <c r="AJ701" s="336">
        <v>7600</v>
      </c>
      <c r="AK701" s="334">
        <v>571.25699999999995</v>
      </c>
      <c r="AL701" s="336">
        <v>7620</v>
      </c>
      <c r="AM701" s="334">
        <v>570.89499999999998</v>
      </c>
      <c r="AN701" s="336">
        <v>7620</v>
      </c>
      <c r="AO701" s="334">
        <v>571.56899999999996</v>
      </c>
      <c r="AP701" s="336">
        <v>7610</v>
      </c>
      <c r="AQ701" s="334">
        <v>571.08900000000006</v>
      </c>
      <c r="AR701" s="336">
        <v>7620</v>
      </c>
      <c r="AS701" s="334">
        <v>570.56700000000001</v>
      </c>
      <c r="AT701" s="336">
        <v>7620</v>
      </c>
      <c r="AU701" s="334">
        <v>568.94899999999996</v>
      </c>
      <c r="AV701" s="336">
        <v>7620</v>
      </c>
      <c r="AW701" s="334">
        <v>569.20000000000005</v>
      </c>
      <c r="AX701" s="336">
        <v>7610</v>
      </c>
      <c r="AY701" s="334">
        <v>493.03800000000001</v>
      </c>
      <c r="AZ701" s="336">
        <v>7620</v>
      </c>
      <c r="BA701" s="337">
        <v>494.63600000000002</v>
      </c>
      <c r="BB701" s="336">
        <v>7600</v>
      </c>
      <c r="BC701" s="334">
        <v>120.93</v>
      </c>
      <c r="BD701" s="336">
        <v>7600</v>
      </c>
      <c r="BE701" s="334">
        <v>127.65300000000001</v>
      </c>
    </row>
    <row r="702" spans="22:57">
      <c r="V702" s="346">
        <v>7630</v>
      </c>
      <c r="W702" s="333">
        <v>270.38499999999999</v>
      </c>
      <c r="X702" s="346">
        <v>7640</v>
      </c>
      <c r="Y702" s="334">
        <v>268.24200000000002</v>
      </c>
      <c r="Z702" s="335">
        <v>7630</v>
      </c>
      <c r="AA702" s="334">
        <v>634.72799999999995</v>
      </c>
      <c r="AB702" s="336">
        <v>7630</v>
      </c>
      <c r="AC702" s="334">
        <v>634.77200000000005</v>
      </c>
      <c r="AD702" s="336">
        <v>7630</v>
      </c>
      <c r="AE702" s="334">
        <v>569.11599999999999</v>
      </c>
      <c r="AF702" s="336">
        <v>7630</v>
      </c>
      <c r="AG702" s="334">
        <v>568.52200000000005</v>
      </c>
      <c r="AH702" s="336">
        <v>7630</v>
      </c>
      <c r="AI702" s="334">
        <v>568.95899999999995</v>
      </c>
      <c r="AJ702" s="336">
        <v>7610</v>
      </c>
      <c r="AK702" s="334">
        <v>570.04499999999996</v>
      </c>
      <c r="AL702" s="336">
        <v>7630</v>
      </c>
      <c r="AM702" s="334">
        <v>569.68299999999999</v>
      </c>
      <c r="AN702" s="336">
        <v>7630</v>
      </c>
      <c r="AO702" s="334">
        <v>570.35699999999997</v>
      </c>
      <c r="AP702" s="336">
        <v>7620</v>
      </c>
      <c r="AQ702" s="334">
        <v>569.87900000000002</v>
      </c>
      <c r="AR702" s="336">
        <v>7630</v>
      </c>
      <c r="AS702" s="334">
        <v>569.35599999999999</v>
      </c>
      <c r="AT702" s="336">
        <v>7630</v>
      </c>
      <c r="AU702" s="334">
        <v>567.73800000000006</v>
      </c>
      <c r="AV702" s="336">
        <v>7630</v>
      </c>
      <c r="AW702" s="334">
        <v>567.99</v>
      </c>
      <c r="AX702" s="336">
        <v>7620</v>
      </c>
      <c r="AY702" s="334">
        <v>491.82900000000001</v>
      </c>
      <c r="AZ702" s="336">
        <v>7630</v>
      </c>
      <c r="BA702" s="337">
        <v>493.428</v>
      </c>
      <c r="BB702" s="336">
        <v>7610</v>
      </c>
      <c r="BC702" s="334">
        <v>120.566</v>
      </c>
      <c r="BD702" s="336">
        <v>7610</v>
      </c>
      <c r="BE702" s="334">
        <v>127.274</v>
      </c>
    </row>
    <row r="703" spans="22:57">
      <c r="V703" s="346">
        <v>7640</v>
      </c>
      <c r="W703" s="333">
        <v>269.65100000000001</v>
      </c>
      <c r="X703" s="346">
        <v>7650</v>
      </c>
      <c r="Y703" s="334">
        <v>267.512</v>
      </c>
      <c r="Z703" s="335">
        <v>7640</v>
      </c>
      <c r="AA703" s="334">
        <v>633.26300000000003</v>
      </c>
      <c r="AB703" s="336">
        <v>7640</v>
      </c>
      <c r="AC703" s="334">
        <v>633.30700000000002</v>
      </c>
      <c r="AD703" s="336">
        <v>7640</v>
      </c>
      <c r="AE703" s="334">
        <v>567.904</v>
      </c>
      <c r="AF703" s="336">
        <v>7640</v>
      </c>
      <c r="AG703" s="334">
        <v>567.30799999999999</v>
      </c>
      <c r="AH703" s="336">
        <v>7640</v>
      </c>
      <c r="AI703" s="334">
        <v>567.74599999999998</v>
      </c>
      <c r="AJ703" s="336">
        <v>7620</v>
      </c>
      <c r="AK703" s="334">
        <v>568.83199999999999</v>
      </c>
      <c r="AL703" s="336">
        <v>7640</v>
      </c>
      <c r="AM703" s="334">
        <v>568.471</v>
      </c>
      <c r="AN703" s="336">
        <v>7640</v>
      </c>
      <c r="AO703" s="334">
        <v>569.14499999999998</v>
      </c>
      <c r="AP703" s="336">
        <v>7630</v>
      </c>
      <c r="AQ703" s="334">
        <v>568.66899999999998</v>
      </c>
      <c r="AR703" s="336">
        <v>7640</v>
      </c>
      <c r="AS703" s="334">
        <v>568.14599999999996</v>
      </c>
      <c r="AT703" s="336">
        <v>7640</v>
      </c>
      <c r="AU703" s="334">
        <v>566.52700000000004</v>
      </c>
      <c r="AV703" s="336">
        <v>7640</v>
      </c>
      <c r="AW703" s="334">
        <v>566.78</v>
      </c>
      <c r="AX703" s="336">
        <v>7630</v>
      </c>
      <c r="AY703" s="334">
        <v>490.62</v>
      </c>
      <c r="AZ703" s="336">
        <v>7640</v>
      </c>
      <c r="BA703" s="337">
        <v>492.21899999999999</v>
      </c>
      <c r="BB703" s="336">
        <v>7620</v>
      </c>
      <c r="BC703" s="334">
        <v>120.202</v>
      </c>
      <c r="BD703" s="336">
        <v>7620</v>
      </c>
      <c r="BE703" s="334">
        <v>126.895</v>
      </c>
    </row>
    <row r="704" spans="22:57">
      <c r="V704" s="346">
        <v>7650</v>
      </c>
      <c r="W704" s="333">
        <v>268.91699999999997</v>
      </c>
      <c r="X704" s="346">
        <v>7660</v>
      </c>
      <c r="Y704" s="334">
        <v>266.78199999999998</v>
      </c>
      <c r="Z704" s="335">
        <v>7650</v>
      </c>
      <c r="AA704" s="334">
        <v>631.79700000000003</v>
      </c>
      <c r="AB704" s="336">
        <v>7650</v>
      </c>
      <c r="AC704" s="334">
        <v>631.84199999999998</v>
      </c>
      <c r="AD704" s="336">
        <v>7650</v>
      </c>
      <c r="AE704" s="334">
        <v>566.69200000000001</v>
      </c>
      <c r="AF704" s="336">
        <v>7650</v>
      </c>
      <c r="AG704" s="334">
        <v>566.09500000000003</v>
      </c>
      <c r="AH704" s="336">
        <v>7650</v>
      </c>
      <c r="AI704" s="334">
        <v>566.53399999999999</v>
      </c>
      <c r="AJ704" s="336">
        <v>7630</v>
      </c>
      <c r="AK704" s="334">
        <v>567.62</v>
      </c>
      <c r="AL704" s="336">
        <v>7650</v>
      </c>
      <c r="AM704" s="334">
        <v>567.25900000000001</v>
      </c>
      <c r="AN704" s="336">
        <v>7650</v>
      </c>
      <c r="AO704" s="334">
        <v>567.93299999999999</v>
      </c>
      <c r="AP704" s="336">
        <v>7640</v>
      </c>
      <c r="AQ704" s="334">
        <v>567.45799999999997</v>
      </c>
      <c r="AR704" s="336">
        <v>7650</v>
      </c>
      <c r="AS704" s="334">
        <v>566.93499999999995</v>
      </c>
      <c r="AT704" s="336">
        <v>7650</v>
      </c>
      <c r="AU704" s="334">
        <v>565.31500000000005</v>
      </c>
      <c r="AV704" s="336">
        <v>7650</v>
      </c>
      <c r="AW704" s="334">
        <v>565.57000000000005</v>
      </c>
      <c r="AX704" s="336">
        <v>7640</v>
      </c>
      <c r="AY704" s="334">
        <v>489.41199999999998</v>
      </c>
      <c r="AZ704" s="336">
        <v>7650</v>
      </c>
      <c r="BA704" s="337">
        <v>491.01100000000002</v>
      </c>
      <c r="BB704" s="336">
        <v>7630</v>
      </c>
      <c r="BC704" s="334">
        <v>119.83799999999999</v>
      </c>
      <c r="BD704" s="336">
        <v>7630</v>
      </c>
      <c r="BE704" s="334">
        <v>126.517</v>
      </c>
    </row>
    <row r="705" spans="22:57">
      <c r="V705" s="346">
        <v>7660</v>
      </c>
      <c r="W705" s="333">
        <v>268.18299999999999</v>
      </c>
      <c r="X705" s="346">
        <v>7670</v>
      </c>
      <c r="Y705" s="334">
        <v>266.053</v>
      </c>
      <c r="Z705" s="335">
        <v>7660</v>
      </c>
      <c r="AA705" s="334">
        <v>630.33199999999999</v>
      </c>
      <c r="AB705" s="336">
        <v>7660</v>
      </c>
      <c r="AC705" s="334">
        <v>630.37800000000004</v>
      </c>
      <c r="AD705" s="336">
        <v>7660</v>
      </c>
      <c r="AE705" s="334">
        <v>565.48</v>
      </c>
      <c r="AF705" s="336">
        <v>7660</v>
      </c>
      <c r="AG705" s="334">
        <v>564.88099999999997</v>
      </c>
      <c r="AH705" s="336">
        <v>7660</v>
      </c>
      <c r="AI705" s="334">
        <v>565.322</v>
      </c>
      <c r="AJ705" s="336">
        <v>7640</v>
      </c>
      <c r="AK705" s="334">
        <v>566.40800000000002</v>
      </c>
      <c r="AL705" s="336">
        <v>7660</v>
      </c>
      <c r="AM705" s="334">
        <v>566.04700000000003</v>
      </c>
      <c r="AN705" s="336">
        <v>7660</v>
      </c>
      <c r="AO705" s="334">
        <v>566.721</v>
      </c>
      <c r="AP705" s="336">
        <v>7650</v>
      </c>
      <c r="AQ705" s="334">
        <v>566.24800000000005</v>
      </c>
      <c r="AR705" s="336">
        <v>7660</v>
      </c>
      <c r="AS705" s="334">
        <v>565.72400000000005</v>
      </c>
      <c r="AT705" s="336">
        <v>7660</v>
      </c>
      <c r="AU705" s="334">
        <v>564.10500000000002</v>
      </c>
      <c r="AV705" s="336">
        <v>7660</v>
      </c>
      <c r="AW705" s="334">
        <v>564.36</v>
      </c>
      <c r="AX705" s="336">
        <v>7650</v>
      </c>
      <c r="AY705" s="334">
        <v>488.20299999999997</v>
      </c>
      <c r="AZ705" s="336">
        <v>7660</v>
      </c>
      <c r="BA705" s="337">
        <v>489.80200000000002</v>
      </c>
      <c r="BB705" s="336">
        <v>7640</v>
      </c>
      <c r="BC705" s="334">
        <v>119.474</v>
      </c>
      <c r="BD705" s="336">
        <v>7640</v>
      </c>
      <c r="BE705" s="334">
        <v>126.139</v>
      </c>
    </row>
    <row r="706" spans="22:57">
      <c r="V706" s="346">
        <v>7670</v>
      </c>
      <c r="W706" s="333">
        <v>267.44900000000001</v>
      </c>
      <c r="X706" s="346">
        <v>7680</v>
      </c>
      <c r="Y706" s="334">
        <v>265.32299999999998</v>
      </c>
      <c r="Z706" s="335">
        <v>7670</v>
      </c>
      <c r="AA706" s="334">
        <v>628.86699999999996</v>
      </c>
      <c r="AB706" s="336">
        <v>7670</v>
      </c>
      <c r="AC706" s="334">
        <v>628.91300000000001</v>
      </c>
      <c r="AD706" s="336">
        <v>7670</v>
      </c>
      <c r="AE706" s="334">
        <v>564.26800000000003</v>
      </c>
      <c r="AF706" s="336">
        <v>7670</v>
      </c>
      <c r="AG706" s="334">
        <v>563.66800000000001</v>
      </c>
      <c r="AH706" s="336">
        <v>7670</v>
      </c>
      <c r="AI706" s="334">
        <v>564.11</v>
      </c>
      <c r="AJ706" s="336">
        <v>7650</v>
      </c>
      <c r="AK706" s="334">
        <v>565.19500000000005</v>
      </c>
      <c r="AL706" s="336">
        <v>7670</v>
      </c>
      <c r="AM706" s="334">
        <v>564.83399999999995</v>
      </c>
      <c r="AN706" s="336">
        <v>7670</v>
      </c>
      <c r="AO706" s="334">
        <v>565.50900000000001</v>
      </c>
      <c r="AP706" s="336">
        <v>7660</v>
      </c>
      <c r="AQ706" s="334">
        <v>565.03800000000001</v>
      </c>
      <c r="AR706" s="336">
        <v>7670</v>
      </c>
      <c r="AS706" s="334">
        <v>564.51300000000003</v>
      </c>
      <c r="AT706" s="336">
        <v>7670</v>
      </c>
      <c r="AU706" s="334">
        <v>562.89300000000003</v>
      </c>
      <c r="AV706" s="336">
        <v>7670</v>
      </c>
      <c r="AW706" s="334">
        <v>563.15</v>
      </c>
      <c r="AX706" s="336">
        <v>7660</v>
      </c>
      <c r="AY706" s="334">
        <v>486.99400000000003</v>
      </c>
      <c r="AZ706" s="336">
        <v>7670</v>
      </c>
      <c r="BA706" s="337">
        <v>488.59399999999999</v>
      </c>
      <c r="BB706" s="336">
        <v>7650</v>
      </c>
      <c r="BC706" s="334">
        <v>119.111</v>
      </c>
      <c r="BD706" s="336">
        <v>7650</v>
      </c>
      <c r="BE706" s="334">
        <v>125.762</v>
      </c>
    </row>
    <row r="707" spans="22:57">
      <c r="V707" s="346">
        <v>7680</v>
      </c>
      <c r="W707" s="333">
        <v>266.71600000000001</v>
      </c>
      <c r="X707" s="346">
        <v>7690</v>
      </c>
      <c r="Y707" s="334">
        <v>264.59399999999999</v>
      </c>
      <c r="Z707" s="335">
        <v>7680</v>
      </c>
      <c r="AA707" s="334">
        <v>627.40200000000004</v>
      </c>
      <c r="AB707" s="336">
        <v>7680</v>
      </c>
      <c r="AC707" s="334">
        <v>627.44899999999996</v>
      </c>
      <c r="AD707" s="336">
        <v>7680</v>
      </c>
      <c r="AE707" s="334">
        <v>563.05600000000004</v>
      </c>
      <c r="AF707" s="336">
        <v>7680</v>
      </c>
      <c r="AG707" s="334">
        <v>562.45399999999995</v>
      </c>
      <c r="AH707" s="336">
        <v>7680</v>
      </c>
      <c r="AI707" s="334">
        <v>562.89800000000002</v>
      </c>
      <c r="AJ707" s="336">
        <v>7660</v>
      </c>
      <c r="AK707" s="334">
        <v>563.98299999999995</v>
      </c>
      <c r="AL707" s="336">
        <v>7680</v>
      </c>
      <c r="AM707" s="334">
        <v>563.62199999999996</v>
      </c>
      <c r="AN707" s="336">
        <v>7680</v>
      </c>
      <c r="AO707" s="334">
        <v>564.29700000000003</v>
      </c>
      <c r="AP707" s="336">
        <v>7670</v>
      </c>
      <c r="AQ707" s="334">
        <v>563.82799999999997</v>
      </c>
      <c r="AR707" s="336">
        <v>7680</v>
      </c>
      <c r="AS707" s="334">
        <v>563.30200000000002</v>
      </c>
      <c r="AT707" s="336">
        <v>7680</v>
      </c>
      <c r="AU707" s="334">
        <v>561.68200000000002</v>
      </c>
      <c r="AV707" s="336">
        <v>7680</v>
      </c>
      <c r="AW707" s="334">
        <v>561.94000000000005</v>
      </c>
      <c r="AX707" s="336">
        <v>7670</v>
      </c>
      <c r="AY707" s="334">
        <v>485.78500000000003</v>
      </c>
      <c r="AZ707" s="336">
        <v>7680</v>
      </c>
      <c r="BA707" s="337">
        <v>487.38499999999999</v>
      </c>
      <c r="BB707" s="336">
        <v>7660</v>
      </c>
      <c r="BC707" s="334">
        <v>118.749</v>
      </c>
      <c r="BD707" s="336">
        <v>7660</v>
      </c>
      <c r="BE707" s="334">
        <v>125.384</v>
      </c>
    </row>
    <row r="708" spans="22:57">
      <c r="V708" s="346">
        <v>7690</v>
      </c>
      <c r="W708" s="333">
        <v>265.983</v>
      </c>
      <c r="X708" s="346">
        <v>7700</v>
      </c>
      <c r="Y708" s="334">
        <v>263.86500000000001</v>
      </c>
      <c r="Z708" s="335">
        <v>7690</v>
      </c>
      <c r="AA708" s="334">
        <v>625.93700000000001</v>
      </c>
      <c r="AB708" s="336">
        <v>7690</v>
      </c>
      <c r="AC708" s="334">
        <v>625.98400000000004</v>
      </c>
      <c r="AD708" s="336">
        <v>7690</v>
      </c>
      <c r="AE708" s="334">
        <v>561.84400000000005</v>
      </c>
      <c r="AF708" s="336">
        <v>7690</v>
      </c>
      <c r="AG708" s="334">
        <v>561.24099999999999</v>
      </c>
      <c r="AH708" s="336">
        <v>7690</v>
      </c>
      <c r="AI708" s="334">
        <v>561.68600000000004</v>
      </c>
      <c r="AJ708" s="336">
        <v>7670</v>
      </c>
      <c r="AK708" s="334">
        <v>562.77</v>
      </c>
      <c r="AL708" s="336">
        <v>7690</v>
      </c>
      <c r="AM708" s="334">
        <v>562.41</v>
      </c>
      <c r="AN708" s="336">
        <v>7690</v>
      </c>
      <c r="AO708" s="334">
        <v>563.08500000000004</v>
      </c>
      <c r="AP708" s="336">
        <v>7680</v>
      </c>
      <c r="AQ708" s="334">
        <v>562.61800000000005</v>
      </c>
      <c r="AR708" s="336">
        <v>7690</v>
      </c>
      <c r="AS708" s="334">
        <v>562.09100000000001</v>
      </c>
      <c r="AT708" s="336">
        <v>7690</v>
      </c>
      <c r="AU708" s="334">
        <v>560.471</v>
      </c>
      <c r="AV708" s="336">
        <v>7690</v>
      </c>
      <c r="AW708" s="334">
        <v>560.73</v>
      </c>
      <c r="AX708" s="336">
        <v>7680</v>
      </c>
      <c r="AY708" s="334">
        <v>484.577</v>
      </c>
      <c r="AZ708" s="336">
        <v>7690</v>
      </c>
      <c r="BA708" s="337">
        <v>486.17700000000002</v>
      </c>
      <c r="BB708" s="336">
        <v>7670</v>
      </c>
      <c r="BC708" s="334">
        <v>118.386</v>
      </c>
      <c r="BD708" s="336">
        <v>7670</v>
      </c>
      <c r="BE708" s="334">
        <v>125.008</v>
      </c>
    </row>
    <row r="709" spans="22:57">
      <c r="V709" s="346">
        <v>7700</v>
      </c>
      <c r="W709" s="333">
        <v>265.25</v>
      </c>
      <c r="X709" s="346">
        <v>7710</v>
      </c>
      <c r="Y709" s="334">
        <v>263.13600000000002</v>
      </c>
      <c r="Z709" s="335">
        <v>7700</v>
      </c>
      <c r="AA709" s="334">
        <v>624.47199999999998</v>
      </c>
      <c r="AB709" s="336">
        <v>7700</v>
      </c>
      <c r="AC709" s="334">
        <v>624.52</v>
      </c>
      <c r="AD709" s="336">
        <v>7700</v>
      </c>
      <c r="AE709" s="334">
        <v>560.63199999999995</v>
      </c>
      <c r="AF709" s="336">
        <v>7700</v>
      </c>
      <c r="AG709" s="334">
        <v>560.02700000000004</v>
      </c>
      <c r="AH709" s="336">
        <v>7700</v>
      </c>
      <c r="AI709" s="334">
        <v>560.47400000000005</v>
      </c>
      <c r="AJ709" s="336">
        <v>7680</v>
      </c>
      <c r="AK709" s="334">
        <v>561.55799999999999</v>
      </c>
      <c r="AL709" s="336">
        <v>7700</v>
      </c>
      <c r="AM709" s="334">
        <v>561.19799999999998</v>
      </c>
      <c r="AN709" s="336">
        <v>7700</v>
      </c>
      <c r="AO709" s="334">
        <v>561.87300000000005</v>
      </c>
      <c r="AP709" s="336">
        <v>7690</v>
      </c>
      <c r="AQ709" s="334">
        <v>561.40800000000002</v>
      </c>
      <c r="AR709" s="336">
        <v>7700</v>
      </c>
      <c r="AS709" s="334">
        <v>560.88</v>
      </c>
      <c r="AT709" s="336">
        <v>7700</v>
      </c>
      <c r="AU709" s="371">
        <v>559.26</v>
      </c>
      <c r="AV709" s="336">
        <v>7700</v>
      </c>
      <c r="AW709" s="334">
        <v>559.52</v>
      </c>
      <c r="AX709" s="336">
        <v>7690</v>
      </c>
      <c r="AY709" s="334">
        <v>483.36799999999999</v>
      </c>
      <c r="AZ709" s="336">
        <v>7700</v>
      </c>
      <c r="BA709" s="337">
        <v>484.96899999999999</v>
      </c>
      <c r="BB709" s="336">
        <v>7680</v>
      </c>
      <c r="BC709" s="334">
        <v>118.024</v>
      </c>
      <c r="BD709" s="336">
        <v>7680</v>
      </c>
      <c r="BE709" s="334">
        <v>124.631</v>
      </c>
    </row>
    <row r="710" spans="22:57">
      <c r="V710" s="346">
        <v>7710</v>
      </c>
      <c r="W710" s="333">
        <v>264.517</v>
      </c>
      <c r="X710" s="346">
        <v>7720</v>
      </c>
      <c r="Y710" s="334">
        <v>262.40699999999998</v>
      </c>
      <c r="Z710" s="335">
        <v>7710</v>
      </c>
      <c r="AA710" s="334">
        <v>623.00800000000004</v>
      </c>
      <c r="AB710" s="336">
        <v>7710</v>
      </c>
      <c r="AC710" s="334">
        <v>623.05600000000004</v>
      </c>
      <c r="AD710" s="336">
        <v>7710</v>
      </c>
      <c r="AE710" s="334">
        <v>559.41999999999996</v>
      </c>
      <c r="AF710" s="336">
        <v>7710</v>
      </c>
      <c r="AG710" s="334">
        <v>558.81399999999996</v>
      </c>
      <c r="AH710" s="336">
        <v>7710</v>
      </c>
      <c r="AI710" s="334">
        <v>559.26199999999994</v>
      </c>
      <c r="AJ710" s="336">
        <v>7690</v>
      </c>
      <c r="AK710" s="334">
        <v>560.346</v>
      </c>
      <c r="AL710" s="336">
        <v>7710</v>
      </c>
      <c r="AM710" s="334">
        <v>559.98599999999999</v>
      </c>
      <c r="AN710" s="336">
        <v>7710</v>
      </c>
      <c r="AO710" s="334">
        <v>560.66</v>
      </c>
      <c r="AP710" s="336">
        <v>7700</v>
      </c>
      <c r="AQ710" s="334">
        <v>560.19799999999998</v>
      </c>
      <c r="AR710" s="336">
        <v>7710</v>
      </c>
      <c r="AS710" s="334">
        <v>559.66899999999998</v>
      </c>
      <c r="AT710" s="336">
        <v>7710</v>
      </c>
      <c r="AU710" s="334">
        <v>558.04899999999998</v>
      </c>
      <c r="AV710" s="336">
        <v>7710</v>
      </c>
      <c r="AW710" s="334">
        <v>558.30999999999995</v>
      </c>
      <c r="AX710" s="336">
        <v>7700</v>
      </c>
      <c r="AY710" s="334">
        <v>482.15899999999999</v>
      </c>
      <c r="AZ710" s="336">
        <v>7710</v>
      </c>
      <c r="BA710" s="337">
        <v>483.76100000000002</v>
      </c>
      <c r="BB710" s="336">
        <v>7690</v>
      </c>
      <c r="BC710" s="334">
        <v>117.663</v>
      </c>
      <c r="BD710" s="336">
        <v>7690</v>
      </c>
      <c r="BE710" s="334">
        <v>124.255</v>
      </c>
    </row>
    <row r="711" spans="22:57">
      <c r="V711" s="346">
        <v>7720</v>
      </c>
      <c r="W711" s="333">
        <v>263.78500000000003</v>
      </c>
      <c r="X711" s="346">
        <v>7730</v>
      </c>
      <c r="Y711" s="334">
        <v>261.67899999999997</v>
      </c>
      <c r="Z711" s="335">
        <v>7720</v>
      </c>
      <c r="AA711" s="334">
        <v>621.54300000000001</v>
      </c>
      <c r="AB711" s="336">
        <v>7720</v>
      </c>
      <c r="AC711" s="334">
        <v>621.59199999999998</v>
      </c>
      <c r="AD711" s="336">
        <v>7720</v>
      </c>
      <c r="AE711" s="334">
        <v>558.20799999999997</v>
      </c>
      <c r="AF711" s="336">
        <v>7720</v>
      </c>
      <c r="AG711" s="334">
        <v>557.6</v>
      </c>
      <c r="AH711" s="336">
        <v>7720</v>
      </c>
      <c r="AI711" s="334">
        <v>558.04899999999998</v>
      </c>
      <c r="AJ711" s="336">
        <v>7700</v>
      </c>
      <c r="AK711" s="334">
        <v>559.13300000000004</v>
      </c>
      <c r="AL711" s="336">
        <v>7720</v>
      </c>
      <c r="AM711" s="334">
        <v>558.774</v>
      </c>
      <c r="AN711" s="336">
        <v>7720</v>
      </c>
      <c r="AO711" s="334">
        <v>559.44799999999998</v>
      </c>
      <c r="AP711" s="336">
        <v>7710</v>
      </c>
      <c r="AQ711" s="334">
        <v>558.98800000000006</v>
      </c>
      <c r="AR711" s="336">
        <v>7720</v>
      </c>
      <c r="AS711" s="334">
        <v>558.45799999999997</v>
      </c>
      <c r="AT711" s="336">
        <v>7720</v>
      </c>
      <c r="AU711" s="334">
        <v>556.83799999999997</v>
      </c>
      <c r="AV711" s="336">
        <v>7720</v>
      </c>
      <c r="AW711" s="334">
        <v>557.1</v>
      </c>
      <c r="AX711" s="336">
        <v>7710</v>
      </c>
      <c r="AY711" s="334">
        <v>480.95100000000002</v>
      </c>
      <c r="AZ711" s="336">
        <v>7720</v>
      </c>
      <c r="BA711" s="337">
        <v>482.55200000000002</v>
      </c>
      <c r="BB711" s="336">
        <v>7700</v>
      </c>
      <c r="BC711" s="334">
        <v>117.30200000000001</v>
      </c>
      <c r="BD711" s="336">
        <v>7700</v>
      </c>
      <c r="BE711" s="334">
        <v>123.88</v>
      </c>
    </row>
    <row r="712" spans="22:57">
      <c r="V712" s="346">
        <v>7730</v>
      </c>
      <c r="W712" s="333">
        <v>263.05200000000002</v>
      </c>
      <c r="X712" s="346">
        <v>7740</v>
      </c>
      <c r="Y712" s="334">
        <v>260.95</v>
      </c>
      <c r="Z712" s="335">
        <v>7730</v>
      </c>
      <c r="AA712" s="334">
        <v>620.07899999999995</v>
      </c>
      <c r="AB712" s="336">
        <v>7730</v>
      </c>
      <c r="AC712" s="334">
        <v>620.12800000000004</v>
      </c>
      <c r="AD712" s="336">
        <v>7730</v>
      </c>
      <c r="AE712" s="334">
        <v>556.99599999999998</v>
      </c>
      <c r="AF712" s="336">
        <v>7730</v>
      </c>
      <c r="AG712" s="334">
        <v>556.38699999999994</v>
      </c>
      <c r="AH712" s="336">
        <v>7730</v>
      </c>
      <c r="AI712" s="334">
        <v>556.83699999999999</v>
      </c>
      <c r="AJ712" s="336">
        <v>7710</v>
      </c>
      <c r="AK712" s="334">
        <v>557.92100000000005</v>
      </c>
      <c r="AL712" s="336">
        <v>7730</v>
      </c>
      <c r="AM712" s="334">
        <v>557.56100000000004</v>
      </c>
      <c r="AN712" s="336">
        <v>7730</v>
      </c>
      <c r="AO712" s="334">
        <v>558.23599999999999</v>
      </c>
      <c r="AP712" s="336">
        <v>7720</v>
      </c>
      <c r="AQ712" s="334">
        <v>557.77700000000004</v>
      </c>
      <c r="AR712" s="336">
        <v>7730</v>
      </c>
      <c r="AS712" s="334">
        <v>557.24699999999996</v>
      </c>
      <c r="AT712" s="336">
        <v>7730</v>
      </c>
      <c r="AU712" s="334">
        <v>555.62699999999995</v>
      </c>
      <c r="AV712" s="336">
        <v>7730</v>
      </c>
      <c r="AW712" s="334">
        <v>555.89</v>
      </c>
      <c r="AX712" s="336">
        <v>7720</v>
      </c>
      <c r="AY712" s="334">
        <v>479.74200000000002</v>
      </c>
      <c r="AZ712" s="336">
        <v>7730</v>
      </c>
      <c r="BA712" s="337">
        <v>481.34399999999999</v>
      </c>
      <c r="BB712" s="336">
        <v>7710</v>
      </c>
      <c r="BC712" s="334">
        <v>116.941</v>
      </c>
      <c r="BD712" s="336">
        <v>7710</v>
      </c>
      <c r="BE712" s="334">
        <v>123.505</v>
      </c>
    </row>
    <row r="713" spans="22:57">
      <c r="V713" s="346">
        <v>7740</v>
      </c>
      <c r="W713" s="333">
        <v>262.32</v>
      </c>
      <c r="X713" s="346">
        <v>7750</v>
      </c>
      <c r="Y713" s="334">
        <v>260.22199999999998</v>
      </c>
      <c r="Z713" s="335">
        <v>7740</v>
      </c>
      <c r="AA713" s="334">
        <v>618.61400000000003</v>
      </c>
      <c r="AB713" s="336">
        <v>7740</v>
      </c>
      <c r="AC713" s="334">
        <v>618.66399999999999</v>
      </c>
      <c r="AD713" s="336">
        <v>7740</v>
      </c>
      <c r="AE713" s="334">
        <v>555.78300000000002</v>
      </c>
      <c r="AF713" s="336">
        <v>7740</v>
      </c>
      <c r="AG713" s="334">
        <v>555.173</v>
      </c>
      <c r="AH713" s="336">
        <v>7740</v>
      </c>
      <c r="AI713" s="334">
        <v>555.625</v>
      </c>
      <c r="AJ713" s="336">
        <v>7720</v>
      </c>
      <c r="AK713" s="334">
        <v>556.70899999999995</v>
      </c>
      <c r="AL713" s="336">
        <v>7740</v>
      </c>
      <c r="AM713" s="334">
        <v>556.34900000000005</v>
      </c>
      <c r="AN713" s="336">
        <v>7740</v>
      </c>
      <c r="AO713" s="334">
        <v>557.024</v>
      </c>
      <c r="AP713" s="336">
        <v>7730</v>
      </c>
      <c r="AQ713" s="334">
        <v>556.56700000000001</v>
      </c>
      <c r="AR713" s="336">
        <v>7740</v>
      </c>
      <c r="AS713" s="334">
        <v>556.03599999999994</v>
      </c>
      <c r="AT713" s="336">
        <v>7740</v>
      </c>
      <c r="AU713" s="334">
        <v>554.41600000000005</v>
      </c>
      <c r="AV713" s="336">
        <v>7740</v>
      </c>
      <c r="AW713" s="334">
        <v>554.67999999999995</v>
      </c>
      <c r="AX713" s="336">
        <v>7730</v>
      </c>
      <c r="AY713" s="334">
        <v>478.53399999999999</v>
      </c>
      <c r="AZ713" s="336">
        <v>7740</v>
      </c>
      <c r="BA713" s="337">
        <v>480.13600000000002</v>
      </c>
      <c r="BB713" s="336">
        <v>7720</v>
      </c>
      <c r="BC713" s="334">
        <v>116.581</v>
      </c>
      <c r="BD713" s="336">
        <v>7720</v>
      </c>
      <c r="BE713" s="334">
        <v>123.13</v>
      </c>
    </row>
    <row r="714" spans="22:57">
      <c r="V714" s="346">
        <v>7750</v>
      </c>
      <c r="W714" s="333">
        <v>261.58800000000002</v>
      </c>
      <c r="X714" s="346">
        <v>7760</v>
      </c>
      <c r="Y714" s="334">
        <v>259.49400000000003</v>
      </c>
      <c r="Z714" s="335">
        <v>7750</v>
      </c>
      <c r="AA714" s="334">
        <v>617.15</v>
      </c>
      <c r="AB714" s="336">
        <v>7750</v>
      </c>
      <c r="AC714" s="334">
        <v>617.20000000000005</v>
      </c>
      <c r="AD714" s="336">
        <v>7750</v>
      </c>
      <c r="AE714" s="334">
        <v>554.57100000000003</v>
      </c>
      <c r="AF714" s="336">
        <v>7750</v>
      </c>
      <c r="AG714" s="334">
        <v>553.96</v>
      </c>
      <c r="AH714" s="336">
        <v>7750</v>
      </c>
      <c r="AI714" s="334">
        <v>554.41300000000001</v>
      </c>
      <c r="AJ714" s="336">
        <v>7730</v>
      </c>
      <c r="AK714" s="334">
        <v>555.49599999999998</v>
      </c>
      <c r="AL714" s="336">
        <v>7750</v>
      </c>
      <c r="AM714" s="334">
        <v>555.13699999999994</v>
      </c>
      <c r="AN714" s="336">
        <v>7750</v>
      </c>
      <c r="AO714" s="334">
        <v>555.81200000000001</v>
      </c>
      <c r="AP714" s="336">
        <v>7740</v>
      </c>
      <c r="AQ714" s="334">
        <v>555.35699999999997</v>
      </c>
      <c r="AR714" s="336">
        <v>7750</v>
      </c>
      <c r="AS714" s="334">
        <v>554.82500000000005</v>
      </c>
      <c r="AT714" s="336">
        <v>7750</v>
      </c>
      <c r="AU714" s="334">
        <v>553.20500000000004</v>
      </c>
      <c r="AV714" s="336">
        <v>7750</v>
      </c>
      <c r="AW714" s="334">
        <v>553.47</v>
      </c>
      <c r="AX714" s="336">
        <v>7740</v>
      </c>
      <c r="AY714" s="334">
        <v>477.32499999999999</v>
      </c>
      <c r="AZ714" s="336">
        <v>7750</v>
      </c>
      <c r="BA714" s="337">
        <v>478.928</v>
      </c>
      <c r="BB714" s="336">
        <v>7730</v>
      </c>
      <c r="BC714" s="334">
        <v>116.221</v>
      </c>
      <c r="BD714" s="336">
        <v>7730</v>
      </c>
      <c r="BE714" s="334">
        <v>122.756</v>
      </c>
    </row>
    <row r="715" spans="22:57">
      <c r="V715" s="346">
        <v>7760</v>
      </c>
      <c r="W715" s="333">
        <v>260.85599999999999</v>
      </c>
      <c r="X715" s="346">
        <v>7770</v>
      </c>
      <c r="Y715" s="334">
        <v>258.767</v>
      </c>
      <c r="Z715" s="335">
        <v>7760</v>
      </c>
      <c r="AA715" s="334">
        <v>615.68600000000004</v>
      </c>
      <c r="AB715" s="336">
        <v>7760</v>
      </c>
      <c r="AC715" s="334">
        <v>615.73699999999997</v>
      </c>
      <c r="AD715" s="336">
        <v>7760</v>
      </c>
      <c r="AE715" s="334">
        <v>553.35900000000004</v>
      </c>
      <c r="AF715" s="336">
        <v>7760</v>
      </c>
      <c r="AG715" s="334">
        <v>552.74599999999998</v>
      </c>
      <c r="AH715" s="336">
        <v>7760</v>
      </c>
      <c r="AI715" s="334">
        <v>553.20100000000002</v>
      </c>
      <c r="AJ715" s="336">
        <v>7740</v>
      </c>
      <c r="AK715" s="334">
        <v>554.28399999999999</v>
      </c>
      <c r="AL715" s="336">
        <v>7760</v>
      </c>
      <c r="AM715" s="334">
        <v>553.92499999999995</v>
      </c>
      <c r="AN715" s="336">
        <v>7760</v>
      </c>
      <c r="AO715" s="334">
        <v>554.6</v>
      </c>
      <c r="AP715" s="336">
        <v>7750</v>
      </c>
      <c r="AQ715" s="334">
        <v>554.14700000000005</v>
      </c>
      <c r="AR715" s="336">
        <v>7760</v>
      </c>
      <c r="AS715" s="334">
        <v>553.61400000000003</v>
      </c>
      <c r="AT715" s="336">
        <v>7760</v>
      </c>
      <c r="AU715" s="334">
        <v>551.99400000000003</v>
      </c>
      <c r="AV715" s="336">
        <v>7760</v>
      </c>
      <c r="AW715" s="334">
        <v>552.26</v>
      </c>
      <c r="AX715" s="336">
        <v>7750</v>
      </c>
      <c r="AY715" s="334">
        <v>476.11700000000002</v>
      </c>
      <c r="AZ715" s="336">
        <v>7760</v>
      </c>
      <c r="BA715" s="337">
        <v>477.72</v>
      </c>
      <c r="BB715" s="336">
        <v>7740</v>
      </c>
      <c r="BC715" s="334">
        <v>115.86199999999999</v>
      </c>
      <c r="BD715" s="336">
        <v>7740</v>
      </c>
      <c r="BE715" s="334">
        <v>122.38200000000001</v>
      </c>
    </row>
    <row r="716" spans="22:57">
      <c r="V716" s="346">
        <v>7770</v>
      </c>
      <c r="W716" s="333">
        <v>260.125</v>
      </c>
      <c r="X716" s="346">
        <v>7780</v>
      </c>
      <c r="Y716" s="334">
        <v>258.03899999999999</v>
      </c>
      <c r="Z716" s="335">
        <v>7770</v>
      </c>
      <c r="AA716" s="334">
        <v>614.22199999999998</v>
      </c>
      <c r="AB716" s="336">
        <v>7770</v>
      </c>
      <c r="AC716" s="334">
        <v>614.27300000000002</v>
      </c>
      <c r="AD716" s="336">
        <v>7770</v>
      </c>
      <c r="AE716" s="334">
        <v>552.14700000000005</v>
      </c>
      <c r="AF716" s="336">
        <v>7770</v>
      </c>
      <c r="AG716" s="334">
        <v>551.53300000000002</v>
      </c>
      <c r="AH716" s="336">
        <v>7770</v>
      </c>
      <c r="AI716" s="334">
        <v>551.98900000000003</v>
      </c>
      <c r="AJ716" s="336">
        <v>7750</v>
      </c>
      <c r="AK716" s="334">
        <v>553.07100000000003</v>
      </c>
      <c r="AL716" s="336">
        <v>7770</v>
      </c>
      <c r="AM716" s="334">
        <v>552.71299999999997</v>
      </c>
      <c r="AN716" s="336">
        <v>7770</v>
      </c>
      <c r="AO716" s="334">
        <v>553.38800000000003</v>
      </c>
      <c r="AP716" s="336">
        <v>7760</v>
      </c>
      <c r="AQ716" s="334">
        <v>552.93700000000001</v>
      </c>
      <c r="AR716" s="336">
        <v>7770</v>
      </c>
      <c r="AS716" s="334">
        <v>552.40300000000002</v>
      </c>
      <c r="AT716" s="336">
        <v>7770</v>
      </c>
      <c r="AU716" s="334">
        <v>550.78300000000002</v>
      </c>
      <c r="AV716" s="336">
        <v>7770</v>
      </c>
      <c r="AW716" s="334">
        <v>551.04999999999995</v>
      </c>
      <c r="AX716" s="336">
        <v>7760</v>
      </c>
      <c r="AY716" s="334">
        <v>474.90899999999999</v>
      </c>
      <c r="AZ716" s="336">
        <v>7770</v>
      </c>
      <c r="BA716" s="337">
        <v>476.512</v>
      </c>
      <c r="BB716" s="336">
        <v>7750</v>
      </c>
      <c r="BC716" s="334">
        <v>115.503</v>
      </c>
      <c r="BD716" s="336">
        <v>7750</v>
      </c>
      <c r="BE716" s="334">
        <v>122.008</v>
      </c>
    </row>
    <row r="717" spans="22:57">
      <c r="V717" s="346">
        <v>7780</v>
      </c>
      <c r="W717" s="333">
        <v>259.39400000000001</v>
      </c>
      <c r="X717" s="346">
        <v>7790</v>
      </c>
      <c r="Y717" s="334">
        <v>257.31200000000001</v>
      </c>
      <c r="Z717" s="335">
        <v>7780</v>
      </c>
      <c r="AA717" s="334">
        <v>612.75800000000004</v>
      </c>
      <c r="AB717" s="336">
        <v>7780</v>
      </c>
      <c r="AC717" s="334">
        <v>612.80999999999995</v>
      </c>
      <c r="AD717" s="336">
        <v>7780</v>
      </c>
      <c r="AE717" s="334">
        <v>550.93499999999995</v>
      </c>
      <c r="AF717" s="336">
        <v>7780</v>
      </c>
      <c r="AG717" s="334">
        <v>550.32000000000005</v>
      </c>
      <c r="AH717" s="336">
        <v>7780</v>
      </c>
      <c r="AI717" s="334">
        <v>550.77700000000004</v>
      </c>
      <c r="AJ717" s="336">
        <v>7760</v>
      </c>
      <c r="AK717" s="334">
        <v>551.85900000000004</v>
      </c>
      <c r="AL717" s="336">
        <v>7780</v>
      </c>
      <c r="AM717" s="334">
        <v>551.50099999999998</v>
      </c>
      <c r="AN717" s="336">
        <v>7780</v>
      </c>
      <c r="AO717" s="334">
        <v>552.17600000000004</v>
      </c>
      <c r="AP717" s="336">
        <v>7770</v>
      </c>
      <c r="AQ717" s="334">
        <v>551.72699999999998</v>
      </c>
      <c r="AR717" s="336">
        <v>7780</v>
      </c>
      <c r="AS717" s="334">
        <v>551.19200000000001</v>
      </c>
      <c r="AT717" s="336">
        <v>7780</v>
      </c>
      <c r="AU717" s="334">
        <v>549.572</v>
      </c>
      <c r="AV717" s="336">
        <v>7780</v>
      </c>
      <c r="AW717" s="334">
        <v>549.84</v>
      </c>
      <c r="AX717" s="336">
        <v>7770</v>
      </c>
      <c r="AY717" s="334">
        <v>473.7</v>
      </c>
      <c r="AZ717" s="336">
        <v>7780</v>
      </c>
      <c r="BA717" s="337">
        <v>475.30399999999997</v>
      </c>
      <c r="BB717" s="336">
        <v>7760</v>
      </c>
      <c r="BC717" s="334">
        <v>115.14400000000001</v>
      </c>
      <c r="BD717" s="336">
        <v>7760</v>
      </c>
      <c r="BE717" s="334">
        <v>121.63500000000001</v>
      </c>
    </row>
    <row r="718" spans="22:57">
      <c r="V718" s="346">
        <v>7790</v>
      </c>
      <c r="W718" s="333">
        <v>258.66300000000001</v>
      </c>
      <c r="X718" s="346">
        <v>7800</v>
      </c>
      <c r="Y718" s="334">
        <v>256.58499999999998</v>
      </c>
      <c r="Z718" s="335">
        <v>7790</v>
      </c>
      <c r="AA718" s="334">
        <v>611.29399999999998</v>
      </c>
      <c r="AB718" s="336">
        <v>7790</v>
      </c>
      <c r="AC718" s="334">
        <v>611.346</v>
      </c>
      <c r="AD718" s="336">
        <v>7790</v>
      </c>
      <c r="AE718" s="334">
        <v>549.72299999999996</v>
      </c>
      <c r="AF718" s="336">
        <v>7790</v>
      </c>
      <c r="AG718" s="334">
        <v>549.10599999999999</v>
      </c>
      <c r="AH718" s="336">
        <v>7790</v>
      </c>
      <c r="AI718" s="334">
        <v>549.56500000000005</v>
      </c>
      <c r="AJ718" s="336">
        <v>7770</v>
      </c>
      <c r="AK718" s="334">
        <v>550.64700000000005</v>
      </c>
      <c r="AL718" s="336">
        <v>7790</v>
      </c>
      <c r="AM718" s="334">
        <v>550.28899999999999</v>
      </c>
      <c r="AN718" s="336">
        <v>7790</v>
      </c>
      <c r="AO718" s="334">
        <v>550.96400000000006</v>
      </c>
      <c r="AP718" s="336">
        <v>7780</v>
      </c>
      <c r="AQ718" s="334">
        <v>550.51700000000005</v>
      </c>
      <c r="AR718" s="336">
        <v>7790</v>
      </c>
      <c r="AS718" s="334">
        <v>549.98099999999999</v>
      </c>
      <c r="AT718" s="336">
        <v>7790</v>
      </c>
      <c r="AU718" s="334">
        <v>548.36099999999999</v>
      </c>
      <c r="AV718" s="336">
        <v>7790</v>
      </c>
      <c r="AW718" s="334">
        <v>548.63</v>
      </c>
      <c r="AX718" s="336">
        <v>7780</v>
      </c>
      <c r="AY718" s="334">
        <v>472.49200000000002</v>
      </c>
      <c r="AZ718" s="336">
        <v>7790</v>
      </c>
      <c r="BA718" s="337">
        <v>474.096</v>
      </c>
      <c r="BB718" s="336">
        <v>7770</v>
      </c>
      <c r="BC718" s="334">
        <v>114.786</v>
      </c>
      <c r="BD718" s="336">
        <v>7770</v>
      </c>
      <c r="BE718" s="334">
        <v>121.26300000000001</v>
      </c>
    </row>
    <row r="719" spans="22:57">
      <c r="V719" s="346">
        <v>7800</v>
      </c>
      <c r="W719" s="333">
        <v>257.93200000000002</v>
      </c>
      <c r="X719" s="346">
        <v>7810</v>
      </c>
      <c r="Y719" s="334">
        <v>255.858</v>
      </c>
      <c r="Z719" s="335">
        <v>7800</v>
      </c>
      <c r="AA719" s="334">
        <v>609.83000000000004</v>
      </c>
      <c r="AB719" s="336">
        <v>7800</v>
      </c>
      <c r="AC719" s="334">
        <v>609.88300000000004</v>
      </c>
      <c r="AD719" s="336">
        <v>7800</v>
      </c>
      <c r="AE719" s="334">
        <v>548.51099999999997</v>
      </c>
      <c r="AF719" s="336">
        <v>7800</v>
      </c>
      <c r="AG719" s="334">
        <v>547.89300000000003</v>
      </c>
      <c r="AH719" s="336">
        <v>7800</v>
      </c>
      <c r="AI719" s="334">
        <v>548.35299999999995</v>
      </c>
      <c r="AJ719" s="336">
        <v>7780</v>
      </c>
      <c r="AK719" s="334">
        <v>549.43399999999997</v>
      </c>
      <c r="AL719" s="336">
        <v>7800</v>
      </c>
      <c r="AM719" s="334">
        <v>549.07600000000002</v>
      </c>
      <c r="AN719" s="336">
        <v>7800</v>
      </c>
      <c r="AO719" s="334">
        <v>549.75099999999998</v>
      </c>
      <c r="AP719" s="336">
        <v>7790</v>
      </c>
      <c r="AQ719" s="334">
        <v>549.30600000000004</v>
      </c>
      <c r="AR719" s="336">
        <v>7800</v>
      </c>
      <c r="AS719" s="334">
        <v>548.77</v>
      </c>
      <c r="AT719" s="336">
        <v>7800</v>
      </c>
      <c r="AU719" s="334">
        <v>547.15</v>
      </c>
      <c r="AV719" s="336">
        <v>7800</v>
      </c>
      <c r="AW719" s="334">
        <v>547.41999999999996</v>
      </c>
      <c r="AX719" s="336">
        <v>7790</v>
      </c>
      <c r="AY719" s="334">
        <v>471.28399999999999</v>
      </c>
      <c r="AZ719" s="336">
        <v>7800</v>
      </c>
      <c r="BA719" s="337">
        <v>472.88799999999998</v>
      </c>
      <c r="BB719" s="336">
        <v>7780</v>
      </c>
      <c r="BC719" s="334">
        <v>114.429</v>
      </c>
      <c r="BD719" s="336">
        <v>7780</v>
      </c>
      <c r="BE719" s="334">
        <v>120.89100000000001</v>
      </c>
    </row>
    <row r="720" spans="22:57">
      <c r="V720" s="346">
        <v>7810</v>
      </c>
      <c r="W720" s="333">
        <v>257.20100000000002</v>
      </c>
      <c r="X720" s="346">
        <v>7820</v>
      </c>
      <c r="Y720" s="334">
        <v>255.13200000000001</v>
      </c>
      <c r="Z720" s="335">
        <v>7810</v>
      </c>
      <c r="AA720" s="334">
        <v>608.36699999999996</v>
      </c>
      <c r="AB720" s="336">
        <v>7810</v>
      </c>
      <c r="AC720" s="334">
        <v>608.41999999999996</v>
      </c>
      <c r="AD720" s="336">
        <v>7810</v>
      </c>
      <c r="AE720" s="334">
        <v>547.29899999999998</v>
      </c>
      <c r="AF720" s="336">
        <v>7810</v>
      </c>
      <c r="AG720" s="334">
        <v>546.67899999999997</v>
      </c>
      <c r="AH720" s="336">
        <v>7810</v>
      </c>
      <c r="AI720" s="334">
        <v>547.14</v>
      </c>
      <c r="AJ720" s="336">
        <v>7790</v>
      </c>
      <c r="AK720" s="334">
        <v>548.22199999999998</v>
      </c>
      <c r="AL720" s="336">
        <v>7810</v>
      </c>
      <c r="AM720" s="334">
        <v>547.86400000000003</v>
      </c>
      <c r="AN720" s="336">
        <v>7810</v>
      </c>
      <c r="AO720" s="334">
        <v>548.53899999999999</v>
      </c>
      <c r="AP720" s="336">
        <v>7800</v>
      </c>
      <c r="AQ720" s="334">
        <v>548.096</v>
      </c>
      <c r="AR720" s="336">
        <v>7810</v>
      </c>
      <c r="AS720" s="334">
        <v>547.55899999999997</v>
      </c>
      <c r="AT720" s="336">
        <v>7810</v>
      </c>
      <c r="AU720" s="334">
        <v>545.93899999999996</v>
      </c>
      <c r="AV720" s="336">
        <v>7810</v>
      </c>
      <c r="AW720" s="334">
        <v>546.21</v>
      </c>
      <c r="AX720" s="336">
        <v>7800</v>
      </c>
      <c r="AY720" s="334">
        <v>470.07600000000002</v>
      </c>
      <c r="AZ720" s="336">
        <v>7810</v>
      </c>
      <c r="BA720" s="337">
        <v>471.68</v>
      </c>
      <c r="BB720" s="336">
        <v>7790</v>
      </c>
      <c r="BC720" s="334">
        <v>114.072</v>
      </c>
      <c r="BD720" s="336">
        <v>7790</v>
      </c>
      <c r="BE720" s="334">
        <v>120.51900000000001</v>
      </c>
    </row>
    <row r="721" spans="22:57">
      <c r="V721" s="346">
        <v>7820</v>
      </c>
      <c r="W721" s="333">
        <v>256.471</v>
      </c>
      <c r="X721" s="346">
        <v>7830</v>
      </c>
      <c r="Y721" s="334">
        <v>254.405</v>
      </c>
      <c r="Z721" s="335">
        <v>7820</v>
      </c>
      <c r="AA721" s="334">
        <v>606.90300000000002</v>
      </c>
      <c r="AB721" s="336">
        <v>7820</v>
      </c>
      <c r="AC721" s="334">
        <v>606.95699999999999</v>
      </c>
      <c r="AD721" s="336">
        <v>7820</v>
      </c>
      <c r="AE721" s="334">
        <v>546.08699999999999</v>
      </c>
      <c r="AF721" s="336">
        <v>7820</v>
      </c>
      <c r="AG721" s="334">
        <v>545.46600000000001</v>
      </c>
      <c r="AH721" s="336">
        <v>7820</v>
      </c>
      <c r="AI721" s="334">
        <v>545.928</v>
      </c>
      <c r="AJ721" s="336">
        <v>7800</v>
      </c>
      <c r="AK721" s="334">
        <v>547.01</v>
      </c>
      <c r="AL721" s="336">
        <v>7820</v>
      </c>
      <c r="AM721" s="334">
        <v>546.65200000000004</v>
      </c>
      <c r="AN721" s="336">
        <v>7820</v>
      </c>
      <c r="AO721" s="334">
        <v>547.327</v>
      </c>
      <c r="AP721" s="336">
        <v>7810</v>
      </c>
      <c r="AQ721" s="334">
        <v>546.88599999999997</v>
      </c>
      <c r="AR721" s="336">
        <v>7820</v>
      </c>
      <c r="AS721" s="334">
        <v>546.34799999999996</v>
      </c>
      <c r="AT721" s="336">
        <v>7820</v>
      </c>
      <c r="AU721" s="334">
        <v>544.72799999999995</v>
      </c>
      <c r="AV721" s="336">
        <v>7820</v>
      </c>
      <c r="AW721" s="334">
        <v>545</v>
      </c>
      <c r="AX721" s="336">
        <v>7810</v>
      </c>
      <c r="AY721" s="334">
        <v>468.86799999999999</v>
      </c>
      <c r="AZ721" s="336">
        <v>7820</v>
      </c>
      <c r="BA721" s="337">
        <v>470.47199999999998</v>
      </c>
      <c r="BB721" s="336">
        <v>7800</v>
      </c>
      <c r="BC721" s="334">
        <v>113.715</v>
      </c>
      <c r="BD721" s="336">
        <v>7800</v>
      </c>
      <c r="BE721" s="334">
        <v>120.148</v>
      </c>
    </row>
    <row r="722" spans="22:57">
      <c r="V722" s="346">
        <v>7830</v>
      </c>
      <c r="W722" s="333">
        <v>255.74100000000001</v>
      </c>
      <c r="X722" s="346">
        <v>7840</v>
      </c>
      <c r="Y722" s="334">
        <v>253.679</v>
      </c>
      <c r="Z722" s="335">
        <v>7830</v>
      </c>
      <c r="AA722" s="334">
        <v>605.44000000000005</v>
      </c>
      <c r="AB722" s="336">
        <v>7830</v>
      </c>
      <c r="AC722" s="334">
        <v>605.49400000000003</v>
      </c>
      <c r="AD722" s="336">
        <v>7830</v>
      </c>
      <c r="AE722" s="334">
        <v>544.875</v>
      </c>
      <c r="AF722" s="336">
        <v>7830</v>
      </c>
      <c r="AG722" s="334">
        <v>544.25199999999995</v>
      </c>
      <c r="AH722" s="336">
        <v>7830</v>
      </c>
      <c r="AI722" s="334">
        <v>544.71600000000001</v>
      </c>
      <c r="AJ722" s="336">
        <v>7810</v>
      </c>
      <c r="AK722" s="334">
        <v>545.79700000000003</v>
      </c>
      <c r="AL722" s="336">
        <v>7830</v>
      </c>
      <c r="AM722" s="334">
        <v>545.44000000000005</v>
      </c>
      <c r="AN722" s="336">
        <v>7830</v>
      </c>
      <c r="AO722" s="334">
        <v>546.11500000000001</v>
      </c>
      <c r="AP722" s="336">
        <v>7820</v>
      </c>
      <c r="AQ722" s="334">
        <v>545.67600000000004</v>
      </c>
      <c r="AR722" s="336">
        <v>7830</v>
      </c>
      <c r="AS722" s="334">
        <v>545.13699999999994</v>
      </c>
      <c r="AT722" s="336">
        <v>7830</v>
      </c>
      <c r="AU722" s="334">
        <v>543.51700000000005</v>
      </c>
      <c r="AV722" s="336">
        <v>7830</v>
      </c>
      <c r="AW722" s="334">
        <v>543.79</v>
      </c>
      <c r="AX722" s="336">
        <v>7820</v>
      </c>
      <c r="AY722" s="334">
        <v>467.65899999999999</v>
      </c>
      <c r="AZ722" s="336">
        <v>7830</v>
      </c>
      <c r="BA722" s="337">
        <v>469.26400000000001</v>
      </c>
      <c r="BB722" s="336">
        <v>7810</v>
      </c>
      <c r="BC722" s="334">
        <v>113.35899999999999</v>
      </c>
      <c r="BD722" s="336">
        <v>7810</v>
      </c>
      <c r="BE722" s="334">
        <v>119.777</v>
      </c>
    </row>
    <row r="723" spans="22:57">
      <c r="V723" s="346">
        <v>7840</v>
      </c>
      <c r="W723" s="333">
        <v>255.011</v>
      </c>
      <c r="X723" s="346">
        <v>7850</v>
      </c>
      <c r="Y723" s="334">
        <v>252.953</v>
      </c>
      <c r="Z723" s="335">
        <v>7840</v>
      </c>
      <c r="AA723" s="334">
        <v>603.97699999999998</v>
      </c>
      <c r="AB723" s="336">
        <v>7840</v>
      </c>
      <c r="AC723" s="334">
        <v>604.03099999999995</v>
      </c>
      <c r="AD723" s="336">
        <v>7840</v>
      </c>
      <c r="AE723" s="334">
        <v>543.66300000000001</v>
      </c>
      <c r="AF723" s="336">
        <v>7840</v>
      </c>
      <c r="AG723" s="334">
        <v>543.03899999999999</v>
      </c>
      <c r="AH723" s="336">
        <v>7840</v>
      </c>
      <c r="AI723" s="334">
        <v>543.50400000000002</v>
      </c>
      <c r="AJ723" s="336">
        <v>7820</v>
      </c>
      <c r="AK723" s="334">
        <v>544.58500000000004</v>
      </c>
      <c r="AL723" s="336">
        <v>7840</v>
      </c>
      <c r="AM723" s="334">
        <v>544.22799999999995</v>
      </c>
      <c r="AN723" s="336">
        <v>7840</v>
      </c>
      <c r="AO723" s="334">
        <v>544.90300000000002</v>
      </c>
      <c r="AP723" s="336">
        <v>7830</v>
      </c>
      <c r="AQ723" s="334">
        <v>544.46600000000001</v>
      </c>
      <c r="AR723" s="336">
        <v>7840</v>
      </c>
      <c r="AS723" s="334">
        <v>543.92600000000004</v>
      </c>
      <c r="AT723" s="336">
        <v>7840</v>
      </c>
      <c r="AU723" s="334">
        <v>542.30600000000004</v>
      </c>
      <c r="AV723" s="336">
        <v>7840</v>
      </c>
      <c r="AW723" s="334">
        <v>542.58000000000004</v>
      </c>
      <c r="AX723" s="336">
        <v>7830</v>
      </c>
      <c r="AY723" s="334">
        <v>466.45100000000002</v>
      </c>
      <c r="AZ723" s="336">
        <v>7840</v>
      </c>
      <c r="BA723" s="337">
        <v>468.05599999999998</v>
      </c>
      <c r="BB723" s="336">
        <v>7820</v>
      </c>
      <c r="BC723" s="334">
        <v>113.003</v>
      </c>
      <c r="BD723" s="336">
        <v>7820</v>
      </c>
      <c r="BE723" s="334">
        <v>119.407</v>
      </c>
    </row>
    <row r="724" spans="22:57">
      <c r="V724" s="346">
        <v>7850</v>
      </c>
      <c r="W724" s="333">
        <v>254.28100000000001</v>
      </c>
      <c r="X724" s="346">
        <v>7860</v>
      </c>
      <c r="Y724" s="334">
        <v>252.227</v>
      </c>
      <c r="Z724" s="335">
        <v>7850</v>
      </c>
      <c r="AA724" s="334">
        <v>602.51400000000001</v>
      </c>
      <c r="AB724" s="336">
        <v>7850</v>
      </c>
      <c r="AC724" s="334">
        <v>602.56799999999998</v>
      </c>
      <c r="AD724" s="336">
        <v>7850</v>
      </c>
      <c r="AE724" s="334">
        <v>542.45100000000002</v>
      </c>
      <c r="AF724" s="336">
        <v>7850</v>
      </c>
      <c r="AG724" s="334">
        <v>541.82500000000005</v>
      </c>
      <c r="AH724" s="336">
        <v>7850</v>
      </c>
      <c r="AI724" s="334">
        <v>542.29200000000003</v>
      </c>
      <c r="AJ724" s="336">
        <v>7830</v>
      </c>
      <c r="AK724" s="334">
        <v>543.37300000000005</v>
      </c>
      <c r="AL724" s="336">
        <v>7850</v>
      </c>
      <c r="AM724" s="334">
        <v>543.01599999999996</v>
      </c>
      <c r="AN724" s="336">
        <v>7850</v>
      </c>
      <c r="AO724" s="334">
        <v>543.69100000000003</v>
      </c>
      <c r="AP724" s="336">
        <v>7840</v>
      </c>
      <c r="AQ724" s="334">
        <v>543.25599999999997</v>
      </c>
      <c r="AR724" s="336">
        <v>7850</v>
      </c>
      <c r="AS724" s="334">
        <v>542.71600000000001</v>
      </c>
      <c r="AT724" s="336">
        <v>7850</v>
      </c>
      <c r="AU724" s="334">
        <v>541.09500000000003</v>
      </c>
      <c r="AV724" s="336">
        <v>7850</v>
      </c>
      <c r="AW724" s="334">
        <v>541.37</v>
      </c>
      <c r="AX724" s="336">
        <v>7840</v>
      </c>
      <c r="AY724" s="334">
        <v>465.24299999999999</v>
      </c>
      <c r="AZ724" s="336">
        <v>7850</v>
      </c>
      <c r="BA724" s="337">
        <v>466.84899999999999</v>
      </c>
      <c r="BB724" s="336">
        <v>7830</v>
      </c>
      <c r="BC724" s="334">
        <v>112.648</v>
      </c>
      <c r="BD724" s="336">
        <v>7830</v>
      </c>
      <c r="BE724" s="334">
        <v>119.038</v>
      </c>
    </row>
    <row r="725" spans="22:57">
      <c r="V725" s="346">
        <v>7860</v>
      </c>
      <c r="W725" s="333">
        <v>253.55099999999999</v>
      </c>
      <c r="X725" s="346">
        <v>7870</v>
      </c>
      <c r="Y725" s="334">
        <v>251.50200000000001</v>
      </c>
      <c r="Z725" s="335">
        <v>7860</v>
      </c>
      <c r="AA725" s="334">
        <v>601.05100000000004</v>
      </c>
      <c r="AB725" s="336">
        <v>7860</v>
      </c>
      <c r="AC725" s="334">
        <v>601.10599999999999</v>
      </c>
      <c r="AD725" s="336">
        <v>7860</v>
      </c>
      <c r="AE725" s="334">
        <v>541.23900000000003</v>
      </c>
      <c r="AF725" s="336">
        <v>7860</v>
      </c>
      <c r="AG725" s="334">
        <v>540.61199999999997</v>
      </c>
      <c r="AH725" s="336">
        <v>7860</v>
      </c>
      <c r="AI725" s="334">
        <v>541.08000000000004</v>
      </c>
      <c r="AJ725" s="336">
        <v>7840</v>
      </c>
      <c r="AK725" s="334">
        <v>542.16</v>
      </c>
      <c r="AL725" s="336">
        <v>7860</v>
      </c>
      <c r="AM725" s="334">
        <v>541.80399999999997</v>
      </c>
      <c r="AN725" s="336">
        <v>7860</v>
      </c>
      <c r="AO725" s="334">
        <v>542.47900000000004</v>
      </c>
      <c r="AP725" s="336">
        <v>7850</v>
      </c>
      <c r="AQ725" s="334">
        <v>542.04600000000005</v>
      </c>
      <c r="AR725" s="336">
        <v>7860</v>
      </c>
      <c r="AS725" s="334">
        <v>541.50400000000002</v>
      </c>
      <c r="AT725" s="336">
        <v>7860</v>
      </c>
      <c r="AU725" s="334">
        <v>539.88400000000001</v>
      </c>
      <c r="AV725" s="336">
        <v>7860</v>
      </c>
      <c r="AW725" s="334">
        <v>540.16</v>
      </c>
      <c r="AX725" s="336">
        <v>7850</v>
      </c>
      <c r="AY725" s="334">
        <v>464.03500000000003</v>
      </c>
      <c r="AZ725" s="336">
        <v>7860</v>
      </c>
      <c r="BA725" s="337">
        <v>465.64100000000002</v>
      </c>
      <c r="BB725" s="336">
        <v>7840</v>
      </c>
      <c r="BC725" s="334">
        <v>112.29300000000001</v>
      </c>
      <c r="BD725" s="336">
        <v>7840</v>
      </c>
      <c r="BE725" s="334">
        <v>118.66800000000001</v>
      </c>
    </row>
    <row r="726" spans="22:57">
      <c r="V726" s="346">
        <v>7870</v>
      </c>
      <c r="W726" s="333">
        <v>252.82300000000001</v>
      </c>
      <c r="X726" s="346">
        <v>7880</v>
      </c>
      <c r="Y726" s="334">
        <v>250.77799999999999</v>
      </c>
      <c r="Z726" s="335">
        <v>7870</v>
      </c>
      <c r="AA726" s="334">
        <v>599.58799999999997</v>
      </c>
      <c r="AB726" s="336">
        <v>7870</v>
      </c>
      <c r="AC726" s="334">
        <v>599.64300000000003</v>
      </c>
      <c r="AD726" s="336">
        <v>7870</v>
      </c>
      <c r="AE726" s="334">
        <v>540.02700000000004</v>
      </c>
      <c r="AF726" s="336">
        <v>7870</v>
      </c>
      <c r="AG726" s="334">
        <v>539.4</v>
      </c>
      <c r="AH726" s="336">
        <v>7870</v>
      </c>
      <c r="AI726" s="334">
        <v>539.87</v>
      </c>
      <c r="AJ726" s="336">
        <v>7850</v>
      </c>
      <c r="AK726" s="334">
        <v>540.94799999999998</v>
      </c>
      <c r="AL726" s="336">
        <v>7870</v>
      </c>
      <c r="AM726" s="334">
        <v>540.59100000000001</v>
      </c>
      <c r="AN726" s="336">
        <v>7870</v>
      </c>
      <c r="AO726" s="334">
        <v>541.26700000000005</v>
      </c>
      <c r="AP726" s="336">
        <v>7860</v>
      </c>
      <c r="AQ726" s="334">
        <v>540.83500000000004</v>
      </c>
      <c r="AR726" s="336">
        <v>7870</v>
      </c>
      <c r="AS726" s="334">
        <v>540.29399999999998</v>
      </c>
      <c r="AT726" s="336">
        <v>7870</v>
      </c>
      <c r="AU726" s="334">
        <v>538.673</v>
      </c>
      <c r="AV726" s="336">
        <v>7870</v>
      </c>
      <c r="AW726" s="334">
        <v>538.95000000000005</v>
      </c>
      <c r="AX726" s="336">
        <v>7860</v>
      </c>
      <c r="AY726" s="334">
        <v>462.82900000000001</v>
      </c>
      <c r="AZ726" s="336">
        <v>7870</v>
      </c>
      <c r="BA726" s="337">
        <v>464.43299999999999</v>
      </c>
      <c r="BB726" s="336">
        <v>7850</v>
      </c>
      <c r="BC726" s="334">
        <v>111.93899999999999</v>
      </c>
      <c r="BD726" s="336">
        <v>7850</v>
      </c>
      <c r="BE726" s="334">
        <v>118.3</v>
      </c>
    </row>
    <row r="727" spans="22:57">
      <c r="V727" s="346">
        <v>7880</v>
      </c>
      <c r="W727" s="333">
        <v>252.096</v>
      </c>
      <c r="X727" s="346">
        <v>7890</v>
      </c>
      <c r="Y727" s="334">
        <v>250.05600000000001</v>
      </c>
      <c r="Z727" s="335">
        <v>7880</v>
      </c>
      <c r="AA727" s="334">
        <v>598.12699999999995</v>
      </c>
      <c r="AB727" s="336">
        <v>7880</v>
      </c>
      <c r="AC727" s="334">
        <v>598.18200000000002</v>
      </c>
      <c r="AD727" s="336">
        <v>7880</v>
      </c>
      <c r="AE727" s="334">
        <v>538.81600000000003</v>
      </c>
      <c r="AF727" s="336">
        <v>7880</v>
      </c>
      <c r="AG727" s="334">
        <v>538.18899999999996</v>
      </c>
      <c r="AH727" s="336">
        <v>7880</v>
      </c>
      <c r="AI727" s="334">
        <v>538.66</v>
      </c>
      <c r="AJ727" s="336">
        <v>7860</v>
      </c>
      <c r="AK727" s="334">
        <v>539.73800000000006</v>
      </c>
      <c r="AL727" s="336">
        <v>7880</v>
      </c>
      <c r="AM727" s="334">
        <v>539.38199999999995</v>
      </c>
      <c r="AN727" s="336">
        <v>7880</v>
      </c>
      <c r="AO727" s="334">
        <v>540.05600000000004</v>
      </c>
      <c r="AP727" s="336">
        <v>7870</v>
      </c>
      <c r="AQ727" s="334">
        <v>539.62599999999998</v>
      </c>
      <c r="AR727" s="336">
        <v>7880</v>
      </c>
      <c r="AS727" s="334">
        <v>539.08500000000004</v>
      </c>
      <c r="AT727" s="336">
        <v>7880</v>
      </c>
      <c r="AU727" s="334">
        <v>537.46500000000003</v>
      </c>
      <c r="AV727" s="336">
        <v>7880</v>
      </c>
      <c r="AW727" s="334">
        <v>537.74099999999999</v>
      </c>
      <c r="AX727" s="336">
        <v>7870</v>
      </c>
      <c r="AY727" s="334">
        <v>461.625</v>
      </c>
      <c r="AZ727" s="336">
        <v>7880</v>
      </c>
      <c r="BA727" s="337">
        <v>463.226</v>
      </c>
      <c r="BB727" s="336">
        <v>7860</v>
      </c>
      <c r="BC727" s="334">
        <v>111.58799999999999</v>
      </c>
      <c r="BD727" s="336">
        <v>7860</v>
      </c>
      <c r="BE727" s="334">
        <v>117.934</v>
      </c>
    </row>
    <row r="728" spans="22:57">
      <c r="V728" s="346">
        <v>7890</v>
      </c>
      <c r="W728" s="333">
        <v>251.37</v>
      </c>
      <c r="X728" s="346">
        <v>7900</v>
      </c>
      <c r="Y728" s="334">
        <v>249.334</v>
      </c>
      <c r="Z728" s="335">
        <v>7890</v>
      </c>
      <c r="AA728" s="334">
        <v>596.66700000000003</v>
      </c>
      <c r="AB728" s="336">
        <v>7890</v>
      </c>
      <c r="AC728" s="334">
        <v>596.72299999999996</v>
      </c>
      <c r="AD728" s="336">
        <v>7890</v>
      </c>
      <c r="AE728" s="334">
        <v>537.60699999999997</v>
      </c>
      <c r="AF728" s="336">
        <v>7890</v>
      </c>
      <c r="AG728" s="334">
        <v>536.97900000000004</v>
      </c>
      <c r="AH728" s="336">
        <v>7890</v>
      </c>
      <c r="AI728" s="334">
        <v>537.45100000000002</v>
      </c>
      <c r="AJ728" s="336">
        <v>7870</v>
      </c>
      <c r="AK728" s="334">
        <v>538.52800000000002</v>
      </c>
      <c r="AL728" s="336">
        <v>7890</v>
      </c>
      <c r="AM728" s="334">
        <v>538.173</v>
      </c>
      <c r="AN728" s="336">
        <v>7890</v>
      </c>
      <c r="AO728" s="334">
        <v>538.84699999999998</v>
      </c>
      <c r="AP728" s="336">
        <v>7880</v>
      </c>
      <c r="AQ728" s="334">
        <v>538.41899999999998</v>
      </c>
      <c r="AR728" s="336">
        <v>7890</v>
      </c>
      <c r="AS728" s="334">
        <v>537.87699999999995</v>
      </c>
      <c r="AT728" s="336">
        <v>7890</v>
      </c>
      <c r="AU728" s="334">
        <v>536.25699999999995</v>
      </c>
      <c r="AV728" s="336">
        <v>7890</v>
      </c>
      <c r="AW728" s="334">
        <v>536.53399999999999</v>
      </c>
      <c r="AX728" s="336">
        <v>7880</v>
      </c>
      <c r="AY728" s="334">
        <v>460.42</v>
      </c>
      <c r="AZ728" s="336">
        <v>7890</v>
      </c>
      <c r="BA728" s="337">
        <v>462.02199999999999</v>
      </c>
      <c r="BB728" s="336">
        <v>7870</v>
      </c>
      <c r="BC728" s="334">
        <v>111.238</v>
      </c>
      <c r="BD728" s="336">
        <v>7870</v>
      </c>
      <c r="BE728" s="334">
        <v>117.569</v>
      </c>
    </row>
    <row r="729" spans="22:57">
      <c r="V729" s="346">
        <v>7900</v>
      </c>
      <c r="W729" s="333">
        <v>250.64500000000001</v>
      </c>
      <c r="X729" s="346">
        <v>7910</v>
      </c>
      <c r="Y729" s="334">
        <v>248.61199999999999</v>
      </c>
      <c r="Z729" s="335">
        <v>7900</v>
      </c>
      <c r="AA729" s="334">
        <v>595.20799999999997</v>
      </c>
      <c r="AB729" s="336">
        <v>7900</v>
      </c>
      <c r="AC729" s="334">
        <v>595.26300000000003</v>
      </c>
      <c r="AD729" s="336">
        <v>7900</v>
      </c>
      <c r="AE729" s="334">
        <v>536.39800000000002</v>
      </c>
      <c r="AF729" s="336">
        <v>7900</v>
      </c>
      <c r="AG729" s="334">
        <v>535.76900000000001</v>
      </c>
      <c r="AH729" s="336">
        <v>7900</v>
      </c>
      <c r="AI729" s="334">
        <v>536.24199999999996</v>
      </c>
      <c r="AJ729" s="336">
        <v>7880</v>
      </c>
      <c r="AK729" s="334">
        <v>537.31899999999996</v>
      </c>
      <c r="AL729" s="336">
        <v>7900</v>
      </c>
      <c r="AM729" s="334">
        <v>536.96299999999997</v>
      </c>
      <c r="AN729" s="336">
        <v>7900</v>
      </c>
      <c r="AO729" s="334">
        <v>537.63800000000003</v>
      </c>
      <c r="AP729" s="336">
        <v>7890</v>
      </c>
      <c r="AQ729" s="334">
        <v>537.21199999999999</v>
      </c>
      <c r="AR729" s="336">
        <v>7900</v>
      </c>
      <c r="AS729" s="334">
        <v>536.66899999999998</v>
      </c>
      <c r="AT729" s="336">
        <v>7900</v>
      </c>
      <c r="AU729" s="334">
        <v>535.04899999999998</v>
      </c>
      <c r="AV729" s="336">
        <v>7900</v>
      </c>
      <c r="AW729" s="334">
        <v>535.327</v>
      </c>
      <c r="AX729" s="336">
        <v>7890</v>
      </c>
      <c r="AY729" s="334">
        <v>459.21499999999997</v>
      </c>
      <c r="AZ729" s="336">
        <v>7900</v>
      </c>
      <c r="BA729" s="337">
        <v>460.81700000000001</v>
      </c>
      <c r="BB729" s="336">
        <v>7880</v>
      </c>
      <c r="BC729" s="334">
        <v>110.889</v>
      </c>
      <c r="BD729" s="336">
        <v>7880</v>
      </c>
      <c r="BE729" s="334">
        <v>117.205</v>
      </c>
    </row>
    <row r="730" spans="22:57">
      <c r="V730" s="346">
        <v>7910</v>
      </c>
      <c r="W730" s="333">
        <v>249.91900000000001</v>
      </c>
      <c r="X730" s="346">
        <v>7920</v>
      </c>
      <c r="Y730" s="334">
        <v>247.89099999999999</v>
      </c>
      <c r="Z730" s="335">
        <v>7910</v>
      </c>
      <c r="AA730" s="334">
        <v>593.74800000000005</v>
      </c>
      <c r="AB730" s="336">
        <v>7910</v>
      </c>
      <c r="AC730" s="334">
        <v>593.80399999999997</v>
      </c>
      <c r="AD730" s="336">
        <v>7910</v>
      </c>
      <c r="AE730" s="334">
        <v>535.18899999999996</v>
      </c>
      <c r="AF730" s="336">
        <v>7910</v>
      </c>
      <c r="AG730" s="334">
        <v>534.55799999999999</v>
      </c>
      <c r="AH730" s="336">
        <v>7910</v>
      </c>
      <c r="AI730" s="334">
        <v>535.03300000000002</v>
      </c>
      <c r="AJ730" s="336">
        <v>7890</v>
      </c>
      <c r="AK730" s="334">
        <v>536.11</v>
      </c>
      <c r="AL730" s="336">
        <v>7910</v>
      </c>
      <c r="AM730" s="334">
        <v>535.755</v>
      </c>
      <c r="AN730" s="336">
        <v>7910</v>
      </c>
      <c r="AO730" s="334">
        <v>536.42899999999997</v>
      </c>
      <c r="AP730" s="336">
        <v>7900</v>
      </c>
      <c r="AQ730" s="334">
        <v>536.00400000000002</v>
      </c>
      <c r="AR730" s="336">
        <v>7910</v>
      </c>
      <c r="AS730" s="334">
        <v>535.46199999999999</v>
      </c>
      <c r="AT730" s="336">
        <v>7910</v>
      </c>
      <c r="AU730" s="334">
        <v>533.84100000000001</v>
      </c>
      <c r="AV730" s="336">
        <v>7910</v>
      </c>
      <c r="AW730" s="334">
        <v>534.12</v>
      </c>
      <c r="AX730" s="336">
        <v>7900</v>
      </c>
      <c r="AY730" s="334">
        <v>458.01</v>
      </c>
      <c r="AZ730" s="336">
        <v>7910</v>
      </c>
      <c r="BA730" s="337">
        <v>459.613</v>
      </c>
      <c r="BB730" s="336">
        <v>7890</v>
      </c>
      <c r="BC730" s="334">
        <v>110.54</v>
      </c>
      <c r="BD730" s="336">
        <v>7890</v>
      </c>
      <c r="BE730" s="334">
        <v>116.842</v>
      </c>
    </row>
    <row r="731" spans="22:57">
      <c r="V731" s="346">
        <v>7920</v>
      </c>
      <c r="W731" s="333">
        <v>249.19399999999999</v>
      </c>
      <c r="X731" s="346">
        <v>7930</v>
      </c>
      <c r="Y731" s="334">
        <v>247.16800000000001</v>
      </c>
      <c r="Z731" s="335">
        <v>7920</v>
      </c>
      <c r="AA731" s="334">
        <v>592.28899999999999</v>
      </c>
      <c r="AB731" s="336">
        <v>7920</v>
      </c>
      <c r="AC731" s="334">
        <v>592.34500000000003</v>
      </c>
      <c r="AD731" s="336">
        <v>7920</v>
      </c>
      <c r="AE731" s="334">
        <v>533.98</v>
      </c>
      <c r="AF731" s="336">
        <v>7920</v>
      </c>
      <c r="AG731" s="334">
        <v>533.346</v>
      </c>
      <c r="AH731" s="336">
        <v>7920</v>
      </c>
      <c r="AI731" s="334">
        <v>533.82299999999998</v>
      </c>
      <c r="AJ731" s="336">
        <v>7900</v>
      </c>
      <c r="AK731" s="334">
        <v>534.9</v>
      </c>
      <c r="AL731" s="336">
        <v>7920</v>
      </c>
      <c r="AM731" s="334">
        <v>534.54499999999996</v>
      </c>
      <c r="AN731" s="336">
        <v>7920</v>
      </c>
      <c r="AO731" s="334">
        <v>535.22</v>
      </c>
      <c r="AP731" s="336">
        <v>7910</v>
      </c>
      <c r="AQ731" s="334">
        <v>534.79700000000003</v>
      </c>
      <c r="AR731" s="336">
        <v>7920</v>
      </c>
      <c r="AS731" s="334">
        <v>534.25300000000004</v>
      </c>
      <c r="AT731" s="336">
        <v>7920</v>
      </c>
      <c r="AU731" s="334">
        <v>532.63300000000004</v>
      </c>
      <c r="AV731" s="336">
        <v>7920</v>
      </c>
      <c r="AW731" s="334">
        <v>532.91300000000001</v>
      </c>
      <c r="AX731" s="336">
        <v>7910</v>
      </c>
      <c r="AY731" s="334">
        <v>456.80399999999997</v>
      </c>
      <c r="AZ731" s="336">
        <v>7920</v>
      </c>
      <c r="BA731" s="337">
        <v>458.40800000000002</v>
      </c>
      <c r="BB731" s="336">
        <v>7900</v>
      </c>
      <c r="BC731" s="334">
        <v>110.191</v>
      </c>
      <c r="BD731" s="336">
        <v>7900</v>
      </c>
      <c r="BE731" s="334">
        <v>116.479</v>
      </c>
    </row>
    <row r="732" spans="22:57">
      <c r="V732" s="346">
        <v>7930</v>
      </c>
      <c r="W732" s="333">
        <v>248.46600000000001</v>
      </c>
      <c r="X732" s="346">
        <v>7940</v>
      </c>
      <c r="Y732" s="334">
        <v>246.44399999999999</v>
      </c>
      <c r="Z732" s="335">
        <v>7930</v>
      </c>
      <c r="AA732" s="334">
        <v>590.82799999999997</v>
      </c>
      <c r="AB732" s="336">
        <v>7930</v>
      </c>
      <c r="AC732" s="334">
        <v>590.88499999999999</v>
      </c>
      <c r="AD732" s="336">
        <v>7930</v>
      </c>
      <c r="AE732" s="334">
        <v>532.77</v>
      </c>
      <c r="AF732" s="336">
        <v>7930</v>
      </c>
      <c r="AG732" s="334">
        <v>532.13300000000004</v>
      </c>
      <c r="AH732" s="336">
        <v>7930</v>
      </c>
      <c r="AI732" s="334">
        <v>532.61099999999999</v>
      </c>
      <c r="AJ732" s="336">
        <v>7910</v>
      </c>
      <c r="AK732" s="334">
        <v>533.68899999999996</v>
      </c>
      <c r="AL732" s="336">
        <v>7930</v>
      </c>
      <c r="AM732" s="334">
        <v>533.33399999999995</v>
      </c>
      <c r="AN732" s="336">
        <v>7930</v>
      </c>
      <c r="AO732" s="334">
        <v>534.00900000000001</v>
      </c>
      <c r="AP732" s="336">
        <v>7920</v>
      </c>
      <c r="AQ732" s="334">
        <v>533.58900000000006</v>
      </c>
      <c r="AR732" s="336">
        <v>7930</v>
      </c>
      <c r="AS732" s="334">
        <v>533.04300000000001</v>
      </c>
      <c r="AT732" s="336">
        <v>7930</v>
      </c>
      <c r="AU732" s="334">
        <v>531.423</v>
      </c>
      <c r="AV732" s="336">
        <v>7930</v>
      </c>
      <c r="AW732" s="334">
        <v>531.70500000000004</v>
      </c>
      <c r="AX732" s="336">
        <v>7920</v>
      </c>
      <c r="AY732" s="334">
        <v>455.596</v>
      </c>
      <c r="AZ732" s="336">
        <v>7930</v>
      </c>
      <c r="BA732" s="337">
        <v>457.20299999999997</v>
      </c>
      <c r="BB732" s="336">
        <v>7910</v>
      </c>
      <c r="BC732" s="334">
        <v>109.84</v>
      </c>
      <c r="BD732" s="336">
        <v>7910</v>
      </c>
      <c r="BE732" s="334">
        <v>116.114</v>
      </c>
    </row>
    <row r="733" spans="22:57">
      <c r="V733" s="346">
        <v>7940</v>
      </c>
      <c r="W733" s="333">
        <v>247.738</v>
      </c>
      <c r="X733" s="346">
        <v>7950</v>
      </c>
      <c r="Y733" s="334">
        <v>245.72</v>
      </c>
      <c r="Z733" s="335">
        <v>7940</v>
      </c>
      <c r="AA733" s="334">
        <v>589.36599999999999</v>
      </c>
      <c r="AB733" s="336">
        <v>7940</v>
      </c>
      <c r="AC733" s="334">
        <v>589.423</v>
      </c>
      <c r="AD733" s="336">
        <v>7940</v>
      </c>
      <c r="AE733" s="334">
        <v>531.55799999999999</v>
      </c>
      <c r="AF733" s="336">
        <v>7940</v>
      </c>
      <c r="AG733" s="334">
        <v>530.91899999999998</v>
      </c>
      <c r="AH733" s="336">
        <v>7940</v>
      </c>
      <c r="AI733" s="334">
        <v>531.399</v>
      </c>
      <c r="AJ733" s="336">
        <v>7920</v>
      </c>
      <c r="AK733" s="334">
        <v>532.47699999999998</v>
      </c>
      <c r="AL733" s="336">
        <v>7940</v>
      </c>
      <c r="AM733" s="334">
        <v>532.12199999999996</v>
      </c>
      <c r="AN733" s="336">
        <v>7940</v>
      </c>
      <c r="AO733" s="334">
        <v>532.79700000000003</v>
      </c>
      <c r="AP733" s="336">
        <v>7930</v>
      </c>
      <c r="AQ733" s="334">
        <v>532.37900000000002</v>
      </c>
      <c r="AR733" s="336">
        <v>7940</v>
      </c>
      <c r="AS733" s="334">
        <v>531.83199999999999</v>
      </c>
      <c r="AT733" s="336">
        <v>7940</v>
      </c>
      <c r="AU733" s="334">
        <v>530.21199999999999</v>
      </c>
      <c r="AV733" s="336">
        <v>7940</v>
      </c>
      <c r="AW733" s="334">
        <v>530.495</v>
      </c>
      <c r="AX733" s="336">
        <v>7930</v>
      </c>
      <c r="AY733" s="334">
        <v>454.38900000000001</v>
      </c>
      <c r="AZ733" s="336">
        <v>7940</v>
      </c>
      <c r="BA733" s="337">
        <v>455.99599999999998</v>
      </c>
      <c r="BB733" s="336">
        <v>7920</v>
      </c>
      <c r="BC733" s="334">
        <v>109.49</v>
      </c>
      <c r="BD733" s="336">
        <v>7920</v>
      </c>
      <c r="BE733" s="334">
        <v>115.749</v>
      </c>
    </row>
    <row r="734" spans="22:57">
      <c r="V734" s="346">
        <v>7950</v>
      </c>
      <c r="W734" s="333">
        <v>247.01</v>
      </c>
      <c r="X734" s="346">
        <v>7960</v>
      </c>
      <c r="Y734" s="334">
        <v>244.99600000000001</v>
      </c>
      <c r="Z734" s="335">
        <v>7950</v>
      </c>
      <c r="AA734" s="334">
        <v>587.904</v>
      </c>
      <c r="AB734" s="336">
        <v>7950</v>
      </c>
      <c r="AC734" s="334">
        <v>587.96100000000001</v>
      </c>
      <c r="AD734" s="336">
        <v>7950</v>
      </c>
      <c r="AE734" s="334">
        <v>530.346</v>
      </c>
      <c r="AF734" s="336">
        <v>7950</v>
      </c>
      <c r="AG734" s="334">
        <v>529.70600000000002</v>
      </c>
      <c r="AH734" s="336">
        <v>7950</v>
      </c>
      <c r="AI734" s="334">
        <v>530.18700000000001</v>
      </c>
      <c r="AJ734" s="336">
        <v>7930</v>
      </c>
      <c r="AK734" s="334">
        <v>531.26400000000001</v>
      </c>
      <c r="AL734" s="336">
        <v>7950</v>
      </c>
      <c r="AM734" s="334">
        <v>530.91</v>
      </c>
      <c r="AN734" s="336">
        <v>7950</v>
      </c>
      <c r="AO734" s="334">
        <v>531.58500000000004</v>
      </c>
      <c r="AP734" s="336">
        <v>7940</v>
      </c>
      <c r="AQ734" s="334">
        <v>531.16899999999998</v>
      </c>
      <c r="AR734" s="336">
        <v>7950</v>
      </c>
      <c r="AS734" s="334">
        <v>530.62099999999998</v>
      </c>
      <c r="AT734" s="336">
        <v>7950</v>
      </c>
      <c r="AU734" s="334">
        <v>529.00099999999998</v>
      </c>
      <c r="AV734" s="336">
        <v>7950</v>
      </c>
      <c r="AW734" s="334">
        <v>529.28599999999994</v>
      </c>
      <c r="AX734" s="336">
        <v>7940</v>
      </c>
      <c r="AY734" s="334">
        <v>453.18099999999998</v>
      </c>
      <c r="AZ734" s="336">
        <v>7950</v>
      </c>
      <c r="BA734" s="337">
        <v>454.78899999999999</v>
      </c>
      <c r="BB734" s="336">
        <v>7930</v>
      </c>
      <c r="BC734" s="334">
        <v>109.14</v>
      </c>
      <c r="BD734" s="336">
        <v>7930</v>
      </c>
      <c r="BE734" s="334">
        <v>115.38500000000001</v>
      </c>
    </row>
    <row r="735" spans="22:57">
      <c r="V735" s="346">
        <v>7960</v>
      </c>
      <c r="W735" s="333">
        <v>246.28299999999999</v>
      </c>
      <c r="X735" s="346">
        <v>7970</v>
      </c>
      <c r="Y735" s="334">
        <v>244.273</v>
      </c>
      <c r="Z735" s="335">
        <v>7960</v>
      </c>
      <c r="AA735" s="334">
        <v>586.44200000000001</v>
      </c>
      <c r="AB735" s="336">
        <v>7960</v>
      </c>
      <c r="AC735" s="334">
        <v>586.49900000000002</v>
      </c>
      <c r="AD735" s="336">
        <v>7960</v>
      </c>
      <c r="AE735" s="334">
        <v>529.13400000000001</v>
      </c>
      <c r="AF735" s="336">
        <v>7960</v>
      </c>
      <c r="AG735" s="334">
        <v>528.49199999999996</v>
      </c>
      <c r="AH735" s="336">
        <v>7960</v>
      </c>
      <c r="AI735" s="334">
        <v>528.97500000000002</v>
      </c>
      <c r="AJ735" s="336">
        <v>7940</v>
      </c>
      <c r="AK735" s="334">
        <v>530.05200000000002</v>
      </c>
      <c r="AL735" s="336">
        <v>7960</v>
      </c>
      <c r="AM735" s="334">
        <v>529.69799999999998</v>
      </c>
      <c r="AN735" s="336">
        <v>7960</v>
      </c>
      <c r="AO735" s="334">
        <v>530.37300000000005</v>
      </c>
      <c r="AP735" s="336">
        <v>7950</v>
      </c>
      <c r="AQ735" s="334">
        <v>529.95899999999995</v>
      </c>
      <c r="AR735" s="336">
        <v>7960</v>
      </c>
      <c r="AS735" s="334">
        <v>529.41</v>
      </c>
      <c r="AT735" s="336">
        <v>7960</v>
      </c>
      <c r="AU735" s="334">
        <v>527.79</v>
      </c>
      <c r="AV735" s="336">
        <v>7960</v>
      </c>
      <c r="AW735" s="334">
        <v>528.07600000000002</v>
      </c>
      <c r="AX735" s="336">
        <v>7950</v>
      </c>
      <c r="AY735" s="334">
        <v>451.97399999999999</v>
      </c>
      <c r="AZ735" s="336">
        <v>7960</v>
      </c>
      <c r="BA735" s="337">
        <v>453.58199999999999</v>
      </c>
      <c r="BB735" s="336">
        <v>7940</v>
      </c>
      <c r="BC735" s="334">
        <v>108.79</v>
      </c>
      <c r="BD735" s="336">
        <v>7940</v>
      </c>
      <c r="BE735" s="334">
        <v>115.021</v>
      </c>
    </row>
    <row r="736" spans="22:57">
      <c r="V736" s="346">
        <v>7970</v>
      </c>
      <c r="W736" s="333">
        <v>245.55600000000001</v>
      </c>
      <c r="X736" s="346">
        <v>7980</v>
      </c>
      <c r="Y736" s="334">
        <v>243.55</v>
      </c>
      <c r="Z736" s="335">
        <v>7970</v>
      </c>
      <c r="AA736" s="334">
        <v>584.98</v>
      </c>
      <c r="AB736" s="336">
        <v>7970</v>
      </c>
      <c r="AC736" s="334">
        <v>585.03800000000001</v>
      </c>
      <c r="AD736" s="336">
        <v>7970</v>
      </c>
      <c r="AE736" s="334">
        <v>527.92200000000003</v>
      </c>
      <c r="AF736" s="336">
        <v>7970</v>
      </c>
      <c r="AG736" s="334">
        <v>527.279</v>
      </c>
      <c r="AH736" s="336">
        <v>7970</v>
      </c>
      <c r="AI736" s="334">
        <v>527.76300000000003</v>
      </c>
      <c r="AJ736" s="336">
        <v>7950</v>
      </c>
      <c r="AK736" s="334">
        <v>528.84</v>
      </c>
      <c r="AL736" s="336">
        <v>7970</v>
      </c>
      <c r="AM736" s="334">
        <v>528.48599999999999</v>
      </c>
      <c r="AN736" s="336">
        <v>7970</v>
      </c>
      <c r="AO736" s="334">
        <v>529.16099999999994</v>
      </c>
      <c r="AP736" s="336">
        <v>7960</v>
      </c>
      <c r="AQ736" s="334">
        <v>528.74900000000002</v>
      </c>
      <c r="AR736" s="336">
        <v>7970</v>
      </c>
      <c r="AS736" s="334">
        <v>528.19899999999996</v>
      </c>
      <c r="AT736" s="336">
        <v>7970</v>
      </c>
      <c r="AU736" s="334">
        <v>526.57899999999995</v>
      </c>
      <c r="AV736" s="336">
        <v>7970</v>
      </c>
      <c r="AW736" s="334">
        <v>526.86599999999999</v>
      </c>
      <c r="AX736" s="336">
        <v>7960</v>
      </c>
      <c r="AY736" s="334">
        <v>450.767</v>
      </c>
      <c r="AZ736" s="336">
        <v>7970</v>
      </c>
      <c r="BA736" s="337">
        <v>452.375</v>
      </c>
      <c r="BB736" s="336">
        <v>7950</v>
      </c>
      <c r="BC736" s="334">
        <v>108.44199999999999</v>
      </c>
      <c r="BD736" s="336">
        <v>7950</v>
      </c>
      <c r="BE736" s="334">
        <v>114.657</v>
      </c>
    </row>
    <row r="737" spans="22:57">
      <c r="V737" s="346">
        <v>7980</v>
      </c>
      <c r="W737" s="333">
        <v>244.82900000000001</v>
      </c>
      <c r="X737" s="346">
        <v>7990</v>
      </c>
      <c r="Y737" s="334">
        <v>242.827</v>
      </c>
      <c r="Z737" s="335">
        <v>7980</v>
      </c>
      <c r="AA737" s="334">
        <v>583.51800000000003</v>
      </c>
      <c r="AB737" s="336">
        <v>7980</v>
      </c>
      <c r="AC737" s="334">
        <v>583.57600000000002</v>
      </c>
      <c r="AD737" s="336">
        <v>7980</v>
      </c>
      <c r="AE737" s="334">
        <v>526.71</v>
      </c>
      <c r="AF737" s="336">
        <v>7980</v>
      </c>
      <c r="AG737" s="334">
        <v>526.06600000000003</v>
      </c>
      <c r="AH737" s="336">
        <v>7980</v>
      </c>
      <c r="AI737" s="334">
        <v>526.55100000000004</v>
      </c>
      <c r="AJ737" s="336">
        <v>7960</v>
      </c>
      <c r="AK737" s="334">
        <v>527.62800000000004</v>
      </c>
      <c r="AL737" s="336">
        <v>7980</v>
      </c>
      <c r="AM737" s="334">
        <v>527.274</v>
      </c>
      <c r="AN737" s="336">
        <v>7980</v>
      </c>
      <c r="AO737" s="334">
        <v>527.94899999999996</v>
      </c>
      <c r="AP737" s="336">
        <v>7970</v>
      </c>
      <c r="AQ737" s="334">
        <v>527.53899999999999</v>
      </c>
      <c r="AR737" s="336">
        <v>7980</v>
      </c>
      <c r="AS737" s="334">
        <v>526.98800000000006</v>
      </c>
      <c r="AT737" s="336">
        <v>7980</v>
      </c>
      <c r="AU737" s="334">
        <v>525.36800000000005</v>
      </c>
      <c r="AV737" s="336">
        <v>7980</v>
      </c>
      <c r="AW737" s="334">
        <v>525.65599999999995</v>
      </c>
      <c r="AX737" s="336">
        <v>7970</v>
      </c>
      <c r="AY737" s="334">
        <v>449.55900000000003</v>
      </c>
      <c r="AZ737" s="336">
        <v>7980</v>
      </c>
      <c r="BA737" s="337">
        <v>451.16800000000001</v>
      </c>
      <c r="BB737" s="336">
        <v>7960</v>
      </c>
      <c r="BC737" s="334">
        <v>108.093</v>
      </c>
      <c r="BD737" s="336">
        <v>7960</v>
      </c>
      <c r="BE737" s="334">
        <v>114.295</v>
      </c>
    </row>
    <row r="738" spans="22:57">
      <c r="V738" s="346">
        <v>7990</v>
      </c>
      <c r="W738" s="333">
        <v>244.102</v>
      </c>
      <c r="X738" s="346">
        <v>8000</v>
      </c>
      <c r="Y738" s="334">
        <v>242.10400000000001</v>
      </c>
      <c r="Z738" s="335">
        <v>7990</v>
      </c>
      <c r="AA738" s="334">
        <v>582.05700000000002</v>
      </c>
      <c r="AB738" s="336">
        <v>7990</v>
      </c>
      <c r="AC738" s="334">
        <v>582.11500000000001</v>
      </c>
      <c r="AD738" s="336">
        <v>7990</v>
      </c>
      <c r="AE738" s="334">
        <v>525.49800000000005</v>
      </c>
      <c r="AF738" s="336">
        <v>7990</v>
      </c>
      <c r="AG738" s="334">
        <v>524.85199999999998</v>
      </c>
      <c r="AH738" s="336">
        <v>7990</v>
      </c>
      <c r="AI738" s="334">
        <v>525.33900000000006</v>
      </c>
      <c r="AJ738" s="336">
        <v>7970</v>
      </c>
      <c r="AK738" s="334">
        <v>526.41499999999996</v>
      </c>
      <c r="AL738" s="336">
        <v>7990</v>
      </c>
      <c r="AM738" s="334">
        <v>526.06100000000004</v>
      </c>
      <c r="AN738" s="336">
        <v>7990</v>
      </c>
      <c r="AO738" s="334">
        <v>526.73699999999997</v>
      </c>
      <c r="AP738" s="336">
        <v>7980</v>
      </c>
      <c r="AQ738" s="334">
        <v>526.32899999999995</v>
      </c>
      <c r="AR738" s="336">
        <v>7990</v>
      </c>
      <c r="AS738" s="334">
        <v>525.77700000000004</v>
      </c>
      <c r="AT738" s="336">
        <v>7990</v>
      </c>
      <c r="AU738" s="334">
        <v>524.15700000000004</v>
      </c>
      <c r="AV738" s="336">
        <v>7990</v>
      </c>
      <c r="AW738" s="334">
        <v>524.44600000000003</v>
      </c>
      <c r="AX738" s="336">
        <v>7980</v>
      </c>
      <c r="AY738" s="334">
        <v>448.35199999999998</v>
      </c>
      <c r="AZ738" s="336">
        <v>7990</v>
      </c>
      <c r="BA738" s="337">
        <v>449.96100000000001</v>
      </c>
      <c r="BB738" s="336">
        <v>7970</v>
      </c>
      <c r="BC738" s="334">
        <v>107.745</v>
      </c>
      <c r="BD738" s="336">
        <v>7970</v>
      </c>
      <c r="BE738" s="334">
        <v>113.932</v>
      </c>
    </row>
    <row r="739" spans="22:57">
      <c r="V739" s="346">
        <v>8000</v>
      </c>
      <c r="W739" s="333">
        <v>243.376</v>
      </c>
      <c r="X739" s="346">
        <v>8010</v>
      </c>
      <c r="Y739" s="334">
        <v>241.381</v>
      </c>
      <c r="Z739" s="335">
        <v>8000</v>
      </c>
      <c r="AA739" s="334">
        <v>580.59500000000003</v>
      </c>
      <c r="AB739" s="336">
        <v>8000</v>
      </c>
      <c r="AC739" s="334">
        <v>580.654</v>
      </c>
      <c r="AD739" s="336">
        <v>8000</v>
      </c>
      <c r="AE739" s="334">
        <v>524.28599999999994</v>
      </c>
      <c r="AF739" s="336">
        <v>8000</v>
      </c>
      <c r="AG739" s="334">
        <v>523.63900000000001</v>
      </c>
      <c r="AH739" s="336">
        <v>8000</v>
      </c>
      <c r="AI739" s="334">
        <v>524.12699999999995</v>
      </c>
      <c r="AJ739" s="336">
        <v>7980</v>
      </c>
      <c r="AK739" s="334">
        <v>525.20299999999997</v>
      </c>
      <c r="AL739" s="336">
        <v>8000</v>
      </c>
      <c r="AM739" s="334">
        <v>524.84900000000005</v>
      </c>
      <c r="AN739" s="336">
        <v>8000</v>
      </c>
      <c r="AO739" s="334">
        <v>525.52499999999998</v>
      </c>
      <c r="AP739" s="336">
        <v>7990</v>
      </c>
      <c r="AQ739" s="334">
        <v>525.11900000000003</v>
      </c>
      <c r="AR739" s="336">
        <v>8000</v>
      </c>
      <c r="AS739" s="334">
        <v>524.56600000000003</v>
      </c>
      <c r="AT739" s="336">
        <v>8000</v>
      </c>
      <c r="AU739" s="334">
        <v>522.94600000000003</v>
      </c>
      <c r="AV739" s="336">
        <v>8000</v>
      </c>
      <c r="AW739" s="334">
        <v>523.23599999999999</v>
      </c>
      <c r="AX739" s="336">
        <v>7990</v>
      </c>
      <c r="AY739" s="334">
        <v>447.14499999999998</v>
      </c>
      <c r="AZ739" s="336">
        <v>8000</v>
      </c>
      <c r="BA739" s="337">
        <v>448.75400000000002</v>
      </c>
      <c r="BB739" s="336">
        <v>7980</v>
      </c>
      <c r="BC739" s="334">
        <v>107.398</v>
      </c>
      <c r="BD739" s="336">
        <v>7980</v>
      </c>
      <c r="BE739" s="334">
        <v>113.571</v>
      </c>
    </row>
    <row r="740" spans="22:57">
      <c r="V740" s="346">
        <v>8010</v>
      </c>
      <c r="W740" s="333">
        <v>242.65</v>
      </c>
      <c r="X740" s="346">
        <v>8020</v>
      </c>
      <c r="Y740" s="334">
        <v>240.65899999999999</v>
      </c>
      <c r="Z740" s="335">
        <v>8010</v>
      </c>
      <c r="AA740" s="334">
        <v>579.13400000000001</v>
      </c>
      <c r="AB740" s="336">
        <v>8010</v>
      </c>
      <c r="AC740" s="334">
        <v>579.19200000000001</v>
      </c>
      <c r="AD740" s="336">
        <v>8010</v>
      </c>
      <c r="AE740" s="334">
        <v>523.07500000000005</v>
      </c>
      <c r="AF740" s="336">
        <v>8010</v>
      </c>
      <c r="AG740" s="334">
        <v>522.42499999999995</v>
      </c>
      <c r="AH740" s="336">
        <v>8010</v>
      </c>
      <c r="AI740" s="334">
        <v>522.91399999999999</v>
      </c>
      <c r="AJ740" s="336">
        <v>7990</v>
      </c>
      <c r="AK740" s="334">
        <v>523.99099999999999</v>
      </c>
      <c r="AL740" s="336">
        <v>8010</v>
      </c>
      <c r="AM740" s="334">
        <v>523.63699999999994</v>
      </c>
      <c r="AN740" s="336">
        <v>8010</v>
      </c>
      <c r="AO740" s="334">
        <v>524.31299999999999</v>
      </c>
      <c r="AP740" s="336">
        <v>8000</v>
      </c>
      <c r="AQ740" s="334">
        <v>523.90800000000002</v>
      </c>
      <c r="AR740" s="336">
        <v>8010</v>
      </c>
      <c r="AS740" s="334">
        <v>523.35500000000002</v>
      </c>
      <c r="AT740" s="336">
        <v>8010</v>
      </c>
      <c r="AU740" s="334">
        <v>521.73500000000001</v>
      </c>
      <c r="AV740" s="336">
        <v>8010</v>
      </c>
      <c r="AW740" s="334">
        <v>522.02599999999995</v>
      </c>
      <c r="AX740" s="336">
        <v>8000</v>
      </c>
      <c r="AY740" s="334">
        <v>445.93799999999999</v>
      </c>
      <c r="AZ740" s="336">
        <v>8010</v>
      </c>
      <c r="BA740" s="337">
        <v>447.54700000000003</v>
      </c>
      <c r="BB740" s="336">
        <v>7990</v>
      </c>
      <c r="BC740" s="334">
        <v>107.051</v>
      </c>
      <c r="BD740" s="336">
        <v>7990</v>
      </c>
      <c r="BE740" s="334">
        <v>113.209</v>
      </c>
    </row>
    <row r="741" spans="22:57">
      <c r="V741" s="346">
        <v>8020</v>
      </c>
      <c r="W741" s="333">
        <v>241.92400000000001</v>
      </c>
      <c r="X741" s="346">
        <v>8030</v>
      </c>
      <c r="Y741" s="334">
        <v>239.93700000000001</v>
      </c>
      <c r="Z741" s="335">
        <v>8020</v>
      </c>
      <c r="AA741" s="334">
        <v>577.67200000000003</v>
      </c>
      <c r="AB741" s="336">
        <v>8020</v>
      </c>
      <c r="AC741" s="334">
        <v>577.73099999999999</v>
      </c>
      <c r="AD741" s="336">
        <v>8020</v>
      </c>
      <c r="AE741" s="334">
        <v>521.86300000000006</v>
      </c>
      <c r="AF741" s="336">
        <v>8020</v>
      </c>
      <c r="AG741" s="334">
        <v>521.21199999999999</v>
      </c>
      <c r="AH741" s="336">
        <v>8020</v>
      </c>
      <c r="AI741" s="334">
        <v>521.702</v>
      </c>
      <c r="AJ741" s="336">
        <v>8000</v>
      </c>
      <c r="AK741" s="334">
        <v>522.77800000000002</v>
      </c>
      <c r="AL741" s="336">
        <v>8020</v>
      </c>
      <c r="AM741" s="334">
        <v>522.42499999999995</v>
      </c>
      <c r="AN741" s="336">
        <v>8020</v>
      </c>
      <c r="AO741" s="334">
        <v>523.101</v>
      </c>
      <c r="AP741" s="336">
        <v>8010</v>
      </c>
      <c r="AQ741" s="334">
        <v>522.69799999999998</v>
      </c>
      <c r="AR741" s="336">
        <v>8020</v>
      </c>
      <c r="AS741" s="334">
        <v>522.14400000000001</v>
      </c>
      <c r="AT741" s="336">
        <v>8020</v>
      </c>
      <c r="AU741" s="334">
        <v>520.524</v>
      </c>
      <c r="AV741" s="336">
        <v>8020</v>
      </c>
      <c r="AW741" s="334">
        <v>520.81600000000003</v>
      </c>
      <c r="AX741" s="336">
        <v>8010</v>
      </c>
      <c r="AY741" s="334">
        <v>444.73099999999999</v>
      </c>
      <c r="AZ741" s="336">
        <v>8020</v>
      </c>
      <c r="BA741" s="337">
        <v>446.34</v>
      </c>
      <c r="BB741" s="336">
        <v>8000</v>
      </c>
      <c r="BC741" s="334">
        <v>106.705</v>
      </c>
      <c r="BD741" s="336">
        <v>8000</v>
      </c>
      <c r="BE741" s="334">
        <v>112.849</v>
      </c>
    </row>
    <row r="742" spans="22:57">
      <c r="V742" s="346">
        <v>8030</v>
      </c>
      <c r="W742" s="333">
        <v>241.19800000000001</v>
      </c>
      <c r="X742" s="346">
        <v>8040</v>
      </c>
      <c r="Y742" s="334">
        <v>239.215</v>
      </c>
      <c r="Z742" s="335">
        <v>8030</v>
      </c>
      <c r="AA742" s="334">
        <v>576.21100000000001</v>
      </c>
      <c r="AB742" s="336">
        <v>8030</v>
      </c>
      <c r="AC742" s="334">
        <v>576.27</v>
      </c>
      <c r="AD742" s="336">
        <v>8030</v>
      </c>
      <c r="AE742" s="334">
        <v>520.65099999999995</v>
      </c>
      <c r="AF742" s="336">
        <v>8030</v>
      </c>
      <c r="AG742" s="334">
        <v>519.99800000000005</v>
      </c>
      <c r="AH742" s="336">
        <v>8030</v>
      </c>
      <c r="AI742" s="334">
        <v>520.49</v>
      </c>
      <c r="AJ742" s="336">
        <v>8010</v>
      </c>
      <c r="AK742" s="334">
        <v>521.56600000000003</v>
      </c>
      <c r="AL742" s="336">
        <v>8030</v>
      </c>
      <c r="AM742" s="334">
        <v>521.21299999999997</v>
      </c>
      <c r="AN742" s="336">
        <v>8030</v>
      </c>
      <c r="AO742" s="334">
        <v>521.88900000000001</v>
      </c>
      <c r="AP742" s="336">
        <v>8020</v>
      </c>
      <c r="AQ742" s="334">
        <v>521.48800000000006</v>
      </c>
      <c r="AR742" s="336">
        <v>8030</v>
      </c>
      <c r="AS742" s="334">
        <v>520.93399999999997</v>
      </c>
      <c r="AT742" s="336">
        <v>8030</v>
      </c>
      <c r="AU742" s="334">
        <v>519.31299999999999</v>
      </c>
      <c r="AV742" s="336">
        <v>8030</v>
      </c>
      <c r="AW742" s="334">
        <v>519.60599999999999</v>
      </c>
      <c r="AX742" s="336">
        <v>8020</v>
      </c>
      <c r="AY742" s="334">
        <v>443.524</v>
      </c>
      <c r="AZ742" s="336">
        <v>8030</v>
      </c>
      <c r="BA742" s="337">
        <v>445.13400000000001</v>
      </c>
      <c r="BB742" s="336">
        <v>8010</v>
      </c>
      <c r="BC742" s="334">
        <v>106.35899999999999</v>
      </c>
      <c r="BD742" s="336">
        <v>8010</v>
      </c>
      <c r="BE742" s="334">
        <v>112.488</v>
      </c>
    </row>
    <row r="743" spans="22:57">
      <c r="V743" s="346">
        <v>8040</v>
      </c>
      <c r="W743" s="333">
        <v>240.47200000000001</v>
      </c>
      <c r="X743" s="346">
        <v>8050</v>
      </c>
      <c r="Y743" s="334">
        <v>238.49299999999999</v>
      </c>
      <c r="Z743" s="335">
        <v>8040</v>
      </c>
      <c r="AA743" s="334">
        <v>574.75</v>
      </c>
      <c r="AB743" s="336">
        <v>8040</v>
      </c>
      <c r="AC743" s="334">
        <v>574.80899999999997</v>
      </c>
      <c r="AD743" s="336">
        <v>8040</v>
      </c>
      <c r="AE743" s="334">
        <v>519.43899999999996</v>
      </c>
      <c r="AF743" s="336">
        <v>8040</v>
      </c>
      <c r="AG743" s="334">
        <v>518.78499999999997</v>
      </c>
      <c r="AH743" s="336">
        <v>8040</v>
      </c>
      <c r="AI743" s="334">
        <v>519.27800000000002</v>
      </c>
      <c r="AJ743" s="336">
        <v>8020</v>
      </c>
      <c r="AK743" s="334">
        <v>520.35400000000004</v>
      </c>
      <c r="AL743" s="336">
        <v>8040</v>
      </c>
      <c r="AM743" s="334">
        <v>520.00099999999998</v>
      </c>
      <c r="AN743" s="336">
        <v>8040</v>
      </c>
      <c r="AO743" s="334">
        <v>520.67700000000002</v>
      </c>
      <c r="AP743" s="336">
        <v>8030</v>
      </c>
      <c r="AQ743" s="334">
        <v>520.27800000000002</v>
      </c>
      <c r="AR743" s="336">
        <v>8040</v>
      </c>
      <c r="AS743" s="334">
        <v>519.72299999999996</v>
      </c>
      <c r="AT743" s="336">
        <v>8040</v>
      </c>
      <c r="AU743" s="334">
        <v>518.10199999999998</v>
      </c>
      <c r="AV743" s="336">
        <v>8040</v>
      </c>
      <c r="AW743" s="334">
        <v>518.39599999999996</v>
      </c>
      <c r="AX743" s="336">
        <v>8030</v>
      </c>
      <c r="AY743" s="334">
        <v>442.31700000000001</v>
      </c>
      <c r="AZ743" s="336">
        <v>8040</v>
      </c>
      <c r="BA743" s="337">
        <v>443.92700000000002</v>
      </c>
      <c r="BB743" s="336">
        <v>8020</v>
      </c>
      <c r="BC743" s="334">
        <v>106.014</v>
      </c>
      <c r="BD743" s="336">
        <v>8020</v>
      </c>
      <c r="BE743" s="334">
        <v>112.129</v>
      </c>
    </row>
    <row r="744" spans="22:57">
      <c r="V744" s="346">
        <v>8050</v>
      </c>
      <c r="W744" s="333">
        <v>239.74700000000001</v>
      </c>
      <c r="X744" s="346">
        <v>8060</v>
      </c>
      <c r="Y744" s="334">
        <v>237.77099999999999</v>
      </c>
      <c r="Z744" s="335">
        <v>8050</v>
      </c>
      <c r="AA744" s="334">
        <v>573.28899999999999</v>
      </c>
      <c r="AB744" s="336">
        <v>8050</v>
      </c>
      <c r="AC744" s="334">
        <v>573.34900000000005</v>
      </c>
      <c r="AD744" s="336">
        <v>8050</v>
      </c>
      <c r="AE744" s="334">
        <v>518.22699999999998</v>
      </c>
      <c r="AF744" s="336">
        <v>8050</v>
      </c>
      <c r="AG744" s="334">
        <v>517.572</v>
      </c>
      <c r="AH744" s="336">
        <v>8050</v>
      </c>
      <c r="AI744" s="334">
        <v>518.06600000000003</v>
      </c>
      <c r="AJ744" s="336">
        <v>8030</v>
      </c>
      <c r="AK744" s="334">
        <v>519.14200000000005</v>
      </c>
      <c r="AL744" s="336">
        <v>8050</v>
      </c>
      <c r="AM744" s="334">
        <v>518.78899999999999</v>
      </c>
      <c r="AN744" s="336">
        <v>8050</v>
      </c>
      <c r="AO744" s="334">
        <v>519.46500000000003</v>
      </c>
      <c r="AP744" s="336">
        <v>8040</v>
      </c>
      <c r="AQ744" s="334">
        <v>519.06799999999998</v>
      </c>
      <c r="AR744" s="336">
        <v>8050</v>
      </c>
      <c r="AS744" s="334">
        <v>518.51199999999994</v>
      </c>
      <c r="AT744" s="336">
        <v>8050</v>
      </c>
      <c r="AU744" s="334">
        <v>516.89099999999996</v>
      </c>
      <c r="AV744" s="336">
        <v>8050</v>
      </c>
      <c r="AW744" s="334">
        <v>517.18600000000004</v>
      </c>
      <c r="AX744" s="336">
        <v>8040</v>
      </c>
      <c r="AY744" s="334">
        <v>441.11099999999999</v>
      </c>
      <c r="AZ744" s="336">
        <v>8050</v>
      </c>
      <c r="BA744" s="337">
        <v>442.721</v>
      </c>
      <c r="BB744" s="336">
        <v>8030</v>
      </c>
      <c r="BC744" s="334">
        <v>105.669</v>
      </c>
      <c r="BD744" s="336">
        <v>8030</v>
      </c>
      <c r="BE744" s="334">
        <v>111.77</v>
      </c>
    </row>
    <row r="745" spans="22:57">
      <c r="V745" s="346">
        <v>8060</v>
      </c>
      <c r="W745" s="333">
        <v>239.02199999999999</v>
      </c>
      <c r="X745" s="346">
        <v>8070</v>
      </c>
      <c r="Y745" s="334">
        <v>237.05</v>
      </c>
      <c r="Z745" s="335">
        <v>8060</v>
      </c>
      <c r="AA745" s="334">
        <v>571.82799999999997</v>
      </c>
      <c r="AB745" s="336">
        <v>8060</v>
      </c>
      <c r="AC745" s="334">
        <v>571.88800000000003</v>
      </c>
      <c r="AD745" s="336">
        <v>8060</v>
      </c>
      <c r="AE745" s="334">
        <v>517.01499999999999</v>
      </c>
      <c r="AF745" s="336">
        <v>8060</v>
      </c>
      <c r="AG745" s="334">
        <v>516.35799999999995</v>
      </c>
      <c r="AH745" s="336">
        <v>8060</v>
      </c>
      <c r="AI745" s="334">
        <v>516.85400000000004</v>
      </c>
      <c r="AJ745" s="336">
        <v>8040</v>
      </c>
      <c r="AK745" s="334">
        <v>517.92899999999997</v>
      </c>
      <c r="AL745" s="336">
        <v>8060</v>
      </c>
      <c r="AM745" s="334">
        <v>517.577</v>
      </c>
      <c r="AN745" s="336">
        <v>8060</v>
      </c>
      <c r="AO745" s="334">
        <v>518.25300000000004</v>
      </c>
      <c r="AP745" s="336">
        <v>8050</v>
      </c>
      <c r="AQ745" s="334">
        <v>517.85799999999995</v>
      </c>
      <c r="AR745" s="336">
        <v>8060</v>
      </c>
      <c r="AS745" s="334">
        <v>517.30100000000004</v>
      </c>
      <c r="AT745" s="336">
        <v>8060</v>
      </c>
      <c r="AU745" s="334">
        <v>515.67999999999995</v>
      </c>
      <c r="AV745" s="336">
        <v>8060</v>
      </c>
      <c r="AW745" s="334">
        <v>515.976</v>
      </c>
      <c r="AX745" s="336">
        <v>8050</v>
      </c>
      <c r="AY745" s="334">
        <v>439.904</v>
      </c>
      <c r="AZ745" s="336">
        <v>8060</v>
      </c>
      <c r="BA745" s="337">
        <v>441.51499999999999</v>
      </c>
      <c r="BB745" s="336">
        <v>8040</v>
      </c>
      <c r="BC745" s="334">
        <v>105.325</v>
      </c>
      <c r="BD745" s="336">
        <v>8040</v>
      </c>
      <c r="BE745" s="334">
        <v>111.411</v>
      </c>
    </row>
    <row r="746" spans="22:57">
      <c r="V746" s="346">
        <v>8070</v>
      </c>
      <c r="W746" s="333">
        <v>238.297</v>
      </c>
      <c r="X746" s="346">
        <v>8080</v>
      </c>
      <c r="Y746" s="334">
        <v>236.32900000000001</v>
      </c>
      <c r="Z746" s="335">
        <v>8070</v>
      </c>
      <c r="AA746" s="334">
        <v>570.36800000000005</v>
      </c>
      <c r="AB746" s="336">
        <v>8070</v>
      </c>
      <c r="AC746" s="334">
        <v>570.42700000000002</v>
      </c>
      <c r="AD746" s="336">
        <v>8070</v>
      </c>
      <c r="AE746" s="334">
        <v>515.803</v>
      </c>
      <c r="AF746" s="336">
        <v>8070</v>
      </c>
      <c r="AG746" s="334">
        <v>515.14499999999998</v>
      </c>
      <c r="AH746" s="336">
        <v>8070</v>
      </c>
      <c r="AI746" s="334">
        <v>515.64200000000005</v>
      </c>
      <c r="AJ746" s="336">
        <v>8050</v>
      </c>
      <c r="AK746" s="334">
        <v>516.71699999999998</v>
      </c>
      <c r="AL746" s="336">
        <v>8070</v>
      </c>
      <c r="AM746" s="334">
        <v>516.36500000000001</v>
      </c>
      <c r="AN746" s="336">
        <v>8070</v>
      </c>
      <c r="AO746" s="334">
        <v>517.04100000000005</v>
      </c>
      <c r="AP746" s="336">
        <v>8060</v>
      </c>
      <c r="AQ746" s="334">
        <v>516.64700000000005</v>
      </c>
      <c r="AR746" s="336">
        <v>8070</v>
      </c>
      <c r="AS746" s="334">
        <v>516.09</v>
      </c>
      <c r="AT746" s="336">
        <v>8070</v>
      </c>
      <c r="AU746" s="334">
        <v>514.46900000000005</v>
      </c>
      <c r="AV746" s="336">
        <v>8070</v>
      </c>
      <c r="AW746" s="334">
        <v>514.76599999999996</v>
      </c>
      <c r="AX746" s="336">
        <v>8060</v>
      </c>
      <c r="AY746" s="334">
        <v>438.69799999999998</v>
      </c>
      <c r="AZ746" s="336">
        <v>8070</v>
      </c>
      <c r="BA746" s="337">
        <v>440.30900000000003</v>
      </c>
      <c r="BB746" s="336">
        <v>8050</v>
      </c>
      <c r="BC746" s="334">
        <v>104.982</v>
      </c>
      <c r="BD746" s="336">
        <v>8050</v>
      </c>
      <c r="BE746" s="334">
        <v>111.053</v>
      </c>
    </row>
    <row r="747" spans="22:57">
      <c r="V747" s="346">
        <v>8080</v>
      </c>
      <c r="W747" s="333">
        <v>237.572</v>
      </c>
      <c r="X747" s="346">
        <v>8090</v>
      </c>
      <c r="Y747" s="334">
        <v>235.608</v>
      </c>
      <c r="Z747" s="335">
        <v>8080</v>
      </c>
      <c r="AA747" s="334">
        <v>568.90700000000004</v>
      </c>
      <c r="AB747" s="336">
        <v>8080</v>
      </c>
      <c r="AC747" s="334">
        <v>568.96699999999998</v>
      </c>
      <c r="AD747" s="336">
        <v>8080</v>
      </c>
      <c r="AE747" s="334">
        <v>514.59100000000001</v>
      </c>
      <c r="AF747" s="336">
        <v>8080</v>
      </c>
      <c r="AG747" s="334">
        <v>513.93100000000004</v>
      </c>
      <c r="AH747" s="336">
        <v>8080</v>
      </c>
      <c r="AI747" s="334">
        <v>514.42999999999995</v>
      </c>
      <c r="AJ747" s="336">
        <v>8060</v>
      </c>
      <c r="AK747" s="334">
        <v>515.505</v>
      </c>
      <c r="AL747" s="336">
        <v>8080</v>
      </c>
      <c r="AM747" s="334">
        <v>515.15300000000002</v>
      </c>
      <c r="AN747" s="336">
        <v>8080</v>
      </c>
      <c r="AO747" s="334">
        <v>515.82899999999995</v>
      </c>
      <c r="AP747" s="336">
        <v>8070</v>
      </c>
      <c r="AQ747" s="334">
        <v>515.43700000000001</v>
      </c>
      <c r="AR747" s="336">
        <v>8080</v>
      </c>
      <c r="AS747" s="334">
        <v>514.87900000000002</v>
      </c>
      <c r="AT747" s="336">
        <v>8080</v>
      </c>
      <c r="AU747" s="334">
        <v>513.25800000000004</v>
      </c>
      <c r="AV747" s="336">
        <v>8080</v>
      </c>
      <c r="AW747" s="334">
        <v>513.55600000000004</v>
      </c>
      <c r="AX747" s="336">
        <v>8070</v>
      </c>
      <c r="AY747" s="334">
        <v>437.49099999999999</v>
      </c>
      <c r="AZ747" s="336">
        <v>8080</v>
      </c>
      <c r="BA747" s="337">
        <v>439.10300000000001</v>
      </c>
      <c r="BB747" s="336">
        <v>8060</v>
      </c>
      <c r="BC747" s="334">
        <v>104.639</v>
      </c>
      <c r="BD747" s="336">
        <v>8060</v>
      </c>
      <c r="BE747" s="334">
        <v>110.69499999999999</v>
      </c>
    </row>
    <row r="748" spans="22:57">
      <c r="V748" s="346">
        <v>8090</v>
      </c>
      <c r="W748" s="333">
        <v>236.84800000000001</v>
      </c>
      <c r="X748" s="346">
        <v>8100</v>
      </c>
      <c r="Y748" s="334">
        <v>234.887</v>
      </c>
      <c r="Z748" s="335">
        <v>8090</v>
      </c>
      <c r="AA748" s="334">
        <v>567.447</v>
      </c>
      <c r="AB748" s="336">
        <v>8090</v>
      </c>
      <c r="AC748" s="334">
        <v>567.50599999999997</v>
      </c>
      <c r="AD748" s="336">
        <v>8090</v>
      </c>
      <c r="AE748" s="334">
        <v>513.37900000000002</v>
      </c>
      <c r="AF748" s="336">
        <v>8090</v>
      </c>
      <c r="AG748" s="334">
        <v>512.71799999999996</v>
      </c>
      <c r="AH748" s="336">
        <v>8090</v>
      </c>
      <c r="AI748" s="334">
        <v>513.21799999999996</v>
      </c>
      <c r="AJ748" s="336">
        <v>8070</v>
      </c>
      <c r="AK748" s="334">
        <v>514.29200000000003</v>
      </c>
      <c r="AL748" s="336">
        <v>8090</v>
      </c>
      <c r="AM748" s="334">
        <v>513.94100000000003</v>
      </c>
      <c r="AN748" s="336">
        <v>8090</v>
      </c>
      <c r="AO748" s="334">
        <v>514.61699999999996</v>
      </c>
      <c r="AP748" s="336">
        <v>8080</v>
      </c>
      <c r="AQ748" s="334">
        <v>514.22699999999998</v>
      </c>
      <c r="AR748" s="336">
        <v>8090</v>
      </c>
      <c r="AS748" s="334">
        <v>513.66800000000001</v>
      </c>
      <c r="AT748" s="336">
        <v>8090</v>
      </c>
      <c r="AU748" s="334">
        <v>512.04700000000003</v>
      </c>
      <c r="AV748" s="336">
        <v>8090</v>
      </c>
      <c r="AW748" s="334">
        <v>512.346</v>
      </c>
      <c r="AX748" s="336">
        <v>8080</v>
      </c>
      <c r="AY748" s="334">
        <v>436.28500000000003</v>
      </c>
      <c r="AZ748" s="336">
        <v>8090</v>
      </c>
      <c r="BA748" s="337">
        <v>437.89699999999999</v>
      </c>
      <c r="BB748" s="336">
        <v>8070</v>
      </c>
      <c r="BC748" s="334">
        <v>104.29600000000001</v>
      </c>
      <c r="BD748" s="336">
        <v>8070</v>
      </c>
      <c r="BE748" s="334">
        <v>110.33799999999999</v>
      </c>
    </row>
    <row r="749" spans="22:57">
      <c r="V749" s="346">
        <v>8100</v>
      </c>
      <c r="W749" s="333">
        <v>236.12299999999999</v>
      </c>
      <c r="X749" s="346">
        <v>8110</v>
      </c>
      <c r="Y749" s="334">
        <v>234.167</v>
      </c>
      <c r="Z749" s="335">
        <v>8100</v>
      </c>
      <c r="AA749" s="334">
        <v>565.98599999999999</v>
      </c>
      <c r="AB749" s="336">
        <v>8100</v>
      </c>
      <c r="AC749" s="334">
        <v>566.04600000000005</v>
      </c>
      <c r="AD749" s="336">
        <v>8100</v>
      </c>
      <c r="AE749" s="334">
        <v>512.16700000000003</v>
      </c>
      <c r="AF749" s="336">
        <v>8100</v>
      </c>
      <c r="AG749" s="334">
        <v>511.50400000000002</v>
      </c>
      <c r="AH749" s="336">
        <v>8100</v>
      </c>
      <c r="AI749" s="334">
        <v>512.00599999999997</v>
      </c>
      <c r="AJ749" s="336">
        <v>8080</v>
      </c>
      <c r="AK749" s="334">
        <v>513.08000000000004</v>
      </c>
      <c r="AL749" s="336">
        <v>8100</v>
      </c>
      <c r="AM749" s="334">
        <v>512.72900000000004</v>
      </c>
      <c r="AN749" s="336">
        <v>8100</v>
      </c>
      <c r="AO749" s="334">
        <v>513.40499999999997</v>
      </c>
      <c r="AP749" s="336">
        <v>8090</v>
      </c>
      <c r="AQ749" s="334">
        <v>513.01700000000005</v>
      </c>
      <c r="AR749" s="336">
        <v>8100</v>
      </c>
      <c r="AS749" s="334">
        <v>512.45699999999999</v>
      </c>
      <c r="AT749" s="336">
        <v>8100</v>
      </c>
      <c r="AU749" s="334">
        <v>510.83699999999999</v>
      </c>
      <c r="AV749" s="336">
        <v>8100</v>
      </c>
      <c r="AW749" s="334">
        <v>511.13600000000002</v>
      </c>
      <c r="AX749" s="336">
        <v>8090</v>
      </c>
      <c r="AY749" s="334">
        <v>435.07900000000001</v>
      </c>
      <c r="AZ749" s="336">
        <v>8100</v>
      </c>
      <c r="BA749" s="337">
        <v>436.69099999999997</v>
      </c>
      <c r="BB749" s="336">
        <v>8080</v>
      </c>
      <c r="BC749" s="334">
        <v>103.95399999999999</v>
      </c>
      <c r="BD749" s="336">
        <v>8080</v>
      </c>
      <c r="BE749" s="334">
        <v>109.982</v>
      </c>
    </row>
    <row r="750" spans="22:57">
      <c r="V750" s="346">
        <v>8110</v>
      </c>
      <c r="W750" s="333">
        <v>235.399</v>
      </c>
      <c r="X750" s="346">
        <v>8120</v>
      </c>
      <c r="Y750" s="334">
        <v>233.446</v>
      </c>
      <c r="Z750" s="335">
        <v>8110</v>
      </c>
      <c r="AA750" s="334">
        <v>564.52599999999995</v>
      </c>
      <c r="AB750" s="336">
        <v>8110</v>
      </c>
      <c r="AC750" s="334">
        <v>564.58600000000001</v>
      </c>
      <c r="AD750" s="336">
        <v>8110</v>
      </c>
      <c r="AE750" s="334">
        <v>510.95499999999998</v>
      </c>
      <c r="AF750" s="336">
        <v>8110</v>
      </c>
      <c r="AG750" s="334">
        <v>510.291</v>
      </c>
      <c r="AH750" s="336">
        <v>8110</v>
      </c>
      <c r="AI750" s="334">
        <v>510.79399999999998</v>
      </c>
      <c r="AJ750" s="336">
        <v>8090</v>
      </c>
      <c r="AK750" s="334">
        <v>511.86799999999999</v>
      </c>
      <c r="AL750" s="336">
        <v>8110</v>
      </c>
      <c r="AM750" s="334">
        <v>511.517</v>
      </c>
      <c r="AN750" s="336">
        <v>8110</v>
      </c>
      <c r="AO750" s="334">
        <v>512.19299999999998</v>
      </c>
      <c r="AP750" s="336">
        <v>8100</v>
      </c>
      <c r="AQ750" s="334">
        <v>511.80700000000002</v>
      </c>
      <c r="AR750" s="336">
        <v>8110</v>
      </c>
      <c r="AS750" s="334">
        <v>511.24599999999998</v>
      </c>
      <c r="AT750" s="336">
        <v>8110</v>
      </c>
      <c r="AU750" s="334">
        <v>509.62599999999998</v>
      </c>
      <c r="AV750" s="336">
        <v>8110</v>
      </c>
      <c r="AW750" s="334">
        <v>509.92599999999999</v>
      </c>
      <c r="AX750" s="336">
        <v>8100</v>
      </c>
      <c r="AY750" s="334">
        <v>433.87299999999999</v>
      </c>
      <c r="AZ750" s="336">
        <v>8110</v>
      </c>
      <c r="BA750" s="337">
        <v>435.48599999999999</v>
      </c>
      <c r="BB750" s="336">
        <v>8090</v>
      </c>
      <c r="BC750" s="334">
        <v>103.613</v>
      </c>
      <c r="BD750" s="336">
        <v>8090</v>
      </c>
      <c r="BE750" s="334">
        <v>109.626</v>
      </c>
    </row>
    <row r="751" spans="22:57">
      <c r="V751" s="346">
        <v>8120</v>
      </c>
      <c r="W751" s="333">
        <v>234.67500000000001</v>
      </c>
      <c r="X751" s="346">
        <v>8130</v>
      </c>
      <c r="Y751" s="334">
        <v>232.727</v>
      </c>
      <c r="Z751" s="335">
        <v>8120</v>
      </c>
      <c r="AA751" s="334">
        <v>563.06600000000003</v>
      </c>
      <c r="AB751" s="336">
        <v>8120</v>
      </c>
      <c r="AC751" s="334">
        <v>563.12599999999998</v>
      </c>
      <c r="AD751" s="336">
        <v>8120</v>
      </c>
      <c r="AE751" s="334">
        <v>509.74299999999999</v>
      </c>
      <c r="AF751" s="336">
        <v>8120</v>
      </c>
      <c r="AG751" s="334">
        <v>509.07799999999997</v>
      </c>
      <c r="AH751" s="336">
        <v>8120</v>
      </c>
      <c r="AI751" s="334">
        <v>509.58300000000003</v>
      </c>
      <c r="AJ751" s="336">
        <v>8100</v>
      </c>
      <c r="AK751" s="334">
        <v>510.65600000000001</v>
      </c>
      <c r="AL751" s="336">
        <v>8120</v>
      </c>
      <c r="AM751" s="334">
        <v>510.30500000000001</v>
      </c>
      <c r="AN751" s="336">
        <v>8120</v>
      </c>
      <c r="AO751" s="334">
        <v>510.98</v>
      </c>
      <c r="AP751" s="336">
        <v>8110</v>
      </c>
      <c r="AQ751" s="334">
        <v>510.59699999999998</v>
      </c>
      <c r="AR751" s="336">
        <v>8120</v>
      </c>
      <c r="AS751" s="334">
        <v>510.03500000000003</v>
      </c>
      <c r="AT751" s="336">
        <v>8120</v>
      </c>
      <c r="AU751" s="334">
        <v>508.41500000000002</v>
      </c>
      <c r="AV751" s="336">
        <v>8120</v>
      </c>
      <c r="AW751" s="334">
        <v>508.71600000000001</v>
      </c>
      <c r="AX751" s="336">
        <v>8110</v>
      </c>
      <c r="AY751" s="334">
        <v>432.66800000000001</v>
      </c>
      <c r="AZ751" s="336">
        <v>8120</v>
      </c>
      <c r="BA751" s="337">
        <v>434.28</v>
      </c>
      <c r="BB751" s="336">
        <v>8100</v>
      </c>
      <c r="BC751" s="334">
        <v>103.27200000000001</v>
      </c>
      <c r="BD751" s="336">
        <v>8100</v>
      </c>
      <c r="BE751" s="334">
        <v>109.271</v>
      </c>
    </row>
    <row r="752" spans="22:57">
      <c r="V752" s="346">
        <v>8130</v>
      </c>
      <c r="W752" s="333">
        <v>233.952</v>
      </c>
      <c r="X752" s="346">
        <v>8140</v>
      </c>
      <c r="Y752" s="334">
        <v>232.00700000000001</v>
      </c>
      <c r="Z752" s="335">
        <v>8130</v>
      </c>
      <c r="AA752" s="334">
        <v>561.60599999999999</v>
      </c>
      <c r="AB752" s="336">
        <v>8130</v>
      </c>
      <c r="AC752" s="334">
        <v>561.66600000000005</v>
      </c>
      <c r="AD752" s="336">
        <v>8130</v>
      </c>
      <c r="AE752" s="334">
        <v>508.53199999999998</v>
      </c>
      <c r="AF752" s="336">
        <v>8130</v>
      </c>
      <c r="AG752" s="334">
        <v>507.86500000000001</v>
      </c>
      <c r="AH752" s="336">
        <v>8130</v>
      </c>
      <c r="AI752" s="334">
        <v>508.37099999999998</v>
      </c>
      <c r="AJ752" s="336">
        <v>8110</v>
      </c>
      <c r="AK752" s="334">
        <v>509.44400000000002</v>
      </c>
      <c r="AL752" s="336">
        <v>8130</v>
      </c>
      <c r="AM752" s="334">
        <v>509.09300000000002</v>
      </c>
      <c r="AN752" s="336">
        <v>8130</v>
      </c>
      <c r="AO752" s="334">
        <v>509.76900000000001</v>
      </c>
      <c r="AP752" s="336">
        <v>8120</v>
      </c>
      <c r="AQ752" s="334">
        <v>509.387</v>
      </c>
      <c r="AR752" s="336">
        <v>8130</v>
      </c>
      <c r="AS752" s="334">
        <v>508.82400000000001</v>
      </c>
      <c r="AT752" s="336">
        <v>8130</v>
      </c>
      <c r="AU752" s="334">
        <v>507.20400000000001</v>
      </c>
      <c r="AV752" s="336">
        <v>8130</v>
      </c>
      <c r="AW752" s="334">
        <v>507.50599999999997</v>
      </c>
      <c r="AX752" s="336">
        <v>8120</v>
      </c>
      <c r="AY752" s="334">
        <v>431.46300000000002</v>
      </c>
      <c r="AZ752" s="336">
        <v>8130</v>
      </c>
      <c r="BA752" s="337">
        <v>433.07499999999999</v>
      </c>
      <c r="BB752" s="336">
        <v>8110</v>
      </c>
      <c r="BC752" s="334">
        <v>102.932</v>
      </c>
      <c r="BD752" s="336">
        <v>8110</v>
      </c>
      <c r="BE752" s="334">
        <v>108.916</v>
      </c>
    </row>
    <row r="753" spans="22:57">
      <c r="V753" s="346">
        <v>8140</v>
      </c>
      <c r="W753" s="333">
        <v>233.22900000000001</v>
      </c>
      <c r="X753" s="346">
        <v>8150</v>
      </c>
      <c r="Y753" s="334">
        <v>231.28800000000001</v>
      </c>
      <c r="Z753" s="335">
        <v>8140</v>
      </c>
      <c r="AA753" s="334">
        <v>560.14700000000005</v>
      </c>
      <c r="AB753" s="336">
        <v>8140</v>
      </c>
      <c r="AC753" s="334">
        <v>560.20600000000002</v>
      </c>
      <c r="AD753" s="336">
        <v>8140</v>
      </c>
      <c r="AE753" s="334">
        <v>507.32</v>
      </c>
      <c r="AF753" s="336">
        <v>8140</v>
      </c>
      <c r="AG753" s="334">
        <v>506.65199999999999</v>
      </c>
      <c r="AH753" s="336">
        <v>8140</v>
      </c>
      <c r="AI753" s="334">
        <v>507.16</v>
      </c>
      <c r="AJ753" s="336">
        <v>8120</v>
      </c>
      <c r="AK753" s="334">
        <v>508.23200000000003</v>
      </c>
      <c r="AL753" s="336">
        <v>8140</v>
      </c>
      <c r="AM753" s="334">
        <v>507.88200000000001</v>
      </c>
      <c r="AN753" s="336">
        <v>8140</v>
      </c>
      <c r="AO753" s="334">
        <v>508.55700000000002</v>
      </c>
      <c r="AP753" s="336">
        <v>8130</v>
      </c>
      <c r="AQ753" s="334">
        <v>508.17700000000002</v>
      </c>
      <c r="AR753" s="336">
        <v>8140</v>
      </c>
      <c r="AS753" s="334">
        <v>507.61399999999998</v>
      </c>
      <c r="AT753" s="336">
        <v>8140</v>
      </c>
      <c r="AU753" s="334">
        <v>505.99400000000003</v>
      </c>
      <c r="AV753" s="336">
        <v>8140</v>
      </c>
      <c r="AW753" s="334">
        <v>506.29700000000003</v>
      </c>
      <c r="AX753" s="336">
        <v>8130</v>
      </c>
      <c r="AY753" s="334">
        <v>430.25799999999998</v>
      </c>
      <c r="AZ753" s="336">
        <v>8140</v>
      </c>
      <c r="BA753" s="337">
        <v>431.87</v>
      </c>
      <c r="BB753" s="336">
        <v>8120</v>
      </c>
      <c r="BC753" s="334">
        <v>102.592</v>
      </c>
      <c r="BD753" s="336">
        <v>8120</v>
      </c>
      <c r="BE753" s="334">
        <v>108.562</v>
      </c>
    </row>
    <row r="754" spans="22:57">
      <c r="V754" s="346">
        <v>8150</v>
      </c>
      <c r="W754" s="333">
        <v>232.50700000000001</v>
      </c>
      <c r="X754" s="346">
        <v>8160</v>
      </c>
      <c r="Y754" s="334">
        <v>230.56899999999999</v>
      </c>
      <c r="Z754" s="335">
        <v>8150</v>
      </c>
      <c r="AA754" s="334">
        <v>558.68700000000001</v>
      </c>
      <c r="AB754" s="336">
        <v>8150</v>
      </c>
      <c r="AC754" s="334">
        <v>558.74699999999996</v>
      </c>
      <c r="AD754" s="336">
        <v>8150</v>
      </c>
      <c r="AE754" s="334">
        <v>506.10899999999998</v>
      </c>
      <c r="AF754" s="336">
        <v>8150</v>
      </c>
      <c r="AG754" s="334">
        <v>505.43900000000002</v>
      </c>
      <c r="AH754" s="336">
        <v>8150</v>
      </c>
      <c r="AI754" s="334">
        <v>505.94799999999998</v>
      </c>
      <c r="AJ754" s="336">
        <v>8130</v>
      </c>
      <c r="AK754" s="334">
        <v>507.02</v>
      </c>
      <c r="AL754" s="336">
        <v>8150</v>
      </c>
      <c r="AM754" s="334">
        <v>506.67</v>
      </c>
      <c r="AN754" s="336">
        <v>8150</v>
      </c>
      <c r="AO754" s="334">
        <v>507.346</v>
      </c>
      <c r="AP754" s="336">
        <v>8140</v>
      </c>
      <c r="AQ754" s="334">
        <v>506.96699999999998</v>
      </c>
      <c r="AR754" s="336">
        <v>8150</v>
      </c>
      <c r="AS754" s="334">
        <v>506.404</v>
      </c>
      <c r="AT754" s="336">
        <v>8150</v>
      </c>
      <c r="AU754" s="334">
        <v>504.78300000000002</v>
      </c>
      <c r="AV754" s="336">
        <v>8150</v>
      </c>
      <c r="AW754" s="334">
        <v>505.08699999999999</v>
      </c>
      <c r="AX754" s="336">
        <v>8140</v>
      </c>
      <c r="AY754" s="334">
        <v>429.053</v>
      </c>
      <c r="AZ754" s="336">
        <v>8150</v>
      </c>
      <c r="BA754" s="337">
        <v>430.666</v>
      </c>
      <c r="BB754" s="336">
        <v>8130</v>
      </c>
      <c r="BC754" s="334">
        <v>102.253</v>
      </c>
      <c r="BD754" s="336">
        <v>8130</v>
      </c>
      <c r="BE754" s="334">
        <v>108.209</v>
      </c>
    </row>
    <row r="755" spans="22:57">
      <c r="V755" s="346">
        <v>8160</v>
      </c>
      <c r="W755" s="333">
        <v>231.78399999999999</v>
      </c>
      <c r="X755" s="346">
        <v>8170</v>
      </c>
      <c r="Y755" s="334">
        <v>229.851</v>
      </c>
      <c r="Z755" s="335">
        <v>8160</v>
      </c>
      <c r="AA755" s="334">
        <v>557.22799999999995</v>
      </c>
      <c r="AB755" s="336">
        <v>8160</v>
      </c>
      <c r="AC755" s="334">
        <v>557.28800000000001</v>
      </c>
      <c r="AD755" s="336">
        <v>8160</v>
      </c>
      <c r="AE755" s="334">
        <v>504.89800000000002</v>
      </c>
      <c r="AF755" s="336">
        <v>8160</v>
      </c>
      <c r="AG755" s="334">
        <v>504.226</v>
      </c>
      <c r="AH755" s="336">
        <v>8160</v>
      </c>
      <c r="AI755" s="334">
        <v>504.73700000000002</v>
      </c>
      <c r="AJ755" s="336">
        <v>8140</v>
      </c>
      <c r="AK755" s="334">
        <v>505.80900000000003</v>
      </c>
      <c r="AL755" s="336">
        <v>8160</v>
      </c>
      <c r="AM755" s="334">
        <v>505.459</v>
      </c>
      <c r="AN755" s="336">
        <v>8160</v>
      </c>
      <c r="AO755" s="334">
        <v>506.13400000000001</v>
      </c>
      <c r="AP755" s="336">
        <v>8150</v>
      </c>
      <c r="AQ755" s="334">
        <v>505.75799999999998</v>
      </c>
      <c r="AR755" s="336">
        <v>8160</v>
      </c>
      <c r="AS755" s="334">
        <v>505.19299999999998</v>
      </c>
      <c r="AT755" s="336">
        <v>8160</v>
      </c>
      <c r="AU755" s="334">
        <v>503.57299999999998</v>
      </c>
      <c r="AV755" s="336">
        <v>8160</v>
      </c>
      <c r="AW755" s="334">
        <v>503.87799999999999</v>
      </c>
      <c r="AX755" s="336">
        <v>8150</v>
      </c>
      <c r="AY755" s="334">
        <v>427.84899999999999</v>
      </c>
      <c r="AZ755" s="336">
        <v>8160</v>
      </c>
      <c r="BA755" s="337">
        <v>429.46199999999999</v>
      </c>
      <c r="BB755" s="336">
        <v>8140</v>
      </c>
      <c r="BC755" s="334">
        <v>101.91500000000001</v>
      </c>
      <c r="BD755" s="336">
        <v>8140</v>
      </c>
      <c r="BE755" s="334">
        <v>107.85599999999999</v>
      </c>
    </row>
    <row r="756" spans="22:57">
      <c r="V756" s="346">
        <v>8170</v>
      </c>
      <c r="W756" s="333">
        <v>231.06200000000001</v>
      </c>
      <c r="X756" s="346">
        <v>8180</v>
      </c>
      <c r="Y756" s="334">
        <v>229.13200000000001</v>
      </c>
      <c r="Z756" s="335">
        <v>8170</v>
      </c>
      <c r="AA756" s="334">
        <v>555.76900000000001</v>
      </c>
      <c r="AB756" s="336">
        <v>8170</v>
      </c>
      <c r="AC756" s="334">
        <v>555.82899999999995</v>
      </c>
      <c r="AD756" s="336">
        <v>8170</v>
      </c>
      <c r="AE756" s="334">
        <v>503.68599999999998</v>
      </c>
      <c r="AF756" s="336">
        <v>8170</v>
      </c>
      <c r="AG756" s="334">
        <v>503.01299999999998</v>
      </c>
      <c r="AH756" s="336">
        <v>8170</v>
      </c>
      <c r="AI756" s="334">
        <v>503.52600000000001</v>
      </c>
      <c r="AJ756" s="336">
        <v>8150</v>
      </c>
      <c r="AK756" s="334">
        <v>504.59699999999998</v>
      </c>
      <c r="AL756" s="336">
        <v>8170</v>
      </c>
      <c r="AM756" s="334">
        <v>504.24700000000001</v>
      </c>
      <c r="AN756" s="336">
        <v>8170</v>
      </c>
      <c r="AO756" s="334">
        <v>504.923</v>
      </c>
      <c r="AP756" s="336">
        <v>8160</v>
      </c>
      <c r="AQ756" s="334">
        <v>504.548</v>
      </c>
      <c r="AR756" s="336">
        <v>8170</v>
      </c>
      <c r="AS756" s="334">
        <v>503.983</v>
      </c>
      <c r="AT756" s="336">
        <v>8170</v>
      </c>
      <c r="AU756" s="334">
        <v>502.363</v>
      </c>
      <c r="AV756" s="336">
        <v>8170</v>
      </c>
      <c r="AW756" s="334">
        <v>502.66899999999998</v>
      </c>
      <c r="AX756" s="336">
        <v>8160</v>
      </c>
      <c r="AY756" s="334">
        <v>426.64400000000001</v>
      </c>
      <c r="AZ756" s="336">
        <v>8170</v>
      </c>
      <c r="BA756" s="337">
        <v>428.25799999999998</v>
      </c>
      <c r="BB756" s="336">
        <v>8150</v>
      </c>
      <c r="BC756" s="334">
        <v>101.577</v>
      </c>
      <c r="BD756" s="336">
        <v>8150</v>
      </c>
      <c r="BE756" s="334">
        <v>107.504</v>
      </c>
    </row>
    <row r="757" spans="22:57">
      <c r="V757" s="346">
        <v>8180</v>
      </c>
      <c r="W757" s="333">
        <v>230.34</v>
      </c>
      <c r="X757" s="346">
        <v>8190</v>
      </c>
      <c r="Y757" s="334">
        <v>228.41399999999999</v>
      </c>
      <c r="Z757" s="335">
        <v>8180</v>
      </c>
      <c r="AA757" s="334">
        <v>554.30999999999995</v>
      </c>
      <c r="AB757" s="336">
        <v>8180</v>
      </c>
      <c r="AC757" s="334">
        <v>554.37</v>
      </c>
      <c r="AD757" s="336">
        <v>8180</v>
      </c>
      <c r="AE757" s="334">
        <v>502.47500000000002</v>
      </c>
      <c r="AF757" s="336">
        <v>8180</v>
      </c>
      <c r="AG757" s="334">
        <v>501.80099999999999</v>
      </c>
      <c r="AH757" s="336">
        <v>8180</v>
      </c>
      <c r="AI757" s="334">
        <v>502.31400000000002</v>
      </c>
      <c r="AJ757" s="336">
        <v>8160</v>
      </c>
      <c r="AK757" s="334">
        <v>503.38499999999999</v>
      </c>
      <c r="AL757" s="336">
        <v>8180</v>
      </c>
      <c r="AM757" s="334">
        <v>503.036</v>
      </c>
      <c r="AN757" s="336">
        <v>8180</v>
      </c>
      <c r="AO757" s="334">
        <v>503.71100000000001</v>
      </c>
      <c r="AP757" s="336">
        <v>8170</v>
      </c>
      <c r="AQ757" s="334">
        <v>503.339</v>
      </c>
      <c r="AR757" s="336">
        <v>8180</v>
      </c>
      <c r="AS757" s="334">
        <v>502.77199999999999</v>
      </c>
      <c r="AT757" s="336">
        <v>8180</v>
      </c>
      <c r="AU757" s="334">
        <v>501.15199999999999</v>
      </c>
      <c r="AV757" s="336">
        <v>8180</v>
      </c>
      <c r="AW757" s="334">
        <v>501.459</v>
      </c>
      <c r="AX757" s="336">
        <v>8170</v>
      </c>
      <c r="AY757" s="334">
        <v>425.44</v>
      </c>
      <c r="AZ757" s="336">
        <v>8180</v>
      </c>
      <c r="BA757" s="337">
        <v>427.05399999999997</v>
      </c>
      <c r="BB757" s="336">
        <v>8160</v>
      </c>
      <c r="BC757" s="334">
        <v>101.24</v>
      </c>
      <c r="BD757" s="336">
        <v>8160</v>
      </c>
      <c r="BE757" s="334">
        <v>107.152</v>
      </c>
    </row>
    <row r="758" spans="22:57">
      <c r="V758" s="346">
        <v>8190</v>
      </c>
      <c r="W758" s="333">
        <v>229.61799999999999</v>
      </c>
      <c r="X758" s="346">
        <v>8200</v>
      </c>
      <c r="Y758" s="334">
        <v>227.696</v>
      </c>
      <c r="Z758" s="335">
        <v>8190</v>
      </c>
      <c r="AA758" s="334">
        <v>552.851</v>
      </c>
      <c r="AB758" s="336">
        <v>8190</v>
      </c>
      <c r="AC758" s="334">
        <v>552.91099999999994</v>
      </c>
      <c r="AD758" s="336">
        <v>8190</v>
      </c>
      <c r="AE758" s="334">
        <v>501.26400000000001</v>
      </c>
      <c r="AF758" s="336">
        <v>8190</v>
      </c>
      <c r="AG758" s="334">
        <v>500.58800000000002</v>
      </c>
      <c r="AH758" s="336">
        <v>8190</v>
      </c>
      <c r="AI758" s="334">
        <v>501.10300000000001</v>
      </c>
      <c r="AJ758" s="336">
        <v>8170</v>
      </c>
      <c r="AK758" s="334">
        <v>502.17399999999998</v>
      </c>
      <c r="AL758" s="336">
        <v>8190</v>
      </c>
      <c r="AM758" s="334">
        <v>501.82400000000001</v>
      </c>
      <c r="AN758" s="336">
        <v>8190</v>
      </c>
      <c r="AO758" s="334">
        <v>502.5</v>
      </c>
      <c r="AP758" s="336">
        <v>8180</v>
      </c>
      <c r="AQ758" s="334">
        <v>502.12900000000002</v>
      </c>
      <c r="AR758" s="336">
        <v>8190</v>
      </c>
      <c r="AS758" s="334">
        <v>501.56200000000001</v>
      </c>
      <c r="AT758" s="336">
        <v>8190</v>
      </c>
      <c r="AU758" s="334">
        <v>499.94200000000001</v>
      </c>
      <c r="AV758" s="336">
        <v>8190</v>
      </c>
      <c r="AW758" s="334">
        <v>500.25</v>
      </c>
      <c r="AX758" s="336">
        <v>8180</v>
      </c>
      <c r="AY758" s="334">
        <v>424.23599999999999</v>
      </c>
      <c r="AZ758" s="336">
        <v>8190</v>
      </c>
      <c r="BA758" s="337">
        <v>425.85</v>
      </c>
      <c r="BB758" s="336">
        <v>8170</v>
      </c>
      <c r="BC758" s="334">
        <v>100.90300000000001</v>
      </c>
      <c r="BD758" s="336">
        <v>8170</v>
      </c>
      <c r="BE758" s="334">
        <v>106.801</v>
      </c>
    </row>
    <row r="759" spans="22:57">
      <c r="V759" s="346">
        <v>8200</v>
      </c>
      <c r="W759" s="333">
        <v>228.89699999999999</v>
      </c>
      <c r="X759" s="346">
        <v>8210</v>
      </c>
      <c r="Y759" s="334">
        <v>226.97800000000001</v>
      </c>
      <c r="Z759" s="335">
        <v>8200</v>
      </c>
      <c r="AA759" s="334">
        <v>551.39200000000005</v>
      </c>
      <c r="AB759" s="336">
        <v>8200</v>
      </c>
      <c r="AC759" s="334">
        <v>551.452</v>
      </c>
      <c r="AD759" s="336">
        <v>8200</v>
      </c>
      <c r="AE759" s="334">
        <v>500.05200000000002</v>
      </c>
      <c r="AF759" s="336">
        <v>8200</v>
      </c>
      <c r="AG759" s="334">
        <v>499.375</v>
      </c>
      <c r="AH759" s="336">
        <v>8200</v>
      </c>
      <c r="AI759" s="334">
        <v>499.89100000000002</v>
      </c>
      <c r="AJ759" s="336">
        <v>8180</v>
      </c>
      <c r="AK759" s="334">
        <v>500.96199999999999</v>
      </c>
      <c r="AL759" s="336">
        <v>8200</v>
      </c>
      <c r="AM759" s="334">
        <v>500.613</v>
      </c>
      <c r="AN759" s="336">
        <v>8200</v>
      </c>
      <c r="AO759" s="334">
        <v>501.28800000000001</v>
      </c>
      <c r="AP759" s="336">
        <v>8190</v>
      </c>
      <c r="AQ759" s="334">
        <v>500.91899999999998</v>
      </c>
      <c r="AR759" s="336">
        <v>8200</v>
      </c>
      <c r="AS759" s="334">
        <v>500.35199999999998</v>
      </c>
      <c r="AT759" s="336">
        <v>8200</v>
      </c>
      <c r="AU759" s="334">
        <v>498.73200000000003</v>
      </c>
      <c r="AV759" s="336">
        <v>8200</v>
      </c>
      <c r="AW759" s="334">
        <v>499.04</v>
      </c>
      <c r="AX759" s="336">
        <v>8190</v>
      </c>
      <c r="AY759" s="334">
        <v>423.03300000000002</v>
      </c>
      <c r="AZ759" s="336">
        <v>8200</v>
      </c>
      <c r="BA759" s="337">
        <v>424.64699999999999</v>
      </c>
      <c r="BB759" s="336">
        <v>8180</v>
      </c>
      <c r="BC759" s="334">
        <v>100.56699999999999</v>
      </c>
      <c r="BD759" s="336">
        <v>8180</v>
      </c>
      <c r="BE759" s="334">
        <v>106.45099999999999</v>
      </c>
    </row>
    <row r="760" spans="22:57">
      <c r="V760" s="346">
        <v>8210</v>
      </c>
      <c r="W760" s="333">
        <v>228.17500000000001</v>
      </c>
      <c r="X760" s="346">
        <v>8220</v>
      </c>
      <c r="Y760" s="334">
        <v>226.26</v>
      </c>
      <c r="Z760" s="335">
        <v>8210</v>
      </c>
      <c r="AA760" s="334">
        <v>549.93399999999997</v>
      </c>
      <c r="AB760" s="336">
        <v>8210</v>
      </c>
      <c r="AC760" s="334">
        <v>549.99300000000005</v>
      </c>
      <c r="AD760" s="336">
        <v>8210</v>
      </c>
      <c r="AE760" s="334">
        <v>498.84100000000001</v>
      </c>
      <c r="AF760" s="336">
        <v>8210</v>
      </c>
      <c r="AG760" s="334">
        <v>498.16199999999998</v>
      </c>
      <c r="AH760" s="336">
        <v>8210</v>
      </c>
      <c r="AI760" s="334">
        <v>498.68</v>
      </c>
      <c r="AJ760" s="336">
        <v>8190</v>
      </c>
      <c r="AK760" s="334">
        <v>499.75</v>
      </c>
      <c r="AL760" s="336">
        <v>8210</v>
      </c>
      <c r="AM760" s="334">
        <v>499.40100000000001</v>
      </c>
      <c r="AN760" s="336">
        <v>8210</v>
      </c>
      <c r="AO760" s="334">
        <v>500.077</v>
      </c>
      <c r="AP760" s="336">
        <v>8200</v>
      </c>
      <c r="AQ760" s="334">
        <v>499.71</v>
      </c>
      <c r="AR760" s="336">
        <v>8210</v>
      </c>
      <c r="AS760" s="334">
        <v>499.14100000000002</v>
      </c>
      <c r="AT760" s="336">
        <v>8210</v>
      </c>
      <c r="AU760" s="334">
        <v>497.52100000000002</v>
      </c>
      <c r="AV760" s="336">
        <v>8210</v>
      </c>
      <c r="AW760" s="334">
        <v>497.83100000000002</v>
      </c>
      <c r="AX760" s="336">
        <v>8200</v>
      </c>
      <c r="AY760" s="334">
        <v>421.82900000000001</v>
      </c>
      <c r="AZ760" s="336">
        <v>8210</v>
      </c>
      <c r="BA760" s="337">
        <v>423.44299999999998</v>
      </c>
      <c r="BB760" s="336">
        <v>8190</v>
      </c>
      <c r="BC760" s="334">
        <v>100.232</v>
      </c>
      <c r="BD760" s="336">
        <v>8190</v>
      </c>
      <c r="BE760" s="334">
        <v>106.101</v>
      </c>
    </row>
    <row r="761" spans="22:57">
      <c r="V761" s="346">
        <v>8220</v>
      </c>
      <c r="W761" s="333">
        <v>227.45400000000001</v>
      </c>
      <c r="X761" s="346">
        <v>8230</v>
      </c>
      <c r="Y761" s="334">
        <v>225.54300000000001</v>
      </c>
      <c r="Z761" s="335">
        <v>8220</v>
      </c>
      <c r="AA761" s="334">
        <v>548.47500000000002</v>
      </c>
      <c r="AB761" s="336">
        <v>8220</v>
      </c>
      <c r="AC761" s="334">
        <v>548.53499999999997</v>
      </c>
      <c r="AD761" s="336">
        <v>8220</v>
      </c>
      <c r="AE761" s="334">
        <v>497.63</v>
      </c>
      <c r="AF761" s="336">
        <v>8220</v>
      </c>
      <c r="AG761" s="334">
        <v>496.94900000000001</v>
      </c>
      <c r="AH761" s="336">
        <v>8220</v>
      </c>
      <c r="AI761" s="334">
        <v>497.46800000000002</v>
      </c>
      <c r="AJ761" s="336">
        <v>8200</v>
      </c>
      <c r="AK761" s="334">
        <v>498.53899999999999</v>
      </c>
      <c r="AL761" s="336">
        <v>8220</v>
      </c>
      <c r="AM761" s="334">
        <v>498.19</v>
      </c>
      <c r="AN761" s="336">
        <v>8220</v>
      </c>
      <c r="AO761" s="334">
        <v>498.86500000000001</v>
      </c>
      <c r="AP761" s="336">
        <v>8210</v>
      </c>
      <c r="AQ761" s="334">
        <v>498.5</v>
      </c>
      <c r="AR761" s="336">
        <v>8220</v>
      </c>
      <c r="AS761" s="334">
        <v>497.93099999999998</v>
      </c>
      <c r="AT761" s="336">
        <v>8220</v>
      </c>
      <c r="AU761" s="334">
        <v>496.31099999999998</v>
      </c>
      <c r="AV761" s="336">
        <v>8220</v>
      </c>
      <c r="AW761" s="334">
        <v>496.62099999999998</v>
      </c>
      <c r="AX761" s="336">
        <v>8210</v>
      </c>
      <c r="AY761" s="334">
        <v>420.62599999999998</v>
      </c>
      <c r="AZ761" s="336">
        <v>8220</v>
      </c>
      <c r="BA761" s="337">
        <v>422.24</v>
      </c>
      <c r="BB761" s="336">
        <v>8200</v>
      </c>
      <c r="BC761" s="334">
        <v>99.896000000000001</v>
      </c>
      <c r="BD761" s="336">
        <v>8200</v>
      </c>
      <c r="BE761" s="334">
        <v>105.751</v>
      </c>
    </row>
    <row r="762" spans="22:57">
      <c r="V762" s="346">
        <v>8230</v>
      </c>
      <c r="W762" s="333">
        <v>226.733</v>
      </c>
      <c r="X762" s="346">
        <v>8240</v>
      </c>
      <c r="Y762" s="334">
        <v>224.82599999999999</v>
      </c>
      <c r="Z762" s="335">
        <v>8230</v>
      </c>
      <c r="AA762" s="334">
        <v>547.01700000000005</v>
      </c>
      <c r="AB762" s="336">
        <v>8230</v>
      </c>
      <c r="AC762" s="334">
        <v>547.07600000000002</v>
      </c>
      <c r="AD762" s="336">
        <v>8230</v>
      </c>
      <c r="AE762" s="334">
        <v>496.41800000000001</v>
      </c>
      <c r="AF762" s="336">
        <v>8230</v>
      </c>
      <c r="AG762" s="334">
        <v>495.73599999999999</v>
      </c>
      <c r="AH762" s="336">
        <v>8230</v>
      </c>
      <c r="AI762" s="334">
        <v>496.25700000000001</v>
      </c>
      <c r="AJ762" s="336">
        <v>8210</v>
      </c>
      <c r="AK762" s="334">
        <v>497.327</v>
      </c>
      <c r="AL762" s="336">
        <v>8230</v>
      </c>
      <c r="AM762" s="334">
        <v>496.97899999999998</v>
      </c>
      <c r="AN762" s="336">
        <v>8230</v>
      </c>
      <c r="AO762" s="334">
        <v>497.654</v>
      </c>
      <c r="AP762" s="336">
        <v>8220</v>
      </c>
      <c r="AQ762" s="334">
        <v>497.29</v>
      </c>
      <c r="AR762" s="336">
        <v>8230</v>
      </c>
      <c r="AS762" s="334">
        <v>496.72</v>
      </c>
      <c r="AT762" s="336">
        <v>8230</v>
      </c>
      <c r="AU762" s="334">
        <v>495.1</v>
      </c>
      <c r="AV762" s="336">
        <v>8230</v>
      </c>
      <c r="AW762" s="334">
        <v>495.41199999999998</v>
      </c>
      <c r="AX762" s="336">
        <v>8220</v>
      </c>
      <c r="AY762" s="334">
        <v>419.42200000000003</v>
      </c>
      <c r="AZ762" s="336">
        <v>8230</v>
      </c>
      <c r="BA762" s="337">
        <v>421.03699999999998</v>
      </c>
      <c r="BB762" s="336">
        <v>8210</v>
      </c>
      <c r="BC762" s="334">
        <v>99.561999999999998</v>
      </c>
      <c r="BD762" s="336">
        <v>8210</v>
      </c>
      <c r="BE762" s="334">
        <v>105.402</v>
      </c>
    </row>
    <row r="763" spans="22:57">
      <c r="V763" s="346">
        <v>8240</v>
      </c>
      <c r="W763" s="333">
        <v>226.01300000000001</v>
      </c>
      <c r="X763" s="346">
        <v>8250</v>
      </c>
      <c r="Y763" s="334">
        <v>224.10900000000001</v>
      </c>
      <c r="Z763" s="335">
        <v>8240</v>
      </c>
      <c r="AA763" s="334">
        <v>545.55799999999999</v>
      </c>
      <c r="AB763" s="336">
        <v>8240</v>
      </c>
      <c r="AC763" s="334">
        <v>545.61800000000005</v>
      </c>
      <c r="AD763" s="336">
        <v>8240</v>
      </c>
      <c r="AE763" s="334">
        <v>495.20699999999999</v>
      </c>
      <c r="AF763" s="336">
        <v>8240</v>
      </c>
      <c r="AG763" s="334">
        <v>494.52300000000002</v>
      </c>
      <c r="AH763" s="336">
        <v>8240</v>
      </c>
      <c r="AI763" s="334">
        <v>495.04500000000002</v>
      </c>
      <c r="AJ763" s="336">
        <v>8220</v>
      </c>
      <c r="AK763" s="334">
        <v>496.11500000000001</v>
      </c>
      <c r="AL763" s="336">
        <v>8240</v>
      </c>
      <c r="AM763" s="334">
        <v>495.767</v>
      </c>
      <c r="AN763" s="336">
        <v>8240</v>
      </c>
      <c r="AO763" s="334">
        <v>496.44200000000001</v>
      </c>
      <c r="AP763" s="336">
        <v>8230</v>
      </c>
      <c r="AQ763" s="334">
        <v>496.08100000000002</v>
      </c>
      <c r="AR763" s="336">
        <v>8240</v>
      </c>
      <c r="AS763" s="334">
        <v>495.51</v>
      </c>
      <c r="AT763" s="336">
        <v>8240</v>
      </c>
      <c r="AU763" s="334">
        <v>493.89</v>
      </c>
      <c r="AV763" s="336">
        <v>8240</v>
      </c>
      <c r="AW763" s="334">
        <v>494.20299999999997</v>
      </c>
      <c r="AX763" s="336">
        <v>8230</v>
      </c>
      <c r="AY763" s="334">
        <v>418.21899999999999</v>
      </c>
      <c r="AZ763" s="336">
        <v>8240</v>
      </c>
      <c r="BA763" s="337">
        <v>419.83499999999998</v>
      </c>
      <c r="BB763" s="336">
        <v>8220</v>
      </c>
      <c r="BC763" s="334">
        <v>99.227999999999994</v>
      </c>
      <c r="BD763" s="336">
        <v>8220</v>
      </c>
      <c r="BE763" s="334">
        <v>105.054</v>
      </c>
    </row>
    <row r="764" spans="22:57">
      <c r="V764" s="346">
        <v>8250</v>
      </c>
      <c r="W764" s="333">
        <v>225.292</v>
      </c>
      <c r="X764" s="346">
        <v>8260</v>
      </c>
      <c r="Y764" s="334">
        <v>223.392</v>
      </c>
      <c r="Z764" s="335">
        <v>8250</v>
      </c>
      <c r="AA764" s="334">
        <v>544.1</v>
      </c>
      <c r="AB764" s="336">
        <v>8250</v>
      </c>
      <c r="AC764" s="334">
        <v>544.15899999999999</v>
      </c>
      <c r="AD764" s="336">
        <v>8250</v>
      </c>
      <c r="AE764" s="334">
        <v>493.99599999999998</v>
      </c>
      <c r="AF764" s="336">
        <v>8250</v>
      </c>
      <c r="AG764" s="334">
        <v>493.31099999999998</v>
      </c>
      <c r="AH764" s="336">
        <v>8250</v>
      </c>
      <c r="AI764" s="334">
        <v>493.834</v>
      </c>
      <c r="AJ764" s="336">
        <v>8230</v>
      </c>
      <c r="AK764" s="334">
        <v>494.904</v>
      </c>
      <c r="AL764" s="336">
        <v>8250</v>
      </c>
      <c r="AM764" s="334">
        <v>494.55599999999998</v>
      </c>
      <c r="AN764" s="336">
        <v>8250</v>
      </c>
      <c r="AO764" s="334">
        <v>495.23099999999999</v>
      </c>
      <c r="AP764" s="336">
        <v>8240</v>
      </c>
      <c r="AQ764" s="334">
        <v>494.87099999999998</v>
      </c>
      <c r="AR764" s="336">
        <v>8250</v>
      </c>
      <c r="AS764" s="334">
        <v>494.29899999999998</v>
      </c>
      <c r="AT764" s="336">
        <v>8250</v>
      </c>
      <c r="AU764" s="334">
        <v>492.68</v>
      </c>
      <c r="AV764" s="336">
        <v>8250</v>
      </c>
      <c r="AW764" s="334">
        <v>492.99299999999999</v>
      </c>
      <c r="AX764" s="336">
        <v>8240</v>
      </c>
      <c r="AY764" s="334">
        <v>417.017</v>
      </c>
      <c r="AZ764" s="336">
        <v>8250</v>
      </c>
      <c r="BA764" s="337">
        <v>418.63200000000001</v>
      </c>
      <c r="BB764" s="336">
        <v>8230</v>
      </c>
      <c r="BC764" s="334">
        <v>98.894000000000005</v>
      </c>
      <c r="BD764" s="336">
        <v>8230</v>
      </c>
      <c r="BE764" s="334">
        <v>104.706</v>
      </c>
    </row>
    <row r="765" spans="22:57">
      <c r="V765" s="346">
        <v>8260</v>
      </c>
      <c r="W765" s="333">
        <v>224.572</v>
      </c>
      <c r="X765" s="346">
        <v>8270</v>
      </c>
      <c r="Y765" s="334">
        <v>222.67500000000001</v>
      </c>
      <c r="Z765" s="335">
        <v>8260</v>
      </c>
      <c r="AA765" s="334">
        <v>542.64200000000005</v>
      </c>
      <c r="AB765" s="336">
        <v>8260</v>
      </c>
      <c r="AC765" s="334">
        <v>542.70100000000002</v>
      </c>
      <c r="AD765" s="336">
        <v>8260</v>
      </c>
      <c r="AE765" s="334">
        <v>492.78399999999999</v>
      </c>
      <c r="AF765" s="336">
        <v>8260</v>
      </c>
      <c r="AG765" s="334">
        <v>492.09800000000001</v>
      </c>
      <c r="AH765" s="336">
        <v>8260</v>
      </c>
      <c r="AI765" s="334">
        <v>492.62299999999999</v>
      </c>
      <c r="AJ765" s="336">
        <v>8240</v>
      </c>
      <c r="AK765" s="334">
        <v>493.69200000000001</v>
      </c>
      <c r="AL765" s="336">
        <v>8260</v>
      </c>
      <c r="AM765" s="334">
        <v>493.34399999999999</v>
      </c>
      <c r="AN765" s="336">
        <v>8260</v>
      </c>
      <c r="AO765" s="334">
        <v>494.01900000000001</v>
      </c>
      <c r="AP765" s="336">
        <v>8250</v>
      </c>
      <c r="AQ765" s="334">
        <v>493.66199999999998</v>
      </c>
      <c r="AR765" s="336">
        <v>8260</v>
      </c>
      <c r="AS765" s="334">
        <v>493.089</v>
      </c>
      <c r="AT765" s="336">
        <v>8260</v>
      </c>
      <c r="AU765" s="334">
        <v>491.46899999999999</v>
      </c>
      <c r="AV765" s="336">
        <v>8260</v>
      </c>
      <c r="AW765" s="334">
        <v>491.78399999999999</v>
      </c>
      <c r="AX765" s="336">
        <v>8250</v>
      </c>
      <c r="AY765" s="334">
        <v>415.81400000000002</v>
      </c>
      <c r="AZ765" s="336">
        <v>8260</v>
      </c>
      <c r="BA765" s="337">
        <v>417.43</v>
      </c>
      <c r="BB765" s="336">
        <v>8240</v>
      </c>
      <c r="BC765" s="334">
        <v>98.561000000000007</v>
      </c>
      <c r="BD765" s="336">
        <v>8240</v>
      </c>
      <c r="BE765" s="334">
        <v>104.358</v>
      </c>
    </row>
    <row r="766" spans="22:57">
      <c r="V766" s="346">
        <v>8270</v>
      </c>
      <c r="W766" s="333">
        <v>223.852</v>
      </c>
      <c r="X766" s="346">
        <v>8280</v>
      </c>
      <c r="Y766" s="334">
        <v>221.959</v>
      </c>
      <c r="Z766" s="335">
        <v>8270</v>
      </c>
      <c r="AA766" s="334">
        <v>541.18399999999997</v>
      </c>
      <c r="AB766" s="336">
        <v>8270</v>
      </c>
      <c r="AC766" s="334">
        <v>541.24300000000005</v>
      </c>
      <c r="AD766" s="336">
        <v>8270</v>
      </c>
      <c r="AE766" s="334">
        <v>491.57299999999998</v>
      </c>
      <c r="AF766" s="336">
        <v>8270</v>
      </c>
      <c r="AG766" s="334">
        <v>490.88499999999999</v>
      </c>
      <c r="AH766" s="336">
        <v>8270</v>
      </c>
      <c r="AI766" s="334">
        <v>491.411</v>
      </c>
      <c r="AJ766" s="336">
        <v>8250</v>
      </c>
      <c r="AK766" s="334">
        <v>492.48</v>
      </c>
      <c r="AL766" s="336">
        <v>8270</v>
      </c>
      <c r="AM766" s="334">
        <v>492.13299999999998</v>
      </c>
      <c r="AN766" s="336">
        <v>8270</v>
      </c>
      <c r="AO766" s="334">
        <v>492.80799999999999</v>
      </c>
      <c r="AP766" s="336">
        <v>8260</v>
      </c>
      <c r="AQ766" s="334">
        <v>492.452</v>
      </c>
      <c r="AR766" s="336">
        <v>8270</v>
      </c>
      <c r="AS766" s="334">
        <v>491.87900000000002</v>
      </c>
      <c r="AT766" s="336">
        <v>8270</v>
      </c>
      <c r="AU766" s="334">
        <v>490.25900000000001</v>
      </c>
      <c r="AV766" s="336">
        <v>8270</v>
      </c>
      <c r="AW766" s="334">
        <v>490.57400000000001</v>
      </c>
      <c r="AX766" s="336">
        <v>8260</v>
      </c>
      <c r="AY766" s="334">
        <v>414.61200000000002</v>
      </c>
      <c r="AZ766" s="336">
        <v>8270</v>
      </c>
      <c r="BA766" s="337">
        <v>416.22800000000001</v>
      </c>
      <c r="BB766" s="336">
        <v>8250</v>
      </c>
      <c r="BC766" s="334">
        <v>98.228999999999999</v>
      </c>
      <c r="BD766" s="336">
        <v>8250</v>
      </c>
      <c r="BE766" s="334">
        <v>104.011</v>
      </c>
    </row>
    <row r="767" spans="22:57">
      <c r="V767" s="346">
        <v>8280</v>
      </c>
      <c r="W767" s="333">
        <v>223.13200000000001</v>
      </c>
      <c r="X767" s="346">
        <v>8290</v>
      </c>
      <c r="Y767" s="334">
        <v>221.24299999999999</v>
      </c>
      <c r="Z767" s="335">
        <v>8280</v>
      </c>
      <c r="AA767" s="334">
        <v>539.726</v>
      </c>
      <c r="AB767" s="336">
        <v>8280</v>
      </c>
      <c r="AC767" s="334">
        <v>539.78499999999997</v>
      </c>
      <c r="AD767" s="336">
        <v>8280</v>
      </c>
      <c r="AE767" s="334">
        <v>490.36200000000002</v>
      </c>
      <c r="AF767" s="336">
        <v>8280</v>
      </c>
      <c r="AG767" s="334">
        <v>489.67200000000003</v>
      </c>
      <c r="AH767" s="336">
        <v>8280</v>
      </c>
      <c r="AI767" s="334">
        <v>490.2</v>
      </c>
      <c r="AJ767" s="336">
        <v>8260</v>
      </c>
      <c r="AK767" s="334">
        <v>491.26900000000001</v>
      </c>
      <c r="AL767" s="336">
        <v>8280</v>
      </c>
      <c r="AM767" s="334">
        <v>490.92099999999999</v>
      </c>
      <c r="AN767" s="336">
        <v>8280</v>
      </c>
      <c r="AO767" s="334">
        <v>491.596</v>
      </c>
      <c r="AP767" s="336">
        <v>8270</v>
      </c>
      <c r="AQ767" s="334">
        <v>491.24200000000002</v>
      </c>
      <c r="AR767" s="336">
        <v>8280</v>
      </c>
      <c r="AS767" s="334">
        <v>490.66800000000001</v>
      </c>
      <c r="AT767" s="336">
        <v>8280</v>
      </c>
      <c r="AU767" s="334">
        <v>489.04899999999998</v>
      </c>
      <c r="AV767" s="336">
        <v>8280</v>
      </c>
      <c r="AW767" s="334">
        <v>489.36500000000001</v>
      </c>
      <c r="AX767" s="336">
        <v>8270</v>
      </c>
      <c r="AY767" s="334">
        <v>413.41</v>
      </c>
      <c r="AZ767" s="336">
        <v>8280</v>
      </c>
      <c r="BA767" s="337">
        <v>415.02600000000001</v>
      </c>
      <c r="BB767" s="336">
        <v>8260</v>
      </c>
      <c r="BC767" s="334">
        <v>97.897000000000006</v>
      </c>
      <c r="BD767" s="336">
        <v>8260</v>
      </c>
      <c r="BE767" s="334">
        <v>103.66500000000001</v>
      </c>
    </row>
    <row r="768" spans="22:57">
      <c r="V768" s="346">
        <v>8290</v>
      </c>
      <c r="W768" s="333">
        <v>222.41300000000001</v>
      </c>
      <c r="X768" s="346">
        <v>8300</v>
      </c>
      <c r="Y768" s="334">
        <v>220.52699999999999</v>
      </c>
      <c r="Z768" s="335">
        <v>8290</v>
      </c>
      <c r="AA768" s="334">
        <v>538.26800000000003</v>
      </c>
      <c r="AB768" s="336">
        <v>8290</v>
      </c>
      <c r="AC768" s="334">
        <v>538.327</v>
      </c>
      <c r="AD768" s="336">
        <v>8290</v>
      </c>
      <c r="AE768" s="334">
        <v>489.15</v>
      </c>
      <c r="AF768" s="336">
        <v>8290</v>
      </c>
      <c r="AG768" s="334">
        <v>488.459</v>
      </c>
      <c r="AH768" s="336">
        <v>8290</v>
      </c>
      <c r="AI768" s="334">
        <v>488.98899999999998</v>
      </c>
      <c r="AJ768" s="336">
        <v>8270</v>
      </c>
      <c r="AK768" s="334">
        <v>490.05700000000002</v>
      </c>
      <c r="AL768" s="336">
        <v>8290</v>
      </c>
      <c r="AM768" s="334">
        <v>489.71</v>
      </c>
      <c r="AN768" s="336">
        <v>8290</v>
      </c>
      <c r="AO768" s="334">
        <v>490.38499999999999</v>
      </c>
      <c r="AP768" s="336">
        <v>8280</v>
      </c>
      <c r="AQ768" s="334">
        <v>490.03300000000002</v>
      </c>
      <c r="AR768" s="336">
        <v>8290</v>
      </c>
      <c r="AS768" s="334">
        <v>489.45800000000003</v>
      </c>
      <c r="AT768" s="336">
        <v>8290</v>
      </c>
      <c r="AU768" s="334">
        <v>487.83800000000002</v>
      </c>
      <c r="AV768" s="336">
        <v>8290</v>
      </c>
      <c r="AW768" s="334">
        <v>488.15499999999997</v>
      </c>
      <c r="AX768" s="336">
        <v>8280</v>
      </c>
      <c r="AY768" s="334">
        <v>412.20800000000003</v>
      </c>
      <c r="AZ768" s="336">
        <v>8290</v>
      </c>
      <c r="BA768" s="337">
        <v>413.82499999999999</v>
      </c>
      <c r="BB768" s="336">
        <v>8270</v>
      </c>
      <c r="BC768" s="334">
        <v>97.564999999999998</v>
      </c>
      <c r="BD768" s="336">
        <v>8270</v>
      </c>
      <c r="BE768" s="334">
        <v>103.319</v>
      </c>
    </row>
    <row r="769" spans="22:57">
      <c r="V769" s="346">
        <v>8300</v>
      </c>
      <c r="W769" s="333">
        <v>221.69300000000001</v>
      </c>
      <c r="X769" s="346">
        <v>8310</v>
      </c>
      <c r="Y769" s="334">
        <v>219.81100000000001</v>
      </c>
      <c r="Z769" s="335">
        <v>8300</v>
      </c>
      <c r="AA769" s="334">
        <v>536.81100000000004</v>
      </c>
      <c r="AB769" s="336">
        <v>8300</v>
      </c>
      <c r="AC769" s="334">
        <v>536.86900000000003</v>
      </c>
      <c r="AD769" s="336">
        <v>8300</v>
      </c>
      <c r="AE769" s="334">
        <v>487.93900000000002</v>
      </c>
      <c r="AF769" s="336">
        <v>8300</v>
      </c>
      <c r="AG769" s="334">
        <v>487.24599999999998</v>
      </c>
      <c r="AH769" s="336">
        <v>8300</v>
      </c>
      <c r="AI769" s="334">
        <v>487.77699999999999</v>
      </c>
      <c r="AJ769" s="336">
        <v>8280</v>
      </c>
      <c r="AK769" s="334">
        <v>488.84500000000003</v>
      </c>
      <c r="AL769" s="336">
        <v>8300</v>
      </c>
      <c r="AM769" s="334">
        <v>488.49900000000002</v>
      </c>
      <c r="AN769" s="336">
        <v>8300</v>
      </c>
      <c r="AO769" s="334">
        <v>489.173</v>
      </c>
      <c r="AP769" s="336">
        <v>8290</v>
      </c>
      <c r="AQ769" s="334">
        <v>488.82299999999998</v>
      </c>
      <c r="AR769" s="336">
        <v>8300</v>
      </c>
      <c r="AS769" s="334">
        <v>488.24700000000001</v>
      </c>
      <c r="AT769" s="336">
        <v>8300</v>
      </c>
      <c r="AU769" s="334">
        <v>486.62799999999999</v>
      </c>
      <c r="AV769" s="336">
        <v>8300</v>
      </c>
      <c r="AW769" s="334">
        <v>486.94600000000003</v>
      </c>
      <c r="AX769" s="336">
        <v>8290</v>
      </c>
      <c r="AY769" s="334">
        <v>411.00700000000001</v>
      </c>
      <c r="AZ769" s="336">
        <v>8300</v>
      </c>
      <c r="BA769" s="337">
        <v>412.62400000000002</v>
      </c>
      <c r="BB769" s="336">
        <v>8280</v>
      </c>
      <c r="BC769" s="334">
        <v>97.233999999999995</v>
      </c>
      <c r="BD769" s="336">
        <v>8280</v>
      </c>
      <c r="BE769" s="334">
        <v>102.974</v>
      </c>
    </row>
    <row r="770" spans="22:57">
      <c r="V770" s="346">
        <v>8310</v>
      </c>
      <c r="W770" s="333">
        <v>220.97399999999999</v>
      </c>
      <c r="X770" s="346">
        <v>8320</v>
      </c>
      <c r="Y770" s="334">
        <v>219.096</v>
      </c>
      <c r="Z770" s="335">
        <v>8310</v>
      </c>
      <c r="AA770" s="334">
        <v>535.35299999999995</v>
      </c>
      <c r="AB770" s="336">
        <v>8310</v>
      </c>
      <c r="AC770" s="334">
        <v>535.41099999999994</v>
      </c>
      <c r="AD770" s="336">
        <v>8310</v>
      </c>
      <c r="AE770" s="334">
        <v>486.72800000000001</v>
      </c>
      <c r="AF770" s="336">
        <v>8310</v>
      </c>
      <c r="AG770" s="334">
        <v>486.03300000000002</v>
      </c>
      <c r="AH770" s="336">
        <v>8310</v>
      </c>
      <c r="AI770" s="334">
        <v>486.56599999999997</v>
      </c>
      <c r="AJ770" s="336">
        <v>8290</v>
      </c>
      <c r="AK770" s="334">
        <v>487.63400000000001</v>
      </c>
      <c r="AL770" s="336">
        <v>8310</v>
      </c>
      <c r="AM770" s="334">
        <v>487.28699999999998</v>
      </c>
      <c r="AN770" s="336">
        <v>8310</v>
      </c>
      <c r="AO770" s="334">
        <v>487.96199999999999</v>
      </c>
      <c r="AP770" s="336">
        <v>8300</v>
      </c>
      <c r="AQ770" s="334">
        <v>487.613</v>
      </c>
      <c r="AR770" s="336">
        <v>8310</v>
      </c>
      <c r="AS770" s="334">
        <v>487.03699999999998</v>
      </c>
      <c r="AT770" s="336">
        <v>8310</v>
      </c>
      <c r="AU770" s="334">
        <v>485.41800000000001</v>
      </c>
      <c r="AV770" s="336">
        <v>8310</v>
      </c>
      <c r="AW770" s="334">
        <v>485.73700000000002</v>
      </c>
      <c r="AX770" s="336">
        <v>8300</v>
      </c>
      <c r="AY770" s="334">
        <v>409.80500000000001</v>
      </c>
      <c r="AZ770" s="336">
        <v>8310</v>
      </c>
      <c r="BA770" s="337">
        <v>411.423</v>
      </c>
      <c r="BB770" s="336">
        <v>8290</v>
      </c>
      <c r="BC770" s="334">
        <v>96.903999999999996</v>
      </c>
      <c r="BD770" s="336">
        <v>8290</v>
      </c>
      <c r="BE770" s="334">
        <v>102.629</v>
      </c>
    </row>
    <row r="771" spans="22:57">
      <c r="V771" s="346">
        <v>8320</v>
      </c>
      <c r="W771" s="333">
        <v>220.255</v>
      </c>
      <c r="X771" s="346">
        <v>8330</v>
      </c>
      <c r="Y771" s="334">
        <v>218.38</v>
      </c>
      <c r="Z771" s="335">
        <v>8320</v>
      </c>
      <c r="AA771" s="334">
        <v>533.89499999999998</v>
      </c>
      <c r="AB771" s="336">
        <v>8320</v>
      </c>
      <c r="AC771" s="334">
        <v>533.95399999999995</v>
      </c>
      <c r="AD771" s="336">
        <v>8320</v>
      </c>
      <c r="AE771" s="334">
        <v>485.517</v>
      </c>
      <c r="AF771" s="336">
        <v>8320</v>
      </c>
      <c r="AG771" s="334">
        <v>484.82</v>
      </c>
      <c r="AH771" s="336">
        <v>8320</v>
      </c>
      <c r="AI771" s="334">
        <v>485.35399999999998</v>
      </c>
      <c r="AJ771" s="336">
        <v>8300</v>
      </c>
      <c r="AK771" s="334">
        <v>486.42200000000003</v>
      </c>
      <c r="AL771" s="336">
        <v>8320</v>
      </c>
      <c r="AM771" s="334">
        <v>486.07600000000002</v>
      </c>
      <c r="AN771" s="336">
        <v>8320</v>
      </c>
      <c r="AO771" s="334">
        <v>486.75</v>
      </c>
      <c r="AP771" s="336">
        <v>8310</v>
      </c>
      <c r="AQ771" s="334">
        <v>486.404</v>
      </c>
      <c r="AR771" s="336">
        <v>8320</v>
      </c>
      <c r="AS771" s="334">
        <v>485.827</v>
      </c>
      <c r="AT771" s="336">
        <v>8320</v>
      </c>
      <c r="AU771" s="334">
        <v>484.20699999999999</v>
      </c>
      <c r="AV771" s="336">
        <v>8320</v>
      </c>
      <c r="AW771" s="334">
        <v>484.52699999999999</v>
      </c>
      <c r="AX771" s="336">
        <v>8310</v>
      </c>
      <c r="AY771" s="334">
        <v>408.60399999999998</v>
      </c>
      <c r="AZ771" s="336">
        <v>8320</v>
      </c>
      <c r="BA771" s="337">
        <v>410.22199999999998</v>
      </c>
      <c r="BB771" s="336">
        <v>8300</v>
      </c>
      <c r="BC771" s="334">
        <v>96.573999999999998</v>
      </c>
      <c r="BD771" s="336">
        <v>8300</v>
      </c>
      <c r="BE771" s="334">
        <v>102.285</v>
      </c>
    </row>
    <row r="772" spans="22:57">
      <c r="V772" s="346">
        <v>8330</v>
      </c>
      <c r="W772" s="333">
        <v>219.536</v>
      </c>
      <c r="X772" s="346">
        <v>8340</v>
      </c>
      <c r="Y772" s="334">
        <v>217.66499999999999</v>
      </c>
      <c r="Z772" s="335">
        <v>8330</v>
      </c>
      <c r="AA772" s="334">
        <v>532.43799999999999</v>
      </c>
      <c r="AB772" s="336">
        <v>8330</v>
      </c>
      <c r="AC772" s="334">
        <v>532.49599999999998</v>
      </c>
      <c r="AD772" s="336">
        <v>8330</v>
      </c>
      <c r="AE772" s="334">
        <v>484.30500000000001</v>
      </c>
      <c r="AF772" s="336">
        <v>8330</v>
      </c>
      <c r="AG772" s="334">
        <v>483.608</v>
      </c>
      <c r="AH772" s="336">
        <v>8330</v>
      </c>
      <c r="AI772" s="334">
        <v>484.14299999999997</v>
      </c>
      <c r="AJ772" s="336">
        <v>8310</v>
      </c>
      <c r="AK772" s="334">
        <v>485.21</v>
      </c>
      <c r="AL772" s="336">
        <v>8330</v>
      </c>
      <c r="AM772" s="334">
        <v>484.86399999999998</v>
      </c>
      <c r="AN772" s="336">
        <v>8330</v>
      </c>
      <c r="AO772" s="334">
        <v>485.53899999999999</v>
      </c>
      <c r="AP772" s="336">
        <v>8320</v>
      </c>
      <c r="AQ772" s="334">
        <v>485.19400000000002</v>
      </c>
      <c r="AR772" s="336">
        <v>8330</v>
      </c>
      <c r="AS772" s="334">
        <v>484.61599999999999</v>
      </c>
      <c r="AT772" s="336">
        <v>8330</v>
      </c>
      <c r="AU772" s="334">
        <v>482.99700000000001</v>
      </c>
      <c r="AV772" s="336">
        <v>8330</v>
      </c>
      <c r="AW772" s="334">
        <v>483.31799999999998</v>
      </c>
      <c r="AX772" s="336">
        <v>8320</v>
      </c>
      <c r="AY772" s="334">
        <v>407.404</v>
      </c>
      <c r="AZ772" s="336">
        <v>8330</v>
      </c>
      <c r="BA772" s="337">
        <v>409.02100000000002</v>
      </c>
      <c r="BB772" s="336">
        <v>8310</v>
      </c>
      <c r="BC772" s="334">
        <v>96.245000000000005</v>
      </c>
      <c r="BD772" s="336">
        <v>8310</v>
      </c>
      <c r="BE772" s="334">
        <v>101.941</v>
      </c>
    </row>
    <row r="773" spans="22:57">
      <c r="V773" s="346">
        <v>8340</v>
      </c>
      <c r="W773" s="333">
        <v>218.81800000000001</v>
      </c>
      <c r="X773" s="346">
        <v>8350</v>
      </c>
      <c r="Y773" s="334">
        <v>216.95</v>
      </c>
      <c r="Z773" s="335">
        <v>8340</v>
      </c>
      <c r="AA773" s="334">
        <v>530.98099999999999</v>
      </c>
      <c r="AB773" s="336">
        <v>8340</v>
      </c>
      <c r="AC773" s="334">
        <v>531.03800000000001</v>
      </c>
      <c r="AD773" s="336">
        <v>8340</v>
      </c>
      <c r="AE773" s="334">
        <v>483.09399999999999</v>
      </c>
      <c r="AF773" s="336">
        <v>8340</v>
      </c>
      <c r="AG773" s="334">
        <v>482.39499999999998</v>
      </c>
      <c r="AH773" s="336">
        <v>8340</v>
      </c>
      <c r="AI773" s="334">
        <v>482.93099999999998</v>
      </c>
      <c r="AJ773" s="336">
        <v>8320</v>
      </c>
      <c r="AK773" s="334">
        <v>483.99900000000002</v>
      </c>
      <c r="AL773" s="336">
        <v>8340</v>
      </c>
      <c r="AM773" s="334">
        <v>483.65300000000002</v>
      </c>
      <c r="AN773" s="336">
        <v>8340</v>
      </c>
      <c r="AO773" s="334">
        <v>484.327</v>
      </c>
      <c r="AP773" s="336">
        <v>8330</v>
      </c>
      <c r="AQ773" s="334">
        <v>483.98500000000001</v>
      </c>
      <c r="AR773" s="336">
        <v>8340</v>
      </c>
      <c r="AS773" s="334">
        <v>483.40600000000001</v>
      </c>
      <c r="AT773" s="336">
        <v>8340</v>
      </c>
      <c r="AU773" s="334">
        <v>481.78699999999998</v>
      </c>
      <c r="AV773" s="336">
        <v>8340</v>
      </c>
      <c r="AW773" s="334">
        <v>482.108</v>
      </c>
      <c r="AX773" s="336">
        <v>8330</v>
      </c>
      <c r="AY773" s="334">
        <v>406.20299999999997</v>
      </c>
      <c r="AZ773" s="336">
        <v>8340</v>
      </c>
      <c r="BA773" s="337">
        <v>407.82100000000003</v>
      </c>
      <c r="BB773" s="336">
        <v>8320</v>
      </c>
      <c r="BC773" s="334">
        <v>95.915999999999997</v>
      </c>
      <c r="BD773" s="336">
        <v>8320</v>
      </c>
      <c r="BE773" s="334">
        <v>101.598</v>
      </c>
    </row>
    <row r="774" spans="22:57">
      <c r="V774" s="346">
        <v>8350</v>
      </c>
      <c r="W774" s="333">
        <v>218.1</v>
      </c>
      <c r="X774" s="346">
        <v>8360</v>
      </c>
      <c r="Y774" s="334">
        <v>216.23599999999999</v>
      </c>
      <c r="Z774" s="335">
        <v>8350</v>
      </c>
      <c r="AA774" s="334">
        <v>529.524</v>
      </c>
      <c r="AB774" s="336">
        <v>8350</v>
      </c>
      <c r="AC774" s="334">
        <v>529.58100000000002</v>
      </c>
      <c r="AD774" s="336">
        <v>8350</v>
      </c>
      <c r="AE774" s="334">
        <v>481.88299999999998</v>
      </c>
      <c r="AF774" s="336">
        <v>8350</v>
      </c>
      <c r="AG774" s="334">
        <v>481.18200000000002</v>
      </c>
      <c r="AH774" s="336">
        <v>8350</v>
      </c>
      <c r="AI774" s="334">
        <v>481.72</v>
      </c>
      <c r="AJ774" s="336">
        <v>8330</v>
      </c>
      <c r="AK774" s="334">
        <v>482.78699999999998</v>
      </c>
      <c r="AL774" s="336">
        <v>8350</v>
      </c>
      <c r="AM774" s="334">
        <v>482.44099999999997</v>
      </c>
      <c r="AN774" s="336">
        <v>8350</v>
      </c>
      <c r="AO774" s="334">
        <v>483.11599999999999</v>
      </c>
      <c r="AP774" s="336">
        <v>8340</v>
      </c>
      <c r="AQ774" s="334">
        <v>482.77499999999998</v>
      </c>
      <c r="AR774" s="336">
        <v>8350</v>
      </c>
      <c r="AS774" s="334">
        <v>482.19499999999999</v>
      </c>
      <c r="AT774" s="336">
        <v>8350</v>
      </c>
      <c r="AU774" s="334">
        <v>480.57600000000002</v>
      </c>
      <c r="AV774" s="336">
        <v>8350</v>
      </c>
      <c r="AW774" s="334">
        <v>480.899</v>
      </c>
      <c r="AX774" s="336">
        <v>8340</v>
      </c>
      <c r="AY774" s="334">
        <v>405.00299999999999</v>
      </c>
      <c r="AZ774" s="336">
        <v>8350</v>
      </c>
      <c r="BA774" s="337">
        <v>406.62099999999998</v>
      </c>
      <c r="BB774" s="336">
        <v>8330</v>
      </c>
      <c r="BC774" s="334">
        <v>95.587999999999994</v>
      </c>
      <c r="BD774" s="336">
        <v>8330</v>
      </c>
      <c r="BE774" s="334">
        <v>101.255</v>
      </c>
    </row>
    <row r="775" spans="22:57">
      <c r="V775" s="346">
        <v>8360</v>
      </c>
      <c r="W775" s="333">
        <v>217.38200000000001</v>
      </c>
      <c r="X775" s="346">
        <v>8370</v>
      </c>
      <c r="Y775" s="334">
        <v>215.52099999999999</v>
      </c>
      <c r="Z775" s="335">
        <v>8360</v>
      </c>
      <c r="AA775" s="334">
        <v>528.06600000000003</v>
      </c>
      <c r="AB775" s="336">
        <v>8360</v>
      </c>
      <c r="AC775" s="334">
        <v>528.12400000000002</v>
      </c>
      <c r="AD775" s="336">
        <v>8360</v>
      </c>
      <c r="AE775" s="334">
        <v>480.67200000000003</v>
      </c>
      <c r="AF775" s="336">
        <v>8360</v>
      </c>
      <c r="AG775" s="334">
        <v>479.96899999999999</v>
      </c>
      <c r="AH775" s="336">
        <v>8360</v>
      </c>
      <c r="AI775" s="334">
        <v>480.50900000000001</v>
      </c>
      <c r="AJ775" s="336">
        <v>8340</v>
      </c>
      <c r="AK775" s="334">
        <v>481.57499999999999</v>
      </c>
      <c r="AL775" s="336">
        <v>8360</v>
      </c>
      <c r="AM775" s="334">
        <v>481.23</v>
      </c>
      <c r="AN775" s="336">
        <v>8360</v>
      </c>
      <c r="AO775" s="334">
        <v>481.904</v>
      </c>
      <c r="AP775" s="336">
        <v>8350</v>
      </c>
      <c r="AQ775" s="334">
        <v>481.565</v>
      </c>
      <c r="AR775" s="336">
        <v>8360</v>
      </c>
      <c r="AS775" s="334">
        <v>480.98500000000001</v>
      </c>
      <c r="AT775" s="336">
        <v>8360</v>
      </c>
      <c r="AU775" s="334">
        <v>479.36599999999999</v>
      </c>
      <c r="AV775" s="336">
        <v>8360</v>
      </c>
      <c r="AW775" s="334">
        <v>479.68900000000002</v>
      </c>
      <c r="AX775" s="336">
        <v>8350</v>
      </c>
      <c r="AY775" s="334">
        <v>403.803</v>
      </c>
      <c r="AZ775" s="336">
        <v>8360</v>
      </c>
      <c r="BA775" s="337">
        <v>405.42200000000003</v>
      </c>
      <c r="BB775" s="336">
        <v>8340</v>
      </c>
      <c r="BC775" s="334">
        <v>95.26</v>
      </c>
      <c r="BD775" s="336">
        <v>8340</v>
      </c>
      <c r="BE775" s="334">
        <v>100.913</v>
      </c>
    </row>
    <row r="776" spans="22:57">
      <c r="V776" s="346">
        <v>8370</v>
      </c>
      <c r="W776" s="333">
        <v>216.66399999999999</v>
      </c>
      <c r="X776" s="346">
        <v>8380</v>
      </c>
      <c r="Y776" s="334">
        <v>214.80699999999999</v>
      </c>
      <c r="Z776" s="335">
        <v>8370</v>
      </c>
      <c r="AA776" s="334">
        <v>526.60900000000004</v>
      </c>
      <c r="AB776" s="336">
        <v>8370</v>
      </c>
      <c r="AC776" s="334">
        <v>526.66700000000003</v>
      </c>
      <c r="AD776" s="336">
        <v>8370</v>
      </c>
      <c r="AE776" s="334">
        <v>479.46</v>
      </c>
      <c r="AF776" s="336">
        <v>8370</v>
      </c>
      <c r="AG776" s="334">
        <v>478.75599999999997</v>
      </c>
      <c r="AH776" s="336">
        <v>8370</v>
      </c>
      <c r="AI776" s="371">
        <v>479.29700000000003</v>
      </c>
      <c r="AJ776" s="336">
        <v>8350</v>
      </c>
      <c r="AK776" s="334">
        <v>480.36399999999998</v>
      </c>
      <c r="AL776" s="336">
        <v>8370</v>
      </c>
      <c r="AM776" s="334">
        <v>480.01799999999997</v>
      </c>
      <c r="AN776" s="336">
        <v>8370</v>
      </c>
      <c r="AO776" s="334">
        <v>480.69299999999998</v>
      </c>
      <c r="AP776" s="336">
        <v>8360</v>
      </c>
      <c r="AQ776" s="334">
        <v>480.35599999999999</v>
      </c>
      <c r="AR776" s="336">
        <v>8370</v>
      </c>
      <c r="AS776" s="334">
        <v>479.774</v>
      </c>
      <c r="AT776" s="336">
        <v>8370</v>
      </c>
      <c r="AU776" s="334">
        <v>478.15499999999997</v>
      </c>
      <c r="AV776" s="336">
        <v>8370</v>
      </c>
      <c r="AW776" s="334">
        <v>478.48</v>
      </c>
      <c r="AX776" s="336">
        <v>8360</v>
      </c>
      <c r="AY776" s="334">
        <v>402.60399999999998</v>
      </c>
      <c r="AZ776" s="336">
        <v>8370</v>
      </c>
      <c r="BA776" s="337">
        <v>404.22199999999998</v>
      </c>
      <c r="BB776" s="336">
        <v>8350</v>
      </c>
      <c r="BC776" s="334">
        <v>94.933000000000007</v>
      </c>
      <c r="BD776" s="336">
        <v>8350</v>
      </c>
      <c r="BE776" s="334">
        <v>100.571</v>
      </c>
    </row>
    <row r="777" spans="22:57">
      <c r="V777" s="346">
        <v>8380</v>
      </c>
      <c r="W777" s="333">
        <v>215.946</v>
      </c>
      <c r="X777" s="346">
        <v>8390</v>
      </c>
      <c r="Y777" s="334">
        <v>214.09299999999999</v>
      </c>
      <c r="Z777" s="335">
        <v>8380</v>
      </c>
      <c r="AA777" s="334">
        <v>525.15300000000002</v>
      </c>
      <c r="AB777" s="336">
        <v>8380</v>
      </c>
      <c r="AC777" s="334">
        <v>525.20899999999995</v>
      </c>
      <c r="AD777" s="336">
        <v>8380</v>
      </c>
      <c r="AE777" s="334">
        <v>478.24900000000002</v>
      </c>
      <c r="AF777" s="336">
        <v>8380</v>
      </c>
      <c r="AG777" s="334">
        <v>477.54300000000001</v>
      </c>
      <c r="AH777" s="336">
        <v>8380</v>
      </c>
      <c r="AI777" s="334">
        <v>478.08600000000001</v>
      </c>
      <c r="AJ777" s="336">
        <v>8360</v>
      </c>
      <c r="AK777" s="334">
        <v>479.15199999999999</v>
      </c>
      <c r="AL777" s="336">
        <v>8380</v>
      </c>
      <c r="AM777" s="334">
        <v>478.80700000000002</v>
      </c>
      <c r="AN777" s="336">
        <v>8380</v>
      </c>
      <c r="AO777" s="334">
        <v>479.48099999999999</v>
      </c>
      <c r="AP777" s="336">
        <v>8370</v>
      </c>
      <c r="AQ777" s="334">
        <v>479.14600000000002</v>
      </c>
      <c r="AR777" s="336">
        <v>8380</v>
      </c>
      <c r="AS777" s="334">
        <v>478.56400000000002</v>
      </c>
      <c r="AT777" s="336">
        <v>8380</v>
      </c>
      <c r="AU777" s="334">
        <v>476.94499999999999</v>
      </c>
      <c r="AV777" s="336">
        <v>8380</v>
      </c>
      <c r="AW777" s="334">
        <v>477.27100000000002</v>
      </c>
      <c r="AX777" s="336">
        <v>8370</v>
      </c>
      <c r="AY777" s="334">
        <v>401.404</v>
      </c>
      <c r="AZ777" s="336">
        <v>8380</v>
      </c>
      <c r="BA777" s="337">
        <v>403.02300000000002</v>
      </c>
      <c r="BB777" s="336">
        <v>8360</v>
      </c>
      <c r="BC777" s="334">
        <v>94.605999999999995</v>
      </c>
      <c r="BD777" s="336">
        <v>8360</v>
      </c>
      <c r="BE777" s="334">
        <v>100.23</v>
      </c>
    </row>
    <row r="778" spans="22:57">
      <c r="V778" s="346">
        <v>8390</v>
      </c>
      <c r="W778" s="333">
        <v>215.22900000000001</v>
      </c>
      <c r="X778" s="346">
        <v>8400</v>
      </c>
      <c r="Y778" s="334">
        <v>213.37899999999999</v>
      </c>
      <c r="Z778" s="335">
        <v>8390</v>
      </c>
      <c r="AA778" s="334">
        <v>523.69600000000003</v>
      </c>
      <c r="AB778" s="336">
        <v>8390</v>
      </c>
      <c r="AC778" s="334">
        <v>523.75199999999995</v>
      </c>
      <c r="AD778" s="336">
        <v>8390</v>
      </c>
      <c r="AE778" s="334">
        <v>477.03800000000001</v>
      </c>
      <c r="AF778" s="336">
        <v>8390</v>
      </c>
      <c r="AG778" s="334">
        <v>476.33</v>
      </c>
      <c r="AH778" s="336">
        <v>8390</v>
      </c>
      <c r="AI778" s="334">
        <v>476.875</v>
      </c>
      <c r="AJ778" s="336">
        <v>8370</v>
      </c>
      <c r="AK778" s="334">
        <v>477.94</v>
      </c>
      <c r="AL778" s="336">
        <v>8390</v>
      </c>
      <c r="AM778" s="334">
        <v>477.596</v>
      </c>
      <c r="AN778" s="336">
        <v>8390</v>
      </c>
      <c r="AO778" s="334">
        <v>478.27</v>
      </c>
      <c r="AP778" s="336">
        <v>8380</v>
      </c>
      <c r="AQ778" s="334">
        <v>477.93599999999998</v>
      </c>
      <c r="AR778" s="336">
        <v>8390</v>
      </c>
      <c r="AS778" s="334">
        <v>477.35399999999998</v>
      </c>
      <c r="AT778" s="336">
        <v>8390</v>
      </c>
      <c r="AU778" s="334">
        <v>475.73500000000001</v>
      </c>
      <c r="AV778" s="336">
        <v>8390</v>
      </c>
      <c r="AW778" s="334">
        <v>476.06099999999998</v>
      </c>
      <c r="AX778" s="336">
        <v>8380</v>
      </c>
      <c r="AY778" s="334">
        <v>400.20499999999998</v>
      </c>
      <c r="AZ778" s="336">
        <v>8390</v>
      </c>
      <c r="BA778" s="337">
        <v>401.82400000000001</v>
      </c>
      <c r="BB778" s="336">
        <v>8370</v>
      </c>
      <c r="BC778" s="334">
        <v>94.28</v>
      </c>
      <c r="BD778" s="336">
        <v>8370</v>
      </c>
      <c r="BE778" s="334">
        <v>99.89</v>
      </c>
    </row>
    <row r="779" spans="22:57">
      <c r="V779" s="346">
        <v>8400</v>
      </c>
      <c r="W779" s="333">
        <v>214.512</v>
      </c>
      <c r="X779" s="346">
        <v>8410</v>
      </c>
      <c r="Y779" s="334">
        <v>212.666</v>
      </c>
      <c r="Z779" s="335">
        <v>8400</v>
      </c>
      <c r="AA779" s="334">
        <v>522.23900000000003</v>
      </c>
      <c r="AB779" s="336">
        <v>8400</v>
      </c>
      <c r="AC779" s="334">
        <v>522.29499999999996</v>
      </c>
      <c r="AD779" s="336">
        <v>8400</v>
      </c>
      <c r="AE779" s="334">
        <v>475.82600000000002</v>
      </c>
      <c r="AF779" s="336">
        <v>8400</v>
      </c>
      <c r="AG779" s="334">
        <v>475.11799999999999</v>
      </c>
      <c r="AH779" s="336">
        <v>8400</v>
      </c>
      <c r="AI779" s="334">
        <v>475.66300000000001</v>
      </c>
      <c r="AJ779" s="336">
        <v>8380</v>
      </c>
      <c r="AK779" s="334">
        <v>476.72899999999998</v>
      </c>
      <c r="AL779" s="336">
        <v>8400</v>
      </c>
      <c r="AM779" s="334">
        <v>476.38400000000001</v>
      </c>
      <c r="AN779" s="336">
        <v>8400</v>
      </c>
      <c r="AO779" s="334">
        <v>477.05799999999999</v>
      </c>
      <c r="AP779" s="336">
        <v>8390</v>
      </c>
      <c r="AQ779" s="334">
        <v>476.72699999999998</v>
      </c>
      <c r="AR779" s="336">
        <v>8400</v>
      </c>
      <c r="AS779" s="334">
        <v>476.14299999999997</v>
      </c>
      <c r="AT779" s="336">
        <v>8400</v>
      </c>
      <c r="AU779" s="334">
        <v>474.524</v>
      </c>
      <c r="AV779" s="336">
        <v>8400</v>
      </c>
      <c r="AW779" s="334">
        <v>474.85199999999998</v>
      </c>
      <c r="AX779" s="336">
        <v>8390</v>
      </c>
      <c r="AY779" s="334">
        <v>399.00700000000001</v>
      </c>
      <c r="AZ779" s="336">
        <v>8400</v>
      </c>
      <c r="BA779" s="337">
        <v>400.62599999999998</v>
      </c>
      <c r="BB779" s="336">
        <v>8380</v>
      </c>
      <c r="BC779" s="334">
        <v>93.953999999999994</v>
      </c>
      <c r="BD779" s="336">
        <v>8380</v>
      </c>
      <c r="BE779" s="334">
        <v>99.55</v>
      </c>
    </row>
    <row r="780" spans="22:57">
      <c r="V780" s="346">
        <v>8410</v>
      </c>
      <c r="W780" s="333">
        <v>213.79499999999999</v>
      </c>
      <c r="X780" s="346">
        <v>8420</v>
      </c>
      <c r="Y780" s="334">
        <v>211.952</v>
      </c>
      <c r="Z780" s="335">
        <v>8410</v>
      </c>
      <c r="AA780" s="334">
        <v>520.78300000000002</v>
      </c>
      <c r="AB780" s="336">
        <v>8410</v>
      </c>
      <c r="AC780" s="334">
        <v>520.83900000000006</v>
      </c>
      <c r="AD780" s="336">
        <v>8410</v>
      </c>
      <c r="AE780" s="334">
        <v>474.61500000000001</v>
      </c>
      <c r="AF780" s="336">
        <v>8410</v>
      </c>
      <c r="AG780" s="334">
        <v>473.90499999999997</v>
      </c>
      <c r="AH780" s="336">
        <v>8410</v>
      </c>
      <c r="AI780" s="334">
        <v>474.452</v>
      </c>
      <c r="AJ780" s="336">
        <v>8390</v>
      </c>
      <c r="AK780" s="334">
        <v>475.517</v>
      </c>
      <c r="AL780" s="336">
        <v>8410</v>
      </c>
      <c r="AM780" s="334">
        <v>475.173</v>
      </c>
      <c r="AN780" s="336">
        <v>8410</v>
      </c>
      <c r="AO780" s="334">
        <v>475.84699999999998</v>
      </c>
      <c r="AP780" s="336">
        <v>8400</v>
      </c>
      <c r="AQ780" s="334">
        <v>475.517</v>
      </c>
      <c r="AR780" s="336">
        <v>8410</v>
      </c>
      <c r="AS780" s="334">
        <v>474.93299999999999</v>
      </c>
      <c r="AT780" s="336">
        <v>8410</v>
      </c>
      <c r="AU780" s="334">
        <v>473.31400000000002</v>
      </c>
      <c r="AV780" s="336">
        <v>8410</v>
      </c>
      <c r="AW780" s="334">
        <v>473.642</v>
      </c>
      <c r="AX780" s="336">
        <v>8400</v>
      </c>
      <c r="AY780" s="334">
        <v>397.80799999999999</v>
      </c>
      <c r="AZ780" s="336">
        <v>8410</v>
      </c>
      <c r="BA780" s="337">
        <v>399.428</v>
      </c>
      <c r="BB780" s="336">
        <v>8390</v>
      </c>
      <c r="BC780" s="334">
        <v>93.629000000000005</v>
      </c>
      <c r="BD780" s="336">
        <v>8390</v>
      </c>
      <c r="BE780" s="334">
        <v>99.21</v>
      </c>
    </row>
    <row r="781" spans="22:57">
      <c r="V781" s="346">
        <v>8420</v>
      </c>
      <c r="W781" s="333">
        <v>213.078</v>
      </c>
      <c r="X781" s="346">
        <v>8430</v>
      </c>
      <c r="Y781" s="334">
        <v>211.239</v>
      </c>
      <c r="Z781" s="335">
        <v>8420</v>
      </c>
      <c r="AA781" s="334">
        <v>519.32600000000002</v>
      </c>
      <c r="AB781" s="336">
        <v>8420</v>
      </c>
      <c r="AC781" s="334">
        <v>519.38199999999995</v>
      </c>
      <c r="AD781" s="336">
        <v>8420</v>
      </c>
      <c r="AE781" s="334">
        <v>473.404</v>
      </c>
      <c r="AF781" s="336">
        <v>8420</v>
      </c>
      <c r="AG781" s="334">
        <v>472.69200000000001</v>
      </c>
      <c r="AH781" s="336">
        <v>8420</v>
      </c>
      <c r="AI781" s="334">
        <v>473.24</v>
      </c>
      <c r="AJ781" s="336">
        <v>8400</v>
      </c>
      <c r="AK781" s="334">
        <v>474.30500000000001</v>
      </c>
      <c r="AL781" s="336">
        <v>8420</v>
      </c>
      <c r="AM781" s="334">
        <v>473.96100000000001</v>
      </c>
      <c r="AN781" s="336">
        <v>8420</v>
      </c>
      <c r="AO781" s="334">
        <v>474.63499999999999</v>
      </c>
      <c r="AP781" s="336">
        <v>8410</v>
      </c>
      <c r="AQ781" s="334">
        <v>474.30700000000002</v>
      </c>
      <c r="AR781" s="336">
        <v>8420</v>
      </c>
      <c r="AS781" s="334">
        <v>473.72199999999998</v>
      </c>
      <c r="AT781" s="336">
        <v>8420</v>
      </c>
      <c r="AU781" s="334">
        <v>472.10399999999998</v>
      </c>
      <c r="AV781" s="336">
        <v>8420</v>
      </c>
      <c r="AW781" s="334">
        <v>472.43299999999999</v>
      </c>
      <c r="AX781" s="336">
        <v>8410</v>
      </c>
      <c r="AY781" s="334">
        <v>396.61</v>
      </c>
      <c r="AZ781" s="336">
        <v>8420</v>
      </c>
      <c r="BA781" s="337">
        <v>398.23</v>
      </c>
      <c r="BB781" s="336">
        <v>8400</v>
      </c>
      <c r="BC781" s="334">
        <v>93.305000000000007</v>
      </c>
      <c r="BD781" s="336">
        <v>8400</v>
      </c>
      <c r="BE781" s="334">
        <v>98.870999999999995</v>
      </c>
    </row>
    <row r="782" spans="22:57">
      <c r="V782" s="346">
        <v>8430</v>
      </c>
      <c r="W782" s="333">
        <v>212.36099999999999</v>
      </c>
      <c r="X782" s="346">
        <v>8440</v>
      </c>
      <c r="Y782" s="334">
        <v>210.52600000000001</v>
      </c>
      <c r="Z782" s="335">
        <v>8430</v>
      </c>
      <c r="AA782" s="334">
        <v>517.87</v>
      </c>
      <c r="AB782" s="336">
        <v>8430</v>
      </c>
      <c r="AC782" s="334">
        <v>517.92499999999995</v>
      </c>
      <c r="AD782" s="336">
        <v>8430</v>
      </c>
      <c r="AE782" s="334">
        <v>472.19299999999998</v>
      </c>
      <c r="AF782" s="336">
        <v>8430</v>
      </c>
      <c r="AG782" s="334">
        <v>471.47899999999998</v>
      </c>
      <c r="AH782" s="336">
        <v>8430</v>
      </c>
      <c r="AI782" s="334">
        <v>472.029</v>
      </c>
      <c r="AJ782" s="336">
        <v>8410</v>
      </c>
      <c r="AK782" s="334">
        <v>473.09399999999999</v>
      </c>
      <c r="AL782" s="336">
        <v>8430</v>
      </c>
      <c r="AM782" s="334">
        <v>472.75</v>
      </c>
      <c r="AN782" s="336">
        <v>8430</v>
      </c>
      <c r="AO782" s="334">
        <v>473.42399999999998</v>
      </c>
      <c r="AP782" s="336">
        <v>8420</v>
      </c>
      <c r="AQ782" s="334">
        <v>473.09800000000001</v>
      </c>
      <c r="AR782" s="336">
        <v>8430</v>
      </c>
      <c r="AS782" s="334">
        <v>472.512</v>
      </c>
      <c r="AT782" s="336">
        <v>8430</v>
      </c>
      <c r="AU782" s="334">
        <v>470.89299999999997</v>
      </c>
      <c r="AV782" s="336">
        <v>8430</v>
      </c>
      <c r="AW782" s="334">
        <v>471.22300000000001</v>
      </c>
      <c r="AX782" s="336">
        <v>8420</v>
      </c>
      <c r="AY782" s="334">
        <v>395.41300000000001</v>
      </c>
      <c r="AZ782" s="336">
        <v>8430</v>
      </c>
      <c r="BA782" s="337">
        <v>397.03399999999999</v>
      </c>
      <c r="BB782" s="336">
        <v>8410</v>
      </c>
      <c r="BC782" s="334">
        <v>92.98</v>
      </c>
      <c r="BD782" s="336">
        <v>8410</v>
      </c>
      <c r="BE782" s="334">
        <v>98.531999999999996</v>
      </c>
    </row>
    <row r="783" spans="22:57">
      <c r="V783" s="346">
        <v>8440</v>
      </c>
      <c r="W783" s="333">
        <v>211.64500000000001</v>
      </c>
      <c r="X783" s="346">
        <v>8450</v>
      </c>
      <c r="Y783" s="334">
        <v>209.81299999999999</v>
      </c>
      <c r="Z783" s="335">
        <v>8440</v>
      </c>
      <c r="AA783" s="334">
        <v>516.41399999999999</v>
      </c>
      <c r="AB783" s="336">
        <v>8440</v>
      </c>
      <c r="AC783" s="334">
        <v>516.46900000000005</v>
      </c>
      <c r="AD783" s="336">
        <v>8440</v>
      </c>
      <c r="AE783" s="334">
        <v>470.98200000000003</v>
      </c>
      <c r="AF783" s="336">
        <v>8440</v>
      </c>
      <c r="AG783" s="334">
        <v>470.26600000000002</v>
      </c>
      <c r="AH783" s="336">
        <v>8440</v>
      </c>
      <c r="AI783" s="334">
        <v>470.81799999999998</v>
      </c>
      <c r="AJ783" s="336">
        <v>8420</v>
      </c>
      <c r="AK783" s="334">
        <v>471.88200000000001</v>
      </c>
      <c r="AL783" s="336">
        <v>8440</v>
      </c>
      <c r="AM783" s="334">
        <v>471.53899999999999</v>
      </c>
      <c r="AN783" s="336">
        <v>8440</v>
      </c>
      <c r="AO783" s="334">
        <v>472.21199999999999</v>
      </c>
      <c r="AP783" s="336">
        <v>8430</v>
      </c>
      <c r="AQ783" s="334">
        <v>471.88799999999998</v>
      </c>
      <c r="AR783" s="336">
        <v>8440</v>
      </c>
      <c r="AS783" s="334">
        <v>471.30099999999999</v>
      </c>
      <c r="AT783" s="336">
        <v>8440</v>
      </c>
      <c r="AU783" s="334">
        <v>469.68299999999999</v>
      </c>
      <c r="AV783" s="336">
        <v>8440</v>
      </c>
      <c r="AW783" s="334">
        <v>470.01400000000001</v>
      </c>
      <c r="AX783" s="336">
        <v>8430</v>
      </c>
      <c r="AY783" s="334">
        <v>394.21499999999997</v>
      </c>
      <c r="AZ783" s="336">
        <v>8440</v>
      </c>
      <c r="BA783" s="337">
        <v>395.83699999999999</v>
      </c>
      <c r="BB783" s="336">
        <v>8420</v>
      </c>
      <c r="BC783" s="334">
        <v>92.656999999999996</v>
      </c>
      <c r="BD783" s="336">
        <v>8420</v>
      </c>
      <c r="BE783" s="334">
        <v>98.194000000000003</v>
      </c>
    </row>
    <row r="784" spans="22:57">
      <c r="V784" s="346">
        <v>8450</v>
      </c>
      <c r="W784" s="333">
        <v>210.929</v>
      </c>
      <c r="X784" s="346">
        <v>8460</v>
      </c>
      <c r="Y784" s="334">
        <v>209.101</v>
      </c>
      <c r="Z784" s="335">
        <v>8450</v>
      </c>
      <c r="AA784" s="334">
        <v>514.95799999999997</v>
      </c>
      <c r="AB784" s="336">
        <v>8450</v>
      </c>
      <c r="AC784" s="334">
        <v>515.01199999999994</v>
      </c>
      <c r="AD784" s="336">
        <v>8450</v>
      </c>
      <c r="AE784" s="334">
        <v>469.77</v>
      </c>
      <c r="AF784" s="336">
        <v>8450</v>
      </c>
      <c r="AG784" s="334">
        <v>469.053</v>
      </c>
      <c r="AH784" s="336">
        <v>8450</v>
      </c>
      <c r="AI784" s="334">
        <v>469.60599999999999</v>
      </c>
      <c r="AJ784" s="336">
        <v>8430</v>
      </c>
      <c r="AK784" s="334">
        <v>470.67099999999999</v>
      </c>
      <c r="AL784" s="336">
        <v>8450</v>
      </c>
      <c r="AM784" s="334">
        <v>470.327</v>
      </c>
      <c r="AN784" s="336">
        <v>8450</v>
      </c>
      <c r="AO784" s="334">
        <v>471.00099999999998</v>
      </c>
      <c r="AP784" s="336">
        <v>8440</v>
      </c>
      <c r="AQ784" s="334">
        <v>470.678</v>
      </c>
      <c r="AR784" s="336">
        <v>8450</v>
      </c>
      <c r="AS784" s="334">
        <v>470.09100000000001</v>
      </c>
      <c r="AT784" s="336">
        <v>8450</v>
      </c>
      <c r="AU784" s="334">
        <v>468.47300000000001</v>
      </c>
      <c r="AV784" s="336">
        <v>8450</v>
      </c>
      <c r="AW784" s="334">
        <v>468.80500000000001</v>
      </c>
      <c r="AX784" s="336">
        <v>8440</v>
      </c>
      <c r="AY784" s="334">
        <v>393.01799999999997</v>
      </c>
      <c r="AZ784" s="336">
        <v>8450</v>
      </c>
      <c r="BA784" s="337">
        <v>394.64100000000002</v>
      </c>
      <c r="BB784" s="336">
        <v>8430</v>
      </c>
      <c r="BC784" s="334">
        <v>92.332999999999998</v>
      </c>
      <c r="BD784" s="336">
        <v>8430</v>
      </c>
      <c r="BE784" s="334">
        <v>97.855999999999995</v>
      </c>
    </row>
    <row r="785" spans="22:57">
      <c r="V785" s="346">
        <v>8460</v>
      </c>
      <c r="W785" s="333">
        <v>210.21299999999999</v>
      </c>
      <c r="X785" s="346">
        <v>8470</v>
      </c>
      <c r="Y785" s="334">
        <v>208.38800000000001</v>
      </c>
      <c r="Z785" s="335">
        <v>8460</v>
      </c>
      <c r="AA785" s="334">
        <v>513.50199999999995</v>
      </c>
      <c r="AB785" s="336">
        <v>8460</v>
      </c>
      <c r="AC785" s="334">
        <v>513.55600000000004</v>
      </c>
      <c r="AD785" s="336">
        <v>8460</v>
      </c>
      <c r="AE785" s="334">
        <v>468.55900000000003</v>
      </c>
      <c r="AF785" s="336">
        <v>8460</v>
      </c>
      <c r="AG785" s="334">
        <v>467.84100000000001</v>
      </c>
      <c r="AH785" s="336">
        <v>8460</v>
      </c>
      <c r="AI785" s="334">
        <v>468.39499999999998</v>
      </c>
      <c r="AJ785" s="336">
        <v>8440</v>
      </c>
      <c r="AK785" s="334">
        <v>469.459</v>
      </c>
      <c r="AL785" s="336">
        <v>8460</v>
      </c>
      <c r="AM785" s="334">
        <v>469.11599999999999</v>
      </c>
      <c r="AN785" s="336">
        <v>8460</v>
      </c>
      <c r="AO785" s="334">
        <v>469.78899999999999</v>
      </c>
      <c r="AP785" s="336">
        <v>8450</v>
      </c>
      <c r="AQ785" s="334">
        <v>469.46899999999999</v>
      </c>
      <c r="AR785" s="336">
        <v>8460</v>
      </c>
      <c r="AS785" s="334">
        <v>468.88099999999997</v>
      </c>
      <c r="AT785" s="336">
        <v>8460</v>
      </c>
      <c r="AU785" s="334">
        <v>467.262</v>
      </c>
      <c r="AV785" s="336">
        <v>8460</v>
      </c>
      <c r="AW785" s="334">
        <v>467.59500000000003</v>
      </c>
      <c r="AX785" s="336">
        <v>8450</v>
      </c>
      <c r="AY785" s="334">
        <v>391.822</v>
      </c>
      <c r="AZ785" s="336">
        <v>8460</v>
      </c>
      <c r="BA785" s="337">
        <v>393.44499999999999</v>
      </c>
      <c r="BB785" s="336">
        <v>8440</v>
      </c>
      <c r="BC785" s="334">
        <v>92.01</v>
      </c>
      <c r="BD785" s="336">
        <v>8440</v>
      </c>
      <c r="BE785" s="334">
        <v>97.519000000000005</v>
      </c>
    </row>
    <row r="786" spans="22:57">
      <c r="V786" s="346">
        <v>8470</v>
      </c>
      <c r="W786" s="333">
        <v>209.49799999999999</v>
      </c>
      <c r="X786" s="346">
        <v>8480</v>
      </c>
      <c r="Y786" s="334">
        <v>207.67599999999999</v>
      </c>
      <c r="Z786" s="335">
        <v>8470</v>
      </c>
      <c r="AA786" s="334">
        <v>512.04600000000005</v>
      </c>
      <c r="AB786" s="336">
        <v>8470</v>
      </c>
      <c r="AC786" s="334">
        <v>512.1</v>
      </c>
      <c r="AD786" s="336">
        <v>8470</v>
      </c>
      <c r="AE786" s="334">
        <v>467.34800000000001</v>
      </c>
      <c r="AF786" s="336">
        <v>8470</v>
      </c>
      <c r="AG786" s="334">
        <v>466.62799999999999</v>
      </c>
      <c r="AH786" s="336">
        <v>8470</v>
      </c>
      <c r="AI786" s="334">
        <v>467.18400000000003</v>
      </c>
      <c r="AJ786" s="336">
        <v>8450</v>
      </c>
      <c r="AK786" s="334">
        <v>468.24700000000001</v>
      </c>
      <c r="AL786" s="336">
        <v>8470</v>
      </c>
      <c r="AM786" s="334">
        <v>467.904</v>
      </c>
      <c r="AN786" s="336">
        <v>8470</v>
      </c>
      <c r="AO786" s="334">
        <v>468.57799999999997</v>
      </c>
      <c r="AP786" s="336">
        <v>8460</v>
      </c>
      <c r="AQ786" s="334">
        <v>468.25900000000001</v>
      </c>
      <c r="AR786" s="336">
        <v>8470</v>
      </c>
      <c r="AS786" s="334">
        <v>467.67</v>
      </c>
      <c r="AT786" s="336">
        <v>8470</v>
      </c>
      <c r="AU786" s="334">
        <v>466.05200000000002</v>
      </c>
      <c r="AV786" s="336">
        <v>8470</v>
      </c>
      <c r="AW786" s="334">
        <v>466.38600000000002</v>
      </c>
      <c r="AX786" s="336">
        <v>8460</v>
      </c>
      <c r="AY786" s="334">
        <v>390.62599999999998</v>
      </c>
      <c r="AZ786" s="336">
        <v>8470</v>
      </c>
      <c r="BA786" s="337">
        <v>392.24799999999999</v>
      </c>
      <c r="BB786" s="336">
        <v>8450</v>
      </c>
      <c r="BC786" s="334">
        <v>91.688000000000002</v>
      </c>
      <c r="BD786" s="336">
        <v>8450</v>
      </c>
      <c r="BE786" s="334">
        <v>97.182000000000002</v>
      </c>
    </row>
    <row r="787" spans="22:57">
      <c r="V787" s="346">
        <v>8480</v>
      </c>
      <c r="W787" s="333">
        <v>208.78200000000001</v>
      </c>
      <c r="X787" s="346">
        <v>8490</v>
      </c>
      <c r="Y787" s="334">
        <v>206.964</v>
      </c>
      <c r="Z787" s="335">
        <v>8480</v>
      </c>
      <c r="AA787" s="334">
        <v>510.59</v>
      </c>
      <c r="AB787" s="336">
        <v>8480</v>
      </c>
      <c r="AC787" s="334">
        <v>510.64299999999997</v>
      </c>
      <c r="AD787" s="336">
        <v>8480</v>
      </c>
      <c r="AE787" s="334">
        <v>466.13600000000002</v>
      </c>
      <c r="AF787" s="336">
        <v>8480</v>
      </c>
      <c r="AG787" s="334">
        <v>465.41500000000002</v>
      </c>
      <c r="AH787" s="336">
        <v>8480</v>
      </c>
      <c r="AI787" s="334">
        <v>465.97199999999998</v>
      </c>
      <c r="AJ787" s="336">
        <v>8460</v>
      </c>
      <c r="AK787" s="334">
        <v>467.036</v>
      </c>
      <c r="AL787" s="336">
        <v>8480</v>
      </c>
      <c r="AM787" s="334">
        <v>466.69299999999998</v>
      </c>
      <c r="AN787" s="336">
        <v>8480</v>
      </c>
      <c r="AO787" s="334">
        <v>467.36599999999999</v>
      </c>
      <c r="AP787" s="336">
        <v>8470</v>
      </c>
      <c r="AQ787" s="334">
        <v>467.04899999999998</v>
      </c>
      <c r="AR787" s="336">
        <v>8480</v>
      </c>
      <c r="AS787" s="334">
        <v>466.46</v>
      </c>
      <c r="AT787" s="336">
        <v>8480</v>
      </c>
      <c r="AU787" s="334">
        <v>464.84199999999998</v>
      </c>
      <c r="AV787" s="336">
        <v>8480</v>
      </c>
      <c r="AW787" s="334">
        <v>465.17599999999999</v>
      </c>
      <c r="AX787" s="336">
        <v>8470</v>
      </c>
      <c r="AY787" s="334">
        <v>389.43</v>
      </c>
      <c r="AZ787" s="336">
        <v>8480</v>
      </c>
      <c r="BA787" s="337">
        <v>391.05200000000002</v>
      </c>
      <c r="BB787" s="336">
        <v>8460</v>
      </c>
      <c r="BC787" s="334">
        <v>91.366</v>
      </c>
      <c r="BD787" s="336">
        <v>8460</v>
      </c>
      <c r="BE787" s="334">
        <v>96.844999999999999</v>
      </c>
    </row>
    <row r="788" spans="22:57">
      <c r="V788" s="346">
        <v>8490</v>
      </c>
      <c r="W788" s="333">
        <v>208.06700000000001</v>
      </c>
      <c r="X788" s="346">
        <v>8500</v>
      </c>
      <c r="Y788" s="334">
        <v>206.25299999999999</v>
      </c>
      <c r="Z788" s="335">
        <v>8490</v>
      </c>
      <c r="AA788" s="334">
        <v>509.13400000000001</v>
      </c>
      <c r="AB788" s="336">
        <v>8490</v>
      </c>
      <c r="AC788" s="334">
        <v>509.18700000000001</v>
      </c>
      <c r="AD788" s="336">
        <v>8490</v>
      </c>
      <c r="AE788" s="334">
        <v>464.92500000000001</v>
      </c>
      <c r="AF788" s="336">
        <v>8490</v>
      </c>
      <c r="AG788" s="334">
        <v>464.202</v>
      </c>
      <c r="AH788" s="336">
        <v>8490</v>
      </c>
      <c r="AI788" s="334">
        <v>464.76100000000002</v>
      </c>
      <c r="AJ788" s="336">
        <v>8470</v>
      </c>
      <c r="AK788" s="334">
        <v>465.82400000000001</v>
      </c>
      <c r="AL788" s="336">
        <v>8490</v>
      </c>
      <c r="AM788" s="334">
        <v>465.48200000000003</v>
      </c>
      <c r="AN788" s="336">
        <v>8490</v>
      </c>
      <c r="AO788" s="334">
        <v>466.15499999999997</v>
      </c>
      <c r="AP788" s="336">
        <v>8480</v>
      </c>
      <c r="AQ788" s="334">
        <v>465.84</v>
      </c>
      <c r="AR788" s="336">
        <v>8490</v>
      </c>
      <c r="AS788" s="334">
        <v>465.24900000000002</v>
      </c>
      <c r="AT788" s="336">
        <v>8490</v>
      </c>
      <c r="AU788" s="334">
        <v>463.63099999999997</v>
      </c>
      <c r="AV788" s="336">
        <v>8490</v>
      </c>
      <c r="AW788" s="334">
        <v>463.96699999999998</v>
      </c>
      <c r="AX788" s="336">
        <v>8480</v>
      </c>
      <c r="AY788" s="334">
        <v>388.23500000000001</v>
      </c>
      <c r="AZ788" s="336">
        <v>8490</v>
      </c>
      <c r="BA788" s="337">
        <v>389.85599999999999</v>
      </c>
      <c r="BB788" s="336">
        <v>8470</v>
      </c>
      <c r="BC788" s="334">
        <v>91.043999999999997</v>
      </c>
      <c r="BD788" s="336">
        <v>8470</v>
      </c>
      <c r="BE788" s="334">
        <v>96.509</v>
      </c>
    </row>
    <row r="789" spans="22:57">
      <c r="V789" s="346">
        <v>8500</v>
      </c>
      <c r="W789" s="333">
        <v>207.352</v>
      </c>
      <c r="X789" s="346">
        <v>8510</v>
      </c>
      <c r="Y789" s="334">
        <v>205.541</v>
      </c>
      <c r="Z789" s="335">
        <v>8500</v>
      </c>
      <c r="AA789" s="334">
        <v>507.67899999999997</v>
      </c>
      <c r="AB789" s="336">
        <v>8500</v>
      </c>
      <c r="AC789" s="334">
        <v>507.73099999999999</v>
      </c>
      <c r="AD789" s="336">
        <v>8500</v>
      </c>
      <c r="AE789" s="334">
        <v>463.714</v>
      </c>
      <c r="AF789" s="336">
        <v>8500</v>
      </c>
      <c r="AG789" s="334">
        <v>462.98899999999998</v>
      </c>
      <c r="AH789" s="336">
        <v>8500</v>
      </c>
      <c r="AI789" s="334">
        <v>463.54899999999998</v>
      </c>
      <c r="AJ789" s="336">
        <v>8480</v>
      </c>
      <c r="AK789" s="334">
        <v>464.61200000000002</v>
      </c>
      <c r="AL789" s="336">
        <v>8500</v>
      </c>
      <c r="AM789" s="334">
        <v>464.27</v>
      </c>
      <c r="AN789" s="336">
        <v>8500</v>
      </c>
      <c r="AO789" s="334">
        <v>464.94299999999998</v>
      </c>
      <c r="AP789" s="336">
        <v>8490</v>
      </c>
      <c r="AQ789" s="334">
        <v>464.63</v>
      </c>
      <c r="AR789" s="336">
        <v>8500</v>
      </c>
      <c r="AS789" s="334">
        <v>464.03899999999999</v>
      </c>
      <c r="AT789" s="336">
        <v>8500</v>
      </c>
      <c r="AU789" s="334">
        <v>462.42099999999999</v>
      </c>
      <c r="AV789" s="336">
        <v>8500</v>
      </c>
      <c r="AW789" s="334">
        <v>462.75700000000001</v>
      </c>
      <c r="AX789" s="336">
        <v>8490</v>
      </c>
      <c r="AY789" s="334">
        <v>387.041</v>
      </c>
      <c r="AZ789" s="336">
        <v>8500</v>
      </c>
      <c r="BA789" s="337">
        <v>388.66199999999998</v>
      </c>
      <c r="BB789" s="336">
        <v>8480</v>
      </c>
      <c r="BC789" s="334">
        <v>90.722999999999999</v>
      </c>
      <c r="BD789" s="336">
        <v>8480</v>
      </c>
      <c r="BE789" s="334">
        <v>96.173000000000002</v>
      </c>
    </row>
    <row r="790" spans="22:57">
      <c r="V790" s="346">
        <v>8510</v>
      </c>
      <c r="W790" s="333">
        <v>206.637</v>
      </c>
      <c r="X790" s="346">
        <v>8520</v>
      </c>
      <c r="Y790" s="334">
        <v>204.83</v>
      </c>
      <c r="Z790" s="335">
        <v>8510</v>
      </c>
      <c r="AA790" s="334">
        <v>506.22300000000001</v>
      </c>
      <c r="AB790" s="336">
        <v>8510</v>
      </c>
      <c r="AC790" s="334">
        <v>506.27499999999998</v>
      </c>
      <c r="AD790" s="336">
        <v>8510</v>
      </c>
      <c r="AE790" s="334">
        <v>462.50299999999999</v>
      </c>
      <c r="AF790" s="336">
        <v>8510</v>
      </c>
      <c r="AG790" s="334">
        <v>461.77600000000001</v>
      </c>
      <c r="AH790" s="336">
        <v>8510</v>
      </c>
      <c r="AI790" s="334">
        <v>462.33800000000002</v>
      </c>
      <c r="AJ790" s="336">
        <v>8490</v>
      </c>
      <c r="AK790" s="334">
        <v>463.40100000000001</v>
      </c>
      <c r="AL790" s="336">
        <v>8510</v>
      </c>
      <c r="AM790" s="334">
        <v>463.05900000000003</v>
      </c>
      <c r="AN790" s="336">
        <v>8510</v>
      </c>
      <c r="AO790" s="334">
        <v>463.73200000000003</v>
      </c>
      <c r="AP790" s="336">
        <v>8500</v>
      </c>
      <c r="AQ790" s="334">
        <v>463.42</v>
      </c>
      <c r="AR790" s="336">
        <v>8510</v>
      </c>
      <c r="AS790" s="334">
        <v>462.82799999999997</v>
      </c>
      <c r="AT790" s="336">
        <v>8510</v>
      </c>
      <c r="AU790" s="334">
        <v>461.21100000000001</v>
      </c>
      <c r="AV790" s="336">
        <v>8510</v>
      </c>
      <c r="AW790" s="334">
        <v>461.548</v>
      </c>
      <c r="AX790" s="336">
        <v>8500</v>
      </c>
      <c r="AY790" s="334">
        <v>385.84699999999998</v>
      </c>
      <c r="AZ790" s="336">
        <v>8510</v>
      </c>
      <c r="BA790" s="337">
        <v>387.46800000000002</v>
      </c>
      <c r="BB790" s="336">
        <v>8490</v>
      </c>
      <c r="BC790" s="334">
        <v>90.402000000000001</v>
      </c>
      <c r="BD790" s="336">
        <v>8490</v>
      </c>
      <c r="BE790" s="334">
        <v>95.837999999999994</v>
      </c>
    </row>
    <row r="791" spans="22:57">
      <c r="V791" s="346">
        <v>8520</v>
      </c>
      <c r="W791" s="333">
        <v>205.923</v>
      </c>
      <c r="X791" s="346">
        <v>8530</v>
      </c>
      <c r="Y791" s="334">
        <v>204.11799999999999</v>
      </c>
      <c r="Z791" s="335">
        <v>8520</v>
      </c>
      <c r="AA791" s="334">
        <v>504.76799999999997</v>
      </c>
      <c r="AB791" s="336">
        <v>8520</v>
      </c>
      <c r="AC791" s="334">
        <v>504.82</v>
      </c>
      <c r="AD791" s="336">
        <v>8520</v>
      </c>
      <c r="AE791" s="334">
        <v>461.29199999999997</v>
      </c>
      <c r="AF791" s="336">
        <v>8520</v>
      </c>
      <c r="AG791" s="334">
        <v>460.56299999999999</v>
      </c>
      <c r="AH791" s="336">
        <v>8520</v>
      </c>
      <c r="AI791" s="334">
        <v>461.12700000000001</v>
      </c>
      <c r="AJ791" s="336">
        <v>8500</v>
      </c>
      <c r="AK791" s="334">
        <v>462.18900000000002</v>
      </c>
      <c r="AL791" s="336">
        <v>8520</v>
      </c>
      <c r="AM791" s="334">
        <v>461.84800000000001</v>
      </c>
      <c r="AN791" s="336">
        <v>8520</v>
      </c>
      <c r="AO791" s="334">
        <v>462.52100000000002</v>
      </c>
      <c r="AP791" s="336">
        <v>8510</v>
      </c>
      <c r="AQ791" s="334">
        <v>462.21100000000001</v>
      </c>
      <c r="AR791" s="336">
        <v>8520</v>
      </c>
      <c r="AS791" s="334">
        <v>461.61799999999999</v>
      </c>
      <c r="AT791" s="336">
        <v>8520</v>
      </c>
      <c r="AU791" s="334">
        <v>460</v>
      </c>
      <c r="AV791" s="336">
        <v>8520</v>
      </c>
      <c r="AW791" s="334">
        <v>460.339</v>
      </c>
      <c r="AX791" s="336">
        <v>8510</v>
      </c>
      <c r="AY791" s="334">
        <v>384.65300000000002</v>
      </c>
      <c r="AZ791" s="336">
        <v>8520</v>
      </c>
      <c r="BA791" s="337">
        <v>386.274</v>
      </c>
      <c r="BB791" s="336">
        <v>8500</v>
      </c>
      <c r="BC791" s="334">
        <v>90.081000000000003</v>
      </c>
      <c r="BD791" s="336">
        <v>8500</v>
      </c>
      <c r="BE791" s="334">
        <v>95.503</v>
      </c>
    </row>
    <row r="792" spans="22:57">
      <c r="V792" s="346">
        <v>8530</v>
      </c>
      <c r="W792" s="333">
        <v>205.208</v>
      </c>
      <c r="X792" s="346">
        <v>8540</v>
      </c>
      <c r="Y792" s="334">
        <v>203.40700000000001</v>
      </c>
      <c r="Z792" s="335">
        <v>8530</v>
      </c>
      <c r="AA792" s="334">
        <v>503.31200000000001</v>
      </c>
      <c r="AB792" s="336">
        <v>8530</v>
      </c>
      <c r="AC792" s="334">
        <v>503.36399999999998</v>
      </c>
      <c r="AD792" s="336">
        <v>8530</v>
      </c>
      <c r="AE792" s="334">
        <v>460.08</v>
      </c>
      <c r="AF792" s="336">
        <v>8530</v>
      </c>
      <c r="AG792" s="334">
        <v>459.35</v>
      </c>
      <c r="AH792" s="336">
        <v>8530</v>
      </c>
      <c r="AI792" s="334">
        <v>459.91500000000002</v>
      </c>
      <c r="AJ792" s="336">
        <v>8510</v>
      </c>
      <c r="AK792" s="334">
        <v>460.97699999999998</v>
      </c>
      <c r="AL792" s="336">
        <v>8530</v>
      </c>
      <c r="AM792" s="334">
        <v>460.63600000000002</v>
      </c>
      <c r="AN792" s="336">
        <v>8530</v>
      </c>
      <c r="AO792" s="334">
        <v>461.30900000000003</v>
      </c>
      <c r="AP792" s="336">
        <v>8520</v>
      </c>
      <c r="AQ792" s="334">
        <v>461.00099999999998</v>
      </c>
      <c r="AR792" s="336">
        <v>8530</v>
      </c>
      <c r="AS792" s="334">
        <v>460.40699999999998</v>
      </c>
      <c r="AT792" s="336">
        <v>8530</v>
      </c>
      <c r="AU792" s="334">
        <v>458.79</v>
      </c>
      <c r="AV792" s="336">
        <v>8530</v>
      </c>
      <c r="AW792" s="334">
        <v>459.12900000000002</v>
      </c>
      <c r="AX792" s="336">
        <v>8520</v>
      </c>
      <c r="AY792" s="334">
        <v>383.459</v>
      </c>
      <c r="AZ792" s="336">
        <v>8530</v>
      </c>
      <c r="BA792" s="337">
        <v>385.08100000000002</v>
      </c>
      <c r="BB792" s="336">
        <v>8510</v>
      </c>
      <c r="BC792" s="334">
        <v>89.76</v>
      </c>
      <c r="BD792" s="336">
        <v>8510</v>
      </c>
      <c r="BE792" s="334">
        <v>95.168000000000006</v>
      </c>
    </row>
    <row r="793" spans="22:57">
      <c r="V793" s="346">
        <v>8540</v>
      </c>
      <c r="W793" s="333">
        <v>204.49299999999999</v>
      </c>
      <c r="X793" s="346">
        <v>8550</v>
      </c>
      <c r="Y793" s="334">
        <v>202.696</v>
      </c>
      <c r="Z793" s="335">
        <v>8540</v>
      </c>
      <c r="AA793" s="334">
        <v>501.85599999999999</v>
      </c>
      <c r="AB793" s="336">
        <v>8540</v>
      </c>
      <c r="AC793" s="334">
        <v>501.90699999999998</v>
      </c>
      <c r="AD793" s="336">
        <v>8540</v>
      </c>
      <c r="AE793" s="334">
        <v>458.86900000000003</v>
      </c>
      <c r="AF793" s="336">
        <v>8540</v>
      </c>
      <c r="AG793" s="334">
        <v>458.13600000000002</v>
      </c>
      <c r="AH793" s="336">
        <v>8540</v>
      </c>
      <c r="AI793" s="334">
        <v>458.70299999999997</v>
      </c>
      <c r="AJ793" s="336">
        <v>8520</v>
      </c>
      <c r="AK793" s="334">
        <v>459.76499999999999</v>
      </c>
      <c r="AL793" s="336">
        <v>8540</v>
      </c>
      <c r="AM793" s="334">
        <v>459.42399999999998</v>
      </c>
      <c r="AN793" s="336">
        <v>8540</v>
      </c>
      <c r="AO793" s="334">
        <v>460.09699999999998</v>
      </c>
      <c r="AP793" s="336">
        <v>8530</v>
      </c>
      <c r="AQ793" s="334">
        <v>459.791</v>
      </c>
      <c r="AR793" s="336">
        <v>8540</v>
      </c>
      <c r="AS793" s="334">
        <v>459.19600000000003</v>
      </c>
      <c r="AT793" s="336">
        <v>8540</v>
      </c>
      <c r="AU793" s="334">
        <v>457.57900000000001</v>
      </c>
      <c r="AV793" s="336">
        <v>8540</v>
      </c>
      <c r="AW793" s="334">
        <v>457.91899999999998</v>
      </c>
      <c r="AX793" s="336">
        <v>8530</v>
      </c>
      <c r="AY793" s="334">
        <v>382.26600000000002</v>
      </c>
      <c r="AZ793" s="336">
        <v>8540</v>
      </c>
      <c r="BA793" s="337">
        <v>383.88900000000001</v>
      </c>
      <c r="BB793" s="336">
        <v>8520</v>
      </c>
      <c r="BC793" s="334">
        <v>89.44</v>
      </c>
      <c r="BD793" s="336">
        <v>8520</v>
      </c>
      <c r="BE793" s="334">
        <v>94.832999999999998</v>
      </c>
    </row>
    <row r="794" spans="22:57">
      <c r="V794" s="346">
        <v>8550</v>
      </c>
      <c r="W794" s="333">
        <v>203.779</v>
      </c>
      <c r="X794" s="346">
        <v>8560</v>
      </c>
      <c r="Y794" s="334">
        <v>201.98500000000001</v>
      </c>
      <c r="Z794" s="335">
        <v>8550</v>
      </c>
      <c r="AA794" s="334">
        <v>500.40100000000001</v>
      </c>
      <c r="AB794" s="336">
        <v>8550</v>
      </c>
      <c r="AC794" s="334">
        <v>500.45100000000002</v>
      </c>
      <c r="AD794" s="336">
        <v>8550</v>
      </c>
      <c r="AE794" s="334">
        <v>457.65699999999998</v>
      </c>
      <c r="AF794" s="336">
        <v>8550</v>
      </c>
      <c r="AG794" s="334">
        <v>456.923</v>
      </c>
      <c r="AH794" s="336">
        <v>8550</v>
      </c>
      <c r="AI794" s="334">
        <v>457.49099999999999</v>
      </c>
      <c r="AJ794" s="336">
        <v>8530</v>
      </c>
      <c r="AK794" s="334">
        <v>458.553</v>
      </c>
      <c r="AL794" s="336">
        <v>8550</v>
      </c>
      <c r="AM794" s="334">
        <v>458.21199999999999</v>
      </c>
      <c r="AN794" s="336">
        <v>8550</v>
      </c>
      <c r="AO794" s="334">
        <v>458.88499999999999</v>
      </c>
      <c r="AP794" s="336">
        <v>8540</v>
      </c>
      <c r="AQ794" s="334">
        <v>458.58</v>
      </c>
      <c r="AR794" s="336">
        <v>8550</v>
      </c>
      <c r="AS794" s="334">
        <v>457.98500000000001</v>
      </c>
      <c r="AT794" s="336">
        <v>8550</v>
      </c>
      <c r="AU794" s="334">
        <v>456.36799999999999</v>
      </c>
      <c r="AV794" s="336">
        <v>8550</v>
      </c>
      <c r="AW794" s="334">
        <v>456.709</v>
      </c>
      <c r="AX794" s="336">
        <v>8540</v>
      </c>
      <c r="AY794" s="334">
        <v>381.07299999999998</v>
      </c>
      <c r="AZ794" s="336">
        <v>8550</v>
      </c>
      <c r="BA794" s="337">
        <v>382.69600000000003</v>
      </c>
      <c r="BB794" s="336">
        <v>8530</v>
      </c>
      <c r="BC794" s="334">
        <v>89.12</v>
      </c>
      <c r="BD794" s="336">
        <v>8530</v>
      </c>
      <c r="BE794" s="334">
        <v>94.498999999999995</v>
      </c>
    </row>
    <row r="795" spans="22:57">
      <c r="V795" s="346">
        <v>8560</v>
      </c>
      <c r="W795" s="333">
        <v>203.065</v>
      </c>
      <c r="X795" s="346">
        <v>8570</v>
      </c>
      <c r="Y795" s="334">
        <v>201.274</v>
      </c>
      <c r="Z795" s="335">
        <v>8560</v>
      </c>
      <c r="AA795" s="334">
        <v>498.94499999999999</v>
      </c>
      <c r="AB795" s="336">
        <v>8560</v>
      </c>
      <c r="AC795" s="334">
        <v>498.995</v>
      </c>
      <c r="AD795" s="336">
        <v>8560</v>
      </c>
      <c r="AE795" s="334">
        <v>456.44499999999999</v>
      </c>
      <c r="AF795" s="336">
        <v>8560</v>
      </c>
      <c r="AG795" s="334">
        <v>455.709</v>
      </c>
      <c r="AH795" s="336">
        <v>8560</v>
      </c>
      <c r="AI795" s="334">
        <v>456.279</v>
      </c>
      <c r="AJ795" s="336">
        <v>8540</v>
      </c>
      <c r="AK795" s="334">
        <v>457.34100000000001</v>
      </c>
      <c r="AL795" s="336">
        <v>8560</v>
      </c>
      <c r="AM795" s="334">
        <v>457</v>
      </c>
      <c r="AN795" s="336">
        <v>8560</v>
      </c>
      <c r="AO795" s="334">
        <v>457.673</v>
      </c>
      <c r="AP795" s="336">
        <v>8550</v>
      </c>
      <c r="AQ795" s="334">
        <v>457.37</v>
      </c>
      <c r="AR795" s="336">
        <v>8560</v>
      </c>
      <c r="AS795" s="334">
        <v>456.774</v>
      </c>
      <c r="AT795" s="336">
        <v>8560</v>
      </c>
      <c r="AU795" s="334">
        <v>455.15699999999998</v>
      </c>
      <c r="AV795" s="336">
        <v>8560</v>
      </c>
      <c r="AW795" s="334">
        <v>455.49900000000002</v>
      </c>
      <c r="AX795" s="336">
        <v>8550</v>
      </c>
      <c r="AY795" s="334">
        <v>379.88099999999997</v>
      </c>
      <c r="AZ795" s="336">
        <v>8560</v>
      </c>
      <c r="BA795" s="337">
        <v>381.50400000000002</v>
      </c>
      <c r="BB795" s="336">
        <v>8540</v>
      </c>
      <c r="BC795" s="334">
        <v>88.801000000000002</v>
      </c>
      <c r="BD795" s="336">
        <v>8540</v>
      </c>
      <c r="BE795" s="334">
        <v>94.165000000000006</v>
      </c>
    </row>
    <row r="796" spans="22:57">
      <c r="V796" s="346">
        <v>8570</v>
      </c>
      <c r="W796" s="333">
        <v>202.351</v>
      </c>
      <c r="X796" s="346">
        <v>8580</v>
      </c>
      <c r="Y796" s="334">
        <v>200.56399999999999</v>
      </c>
      <c r="Z796" s="335">
        <v>8570</v>
      </c>
      <c r="AA796" s="334">
        <v>497.49</v>
      </c>
      <c r="AB796" s="336">
        <v>8570</v>
      </c>
      <c r="AC796" s="334">
        <v>497.54</v>
      </c>
      <c r="AD796" s="336">
        <v>8570</v>
      </c>
      <c r="AE796" s="334">
        <v>455.233</v>
      </c>
      <c r="AF796" s="336">
        <v>8570</v>
      </c>
      <c r="AG796" s="334">
        <v>454.49599999999998</v>
      </c>
      <c r="AH796" s="336">
        <v>8570</v>
      </c>
      <c r="AI796" s="334">
        <v>455.06700000000001</v>
      </c>
      <c r="AJ796" s="336">
        <v>8550</v>
      </c>
      <c r="AK796" s="334">
        <v>456.12900000000002</v>
      </c>
      <c r="AL796" s="336">
        <v>8570</v>
      </c>
      <c r="AM796" s="334">
        <v>455.78800000000001</v>
      </c>
      <c r="AN796" s="336">
        <v>8570</v>
      </c>
      <c r="AO796" s="334">
        <v>456.46100000000001</v>
      </c>
      <c r="AP796" s="336">
        <v>8560</v>
      </c>
      <c r="AQ796" s="334">
        <v>456.16</v>
      </c>
      <c r="AR796" s="336">
        <v>8570</v>
      </c>
      <c r="AS796" s="334">
        <v>455.56299999999999</v>
      </c>
      <c r="AT796" s="336">
        <v>8570</v>
      </c>
      <c r="AU796" s="334">
        <v>453.94600000000003</v>
      </c>
      <c r="AV796" s="336">
        <v>8570</v>
      </c>
      <c r="AW796" s="334">
        <v>454.28899999999999</v>
      </c>
      <c r="AX796" s="336">
        <v>8560</v>
      </c>
      <c r="AY796" s="334">
        <v>378.68900000000002</v>
      </c>
      <c r="AZ796" s="336">
        <v>8570</v>
      </c>
      <c r="BA796" s="337">
        <v>380.31299999999999</v>
      </c>
      <c r="BB796" s="336">
        <v>8550</v>
      </c>
      <c r="BC796" s="334">
        <v>88.481999999999999</v>
      </c>
      <c r="BD796" s="336">
        <v>8550</v>
      </c>
      <c r="BE796" s="334">
        <v>93.831000000000003</v>
      </c>
    </row>
    <row r="797" spans="22:57">
      <c r="V797" s="346">
        <v>8580</v>
      </c>
      <c r="W797" s="333">
        <v>201.637</v>
      </c>
      <c r="X797" s="346">
        <v>8590</v>
      </c>
      <c r="Y797" s="334">
        <v>199.85300000000001</v>
      </c>
      <c r="Z797" s="335">
        <v>8580</v>
      </c>
      <c r="AA797" s="334">
        <v>496.03399999999999</v>
      </c>
      <c r="AB797" s="336">
        <v>8580</v>
      </c>
      <c r="AC797" s="334">
        <v>496.084</v>
      </c>
      <c r="AD797" s="336">
        <v>8580</v>
      </c>
      <c r="AE797" s="334">
        <v>454.02199999999999</v>
      </c>
      <c r="AF797" s="336">
        <v>8580</v>
      </c>
      <c r="AG797" s="334">
        <v>453.28300000000002</v>
      </c>
      <c r="AH797" s="336">
        <v>8580</v>
      </c>
      <c r="AI797" s="334">
        <v>453.85500000000002</v>
      </c>
      <c r="AJ797" s="336">
        <v>8560</v>
      </c>
      <c r="AK797" s="334">
        <v>454.916</v>
      </c>
      <c r="AL797" s="336">
        <v>8580</v>
      </c>
      <c r="AM797" s="334">
        <v>454.57600000000002</v>
      </c>
      <c r="AN797" s="336">
        <v>8580</v>
      </c>
      <c r="AO797" s="334">
        <v>455.24900000000002</v>
      </c>
      <c r="AP797" s="336">
        <v>8570</v>
      </c>
      <c r="AQ797" s="334">
        <v>454.95</v>
      </c>
      <c r="AR797" s="336">
        <v>8580</v>
      </c>
      <c r="AS797" s="334">
        <v>454.35199999999998</v>
      </c>
      <c r="AT797" s="336">
        <v>8580</v>
      </c>
      <c r="AU797" s="334">
        <v>452.73500000000001</v>
      </c>
      <c r="AV797" s="336">
        <v>8580</v>
      </c>
      <c r="AW797" s="334">
        <v>453.07900000000001</v>
      </c>
      <c r="AX797" s="336">
        <v>8570</v>
      </c>
      <c r="AY797" s="334">
        <v>377.49799999999999</v>
      </c>
      <c r="AZ797" s="336">
        <v>8580</v>
      </c>
      <c r="BA797" s="337">
        <v>379.12200000000001</v>
      </c>
      <c r="BB797" s="336">
        <v>8560</v>
      </c>
      <c r="BC797" s="334">
        <v>88.162999999999997</v>
      </c>
      <c r="BD797" s="336">
        <v>8560</v>
      </c>
      <c r="BE797" s="334">
        <v>93.498000000000005</v>
      </c>
    </row>
    <row r="798" spans="22:57">
      <c r="V798" s="346">
        <v>8590</v>
      </c>
      <c r="W798" s="333">
        <v>200.923</v>
      </c>
      <c r="X798" s="346">
        <v>8600</v>
      </c>
      <c r="Y798" s="334">
        <v>199.143</v>
      </c>
      <c r="Z798" s="335">
        <v>8590</v>
      </c>
      <c r="AA798" s="334">
        <v>494.57900000000001</v>
      </c>
      <c r="AB798" s="336">
        <v>8590</v>
      </c>
      <c r="AC798" s="334">
        <v>494.62799999999999</v>
      </c>
      <c r="AD798" s="336">
        <v>8590</v>
      </c>
      <c r="AE798" s="334">
        <v>452.81</v>
      </c>
      <c r="AF798" s="336">
        <v>8590</v>
      </c>
      <c r="AG798" s="334">
        <v>452.06900000000002</v>
      </c>
      <c r="AH798" s="336">
        <v>8590</v>
      </c>
      <c r="AI798" s="334">
        <v>452.64299999999997</v>
      </c>
      <c r="AJ798" s="336">
        <v>8570</v>
      </c>
      <c r="AK798" s="334">
        <v>453.70400000000001</v>
      </c>
      <c r="AL798" s="336">
        <v>8590</v>
      </c>
      <c r="AM798" s="334">
        <v>453.36399999999998</v>
      </c>
      <c r="AN798" s="336">
        <v>8590</v>
      </c>
      <c r="AO798" s="334">
        <v>454.03699999999998</v>
      </c>
      <c r="AP798" s="336">
        <v>8580</v>
      </c>
      <c r="AQ798" s="334">
        <v>453.74</v>
      </c>
      <c r="AR798" s="336">
        <v>8590</v>
      </c>
      <c r="AS798" s="334">
        <v>453.14100000000002</v>
      </c>
      <c r="AT798" s="336">
        <v>8590</v>
      </c>
      <c r="AU798" s="334">
        <v>451.524</v>
      </c>
      <c r="AV798" s="336">
        <v>8590</v>
      </c>
      <c r="AW798" s="334">
        <v>451.86900000000003</v>
      </c>
      <c r="AX798" s="336">
        <v>8580</v>
      </c>
      <c r="AY798" s="334">
        <v>376.30799999999999</v>
      </c>
      <c r="AZ798" s="336">
        <v>8590</v>
      </c>
      <c r="BA798" s="337">
        <v>377.93099999999998</v>
      </c>
      <c r="BB798" s="336">
        <v>8570</v>
      </c>
      <c r="BC798" s="334">
        <v>87.844999999999999</v>
      </c>
      <c r="BD798" s="336">
        <v>8570</v>
      </c>
      <c r="BE798" s="334">
        <v>93.165000000000006</v>
      </c>
    </row>
    <row r="799" spans="22:57">
      <c r="V799" s="346">
        <v>8600</v>
      </c>
      <c r="W799" s="333">
        <v>200.21</v>
      </c>
      <c r="X799" s="346">
        <v>8610</v>
      </c>
      <c r="Y799" s="334">
        <v>198.43299999999999</v>
      </c>
      <c r="Z799" s="335">
        <v>8600</v>
      </c>
      <c r="AA799" s="334">
        <v>493.12400000000002</v>
      </c>
      <c r="AB799" s="336">
        <v>8600</v>
      </c>
      <c r="AC799" s="334">
        <v>493.17200000000003</v>
      </c>
      <c r="AD799" s="336">
        <v>8600</v>
      </c>
      <c r="AE799" s="334">
        <v>451.59800000000001</v>
      </c>
      <c r="AF799" s="336">
        <v>8600</v>
      </c>
      <c r="AG799" s="334">
        <v>450.85599999999999</v>
      </c>
      <c r="AH799" s="336">
        <v>8600</v>
      </c>
      <c r="AI799" s="334">
        <v>451.43099999999998</v>
      </c>
      <c r="AJ799" s="336">
        <v>8580</v>
      </c>
      <c r="AK799" s="334">
        <v>452.49200000000002</v>
      </c>
      <c r="AL799" s="336">
        <v>8600</v>
      </c>
      <c r="AM799" s="334">
        <v>452.15199999999999</v>
      </c>
      <c r="AN799" s="336">
        <v>8600</v>
      </c>
      <c r="AO799" s="334">
        <v>452.82499999999999</v>
      </c>
      <c r="AP799" s="336">
        <v>8590</v>
      </c>
      <c r="AQ799" s="334">
        <v>452.529</v>
      </c>
      <c r="AR799" s="336">
        <v>8600</v>
      </c>
      <c r="AS799" s="334">
        <v>451.93</v>
      </c>
      <c r="AT799" s="336">
        <v>8600</v>
      </c>
      <c r="AU799" s="334">
        <v>450.31299999999999</v>
      </c>
      <c r="AV799" s="336">
        <v>8600</v>
      </c>
      <c r="AW799" s="334">
        <v>450.65899999999999</v>
      </c>
      <c r="AX799" s="336">
        <v>8590</v>
      </c>
      <c r="AY799" s="334">
        <v>375.11799999999999</v>
      </c>
      <c r="AZ799" s="336">
        <v>8600</v>
      </c>
      <c r="BA799" s="337">
        <v>376.74099999999999</v>
      </c>
      <c r="BB799" s="336">
        <v>8580</v>
      </c>
      <c r="BC799" s="334">
        <v>87.527000000000001</v>
      </c>
      <c r="BD799" s="336">
        <v>8580</v>
      </c>
      <c r="BE799" s="334">
        <v>92.832999999999998</v>
      </c>
    </row>
    <row r="800" spans="22:57">
      <c r="V800" s="346">
        <v>8610</v>
      </c>
      <c r="W800" s="333">
        <v>199.49700000000001</v>
      </c>
      <c r="X800" s="346">
        <v>8620</v>
      </c>
      <c r="Y800" s="334">
        <v>197.72399999999999</v>
      </c>
      <c r="Z800" s="335">
        <v>8610</v>
      </c>
      <c r="AA800" s="334">
        <v>491.66899999999998</v>
      </c>
      <c r="AB800" s="336">
        <v>8610</v>
      </c>
      <c r="AC800" s="334">
        <v>491.71699999999998</v>
      </c>
      <c r="AD800" s="336">
        <v>8610</v>
      </c>
      <c r="AE800" s="334">
        <v>450.38600000000002</v>
      </c>
      <c r="AF800" s="336">
        <v>8610</v>
      </c>
      <c r="AG800" s="334">
        <v>449.642</v>
      </c>
      <c r="AH800" s="336">
        <v>8610</v>
      </c>
      <c r="AI800" s="334">
        <v>450.21899999999999</v>
      </c>
      <c r="AJ800" s="336">
        <v>8590</v>
      </c>
      <c r="AK800" s="334">
        <v>451.28</v>
      </c>
      <c r="AL800" s="336">
        <v>8610</v>
      </c>
      <c r="AM800" s="334">
        <v>450.94</v>
      </c>
      <c r="AN800" s="336">
        <v>8610</v>
      </c>
      <c r="AO800" s="334">
        <v>451.613</v>
      </c>
      <c r="AP800" s="336">
        <v>8600</v>
      </c>
      <c r="AQ800" s="334">
        <v>451.31900000000002</v>
      </c>
      <c r="AR800" s="336">
        <v>8610</v>
      </c>
      <c r="AS800" s="334">
        <v>450.71899999999999</v>
      </c>
      <c r="AT800" s="336">
        <v>8610</v>
      </c>
      <c r="AU800" s="334">
        <v>449.10300000000001</v>
      </c>
      <c r="AV800" s="336">
        <v>8610</v>
      </c>
      <c r="AW800" s="334">
        <v>449.44900000000001</v>
      </c>
      <c r="AX800" s="336">
        <v>8600</v>
      </c>
      <c r="AY800" s="334">
        <v>373.928</v>
      </c>
      <c r="AZ800" s="336">
        <v>8610</v>
      </c>
      <c r="BA800" s="337">
        <v>375.55200000000002</v>
      </c>
      <c r="BB800" s="336">
        <v>8590</v>
      </c>
      <c r="BC800" s="334">
        <v>87.209000000000003</v>
      </c>
      <c r="BD800" s="336">
        <v>8590</v>
      </c>
      <c r="BE800" s="334">
        <v>92.501000000000005</v>
      </c>
    </row>
    <row r="801" spans="22:57">
      <c r="V801" s="346">
        <v>8620</v>
      </c>
      <c r="W801" s="333">
        <v>198.78399999999999</v>
      </c>
      <c r="X801" s="346">
        <v>8630</v>
      </c>
      <c r="Y801" s="334">
        <v>197.01400000000001</v>
      </c>
      <c r="Z801" s="335">
        <v>8620</v>
      </c>
      <c r="AA801" s="334">
        <v>490.214</v>
      </c>
      <c r="AB801" s="336">
        <v>8620</v>
      </c>
      <c r="AC801" s="334">
        <v>490.26100000000002</v>
      </c>
      <c r="AD801" s="336">
        <v>8620</v>
      </c>
      <c r="AE801" s="334">
        <v>449.17500000000001</v>
      </c>
      <c r="AF801" s="336">
        <v>8620</v>
      </c>
      <c r="AG801" s="334">
        <v>448.42899999999997</v>
      </c>
      <c r="AH801" s="336">
        <v>8620</v>
      </c>
      <c r="AI801" s="334">
        <v>449.00799999999998</v>
      </c>
      <c r="AJ801" s="336">
        <v>8600</v>
      </c>
      <c r="AK801" s="334">
        <v>450.06799999999998</v>
      </c>
      <c r="AL801" s="336">
        <v>8620</v>
      </c>
      <c r="AM801" s="334">
        <v>449.72800000000001</v>
      </c>
      <c r="AN801" s="336">
        <v>8620</v>
      </c>
      <c r="AO801" s="334">
        <v>450.40100000000001</v>
      </c>
      <c r="AP801" s="336">
        <v>8610</v>
      </c>
      <c r="AQ801" s="334">
        <v>450.10899999999998</v>
      </c>
      <c r="AR801" s="336">
        <v>8620</v>
      </c>
      <c r="AS801" s="334">
        <v>449.50799999999998</v>
      </c>
      <c r="AT801" s="336">
        <v>8620</v>
      </c>
      <c r="AU801" s="334">
        <v>447.892</v>
      </c>
      <c r="AV801" s="336">
        <v>8620</v>
      </c>
      <c r="AW801" s="334">
        <v>448.23899999999998</v>
      </c>
      <c r="AX801" s="336">
        <v>8610</v>
      </c>
      <c r="AY801" s="334">
        <v>372.73899999999998</v>
      </c>
      <c r="AZ801" s="336">
        <v>8620</v>
      </c>
      <c r="BA801" s="337">
        <v>374.363</v>
      </c>
      <c r="BB801" s="336">
        <v>8600</v>
      </c>
      <c r="BC801" s="334">
        <v>86.891999999999996</v>
      </c>
      <c r="BD801" s="336">
        <v>8600</v>
      </c>
      <c r="BE801" s="334">
        <v>92.168999999999997</v>
      </c>
    </row>
    <row r="802" spans="22:57">
      <c r="V802" s="346">
        <v>8630</v>
      </c>
      <c r="W802" s="333">
        <v>198.072</v>
      </c>
      <c r="X802" s="346">
        <v>8640</v>
      </c>
      <c r="Y802" s="334">
        <v>196.30500000000001</v>
      </c>
      <c r="Z802" s="335">
        <v>8630</v>
      </c>
      <c r="AA802" s="334">
        <v>488.75900000000001</v>
      </c>
      <c r="AB802" s="336">
        <v>8630</v>
      </c>
      <c r="AC802" s="334">
        <v>488.80599999999998</v>
      </c>
      <c r="AD802" s="336">
        <v>8630</v>
      </c>
      <c r="AE802" s="334">
        <v>447.96300000000002</v>
      </c>
      <c r="AF802" s="336">
        <v>8630</v>
      </c>
      <c r="AG802" s="334">
        <v>447.21600000000001</v>
      </c>
      <c r="AH802" s="336">
        <v>8630</v>
      </c>
      <c r="AI802" s="334">
        <v>447.79599999999999</v>
      </c>
      <c r="AJ802" s="336">
        <v>8610</v>
      </c>
      <c r="AK802" s="334">
        <v>448.85599999999999</v>
      </c>
      <c r="AL802" s="336">
        <v>8630</v>
      </c>
      <c r="AM802" s="334">
        <v>448.51600000000002</v>
      </c>
      <c r="AN802" s="336">
        <v>8630</v>
      </c>
      <c r="AO802" s="334">
        <v>449.18900000000002</v>
      </c>
      <c r="AP802" s="336">
        <v>8620</v>
      </c>
      <c r="AQ802" s="334">
        <v>448.899</v>
      </c>
      <c r="AR802" s="336">
        <v>8630</v>
      </c>
      <c r="AS802" s="334">
        <v>448.29700000000003</v>
      </c>
      <c r="AT802" s="336">
        <v>8630</v>
      </c>
      <c r="AU802" s="334">
        <v>446.68099999999998</v>
      </c>
      <c r="AV802" s="336">
        <v>8630</v>
      </c>
      <c r="AW802" s="334">
        <v>447.029</v>
      </c>
      <c r="AX802" s="336">
        <v>8620</v>
      </c>
      <c r="AY802" s="334">
        <v>371.55099999999999</v>
      </c>
      <c r="AZ802" s="336">
        <v>8630</v>
      </c>
      <c r="BA802" s="337">
        <v>373.17500000000001</v>
      </c>
      <c r="BB802" s="336">
        <v>8610</v>
      </c>
      <c r="BC802" s="334">
        <v>86.575000000000003</v>
      </c>
      <c r="BD802" s="336">
        <v>8610</v>
      </c>
      <c r="BE802" s="334">
        <v>91.837999999999994</v>
      </c>
    </row>
    <row r="803" spans="22:57">
      <c r="V803" s="346">
        <v>8640</v>
      </c>
      <c r="W803" s="333">
        <v>197.35900000000001</v>
      </c>
      <c r="X803" s="346">
        <v>8650</v>
      </c>
      <c r="Y803" s="334">
        <v>195.596</v>
      </c>
      <c r="Z803" s="335">
        <v>8640</v>
      </c>
      <c r="AA803" s="334">
        <v>487.30500000000001</v>
      </c>
      <c r="AB803" s="336">
        <v>8640</v>
      </c>
      <c r="AC803" s="334">
        <v>487.351</v>
      </c>
      <c r="AD803" s="336">
        <v>8640</v>
      </c>
      <c r="AE803" s="334">
        <v>446.75099999999998</v>
      </c>
      <c r="AF803" s="336">
        <v>8640</v>
      </c>
      <c r="AG803" s="334">
        <v>446.00200000000001</v>
      </c>
      <c r="AH803" s="336">
        <v>8640</v>
      </c>
      <c r="AI803" s="334">
        <v>446.584</v>
      </c>
      <c r="AJ803" s="336">
        <v>8620</v>
      </c>
      <c r="AK803" s="334">
        <v>447.64400000000001</v>
      </c>
      <c r="AL803" s="336">
        <v>8640</v>
      </c>
      <c r="AM803" s="334">
        <v>447.30500000000001</v>
      </c>
      <c r="AN803" s="336">
        <v>8640</v>
      </c>
      <c r="AO803" s="334">
        <v>447.976</v>
      </c>
      <c r="AP803" s="336">
        <v>8630</v>
      </c>
      <c r="AQ803" s="334">
        <v>447.68799999999999</v>
      </c>
      <c r="AR803" s="336">
        <v>8640</v>
      </c>
      <c r="AS803" s="334">
        <v>447.08600000000001</v>
      </c>
      <c r="AT803" s="336">
        <v>8640</v>
      </c>
      <c r="AU803" s="334">
        <v>445.47</v>
      </c>
      <c r="AV803" s="336">
        <v>8640</v>
      </c>
      <c r="AW803" s="334">
        <v>445.81900000000002</v>
      </c>
      <c r="AX803" s="336">
        <v>8630</v>
      </c>
      <c r="AY803" s="334">
        <v>370.363</v>
      </c>
      <c r="AZ803" s="336">
        <v>8640</v>
      </c>
      <c r="BA803" s="337">
        <v>371.98700000000002</v>
      </c>
      <c r="BB803" s="336">
        <v>8620</v>
      </c>
      <c r="BC803" s="334">
        <v>86.259</v>
      </c>
      <c r="BD803" s="336">
        <v>8620</v>
      </c>
      <c r="BE803" s="334">
        <v>91.507000000000005</v>
      </c>
    </row>
    <row r="804" spans="22:57">
      <c r="V804" s="346">
        <v>8650</v>
      </c>
      <c r="W804" s="333">
        <v>196.64699999999999</v>
      </c>
      <c r="X804" s="346">
        <v>8660</v>
      </c>
      <c r="Y804" s="334">
        <v>194.887</v>
      </c>
      <c r="Z804" s="335">
        <v>8650</v>
      </c>
      <c r="AA804" s="334">
        <v>485.85</v>
      </c>
      <c r="AB804" s="336">
        <v>8650</v>
      </c>
      <c r="AC804" s="334">
        <v>485.89600000000002</v>
      </c>
      <c r="AD804" s="336">
        <v>8650</v>
      </c>
      <c r="AE804" s="334">
        <v>445.53899999999999</v>
      </c>
      <c r="AF804" s="336">
        <v>8650</v>
      </c>
      <c r="AG804" s="334">
        <v>444.78899999999999</v>
      </c>
      <c r="AH804" s="336">
        <v>8650</v>
      </c>
      <c r="AI804" s="334">
        <v>445.37200000000001</v>
      </c>
      <c r="AJ804" s="336">
        <v>8630</v>
      </c>
      <c r="AK804" s="334">
        <v>446.43200000000002</v>
      </c>
      <c r="AL804" s="336">
        <v>8650</v>
      </c>
      <c r="AM804" s="334">
        <v>446.09300000000002</v>
      </c>
      <c r="AN804" s="336">
        <v>8650</v>
      </c>
      <c r="AO804" s="334">
        <v>446.76400000000001</v>
      </c>
      <c r="AP804" s="336">
        <v>8640</v>
      </c>
      <c r="AQ804" s="334">
        <v>446.47800000000001</v>
      </c>
      <c r="AR804" s="336">
        <v>8650</v>
      </c>
      <c r="AS804" s="334">
        <v>445.875</v>
      </c>
      <c r="AT804" s="336">
        <v>8650</v>
      </c>
      <c r="AU804" s="334">
        <v>444.25900000000001</v>
      </c>
      <c r="AV804" s="336">
        <v>8650</v>
      </c>
      <c r="AW804" s="334">
        <v>444.60899999999998</v>
      </c>
      <c r="AX804" s="336">
        <v>8640</v>
      </c>
      <c r="AY804" s="334">
        <v>369.17500000000001</v>
      </c>
      <c r="AZ804" s="336">
        <v>8650</v>
      </c>
      <c r="BA804" s="337">
        <v>370.8</v>
      </c>
      <c r="BB804" s="336">
        <v>8630</v>
      </c>
      <c r="BC804" s="334">
        <v>85.942999999999998</v>
      </c>
      <c r="BD804" s="336">
        <v>8630</v>
      </c>
      <c r="BE804" s="334">
        <v>91.177000000000007</v>
      </c>
    </row>
    <row r="805" spans="22:57">
      <c r="V805" s="346">
        <v>8660</v>
      </c>
      <c r="W805" s="333">
        <v>195.935</v>
      </c>
      <c r="X805" s="346">
        <v>8670</v>
      </c>
      <c r="Y805" s="334">
        <v>194.178</v>
      </c>
      <c r="Z805" s="335">
        <v>8660</v>
      </c>
      <c r="AA805" s="334">
        <v>484.39600000000002</v>
      </c>
      <c r="AB805" s="336">
        <v>8660</v>
      </c>
      <c r="AC805" s="334">
        <v>484.44099999999997</v>
      </c>
      <c r="AD805" s="336">
        <v>8660</v>
      </c>
      <c r="AE805" s="334">
        <v>444.32799999999997</v>
      </c>
      <c r="AF805" s="336">
        <v>8660</v>
      </c>
      <c r="AG805" s="334">
        <v>443.57499999999999</v>
      </c>
      <c r="AH805" s="336">
        <v>8660</v>
      </c>
      <c r="AI805" s="334">
        <v>444.16</v>
      </c>
      <c r="AJ805" s="336">
        <v>8640</v>
      </c>
      <c r="AK805" s="334">
        <v>445.21899999999999</v>
      </c>
      <c r="AL805" s="336">
        <v>8660</v>
      </c>
      <c r="AM805" s="334">
        <v>444.88099999999997</v>
      </c>
      <c r="AN805" s="336">
        <v>8660</v>
      </c>
      <c r="AO805" s="334">
        <v>445.553</v>
      </c>
      <c r="AP805" s="336">
        <v>8650</v>
      </c>
      <c r="AQ805" s="334">
        <v>445.26799999999997</v>
      </c>
      <c r="AR805" s="336">
        <v>8660</v>
      </c>
      <c r="AS805" s="334">
        <v>444.66399999999999</v>
      </c>
      <c r="AT805" s="336">
        <v>8660</v>
      </c>
      <c r="AU805" s="334">
        <v>443.048</v>
      </c>
      <c r="AV805" s="336">
        <v>8660</v>
      </c>
      <c r="AW805" s="334">
        <v>443.399</v>
      </c>
      <c r="AX805" s="336">
        <v>8650</v>
      </c>
      <c r="AY805" s="334">
        <v>367.98899999999998</v>
      </c>
      <c r="AZ805" s="336">
        <v>8660</v>
      </c>
      <c r="BA805" s="337">
        <v>369.613</v>
      </c>
      <c r="BB805" s="336">
        <v>8640</v>
      </c>
      <c r="BC805" s="334">
        <v>85.628</v>
      </c>
      <c r="BD805" s="336">
        <v>8640</v>
      </c>
      <c r="BE805" s="334">
        <v>90.846999999999994</v>
      </c>
    </row>
    <row r="806" spans="22:57">
      <c r="V806" s="346">
        <v>8670</v>
      </c>
      <c r="W806" s="333">
        <v>195.22300000000001</v>
      </c>
      <c r="X806" s="346">
        <v>8680</v>
      </c>
      <c r="Y806" s="334">
        <v>193.47</v>
      </c>
      <c r="Z806" s="335">
        <v>8670</v>
      </c>
      <c r="AA806" s="334">
        <v>482.94099999999997</v>
      </c>
      <c r="AB806" s="336">
        <v>8670</v>
      </c>
      <c r="AC806" s="334">
        <v>482.98599999999999</v>
      </c>
      <c r="AD806" s="336">
        <v>8670</v>
      </c>
      <c r="AE806" s="334">
        <v>443.11599999999999</v>
      </c>
      <c r="AF806" s="336">
        <v>8670</v>
      </c>
      <c r="AG806" s="334">
        <v>442.36200000000002</v>
      </c>
      <c r="AH806" s="336">
        <v>8670</v>
      </c>
      <c r="AI806" s="334">
        <v>442.94799999999998</v>
      </c>
      <c r="AJ806" s="336">
        <v>8650</v>
      </c>
      <c r="AK806" s="334">
        <v>444.00700000000001</v>
      </c>
      <c r="AL806" s="336">
        <v>8670</v>
      </c>
      <c r="AM806" s="334">
        <v>443.66899999999998</v>
      </c>
      <c r="AN806" s="336">
        <v>8670</v>
      </c>
      <c r="AO806" s="334">
        <v>444.34</v>
      </c>
      <c r="AP806" s="336">
        <v>8660</v>
      </c>
      <c r="AQ806" s="334">
        <v>444.05799999999999</v>
      </c>
      <c r="AR806" s="336">
        <v>8670</v>
      </c>
      <c r="AS806" s="334">
        <v>443.45299999999997</v>
      </c>
      <c r="AT806" s="336">
        <v>8670</v>
      </c>
      <c r="AU806" s="334">
        <v>441.83699999999999</v>
      </c>
      <c r="AV806" s="336">
        <v>8670</v>
      </c>
      <c r="AW806" s="334">
        <v>442.18900000000002</v>
      </c>
      <c r="AX806" s="336">
        <v>8660</v>
      </c>
      <c r="AY806" s="334">
        <v>366.80200000000002</v>
      </c>
      <c r="AZ806" s="336">
        <v>8670</v>
      </c>
      <c r="BA806" s="337">
        <v>368.42700000000002</v>
      </c>
      <c r="BB806" s="336">
        <v>8650</v>
      </c>
      <c r="BC806" s="334">
        <v>85.313000000000002</v>
      </c>
      <c r="BD806" s="336">
        <v>8650</v>
      </c>
      <c r="BE806" s="334">
        <v>90.516999999999996</v>
      </c>
    </row>
    <row r="807" spans="22:57">
      <c r="V807" s="346">
        <v>8680</v>
      </c>
      <c r="W807" s="333">
        <v>194.512</v>
      </c>
      <c r="X807" s="346">
        <v>8690</v>
      </c>
      <c r="Y807" s="334">
        <v>192.762</v>
      </c>
      <c r="Z807" s="335">
        <v>8680</v>
      </c>
      <c r="AA807" s="334">
        <v>481.48700000000002</v>
      </c>
      <c r="AB807" s="336">
        <v>8680</v>
      </c>
      <c r="AC807" s="334">
        <v>481.53100000000001</v>
      </c>
      <c r="AD807" s="336">
        <v>8680</v>
      </c>
      <c r="AE807" s="334">
        <v>441.904</v>
      </c>
      <c r="AF807" s="336">
        <v>8680</v>
      </c>
      <c r="AG807" s="334">
        <v>441.149</v>
      </c>
      <c r="AH807" s="336">
        <v>8680</v>
      </c>
      <c r="AI807" s="334">
        <v>441.73599999999999</v>
      </c>
      <c r="AJ807" s="336">
        <v>8660</v>
      </c>
      <c r="AK807" s="334">
        <v>442.79500000000002</v>
      </c>
      <c r="AL807" s="336">
        <v>8680</v>
      </c>
      <c r="AM807" s="334">
        <v>442.45699999999999</v>
      </c>
      <c r="AN807" s="336">
        <v>8680</v>
      </c>
      <c r="AO807" s="334">
        <v>443.12799999999999</v>
      </c>
      <c r="AP807" s="336">
        <v>8670</v>
      </c>
      <c r="AQ807" s="334">
        <v>442.84699999999998</v>
      </c>
      <c r="AR807" s="336">
        <v>8680</v>
      </c>
      <c r="AS807" s="334">
        <v>442.24200000000002</v>
      </c>
      <c r="AT807" s="336">
        <v>8680</v>
      </c>
      <c r="AU807" s="334">
        <v>440.62599999999998</v>
      </c>
      <c r="AV807" s="336">
        <v>8680</v>
      </c>
      <c r="AW807" s="334">
        <v>440.97899999999998</v>
      </c>
      <c r="AX807" s="336">
        <v>8670</v>
      </c>
      <c r="AY807" s="334">
        <v>365.61700000000002</v>
      </c>
      <c r="AZ807" s="336">
        <v>8680</v>
      </c>
      <c r="BA807" s="337">
        <v>367.24099999999999</v>
      </c>
      <c r="BB807" s="336">
        <v>8660</v>
      </c>
      <c r="BC807" s="334">
        <v>84.998000000000005</v>
      </c>
      <c r="BD807" s="336">
        <v>8660</v>
      </c>
      <c r="BE807" s="334">
        <v>90.188000000000002</v>
      </c>
    </row>
    <row r="808" spans="22:57">
      <c r="V808" s="346">
        <v>8690</v>
      </c>
      <c r="W808" s="333">
        <v>193.8</v>
      </c>
      <c r="X808" s="346">
        <v>8700</v>
      </c>
      <c r="Y808" s="334">
        <v>192.054</v>
      </c>
      <c r="Z808" s="335">
        <v>8690</v>
      </c>
      <c r="AA808" s="334">
        <v>480.03300000000002</v>
      </c>
      <c r="AB808" s="336">
        <v>8690</v>
      </c>
      <c r="AC808" s="334">
        <v>480.07600000000002</v>
      </c>
      <c r="AD808" s="336">
        <v>8690</v>
      </c>
      <c r="AE808" s="334">
        <v>440.69299999999998</v>
      </c>
      <c r="AF808" s="336">
        <v>8690</v>
      </c>
      <c r="AG808" s="334">
        <v>439.935</v>
      </c>
      <c r="AH808" s="336">
        <v>8690</v>
      </c>
      <c r="AI808" s="334">
        <v>440.52499999999998</v>
      </c>
      <c r="AJ808" s="336">
        <v>8670</v>
      </c>
      <c r="AK808" s="334">
        <v>441.58300000000003</v>
      </c>
      <c r="AL808" s="336">
        <v>8690</v>
      </c>
      <c r="AM808" s="334">
        <v>441.245</v>
      </c>
      <c r="AN808" s="336">
        <v>8690</v>
      </c>
      <c r="AO808" s="334">
        <v>441.916</v>
      </c>
      <c r="AP808" s="336">
        <v>8680</v>
      </c>
      <c r="AQ808" s="334">
        <v>441.637</v>
      </c>
      <c r="AR808" s="336">
        <v>8690</v>
      </c>
      <c r="AS808" s="334">
        <v>441.03100000000001</v>
      </c>
      <c r="AT808" s="336">
        <v>8690</v>
      </c>
      <c r="AU808" s="334">
        <v>439.416</v>
      </c>
      <c r="AV808" s="336">
        <v>8690</v>
      </c>
      <c r="AW808" s="334">
        <v>439.76900000000001</v>
      </c>
      <c r="AX808" s="336">
        <v>8680</v>
      </c>
      <c r="AY808" s="334">
        <v>364.43200000000002</v>
      </c>
      <c r="AZ808" s="336">
        <v>8690</v>
      </c>
      <c r="BA808" s="337">
        <v>366.05599999999998</v>
      </c>
      <c r="BB808" s="336">
        <v>8670</v>
      </c>
      <c r="BC808" s="334">
        <v>84.683999999999997</v>
      </c>
      <c r="BD808" s="336">
        <v>8670</v>
      </c>
      <c r="BE808" s="334">
        <v>89.858999999999995</v>
      </c>
    </row>
    <row r="809" spans="22:57">
      <c r="V809" s="346">
        <v>8700</v>
      </c>
      <c r="W809" s="333">
        <v>193.089</v>
      </c>
      <c r="X809" s="346">
        <v>8710</v>
      </c>
      <c r="Y809" s="334">
        <v>191.346</v>
      </c>
      <c r="Z809" s="335">
        <v>8700</v>
      </c>
      <c r="AA809" s="334">
        <v>478.57900000000001</v>
      </c>
      <c r="AB809" s="336">
        <v>8700</v>
      </c>
      <c r="AC809" s="334">
        <v>478.62200000000001</v>
      </c>
      <c r="AD809" s="336">
        <v>8700</v>
      </c>
      <c r="AE809" s="334">
        <v>439.48099999999999</v>
      </c>
      <c r="AF809" s="336">
        <v>8700</v>
      </c>
      <c r="AG809" s="334">
        <v>438.72199999999998</v>
      </c>
      <c r="AH809" s="336">
        <v>8700</v>
      </c>
      <c r="AI809" s="334">
        <v>439.31299999999999</v>
      </c>
      <c r="AJ809" s="336">
        <v>8680</v>
      </c>
      <c r="AK809" s="334">
        <v>440.37099999999998</v>
      </c>
      <c r="AL809" s="336">
        <v>8700</v>
      </c>
      <c r="AM809" s="334">
        <v>440.03300000000002</v>
      </c>
      <c r="AN809" s="336">
        <v>8700</v>
      </c>
      <c r="AO809" s="334">
        <v>440.70400000000001</v>
      </c>
      <c r="AP809" s="336">
        <v>8690</v>
      </c>
      <c r="AQ809" s="334">
        <v>440.42700000000002</v>
      </c>
      <c r="AR809" s="336">
        <v>8700</v>
      </c>
      <c r="AS809" s="334">
        <v>439.82</v>
      </c>
      <c r="AT809" s="336">
        <v>8700</v>
      </c>
      <c r="AU809" s="334">
        <v>438.20499999999998</v>
      </c>
      <c r="AV809" s="336">
        <v>8700</v>
      </c>
      <c r="AW809" s="334">
        <v>438.55900000000003</v>
      </c>
      <c r="AX809" s="336">
        <v>8690</v>
      </c>
      <c r="AY809" s="334">
        <v>363.24700000000001</v>
      </c>
      <c r="AZ809" s="336">
        <v>8700</v>
      </c>
      <c r="BA809" s="337">
        <v>364.87200000000001</v>
      </c>
      <c r="BB809" s="336">
        <v>8680</v>
      </c>
      <c r="BC809" s="334">
        <v>84.37</v>
      </c>
      <c r="BD809" s="336">
        <v>8680</v>
      </c>
      <c r="BE809" s="334">
        <v>89.531000000000006</v>
      </c>
    </row>
    <row r="810" spans="22:57">
      <c r="V810" s="346">
        <v>8710</v>
      </c>
      <c r="W810" s="333">
        <v>192.37899999999999</v>
      </c>
      <c r="X810" s="346">
        <v>8720</v>
      </c>
      <c r="Y810" s="334">
        <v>190.63800000000001</v>
      </c>
      <c r="Z810" s="335">
        <v>8710</v>
      </c>
      <c r="AA810" s="334">
        <v>477.125</v>
      </c>
      <c r="AB810" s="336">
        <v>8710</v>
      </c>
      <c r="AC810" s="334">
        <v>477.16699999999997</v>
      </c>
      <c r="AD810" s="336">
        <v>8710</v>
      </c>
      <c r="AE810" s="334">
        <v>438.26900000000001</v>
      </c>
      <c r="AF810" s="336">
        <v>8710</v>
      </c>
      <c r="AG810" s="334">
        <v>437.50900000000001</v>
      </c>
      <c r="AH810" s="336">
        <v>8710</v>
      </c>
      <c r="AI810" s="334">
        <v>438.101</v>
      </c>
      <c r="AJ810" s="336">
        <v>8690</v>
      </c>
      <c r="AK810" s="334">
        <v>439.15899999999999</v>
      </c>
      <c r="AL810" s="336">
        <v>8710</v>
      </c>
      <c r="AM810" s="334">
        <v>438.82100000000003</v>
      </c>
      <c r="AN810" s="336">
        <v>8710</v>
      </c>
      <c r="AO810" s="334">
        <v>439.49200000000002</v>
      </c>
      <c r="AP810" s="336">
        <v>8700</v>
      </c>
      <c r="AQ810" s="334">
        <v>439.21699999999998</v>
      </c>
      <c r="AR810" s="336">
        <v>8710</v>
      </c>
      <c r="AS810" s="334">
        <v>438.60899999999998</v>
      </c>
      <c r="AT810" s="336">
        <v>8710</v>
      </c>
      <c r="AU810" s="334">
        <v>436.99400000000003</v>
      </c>
      <c r="AV810" s="336">
        <v>8710</v>
      </c>
      <c r="AW810" s="334">
        <v>437.34899999999999</v>
      </c>
      <c r="AX810" s="336">
        <v>8700</v>
      </c>
      <c r="AY810" s="334">
        <v>362.06299999999999</v>
      </c>
      <c r="AZ810" s="336">
        <v>8710</v>
      </c>
      <c r="BA810" s="337">
        <v>363.68799999999999</v>
      </c>
      <c r="BB810" s="336">
        <v>8690</v>
      </c>
      <c r="BC810" s="334">
        <v>84.055999999999997</v>
      </c>
      <c r="BD810" s="336">
        <v>8690</v>
      </c>
      <c r="BE810" s="334">
        <v>89.203000000000003</v>
      </c>
    </row>
    <row r="811" spans="22:57">
      <c r="V811" s="346">
        <v>8720</v>
      </c>
      <c r="W811" s="333">
        <v>191.66800000000001</v>
      </c>
      <c r="X811" s="346">
        <v>8730</v>
      </c>
      <c r="Y811" s="334">
        <v>189.93100000000001</v>
      </c>
      <c r="Z811" s="335">
        <v>8720</v>
      </c>
      <c r="AA811" s="334">
        <v>475.67099999999999</v>
      </c>
      <c r="AB811" s="336">
        <v>8720</v>
      </c>
      <c r="AC811" s="334">
        <v>475.71199999999999</v>
      </c>
      <c r="AD811" s="336">
        <v>8720</v>
      </c>
      <c r="AE811" s="334">
        <v>437.05700000000002</v>
      </c>
      <c r="AF811" s="336">
        <v>8720</v>
      </c>
      <c r="AG811" s="334">
        <v>436.29500000000002</v>
      </c>
      <c r="AH811" s="336">
        <v>8720</v>
      </c>
      <c r="AI811" s="334">
        <v>436.88900000000001</v>
      </c>
      <c r="AJ811" s="336">
        <v>8700</v>
      </c>
      <c r="AK811" s="334">
        <v>437.947</v>
      </c>
      <c r="AL811" s="336">
        <v>8720</v>
      </c>
      <c r="AM811" s="334">
        <v>437.60899999999998</v>
      </c>
      <c r="AN811" s="336">
        <v>8720</v>
      </c>
      <c r="AO811" s="334">
        <v>438.28</v>
      </c>
      <c r="AP811" s="336">
        <v>8710</v>
      </c>
      <c r="AQ811" s="334">
        <v>438.00599999999997</v>
      </c>
      <c r="AR811" s="336">
        <v>8720</v>
      </c>
      <c r="AS811" s="334">
        <v>437.39800000000002</v>
      </c>
      <c r="AT811" s="336">
        <v>8720</v>
      </c>
      <c r="AU811" s="334">
        <v>435.78300000000002</v>
      </c>
      <c r="AV811" s="336">
        <v>8720</v>
      </c>
      <c r="AW811" s="334">
        <v>436.13900000000001</v>
      </c>
      <c r="AX811" s="336">
        <v>8710</v>
      </c>
      <c r="AY811" s="334">
        <v>360.88</v>
      </c>
      <c r="AZ811" s="336">
        <v>8720</v>
      </c>
      <c r="BA811" s="337">
        <v>362.505</v>
      </c>
      <c r="BB811" s="336">
        <v>8700</v>
      </c>
      <c r="BC811" s="334">
        <v>83.742999999999995</v>
      </c>
      <c r="BD811" s="336">
        <v>8700</v>
      </c>
      <c r="BE811" s="334">
        <v>88.875</v>
      </c>
    </row>
    <row r="812" spans="22:57">
      <c r="V812" s="346">
        <v>8730</v>
      </c>
      <c r="W812" s="333">
        <v>190.958</v>
      </c>
      <c r="X812" s="346">
        <v>8740</v>
      </c>
      <c r="Y812" s="334">
        <v>189.22399999999999</v>
      </c>
      <c r="Z812" s="335">
        <v>8730</v>
      </c>
      <c r="AA812" s="334">
        <v>474.21699999999998</v>
      </c>
      <c r="AB812" s="336">
        <v>8730</v>
      </c>
      <c r="AC812" s="334">
        <v>474.25799999999998</v>
      </c>
      <c r="AD812" s="336">
        <v>8730</v>
      </c>
      <c r="AE812" s="334">
        <v>435.846</v>
      </c>
      <c r="AF812" s="336">
        <v>8730</v>
      </c>
      <c r="AG812" s="334">
        <v>435.08199999999999</v>
      </c>
      <c r="AH812" s="336">
        <v>8730</v>
      </c>
      <c r="AI812" s="334">
        <v>435.67700000000002</v>
      </c>
      <c r="AJ812" s="336">
        <v>8710</v>
      </c>
      <c r="AK812" s="334">
        <v>436.73500000000001</v>
      </c>
      <c r="AL812" s="336">
        <v>8730</v>
      </c>
      <c r="AM812" s="334">
        <v>436.39800000000002</v>
      </c>
      <c r="AN812" s="336">
        <v>8730</v>
      </c>
      <c r="AO812" s="334">
        <v>437.06799999999998</v>
      </c>
      <c r="AP812" s="336">
        <v>8720</v>
      </c>
      <c r="AQ812" s="334">
        <v>436.79599999999999</v>
      </c>
      <c r="AR812" s="336">
        <v>8730</v>
      </c>
      <c r="AS812" s="334">
        <v>436.18700000000001</v>
      </c>
      <c r="AT812" s="336">
        <v>8730</v>
      </c>
      <c r="AU812" s="334">
        <v>434.572</v>
      </c>
      <c r="AV812" s="336">
        <v>8730</v>
      </c>
      <c r="AW812" s="334">
        <v>434.92899999999997</v>
      </c>
      <c r="AX812" s="336">
        <v>8720</v>
      </c>
      <c r="AY812" s="334">
        <v>359.697</v>
      </c>
      <c r="AZ812" s="336">
        <v>8730</v>
      </c>
      <c r="BA812" s="337">
        <v>361.322</v>
      </c>
      <c r="BB812" s="336">
        <v>8710</v>
      </c>
      <c r="BC812" s="334">
        <v>83.43</v>
      </c>
      <c r="BD812" s="336">
        <v>8710</v>
      </c>
      <c r="BE812" s="334">
        <v>88.548000000000002</v>
      </c>
    </row>
    <row r="813" spans="22:57">
      <c r="V813" s="346">
        <v>8740</v>
      </c>
      <c r="W813" s="333">
        <v>190.24700000000001</v>
      </c>
      <c r="X813" s="346">
        <v>8750</v>
      </c>
      <c r="Y813" s="334">
        <v>188.517</v>
      </c>
      <c r="Z813" s="335">
        <v>8740</v>
      </c>
      <c r="AA813" s="334">
        <v>472.76400000000001</v>
      </c>
      <c r="AB813" s="336">
        <v>8740</v>
      </c>
      <c r="AC813" s="334">
        <v>472.80399999999997</v>
      </c>
      <c r="AD813" s="336">
        <v>8740</v>
      </c>
      <c r="AE813" s="334">
        <v>434.63400000000001</v>
      </c>
      <c r="AF813" s="336">
        <v>8740</v>
      </c>
      <c r="AG813" s="334">
        <v>433.86799999999999</v>
      </c>
      <c r="AH813" s="336">
        <v>8740</v>
      </c>
      <c r="AI813" s="334">
        <v>434.46499999999997</v>
      </c>
      <c r="AJ813" s="336">
        <v>8720</v>
      </c>
      <c r="AK813" s="334">
        <v>435.52199999999999</v>
      </c>
      <c r="AL813" s="336">
        <v>8740</v>
      </c>
      <c r="AM813" s="334">
        <v>435.18599999999998</v>
      </c>
      <c r="AN813" s="336">
        <v>8740</v>
      </c>
      <c r="AO813" s="334">
        <v>435.85599999999999</v>
      </c>
      <c r="AP813" s="336">
        <v>8730</v>
      </c>
      <c r="AQ813" s="334">
        <v>435.58600000000001</v>
      </c>
      <c r="AR813" s="336">
        <v>8740</v>
      </c>
      <c r="AS813" s="334">
        <v>434.976</v>
      </c>
      <c r="AT813" s="336">
        <v>8740</v>
      </c>
      <c r="AU813" s="334">
        <v>433.36099999999999</v>
      </c>
      <c r="AV813" s="336">
        <v>8740</v>
      </c>
      <c r="AW813" s="334">
        <v>433.71899999999999</v>
      </c>
      <c r="AX813" s="336">
        <v>8730</v>
      </c>
      <c r="AY813" s="334">
        <v>358.51499999999999</v>
      </c>
      <c r="AZ813" s="336">
        <v>8740</v>
      </c>
      <c r="BA813" s="337">
        <v>360.14</v>
      </c>
      <c r="BB813" s="336">
        <v>8720</v>
      </c>
      <c r="BC813" s="334">
        <v>83.117999999999995</v>
      </c>
      <c r="BD813" s="336">
        <v>8720</v>
      </c>
      <c r="BE813" s="334">
        <v>88.221000000000004</v>
      </c>
    </row>
    <row r="814" spans="22:57">
      <c r="V814" s="346">
        <v>8750</v>
      </c>
      <c r="W814" s="333">
        <v>189.53700000000001</v>
      </c>
      <c r="X814" s="346">
        <v>8760</v>
      </c>
      <c r="Y814" s="334">
        <v>187.81</v>
      </c>
      <c r="Z814" s="335">
        <v>8750</v>
      </c>
      <c r="AA814" s="334">
        <v>471.31</v>
      </c>
      <c r="AB814" s="336">
        <v>8750</v>
      </c>
      <c r="AC814" s="334">
        <v>471.35</v>
      </c>
      <c r="AD814" s="336">
        <v>8750</v>
      </c>
      <c r="AE814" s="334">
        <v>433.42200000000003</v>
      </c>
      <c r="AF814" s="336">
        <v>8750</v>
      </c>
      <c r="AG814" s="334">
        <v>432.65499999999997</v>
      </c>
      <c r="AH814" s="336">
        <v>8750</v>
      </c>
      <c r="AI814" s="334">
        <v>433.25299999999999</v>
      </c>
      <c r="AJ814" s="336">
        <v>8730</v>
      </c>
      <c r="AK814" s="334">
        <v>434.31</v>
      </c>
      <c r="AL814" s="336">
        <v>8750</v>
      </c>
      <c r="AM814" s="334">
        <v>433.97399999999999</v>
      </c>
      <c r="AN814" s="336">
        <v>8750</v>
      </c>
      <c r="AO814" s="334">
        <v>434.64400000000001</v>
      </c>
      <c r="AP814" s="336">
        <v>8740</v>
      </c>
      <c r="AQ814" s="334">
        <v>434.37599999999998</v>
      </c>
      <c r="AR814" s="336">
        <v>8750</v>
      </c>
      <c r="AS814" s="334">
        <v>433.76499999999999</v>
      </c>
      <c r="AT814" s="336">
        <v>8750</v>
      </c>
      <c r="AU814" s="334">
        <v>432.15100000000001</v>
      </c>
      <c r="AV814" s="336">
        <v>8750</v>
      </c>
      <c r="AW814" s="334">
        <v>432.50900000000001</v>
      </c>
      <c r="AX814" s="336">
        <v>8740</v>
      </c>
      <c r="AY814" s="334">
        <v>357.33300000000003</v>
      </c>
      <c r="AZ814" s="336">
        <v>8750</v>
      </c>
      <c r="BA814" s="337">
        <v>358.959</v>
      </c>
      <c r="BB814" s="336">
        <v>8730</v>
      </c>
      <c r="BC814" s="334">
        <v>82.805999999999997</v>
      </c>
      <c r="BD814" s="336">
        <v>8730</v>
      </c>
      <c r="BE814" s="334">
        <v>87.894999999999996</v>
      </c>
    </row>
    <row r="815" spans="22:57">
      <c r="V815" s="346">
        <v>8760</v>
      </c>
      <c r="W815" s="333">
        <v>188.828</v>
      </c>
      <c r="X815" s="346">
        <v>8770</v>
      </c>
      <c r="Y815" s="334">
        <v>187.10400000000001</v>
      </c>
      <c r="Z815" s="335">
        <v>8760</v>
      </c>
      <c r="AA815" s="334">
        <v>469.85700000000003</v>
      </c>
      <c r="AB815" s="336">
        <v>8760</v>
      </c>
      <c r="AC815" s="334">
        <v>469.89499999999998</v>
      </c>
      <c r="AD815" s="336">
        <v>8760</v>
      </c>
      <c r="AE815" s="334">
        <v>432.21100000000001</v>
      </c>
      <c r="AF815" s="336">
        <v>8760</v>
      </c>
      <c r="AG815" s="334">
        <v>431.44200000000001</v>
      </c>
      <c r="AH815" s="336">
        <v>8760</v>
      </c>
      <c r="AI815" s="334">
        <v>432.041</v>
      </c>
      <c r="AJ815" s="336">
        <v>8740</v>
      </c>
      <c r="AK815" s="334">
        <v>433.09800000000001</v>
      </c>
      <c r="AL815" s="336">
        <v>8760</v>
      </c>
      <c r="AM815" s="334">
        <v>432.762</v>
      </c>
      <c r="AN815" s="336">
        <v>8760</v>
      </c>
      <c r="AO815" s="334">
        <v>433.43200000000002</v>
      </c>
      <c r="AP815" s="336">
        <v>8750</v>
      </c>
      <c r="AQ815" s="334">
        <v>433.16500000000002</v>
      </c>
      <c r="AR815" s="336">
        <v>8760</v>
      </c>
      <c r="AS815" s="334">
        <v>432.55399999999997</v>
      </c>
      <c r="AT815" s="336">
        <v>8760</v>
      </c>
      <c r="AU815" s="334">
        <v>430.94</v>
      </c>
      <c r="AV815" s="336">
        <v>8760</v>
      </c>
      <c r="AW815" s="334">
        <v>431.29899999999998</v>
      </c>
      <c r="AX815" s="336">
        <v>8750</v>
      </c>
      <c r="AY815" s="334">
        <v>356.15199999999999</v>
      </c>
      <c r="AZ815" s="336">
        <v>8760</v>
      </c>
      <c r="BA815" s="337">
        <v>357.77800000000002</v>
      </c>
      <c r="BB815" s="336">
        <v>8740</v>
      </c>
      <c r="BC815" s="334">
        <v>82.495000000000005</v>
      </c>
      <c r="BD815" s="336">
        <v>8740</v>
      </c>
      <c r="BE815" s="334">
        <v>87.569000000000003</v>
      </c>
    </row>
    <row r="816" spans="22:57">
      <c r="V816" s="346">
        <v>8770</v>
      </c>
      <c r="W816" s="333">
        <v>188.11799999999999</v>
      </c>
      <c r="X816" s="346">
        <v>8780</v>
      </c>
      <c r="Y816" s="334">
        <v>186.398</v>
      </c>
      <c r="Z816" s="335">
        <v>8770</v>
      </c>
      <c r="AA816" s="334">
        <v>468.404</v>
      </c>
      <c r="AB816" s="336">
        <v>8770</v>
      </c>
      <c r="AC816" s="334">
        <v>468.44099999999997</v>
      </c>
      <c r="AD816" s="336">
        <v>8770</v>
      </c>
      <c r="AE816" s="334">
        <v>430.99900000000002</v>
      </c>
      <c r="AF816" s="336">
        <v>8770</v>
      </c>
      <c r="AG816" s="334">
        <v>430.22800000000001</v>
      </c>
      <c r="AH816" s="336">
        <v>8770</v>
      </c>
      <c r="AI816" s="334">
        <v>430.83</v>
      </c>
      <c r="AJ816" s="336">
        <v>8750</v>
      </c>
      <c r="AK816" s="334">
        <v>431.88600000000002</v>
      </c>
      <c r="AL816" s="336">
        <v>8770</v>
      </c>
      <c r="AM816" s="334">
        <v>431.55</v>
      </c>
      <c r="AN816" s="336">
        <v>8770</v>
      </c>
      <c r="AO816" s="334">
        <v>432.22</v>
      </c>
      <c r="AP816" s="336">
        <v>8760</v>
      </c>
      <c r="AQ816" s="334">
        <v>431.95499999999998</v>
      </c>
      <c r="AR816" s="336">
        <v>8770</v>
      </c>
      <c r="AS816" s="334">
        <v>431.34300000000002</v>
      </c>
      <c r="AT816" s="336">
        <v>8770</v>
      </c>
      <c r="AU816" s="334">
        <v>429.72899999999998</v>
      </c>
      <c r="AV816" s="336">
        <v>8770</v>
      </c>
      <c r="AW816" s="334">
        <v>430.089</v>
      </c>
      <c r="AX816" s="336">
        <v>8760</v>
      </c>
      <c r="AY816" s="334">
        <v>354.97199999999998</v>
      </c>
      <c r="AZ816" s="336">
        <v>8770</v>
      </c>
      <c r="BA816" s="337">
        <v>356.59699999999998</v>
      </c>
      <c r="BB816" s="336">
        <v>8750</v>
      </c>
      <c r="BC816" s="334">
        <v>82.183000000000007</v>
      </c>
      <c r="BD816" s="336">
        <v>8750</v>
      </c>
      <c r="BE816" s="334">
        <v>87.244</v>
      </c>
    </row>
    <row r="817" spans="22:57">
      <c r="V817" s="346">
        <v>8780</v>
      </c>
      <c r="W817" s="333">
        <v>187.40899999999999</v>
      </c>
      <c r="X817" s="346">
        <v>8790</v>
      </c>
      <c r="Y817" s="334">
        <v>185.69200000000001</v>
      </c>
      <c r="Z817" s="335">
        <v>8780</v>
      </c>
      <c r="AA817" s="334">
        <v>466.95</v>
      </c>
      <c r="AB817" s="336">
        <v>8780</v>
      </c>
      <c r="AC817" s="334">
        <v>466.988</v>
      </c>
      <c r="AD817" s="336">
        <v>8780</v>
      </c>
      <c r="AE817" s="334">
        <v>429.78699999999998</v>
      </c>
      <c r="AF817" s="336">
        <v>8780</v>
      </c>
      <c r="AG817" s="334">
        <v>429.01499999999999</v>
      </c>
      <c r="AH817" s="336">
        <v>8780</v>
      </c>
      <c r="AI817" s="334">
        <v>429.61799999999999</v>
      </c>
      <c r="AJ817" s="336">
        <v>8760</v>
      </c>
      <c r="AK817" s="334">
        <v>430.67399999999998</v>
      </c>
      <c r="AL817" s="336">
        <v>8780</v>
      </c>
      <c r="AM817" s="334">
        <v>430.33800000000002</v>
      </c>
      <c r="AN817" s="336">
        <v>8780</v>
      </c>
      <c r="AO817" s="334">
        <v>431.00799999999998</v>
      </c>
      <c r="AP817" s="336">
        <v>8770</v>
      </c>
      <c r="AQ817" s="334">
        <v>430.745</v>
      </c>
      <c r="AR817" s="336">
        <v>8780</v>
      </c>
      <c r="AS817" s="334">
        <v>430.13200000000001</v>
      </c>
      <c r="AT817" s="336">
        <v>8780</v>
      </c>
      <c r="AU817" s="334">
        <v>428.51799999999997</v>
      </c>
      <c r="AV817" s="336">
        <v>8780</v>
      </c>
      <c r="AW817" s="334">
        <v>428.87900000000002</v>
      </c>
      <c r="AX817" s="336">
        <v>8770</v>
      </c>
      <c r="AY817" s="334">
        <v>353.79199999999997</v>
      </c>
      <c r="AZ817" s="336">
        <v>8780</v>
      </c>
      <c r="BA817" s="337">
        <v>355.41699999999997</v>
      </c>
      <c r="BB817" s="336">
        <v>8760</v>
      </c>
      <c r="BC817" s="334">
        <v>81.873000000000005</v>
      </c>
      <c r="BD817" s="336">
        <v>8760</v>
      </c>
      <c r="BE817" s="334">
        <v>86.918000000000006</v>
      </c>
    </row>
    <row r="818" spans="22:57">
      <c r="V818" s="346">
        <v>8790</v>
      </c>
      <c r="W818" s="333">
        <v>186.7</v>
      </c>
      <c r="X818" s="346">
        <v>8800</v>
      </c>
      <c r="Y818" s="334">
        <v>184.98599999999999</v>
      </c>
      <c r="Z818" s="335">
        <v>8790</v>
      </c>
      <c r="AA818" s="334">
        <v>465.49700000000001</v>
      </c>
      <c r="AB818" s="336">
        <v>8790</v>
      </c>
      <c r="AC818" s="334">
        <v>465.53399999999999</v>
      </c>
      <c r="AD818" s="336">
        <v>8790</v>
      </c>
      <c r="AE818" s="334">
        <v>428.57600000000002</v>
      </c>
      <c r="AF818" s="336">
        <v>8790</v>
      </c>
      <c r="AG818" s="334">
        <v>427.80099999999999</v>
      </c>
      <c r="AH818" s="336">
        <v>8790</v>
      </c>
      <c r="AI818" s="334">
        <v>428.40600000000001</v>
      </c>
      <c r="AJ818" s="336">
        <v>8770</v>
      </c>
      <c r="AK818" s="334">
        <v>429.46199999999999</v>
      </c>
      <c r="AL818" s="336">
        <v>8790</v>
      </c>
      <c r="AM818" s="334">
        <v>429.12599999999998</v>
      </c>
      <c r="AN818" s="336">
        <v>8790</v>
      </c>
      <c r="AO818" s="334">
        <v>429.79599999999999</v>
      </c>
      <c r="AP818" s="336">
        <v>8780</v>
      </c>
      <c r="AQ818" s="334">
        <v>429.53500000000003</v>
      </c>
      <c r="AR818" s="336">
        <v>8790</v>
      </c>
      <c r="AS818" s="334">
        <v>428.92099999999999</v>
      </c>
      <c r="AT818" s="336">
        <v>8790</v>
      </c>
      <c r="AU818" s="334">
        <v>427.30700000000002</v>
      </c>
      <c r="AV818" s="336">
        <v>8790</v>
      </c>
      <c r="AW818" s="334">
        <v>427.66899999999998</v>
      </c>
      <c r="AX818" s="336">
        <v>8780</v>
      </c>
      <c r="AY818" s="334">
        <v>352.613</v>
      </c>
      <c r="AZ818" s="336">
        <v>8790</v>
      </c>
      <c r="BA818" s="337">
        <v>354.238</v>
      </c>
      <c r="BB818" s="336">
        <v>8770</v>
      </c>
      <c r="BC818" s="334">
        <v>81.561999999999998</v>
      </c>
      <c r="BD818" s="336">
        <v>8770</v>
      </c>
      <c r="BE818" s="334">
        <v>86.593999999999994</v>
      </c>
    </row>
    <row r="819" spans="22:57">
      <c r="V819" s="346">
        <v>8800</v>
      </c>
      <c r="W819" s="333">
        <v>185.99100000000001</v>
      </c>
      <c r="X819" s="346">
        <v>8810</v>
      </c>
      <c r="Y819" s="334">
        <v>184.28</v>
      </c>
      <c r="Z819" s="335">
        <v>8800</v>
      </c>
      <c r="AA819" s="334">
        <v>464.04399999999998</v>
      </c>
      <c r="AB819" s="336">
        <v>8800</v>
      </c>
      <c r="AC819" s="334">
        <v>464.08</v>
      </c>
      <c r="AD819" s="336">
        <v>8800</v>
      </c>
      <c r="AE819" s="334">
        <v>427.36399999999998</v>
      </c>
      <c r="AF819" s="336">
        <v>8800</v>
      </c>
      <c r="AG819" s="334">
        <v>426.58800000000002</v>
      </c>
      <c r="AH819" s="336">
        <v>8800</v>
      </c>
      <c r="AI819" s="334">
        <v>427.19400000000002</v>
      </c>
      <c r="AJ819" s="336">
        <v>8780</v>
      </c>
      <c r="AK819" s="334">
        <v>428.25</v>
      </c>
      <c r="AL819" s="336">
        <v>8800</v>
      </c>
      <c r="AM819" s="334">
        <v>427.91399999999999</v>
      </c>
      <c r="AN819" s="336">
        <v>8800</v>
      </c>
      <c r="AO819" s="334">
        <v>428.584</v>
      </c>
      <c r="AP819" s="336">
        <v>8790</v>
      </c>
      <c r="AQ819" s="334">
        <v>428.32400000000001</v>
      </c>
      <c r="AR819" s="336">
        <v>8800</v>
      </c>
      <c r="AS819" s="334">
        <v>427.71</v>
      </c>
      <c r="AT819" s="336">
        <v>8800</v>
      </c>
      <c r="AU819" s="334">
        <v>426.096</v>
      </c>
      <c r="AV819" s="336">
        <v>8800</v>
      </c>
      <c r="AW819" s="334">
        <v>426.459</v>
      </c>
      <c r="AX819" s="336">
        <v>8790</v>
      </c>
      <c r="AY819" s="334">
        <v>351.43400000000003</v>
      </c>
      <c r="AZ819" s="336">
        <v>8800</v>
      </c>
      <c r="BA819" s="337">
        <v>353.06</v>
      </c>
      <c r="BB819" s="336">
        <v>8780</v>
      </c>
      <c r="BC819" s="334">
        <v>81.251999999999995</v>
      </c>
      <c r="BD819" s="336">
        <v>8780</v>
      </c>
      <c r="BE819" s="334">
        <v>86.269000000000005</v>
      </c>
    </row>
    <row r="820" spans="22:57">
      <c r="V820" s="346">
        <v>8810</v>
      </c>
      <c r="W820" s="333">
        <v>185.28200000000001</v>
      </c>
      <c r="X820" s="346">
        <v>8820</v>
      </c>
      <c r="Y820" s="334">
        <v>183.57499999999999</v>
      </c>
      <c r="Z820" s="335">
        <v>8810</v>
      </c>
      <c r="AA820" s="334">
        <v>462.59100000000001</v>
      </c>
      <c r="AB820" s="336">
        <v>8810</v>
      </c>
      <c r="AC820" s="334">
        <v>462.62599999999998</v>
      </c>
      <c r="AD820" s="336">
        <v>8810</v>
      </c>
      <c r="AE820" s="334">
        <v>426.15199999999999</v>
      </c>
      <c r="AF820" s="336">
        <v>8810</v>
      </c>
      <c r="AG820" s="334">
        <v>425.375</v>
      </c>
      <c r="AH820" s="336">
        <v>8810</v>
      </c>
      <c r="AI820" s="334">
        <v>425.98200000000003</v>
      </c>
      <c r="AJ820" s="336">
        <v>8790</v>
      </c>
      <c r="AK820" s="334">
        <v>427.03800000000001</v>
      </c>
      <c r="AL820" s="336">
        <v>8810</v>
      </c>
      <c r="AM820" s="334">
        <v>426.70299999999997</v>
      </c>
      <c r="AN820" s="336">
        <v>8810</v>
      </c>
      <c r="AO820" s="334">
        <v>427.37200000000001</v>
      </c>
      <c r="AP820" s="336">
        <v>8800</v>
      </c>
      <c r="AQ820" s="334">
        <v>427.11399999999998</v>
      </c>
      <c r="AR820" s="336">
        <v>8810</v>
      </c>
      <c r="AS820" s="334">
        <v>426.49900000000002</v>
      </c>
      <c r="AT820" s="336">
        <v>8810</v>
      </c>
      <c r="AU820" s="334">
        <v>424.88499999999999</v>
      </c>
      <c r="AV820" s="336">
        <v>8810</v>
      </c>
      <c r="AW820" s="334">
        <v>425.24900000000002</v>
      </c>
      <c r="AX820" s="336">
        <v>8800</v>
      </c>
      <c r="AY820" s="334">
        <v>350.25599999999997</v>
      </c>
      <c r="AZ820" s="336">
        <v>8810</v>
      </c>
      <c r="BA820" s="337">
        <v>351.88200000000001</v>
      </c>
      <c r="BB820" s="336">
        <v>8790</v>
      </c>
      <c r="BC820" s="334">
        <v>80.942999999999998</v>
      </c>
      <c r="BD820" s="336">
        <v>8790</v>
      </c>
      <c r="BE820" s="334">
        <v>85.944999999999993</v>
      </c>
    </row>
    <row r="821" spans="22:57">
      <c r="V821" s="346">
        <v>8820</v>
      </c>
      <c r="W821" s="333">
        <v>184.57400000000001</v>
      </c>
      <c r="X821" s="346">
        <v>8830</v>
      </c>
      <c r="Y821" s="334">
        <v>182.869</v>
      </c>
      <c r="Z821" s="335">
        <v>8820</v>
      </c>
      <c r="AA821" s="334">
        <v>461.13900000000001</v>
      </c>
      <c r="AB821" s="336">
        <v>8820</v>
      </c>
      <c r="AC821" s="334">
        <v>461.173</v>
      </c>
      <c r="AD821" s="336">
        <v>8820</v>
      </c>
      <c r="AE821" s="334">
        <v>424.94099999999997</v>
      </c>
      <c r="AF821" s="336">
        <v>8820</v>
      </c>
      <c r="AG821" s="334">
        <v>424.161</v>
      </c>
      <c r="AH821" s="336">
        <v>8820</v>
      </c>
      <c r="AI821" s="334">
        <v>424.77</v>
      </c>
      <c r="AJ821" s="336">
        <v>8800</v>
      </c>
      <c r="AK821" s="334">
        <v>425.82600000000002</v>
      </c>
      <c r="AL821" s="336">
        <v>8820</v>
      </c>
      <c r="AM821" s="334">
        <v>425.49099999999999</v>
      </c>
      <c r="AN821" s="336">
        <v>8820</v>
      </c>
      <c r="AO821" s="334">
        <v>426.16</v>
      </c>
      <c r="AP821" s="336">
        <v>8810</v>
      </c>
      <c r="AQ821" s="334">
        <v>425.904</v>
      </c>
      <c r="AR821" s="336">
        <v>8820</v>
      </c>
      <c r="AS821" s="334">
        <v>425.28800000000001</v>
      </c>
      <c r="AT821" s="336">
        <v>8820</v>
      </c>
      <c r="AU821" s="334">
        <v>423.67500000000001</v>
      </c>
      <c r="AV821" s="336">
        <v>8820</v>
      </c>
      <c r="AW821" s="334">
        <v>424.03899999999999</v>
      </c>
      <c r="AX821" s="336">
        <v>8810</v>
      </c>
      <c r="AY821" s="334">
        <v>349.07900000000001</v>
      </c>
      <c r="AZ821" s="336">
        <v>8820</v>
      </c>
      <c r="BA821" s="337">
        <v>350.70499999999998</v>
      </c>
      <c r="BB821" s="336">
        <v>8800</v>
      </c>
      <c r="BC821" s="334">
        <v>80.634</v>
      </c>
      <c r="BD821" s="336">
        <v>8800</v>
      </c>
      <c r="BE821" s="334">
        <v>85.622</v>
      </c>
    </row>
    <row r="822" spans="22:57">
      <c r="V822" s="346">
        <v>8830</v>
      </c>
      <c r="W822" s="333">
        <v>183.86600000000001</v>
      </c>
      <c r="X822" s="346">
        <v>8840</v>
      </c>
      <c r="Y822" s="334">
        <v>182.16499999999999</v>
      </c>
      <c r="Z822" s="335">
        <v>8830</v>
      </c>
      <c r="AA822" s="334">
        <v>459.68599999999998</v>
      </c>
      <c r="AB822" s="336">
        <v>8830</v>
      </c>
      <c r="AC822" s="334">
        <v>459.72</v>
      </c>
      <c r="AD822" s="336">
        <v>8830</v>
      </c>
      <c r="AE822" s="334">
        <v>423.72899999999998</v>
      </c>
      <c r="AF822" s="336">
        <v>8830</v>
      </c>
      <c r="AG822" s="334">
        <v>422.94799999999998</v>
      </c>
      <c r="AH822" s="336">
        <v>8830</v>
      </c>
      <c r="AI822" s="334">
        <v>423.55900000000003</v>
      </c>
      <c r="AJ822" s="336">
        <v>8810</v>
      </c>
      <c r="AK822" s="334">
        <v>424.61399999999998</v>
      </c>
      <c r="AL822" s="336">
        <v>8830</v>
      </c>
      <c r="AM822" s="334">
        <v>424.279</v>
      </c>
      <c r="AN822" s="336">
        <v>8830</v>
      </c>
      <c r="AO822" s="334">
        <v>424.94799999999998</v>
      </c>
      <c r="AP822" s="336">
        <v>8820</v>
      </c>
      <c r="AQ822" s="334">
        <v>424.69400000000002</v>
      </c>
      <c r="AR822" s="336">
        <v>8830</v>
      </c>
      <c r="AS822" s="334">
        <v>424.077</v>
      </c>
      <c r="AT822" s="336">
        <v>8830</v>
      </c>
      <c r="AU822" s="334">
        <v>422.464</v>
      </c>
      <c r="AV822" s="336">
        <v>8830</v>
      </c>
      <c r="AW822" s="334">
        <v>422.82900000000001</v>
      </c>
      <c r="AX822" s="336">
        <v>8820</v>
      </c>
      <c r="AY822" s="334">
        <v>347.90199999999999</v>
      </c>
      <c r="AZ822" s="336">
        <v>8830</v>
      </c>
      <c r="BA822" s="337">
        <v>349.52800000000002</v>
      </c>
      <c r="BB822" s="336">
        <v>8810</v>
      </c>
      <c r="BC822" s="334">
        <v>80.325000000000003</v>
      </c>
      <c r="BD822" s="336">
        <v>8810</v>
      </c>
      <c r="BE822" s="334">
        <v>85.299000000000007</v>
      </c>
    </row>
    <row r="823" spans="22:57">
      <c r="V823" s="346">
        <v>8840</v>
      </c>
      <c r="W823" s="333">
        <v>183.15799999999999</v>
      </c>
      <c r="X823" s="346">
        <v>8850</v>
      </c>
      <c r="Y823" s="334">
        <v>181.46</v>
      </c>
      <c r="Z823" s="335">
        <v>8840</v>
      </c>
      <c r="AA823" s="334">
        <v>458.233</v>
      </c>
      <c r="AB823" s="336">
        <v>8840</v>
      </c>
      <c r="AC823" s="334">
        <v>458.26600000000002</v>
      </c>
      <c r="AD823" s="336">
        <v>8840</v>
      </c>
      <c r="AE823" s="334">
        <v>422.517</v>
      </c>
      <c r="AF823" s="336">
        <v>8840</v>
      </c>
      <c r="AG823" s="334">
        <v>421.73399999999998</v>
      </c>
      <c r="AH823" s="336">
        <v>8840</v>
      </c>
      <c r="AI823" s="334">
        <v>422.34699999999998</v>
      </c>
      <c r="AJ823" s="336">
        <v>8820</v>
      </c>
      <c r="AK823" s="334">
        <v>423.40100000000001</v>
      </c>
      <c r="AL823" s="336">
        <v>8840</v>
      </c>
      <c r="AM823" s="334">
        <v>423.06700000000001</v>
      </c>
      <c r="AN823" s="336">
        <v>8840</v>
      </c>
      <c r="AO823" s="334">
        <v>423.73599999999999</v>
      </c>
      <c r="AP823" s="336">
        <v>8830</v>
      </c>
      <c r="AQ823" s="334">
        <v>423.483</v>
      </c>
      <c r="AR823" s="336">
        <v>8840</v>
      </c>
      <c r="AS823" s="334">
        <v>422.86599999999999</v>
      </c>
      <c r="AT823" s="336">
        <v>8840</v>
      </c>
      <c r="AU823" s="334">
        <v>421.25299999999999</v>
      </c>
      <c r="AV823" s="336">
        <v>8840</v>
      </c>
      <c r="AW823" s="334">
        <v>421.61900000000003</v>
      </c>
      <c r="AX823" s="336">
        <v>8830</v>
      </c>
      <c r="AY823" s="334">
        <v>346.726</v>
      </c>
      <c r="AZ823" s="336">
        <v>8840</v>
      </c>
      <c r="BA823" s="337">
        <v>348.35199999999998</v>
      </c>
      <c r="BB823" s="336">
        <v>8820</v>
      </c>
      <c r="BC823" s="334">
        <v>80.016999999999996</v>
      </c>
      <c r="BD823" s="336">
        <v>8820</v>
      </c>
      <c r="BE823" s="334">
        <v>84.975999999999999</v>
      </c>
    </row>
    <row r="824" spans="22:57">
      <c r="V824" s="346">
        <v>8850</v>
      </c>
      <c r="W824" s="333">
        <v>182.45</v>
      </c>
      <c r="X824" s="346">
        <v>8860</v>
      </c>
      <c r="Y824" s="334">
        <v>180.755</v>
      </c>
      <c r="Z824" s="335">
        <v>8850</v>
      </c>
      <c r="AA824" s="334">
        <v>456.78100000000001</v>
      </c>
      <c r="AB824" s="336">
        <v>8850</v>
      </c>
      <c r="AC824" s="334">
        <v>456.81299999999999</v>
      </c>
      <c r="AD824" s="336">
        <v>8850</v>
      </c>
      <c r="AE824" s="334">
        <v>421.30599999999998</v>
      </c>
      <c r="AF824" s="336">
        <v>8850</v>
      </c>
      <c r="AG824" s="334">
        <v>420.52100000000002</v>
      </c>
      <c r="AH824" s="336">
        <v>8850</v>
      </c>
      <c r="AI824" s="334">
        <v>421.13499999999999</v>
      </c>
      <c r="AJ824" s="336">
        <v>8830</v>
      </c>
      <c r="AK824" s="334">
        <v>422.18900000000002</v>
      </c>
      <c r="AL824" s="336">
        <v>8850</v>
      </c>
      <c r="AM824" s="334">
        <v>421.85500000000002</v>
      </c>
      <c r="AN824" s="336">
        <v>8850</v>
      </c>
      <c r="AO824" s="334">
        <v>422.524</v>
      </c>
      <c r="AP824" s="336">
        <v>8840</v>
      </c>
      <c r="AQ824" s="334">
        <v>422.27300000000002</v>
      </c>
      <c r="AR824" s="336">
        <v>8850</v>
      </c>
      <c r="AS824" s="334">
        <v>421.65499999999997</v>
      </c>
      <c r="AT824" s="336">
        <v>8850</v>
      </c>
      <c r="AU824" s="334">
        <v>420.04199999999997</v>
      </c>
      <c r="AV824" s="336">
        <v>8850</v>
      </c>
      <c r="AW824" s="334">
        <v>420.40899999999999</v>
      </c>
      <c r="AX824" s="336">
        <v>8840</v>
      </c>
      <c r="AY824" s="334">
        <v>345.55099999999999</v>
      </c>
      <c r="AZ824" s="336">
        <v>8850</v>
      </c>
      <c r="BA824" s="337">
        <v>347.17700000000002</v>
      </c>
      <c r="BB824" s="336">
        <v>8830</v>
      </c>
      <c r="BC824" s="334">
        <v>79.709000000000003</v>
      </c>
      <c r="BD824" s="336">
        <v>8830</v>
      </c>
      <c r="BE824" s="334">
        <v>84.653000000000006</v>
      </c>
    </row>
    <row r="825" spans="22:57">
      <c r="V825" s="346">
        <v>8860</v>
      </c>
      <c r="W825" s="333">
        <v>181.74199999999999</v>
      </c>
      <c r="X825" s="346">
        <v>8870</v>
      </c>
      <c r="Y825" s="334">
        <v>180.05099999999999</v>
      </c>
      <c r="Z825" s="335">
        <v>8860</v>
      </c>
      <c r="AA825" s="334">
        <v>455.32900000000001</v>
      </c>
      <c r="AB825" s="336">
        <v>8860</v>
      </c>
      <c r="AC825" s="334">
        <v>455.36</v>
      </c>
      <c r="AD825" s="336">
        <v>8860</v>
      </c>
      <c r="AE825" s="334">
        <v>420.09399999999999</v>
      </c>
      <c r="AF825" s="336">
        <v>8860</v>
      </c>
      <c r="AG825" s="334">
        <v>419.30799999999999</v>
      </c>
      <c r="AH825" s="336">
        <v>8860</v>
      </c>
      <c r="AI825" s="334">
        <v>419.923</v>
      </c>
      <c r="AJ825" s="336">
        <v>8840</v>
      </c>
      <c r="AK825" s="334">
        <v>420.97699999999998</v>
      </c>
      <c r="AL825" s="336">
        <v>8860</v>
      </c>
      <c r="AM825" s="334">
        <v>420.64299999999997</v>
      </c>
      <c r="AN825" s="336">
        <v>8860</v>
      </c>
      <c r="AO825" s="334">
        <v>421.31200000000001</v>
      </c>
      <c r="AP825" s="336">
        <v>8850</v>
      </c>
      <c r="AQ825" s="334">
        <v>421.06299999999999</v>
      </c>
      <c r="AR825" s="336">
        <v>8860</v>
      </c>
      <c r="AS825" s="334">
        <v>420.44400000000002</v>
      </c>
      <c r="AT825" s="336">
        <v>8860</v>
      </c>
      <c r="AU825" s="334">
        <v>418.83100000000002</v>
      </c>
      <c r="AV825" s="336">
        <v>8860</v>
      </c>
      <c r="AW825" s="334">
        <v>419.19900000000001</v>
      </c>
      <c r="AX825" s="336">
        <v>8850</v>
      </c>
      <c r="AY825" s="334">
        <v>344.37599999999998</v>
      </c>
      <c r="AZ825" s="336">
        <v>8860</v>
      </c>
      <c r="BA825" s="337">
        <v>346.00200000000001</v>
      </c>
      <c r="BB825" s="336">
        <v>8840</v>
      </c>
      <c r="BC825" s="334">
        <v>79.400999999999996</v>
      </c>
      <c r="BD825" s="336">
        <v>8840</v>
      </c>
      <c r="BE825" s="334">
        <v>84.331000000000003</v>
      </c>
    </row>
    <row r="826" spans="22:57">
      <c r="V826" s="346">
        <v>8870</v>
      </c>
      <c r="W826" s="333">
        <v>181.035</v>
      </c>
      <c r="X826" s="346">
        <v>8880</v>
      </c>
      <c r="Y826" s="334">
        <v>179.34700000000001</v>
      </c>
      <c r="Z826" s="335">
        <v>8870</v>
      </c>
      <c r="AA826" s="334">
        <v>453.87599999999998</v>
      </c>
      <c r="AB826" s="336">
        <v>8870</v>
      </c>
      <c r="AC826" s="334">
        <v>453.90699999999998</v>
      </c>
      <c r="AD826" s="336">
        <v>8870</v>
      </c>
      <c r="AE826" s="334">
        <v>418.88200000000001</v>
      </c>
      <c r="AF826" s="336">
        <v>8870</v>
      </c>
      <c r="AG826" s="334">
        <v>418.09399999999999</v>
      </c>
      <c r="AH826" s="336">
        <v>8870</v>
      </c>
      <c r="AI826" s="334">
        <v>418.71100000000001</v>
      </c>
      <c r="AJ826" s="336">
        <v>8850</v>
      </c>
      <c r="AK826" s="334">
        <v>419.76499999999999</v>
      </c>
      <c r="AL826" s="336">
        <v>8870</v>
      </c>
      <c r="AM826" s="334">
        <v>419.43200000000002</v>
      </c>
      <c r="AN826" s="336">
        <v>8870</v>
      </c>
      <c r="AO826" s="334">
        <v>420.1</v>
      </c>
      <c r="AP826" s="336">
        <v>8860</v>
      </c>
      <c r="AQ826" s="334">
        <v>419.85199999999998</v>
      </c>
      <c r="AR826" s="336">
        <v>8870</v>
      </c>
      <c r="AS826" s="334">
        <v>419.233</v>
      </c>
      <c r="AT826" s="336">
        <v>8870</v>
      </c>
      <c r="AU826" s="334">
        <v>417.62</v>
      </c>
      <c r="AV826" s="336">
        <v>8870</v>
      </c>
      <c r="AW826" s="334">
        <v>417.98899999999998</v>
      </c>
      <c r="AX826" s="336">
        <v>8860</v>
      </c>
      <c r="AY826" s="334">
        <v>343.202</v>
      </c>
      <c r="AZ826" s="336">
        <v>8870</v>
      </c>
      <c r="BA826" s="337">
        <v>344.82799999999997</v>
      </c>
      <c r="BB826" s="336">
        <v>8850</v>
      </c>
      <c r="BC826" s="334">
        <v>79.093999999999994</v>
      </c>
      <c r="BD826" s="336">
        <v>8850</v>
      </c>
      <c r="BE826" s="334">
        <v>84.01</v>
      </c>
    </row>
    <row r="827" spans="22:57">
      <c r="V827" s="346">
        <v>8880</v>
      </c>
      <c r="W827" s="333">
        <v>180.328</v>
      </c>
      <c r="X827" s="346">
        <v>8890</v>
      </c>
      <c r="Y827" s="334">
        <v>178.643</v>
      </c>
      <c r="Z827" s="335">
        <v>8880</v>
      </c>
      <c r="AA827" s="334">
        <v>452.42399999999998</v>
      </c>
      <c r="AB827" s="336">
        <v>8880</v>
      </c>
      <c r="AC827" s="334">
        <v>452.45400000000001</v>
      </c>
      <c r="AD827" s="336">
        <v>8880</v>
      </c>
      <c r="AE827" s="334">
        <v>417.67099999999999</v>
      </c>
      <c r="AF827" s="336">
        <v>8880</v>
      </c>
      <c r="AG827" s="334">
        <v>416.88099999999997</v>
      </c>
      <c r="AH827" s="336">
        <v>8880</v>
      </c>
      <c r="AI827" s="334">
        <v>417.49900000000002</v>
      </c>
      <c r="AJ827" s="336">
        <v>8860</v>
      </c>
      <c r="AK827" s="334">
        <v>418.553</v>
      </c>
      <c r="AL827" s="336">
        <v>8880</v>
      </c>
      <c r="AM827" s="334">
        <v>418.22</v>
      </c>
      <c r="AN827" s="336">
        <v>8880</v>
      </c>
      <c r="AO827" s="334">
        <v>418.88799999999998</v>
      </c>
      <c r="AP827" s="336">
        <v>8870</v>
      </c>
      <c r="AQ827" s="334">
        <v>418.642</v>
      </c>
      <c r="AR827" s="336">
        <v>8880</v>
      </c>
      <c r="AS827" s="334">
        <v>418.02199999999999</v>
      </c>
      <c r="AT827" s="336">
        <v>8880</v>
      </c>
      <c r="AU827" s="334">
        <v>416.41</v>
      </c>
      <c r="AV827" s="336">
        <v>8880</v>
      </c>
      <c r="AW827" s="334">
        <v>416.779</v>
      </c>
      <c r="AX827" s="336">
        <v>8870</v>
      </c>
      <c r="AY827" s="334">
        <v>342.029</v>
      </c>
      <c r="AZ827" s="336">
        <v>8880</v>
      </c>
      <c r="BA827" s="337">
        <v>343.654</v>
      </c>
      <c r="BB827" s="336">
        <v>8860</v>
      </c>
      <c r="BC827" s="334">
        <v>78.787000000000006</v>
      </c>
      <c r="BD827" s="336">
        <v>8860</v>
      </c>
      <c r="BE827" s="334">
        <v>83.688999999999993</v>
      </c>
    </row>
    <row r="828" spans="22:57">
      <c r="V828" s="346">
        <v>8890</v>
      </c>
      <c r="W828" s="333">
        <v>179.62100000000001</v>
      </c>
      <c r="X828" s="346">
        <v>8900</v>
      </c>
      <c r="Y828" s="334">
        <v>177.93899999999999</v>
      </c>
      <c r="Z828" s="335">
        <v>8890</v>
      </c>
      <c r="AA828" s="334">
        <v>450.97199999999998</v>
      </c>
      <c r="AB828" s="336">
        <v>8890</v>
      </c>
      <c r="AC828" s="334">
        <v>451.00099999999998</v>
      </c>
      <c r="AD828" s="336">
        <v>8890</v>
      </c>
      <c r="AE828" s="334">
        <v>416.459</v>
      </c>
      <c r="AF828" s="336">
        <v>8890</v>
      </c>
      <c r="AG828" s="334">
        <v>415.66800000000001</v>
      </c>
      <c r="AH828" s="336">
        <v>8890</v>
      </c>
      <c r="AI828" s="334">
        <v>416.28800000000001</v>
      </c>
      <c r="AJ828" s="336">
        <v>8870</v>
      </c>
      <c r="AK828" s="334">
        <v>417.34100000000001</v>
      </c>
      <c r="AL828" s="336">
        <v>8890</v>
      </c>
      <c r="AM828" s="334">
        <v>417.00799999999998</v>
      </c>
      <c r="AN828" s="336">
        <v>8890</v>
      </c>
      <c r="AO828" s="334">
        <v>417.67599999999999</v>
      </c>
      <c r="AP828" s="336">
        <v>8880</v>
      </c>
      <c r="AQ828" s="334">
        <v>417.43200000000002</v>
      </c>
      <c r="AR828" s="336">
        <v>8890</v>
      </c>
      <c r="AS828" s="334">
        <v>416.81099999999998</v>
      </c>
      <c r="AT828" s="336">
        <v>8890</v>
      </c>
      <c r="AU828" s="334">
        <v>415.19900000000001</v>
      </c>
      <c r="AV828" s="336">
        <v>8890</v>
      </c>
      <c r="AW828" s="334">
        <v>415.56900000000002</v>
      </c>
      <c r="AX828" s="336">
        <v>8880</v>
      </c>
      <c r="AY828" s="334">
        <v>340.85599999999999</v>
      </c>
      <c r="AZ828" s="336">
        <v>8890</v>
      </c>
      <c r="BA828" s="337">
        <v>342.48099999999999</v>
      </c>
      <c r="BB828" s="336">
        <v>8870</v>
      </c>
      <c r="BC828" s="334">
        <v>78.480999999999995</v>
      </c>
      <c r="BD828" s="336">
        <v>8870</v>
      </c>
      <c r="BE828" s="334">
        <v>83.367999999999995</v>
      </c>
    </row>
    <row r="829" spans="22:57">
      <c r="V829" s="346">
        <v>8900</v>
      </c>
      <c r="W829" s="333">
        <v>178.91399999999999</v>
      </c>
      <c r="X829" s="346">
        <v>8910</v>
      </c>
      <c r="Y829" s="334">
        <v>177.23599999999999</v>
      </c>
      <c r="Z829" s="335">
        <v>8900</v>
      </c>
      <c r="AA829" s="334">
        <v>449.52</v>
      </c>
      <c r="AB829" s="336">
        <v>8900</v>
      </c>
      <c r="AC829" s="334">
        <v>449.548</v>
      </c>
      <c r="AD829" s="336">
        <v>8900</v>
      </c>
      <c r="AE829" s="334">
        <v>415.24700000000001</v>
      </c>
      <c r="AF829" s="336">
        <v>8900</v>
      </c>
      <c r="AG829" s="334">
        <v>414.45400000000001</v>
      </c>
      <c r="AH829" s="336">
        <v>8900</v>
      </c>
      <c r="AI829" s="334">
        <v>415.07600000000002</v>
      </c>
      <c r="AJ829" s="336">
        <v>8880</v>
      </c>
      <c r="AK829" s="334">
        <v>416.12900000000002</v>
      </c>
      <c r="AL829" s="336">
        <v>8900</v>
      </c>
      <c r="AM829" s="334">
        <v>415.79599999999999</v>
      </c>
      <c r="AN829" s="336">
        <v>8900</v>
      </c>
      <c r="AO829" s="334">
        <v>416.464</v>
      </c>
      <c r="AP829" s="336">
        <v>8890</v>
      </c>
      <c r="AQ829" s="334">
        <v>416.22199999999998</v>
      </c>
      <c r="AR829" s="336">
        <v>8900</v>
      </c>
      <c r="AS829" s="334">
        <v>415.59899999999999</v>
      </c>
      <c r="AT829" s="336">
        <v>8900</v>
      </c>
      <c r="AU829" s="334">
        <v>413.988</v>
      </c>
      <c r="AV829" s="336">
        <v>8900</v>
      </c>
      <c r="AW829" s="334">
        <v>414.35899999999998</v>
      </c>
      <c r="AX829" s="336">
        <v>8890</v>
      </c>
      <c r="AY829" s="334">
        <v>339.68400000000003</v>
      </c>
      <c r="AZ829" s="336">
        <v>8900</v>
      </c>
      <c r="BA829" s="337">
        <v>341.30900000000003</v>
      </c>
      <c r="BB829" s="336">
        <v>8880</v>
      </c>
      <c r="BC829" s="334">
        <v>78.174999999999997</v>
      </c>
      <c r="BD829" s="336">
        <v>8880</v>
      </c>
      <c r="BE829" s="334">
        <v>83.046999999999997</v>
      </c>
    </row>
    <row r="830" spans="22:57">
      <c r="V830" s="346">
        <v>8910</v>
      </c>
      <c r="W830" s="333">
        <v>178.208</v>
      </c>
      <c r="X830" s="346">
        <v>8920</v>
      </c>
      <c r="Y830" s="334">
        <v>176.53200000000001</v>
      </c>
      <c r="Z830" s="335">
        <v>8910</v>
      </c>
      <c r="AA830" s="334">
        <v>448.06799999999998</v>
      </c>
      <c r="AB830" s="336">
        <v>8910</v>
      </c>
      <c r="AC830" s="334">
        <v>448.09500000000003</v>
      </c>
      <c r="AD830" s="336">
        <v>8910</v>
      </c>
      <c r="AE830" s="334">
        <v>414.036</v>
      </c>
      <c r="AF830" s="336">
        <v>8910</v>
      </c>
      <c r="AG830" s="334">
        <v>413.24099999999999</v>
      </c>
      <c r="AH830" s="336">
        <v>8910</v>
      </c>
      <c r="AI830" s="334">
        <v>413.86399999999998</v>
      </c>
      <c r="AJ830" s="336">
        <v>8890</v>
      </c>
      <c r="AK830" s="334">
        <v>414.91699999999997</v>
      </c>
      <c r="AL830" s="336">
        <v>8910</v>
      </c>
      <c r="AM830" s="334">
        <v>414.584</v>
      </c>
      <c r="AN830" s="336">
        <v>8910</v>
      </c>
      <c r="AO830" s="334">
        <v>415.25200000000001</v>
      </c>
      <c r="AP830" s="336">
        <v>8900</v>
      </c>
      <c r="AQ830" s="334">
        <v>415.01100000000002</v>
      </c>
      <c r="AR830" s="336">
        <v>8910</v>
      </c>
      <c r="AS830" s="334">
        <v>414.38799999999998</v>
      </c>
      <c r="AT830" s="336">
        <v>8910</v>
      </c>
      <c r="AU830" s="334">
        <v>412.77699999999999</v>
      </c>
      <c r="AV830" s="336">
        <v>8910</v>
      </c>
      <c r="AW830" s="334">
        <v>413.149</v>
      </c>
      <c r="AX830" s="336">
        <v>8900</v>
      </c>
      <c r="AY830" s="334">
        <v>338.512</v>
      </c>
      <c r="AZ830" s="336">
        <v>8910</v>
      </c>
      <c r="BA830" s="337">
        <v>340.13799999999998</v>
      </c>
      <c r="BB830" s="336">
        <v>8890</v>
      </c>
      <c r="BC830" s="334">
        <v>77.87</v>
      </c>
      <c r="BD830" s="336">
        <v>8890</v>
      </c>
      <c r="BE830" s="334">
        <v>82.727000000000004</v>
      </c>
    </row>
    <row r="831" spans="22:57">
      <c r="V831" s="346">
        <v>8920</v>
      </c>
      <c r="W831" s="333">
        <v>177.50200000000001</v>
      </c>
      <c r="X831" s="346">
        <v>8930</v>
      </c>
      <c r="Y831" s="334">
        <v>175.82900000000001</v>
      </c>
      <c r="Z831" s="335">
        <v>8920</v>
      </c>
      <c r="AA831" s="334">
        <v>446.61700000000002</v>
      </c>
      <c r="AB831" s="336">
        <v>8920</v>
      </c>
      <c r="AC831" s="334">
        <v>446.64299999999997</v>
      </c>
      <c r="AD831" s="336">
        <v>8920</v>
      </c>
      <c r="AE831" s="334">
        <v>412.82400000000001</v>
      </c>
      <c r="AF831" s="336">
        <v>8920</v>
      </c>
      <c r="AG831" s="334">
        <v>412.02699999999999</v>
      </c>
      <c r="AH831" s="336">
        <v>8920</v>
      </c>
      <c r="AI831" s="334">
        <v>412.65199999999999</v>
      </c>
      <c r="AJ831" s="336">
        <v>8900</v>
      </c>
      <c r="AK831" s="334">
        <v>413.70499999999998</v>
      </c>
      <c r="AL831" s="336">
        <v>8920</v>
      </c>
      <c r="AM831" s="334">
        <v>413.37200000000001</v>
      </c>
      <c r="AN831" s="336">
        <v>8920</v>
      </c>
      <c r="AO831" s="334">
        <v>414.04</v>
      </c>
      <c r="AP831" s="336">
        <v>8910</v>
      </c>
      <c r="AQ831" s="334">
        <v>413.80099999999999</v>
      </c>
      <c r="AR831" s="336">
        <v>8920</v>
      </c>
      <c r="AS831" s="334">
        <v>413.17700000000002</v>
      </c>
      <c r="AT831" s="336">
        <v>8920</v>
      </c>
      <c r="AU831" s="334">
        <v>411.56599999999997</v>
      </c>
      <c r="AV831" s="336">
        <v>8920</v>
      </c>
      <c r="AW831" s="334">
        <v>411.93900000000002</v>
      </c>
      <c r="AX831" s="336">
        <v>8910</v>
      </c>
      <c r="AY831" s="334">
        <v>337.34100000000001</v>
      </c>
      <c r="AZ831" s="336">
        <v>8920</v>
      </c>
      <c r="BA831" s="337">
        <v>338.96699999999998</v>
      </c>
      <c r="BB831" s="336">
        <v>8900</v>
      </c>
      <c r="BC831" s="334">
        <v>77.563999999999993</v>
      </c>
      <c r="BD831" s="336">
        <v>8900</v>
      </c>
      <c r="BE831" s="334">
        <v>82.408000000000001</v>
      </c>
    </row>
    <row r="832" spans="22:57">
      <c r="V832" s="346">
        <v>8930</v>
      </c>
      <c r="W832" s="333">
        <v>176.79599999999999</v>
      </c>
      <c r="X832" s="346">
        <v>8940</v>
      </c>
      <c r="Y832" s="334">
        <v>175.126</v>
      </c>
      <c r="Z832" s="335">
        <v>8930</v>
      </c>
      <c r="AA832" s="334">
        <v>445.16500000000002</v>
      </c>
      <c r="AB832" s="336">
        <v>8930</v>
      </c>
      <c r="AC832" s="334">
        <v>445.19</v>
      </c>
      <c r="AD832" s="336">
        <v>8930</v>
      </c>
      <c r="AE832" s="334">
        <v>411.613</v>
      </c>
      <c r="AF832" s="336">
        <v>8930</v>
      </c>
      <c r="AG832" s="334">
        <v>410.81400000000002</v>
      </c>
      <c r="AH832" s="336">
        <v>8930</v>
      </c>
      <c r="AI832" s="334">
        <v>411.44</v>
      </c>
      <c r="AJ832" s="336">
        <v>8910</v>
      </c>
      <c r="AK832" s="334">
        <v>412.49299999999999</v>
      </c>
      <c r="AL832" s="336">
        <v>8930</v>
      </c>
      <c r="AM832" s="334">
        <v>412.16</v>
      </c>
      <c r="AN832" s="336">
        <v>8930</v>
      </c>
      <c r="AO832" s="334">
        <v>412.82799999999997</v>
      </c>
      <c r="AP832" s="336">
        <v>8920</v>
      </c>
      <c r="AQ832" s="334">
        <v>412.59100000000001</v>
      </c>
      <c r="AR832" s="336">
        <v>8930</v>
      </c>
      <c r="AS832" s="334">
        <v>411.96600000000001</v>
      </c>
      <c r="AT832" s="336">
        <v>8930</v>
      </c>
      <c r="AU832" s="334">
        <v>410.35500000000002</v>
      </c>
      <c r="AV832" s="336">
        <v>8930</v>
      </c>
      <c r="AW832" s="334">
        <v>410.72899999999998</v>
      </c>
      <c r="AX832" s="336">
        <v>8920</v>
      </c>
      <c r="AY832" s="334">
        <v>336.17099999999999</v>
      </c>
      <c r="AZ832" s="336">
        <v>8930</v>
      </c>
      <c r="BA832" s="337">
        <v>337.79700000000003</v>
      </c>
      <c r="BB832" s="336">
        <v>8910</v>
      </c>
      <c r="BC832" s="334">
        <v>77.260000000000005</v>
      </c>
      <c r="BD832" s="336">
        <v>8910</v>
      </c>
      <c r="BE832" s="334">
        <v>82.088999999999999</v>
      </c>
    </row>
    <row r="833" spans="22:57">
      <c r="V833" s="346">
        <v>8940</v>
      </c>
      <c r="W833" s="333">
        <v>176.09</v>
      </c>
      <c r="X833" s="346">
        <v>8950</v>
      </c>
      <c r="Y833" s="334">
        <v>174.42400000000001</v>
      </c>
      <c r="Z833" s="335">
        <v>8940</v>
      </c>
      <c r="AA833" s="334">
        <v>443.714</v>
      </c>
      <c r="AB833" s="336">
        <v>8940</v>
      </c>
      <c r="AC833" s="334">
        <v>443.738</v>
      </c>
      <c r="AD833" s="336">
        <v>8940</v>
      </c>
      <c r="AE833" s="334">
        <v>410.40100000000001</v>
      </c>
      <c r="AF833" s="336">
        <v>8940</v>
      </c>
      <c r="AG833" s="334">
        <v>409.601</v>
      </c>
      <c r="AH833" s="336">
        <v>8940</v>
      </c>
      <c r="AI833" s="334">
        <v>410.22899999999998</v>
      </c>
      <c r="AJ833" s="336">
        <v>8920</v>
      </c>
      <c r="AK833" s="334">
        <v>411.28100000000001</v>
      </c>
      <c r="AL833" s="336">
        <v>8940</v>
      </c>
      <c r="AM833" s="334">
        <v>410.94900000000001</v>
      </c>
      <c r="AN833" s="336">
        <v>8940</v>
      </c>
      <c r="AO833" s="334">
        <v>411.61599999999999</v>
      </c>
      <c r="AP833" s="336">
        <v>8930</v>
      </c>
      <c r="AQ833" s="334">
        <v>411.38099999999997</v>
      </c>
      <c r="AR833" s="336">
        <v>8940</v>
      </c>
      <c r="AS833" s="334">
        <v>410.755</v>
      </c>
      <c r="AT833" s="336">
        <v>8940</v>
      </c>
      <c r="AU833" s="334">
        <v>409.14499999999998</v>
      </c>
      <c r="AV833" s="336">
        <v>8940</v>
      </c>
      <c r="AW833" s="334">
        <v>409.51900000000001</v>
      </c>
      <c r="AX833" s="336">
        <v>8930</v>
      </c>
      <c r="AY833" s="334">
        <v>335.00200000000001</v>
      </c>
      <c r="AZ833" s="336">
        <v>8940</v>
      </c>
      <c r="BA833" s="337">
        <v>336.62700000000001</v>
      </c>
      <c r="BB833" s="336">
        <v>8920</v>
      </c>
      <c r="BC833" s="334">
        <v>76.954999999999998</v>
      </c>
      <c r="BD833" s="336">
        <v>8920</v>
      </c>
      <c r="BE833" s="334">
        <v>81.77</v>
      </c>
    </row>
    <row r="834" spans="22:57">
      <c r="V834" s="346">
        <v>8950</v>
      </c>
      <c r="W834" s="333">
        <v>175.38499999999999</v>
      </c>
      <c r="X834" s="346">
        <v>8960</v>
      </c>
      <c r="Y834" s="334">
        <v>173.721</v>
      </c>
      <c r="Z834" s="335">
        <v>8950</v>
      </c>
      <c r="AA834" s="334">
        <v>442.262</v>
      </c>
      <c r="AB834" s="336">
        <v>8950</v>
      </c>
      <c r="AC834" s="334">
        <v>442.286</v>
      </c>
      <c r="AD834" s="336">
        <v>8950</v>
      </c>
      <c r="AE834" s="334">
        <v>409.18900000000002</v>
      </c>
      <c r="AF834" s="336">
        <v>8950</v>
      </c>
      <c r="AG834" s="334">
        <v>408.387</v>
      </c>
      <c r="AH834" s="336">
        <v>8950</v>
      </c>
      <c r="AI834" s="334">
        <v>409.017</v>
      </c>
      <c r="AJ834" s="336">
        <v>8930</v>
      </c>
      <c r="AK834" s="334">
        <v>410.06900000000002</v>
      </c>
      <c r="AL834" s="336">
        <v>8950</v>
      </c>
      <c r="AM834" s="334">
        <v>409.73700000000002</v>
      </c>
      <c r="AN834" s="336">
        <v>8950</v>
      </c>
      <c r="AO834" s="334">
        <v>410.404</v>
      </c>
      <c r="AP834" s="336">
        <v>8940</v>
      </c>
      <c r="AQ834" s="334">
        <v>410.17</v>
      </c>
      <c r="AR834" s="336">
        <v>8950</v>
      </c>
      <c r="AS834" s="334">
        <v>409.54399999999998</v>
      </c>
      <c r="AT834" s="336">
        <v>8950</v>
      </c>
      <c r="AU834" s="334">
        <v>407.93400000000003</v>
      </c>
      <c r="AV834" s="336">
        <v>8950</v>
      </c>
      <c r="AW834" s="334">
        <v>408.30900000000003</v>
      </c>
      <c r="AX834" s="336">
        <v>8940</v>
      </c>
      <c r="AY834" s="334">
        <v>333.83300000000003</v>
      </c>
      <c r="AZ834" s="336">
        <v>8950</v>
      </c>
      <c r="BA834" s="337">
        <v>335.45800000000003</v>
      </c>
      <c r="BB834" s="336">
        <v>8930</v>
      </c>
      <c r="BC834" s="334">
        <v>76.650999999999996</v>
      </c>
      <c r="BD834" s="336">
        <v>8930</v>
      </c>
      <c r="BE834" s="334">
        <v>81.451999999999998</v>
      </c>
    </row>
    <row r="835" spans="22:57">
      <c r="V835" s="346">
        <v>8960</v>
      </c>
      <c r="W835" s="333">
        <v>174.679</v>
      </c>
      <c r="X835" s="346">
        <v>8970</v>
      </c>
      <c r="Y835" s="334">
        <v>173.01900000000001</v>
      </c>
      <c r="Z835" s="335">
        <v>8960</v>
      </c>
      <c r="AA835" s="334">
        <v>440.81099999999998</v>
      </c>
      <c r="AB835" s="336">
        <v>8960</v>
      </c>
      <c r="AC835" s="334">
        <v>440.83300000000003</v>
      </c>
      <c r="AD835" s="336">
        <v>8960</v>
      </c>
      <c r="AE835" s="334">
        <v>407.97800000000001</v>
      </c>
      <c r="AF835" s="336">
        <v>8960</v>
      </c>
      <c r="AG835" s="334">
        <v>407.17399999999998</v>
      </c>
      <c r="AH835" s="336">
        <v>8960</v>
      </c>
      <c r="AI835" s="334">
        <v>407.80500000000001</v>
      </c>
      <c r="AJ835" s="336">
        <v>8940</v>
      </c>
      <c r="AK835" s="334">
        <v>408.85700000000003</v>
      </c>
      <c r="AL835" s="336">
        <v>8960</v>
      </c>
      <c r="AM835" s="334">
        <v>408.52499999999998</v>
      </c>
      <c r="AN835" s="336">
        <v>8960</v>
      </c>
      <c r="AO835" s="334">
        <v>409.19200000000001</v>
      </c>
      <c r="AP835" s="336">
        <v>8950</v>
      </c>
      <c r="AQ835" s="334">
        <v>408.96</v>
      </c>
      <c r="AR835" s="336">
        <v>8960</v>
      </c>
      <c r="AS835" s="334">
        <v>408.33300000000003</v>
      </c>
      <c r="AT835" s="336">
        <v>8960</v>
      </c>
      <c r="AU835" s="334">
        <v>406.72300000000001</v>
      </c>
      <c r="AV835" s="336">
        <v>8960</v>
      </c>
      <c r="AW835" s="334">
        <v>407.09899999999999</v>
      </c>
      <c r="AX835" s="336">
        <v>8950</v>
      </c>
      <c r="AY835" s="334">
        <v>332.66500000000002</v>
      </c>
      <c r="AZ835" s="336">
        <v>8960</v>
      </c>
      <c r="BA835" s="337">
        <v>334.29</v>
      </c>
      <c r="BB835" s="336">
        <v>8940</v>
      </c>
      <c r="BC835" s="334">
        <v>76.347999999999999</v>
      </c>
      <c r="BD835" s="336">
        <v>8940</v>
      </c>
      <c r="BE835" s="334">
        <v>81.134</v>
      </c>
    </row>
    <row r="836" spans="22:57">
      <c r="V836" s="346">
        <v>8970</v>
      </c>
      <c r="W836" s="333">
        <v>173.97399999999999</v>
      </c>
      <c r="X836" s="346">
        <v>8980</v>
      </c>
      <c r="Y836" s="334">
        <v>172.31700000000001</v>
      </c>
      <c r="Z836" s="335">
        <v>8970</v>
      </c>
      <c r="AA836" s="334">
        <v>439.36</v>
      </c>
      <c r="AB836" s="336">
        <v>8970</v>
      </c>
      <c r="AC836" s="334">
        <v>439.38099999999997</v>
      </c>
      <c r="AD836" s="336">
        <v>8970</v>
      </c>
      <c r="AE836" s="334">
        <v>406.76600000000002</v>
      </c>
      <c r="AF836" s="336">
        <v>8970</v>
      </c>
      <c r="AG836" s="334">
        <v>405.96</v>
      </c>
      <c r="AH836" s="336">
        <v>8970</v>
      </c>
      <c r="AI836" s="334">
        <v>406.59300000000002</v>
      </c>
      <c r="AJ836" s="336">
        <v>8950</v>
      </c>
      <c r="AK836" s="334">
        <v>407.64499999999998</v>
      </c>
      <c r="AL836" s="336">
        <v>8970</v>
      </c>
      <c r="AM836" s="334">
        <v>407.31299999999999</v>
      </c>
      <c r="AN836" s="336">
        <v>8970</v>
      </c>
      <c r="AO836" s="334">
        <v>407.98</v>
      </c>
      <c r="AP836" s="336">
        <v>8960</v>
      </c>
      <c r="AQ836" s="334">
        <v>407.75</v>
      </c>
      <c r="AR836" s="336">
        <v>8970</v>
      </c>
      <c r="AS836" s="334">
        <v>407.12200000000001</v>
      </c>
      <c r="AT836" s="336">
        <v>8970</v>
      </c>
      <c r="AU836" s="334">
        <v>405.512</v>
      </c>
      <c r="AV836" s="336">
        <v>8970</v>
      </c>
      <c r="AW836" s="334">
        <v>405.88900000000001</v>
      </c>
      <c r="AX836" s="336">
        <v>8960</v>
      </c>
      <c r="AY836" s="334">
        <v>331.49799999999999</v>
      </c>
      <c r="AZ836" s="336">
        <v>8970</v>
      </c>
      <c r="BA836" s="337">
        <v>333.12200000000001</v>
      </c>
      <c r="BB836" s="336">
        <v>8950</v>
      </c>
      <c r="BC836" s="334">
        <v>76.045000000000002</v>
      </c>
      <c r="BD836" s="336">
        <v>8950</v>
      </c>
      <c r="BE836" s="334">
        <v>80.816000000000003</v>
      </c>
    </row>
    <row r="837" spans="22:57">
      <c r="V837" s="346">
        <v>8980</v>
      </c>
      <c r="W837" s="333">
        <v>173.26900000000001</v>
      </c>
      <c r="X837" s="346">
        <v>8990</v>
      </c>
      <c r="Y837" s="334">
        <v>171.61500000000001</v>
      </c>
      <c r="Z837" s="335">
        <v>8980</v>
      </c>
      <c r="AA837" s="334">
        <v>437.90800000000002</v>
      </c>
      <c r="AB837" s="336">
        <v>8980</v>
      </c>
      <c r="AC837" s="334">
        <v>437.92899999999997</v>
      </c>
      <c r="AD837" s="336">
        <v>8980</v>
      </c>
      <c r="AE837" s="334">
        <v>405.55399999999997</v>
      </c>
      <c r="AF837" s="336">
        <v>8980</v>
      </c>
      <c r="AG837" s="334">
        <v>404.74700000000001</v>
      </c>
      <c r="AH837" s="336">
        <v>8980</v>
      </c>
      <c r="AI837" s="334">
        <v>405.38099999999997</v>
      </c>
      <c r="AJ837" s="336">
        <v>8960</v>
      </c>
      <c r="AK837" s="334">
        <v>406.43200000000002</v>
      </c>
      <c r="AL837" s="336">
        <v>8980</v>
      </c>
      <c r="AM837" s="334">
        <v>406.101</v>
      </c>
      <c r="AN837" s="336">
        <v>8980</v>
      </c>
      <c r="AO837" s="334">
        <v>406.76799999999997</v>
      </c>
      <c r="AP837" s="336">
        <v>8970</v>
      </c>
      <c r="AQ837" s="334">
        <v>406.53899999999999</v>
      </c>
      <c r="AR837" s="336">
        <v>8980</v>
      </c>
      <c r="AS837" s="334">
        <v>405.911</v>
      </c>
      <c r="AT837" s="336">
        <v>8980</v>
      </c>
      <c r="AU837" s="334">
        <v>404.30099999999999</v>
      </c>
      <c r="AV837" s="336">
        <v>8980</v>
      </c>
      <c r="AW837" s="334">
        <v>404.67899999999997</v>
      </c>
      <c r="AX837" s="336">
        <v>8970</v>
      </c>
      <c r="AY837" s="334">
        <v>330.33100000000002</v>
      </c>
      <c r="AZ837" s="336">
        <v>8980</v>
      </c>
      <c r="BA837" s="337">
        <v>331.95600000000002</v>
      </c>
      <c r="BB837" s="336">
        <v>8960</v>
      </c>
      <c r="BC837" s="334">
        <v>75.742000000000004</v>
      </c>
      <c r="BD837" s="336">
        <v>8960</v>
      </c>
      <c r="BE837" s="334">
        <v>80.498999999999995</v>
      </c>
    </row>
    <row r="838" spans="22:57">
      <c r="V838" s="346">
        <v>8990</v>
      </c>
      <c r="W838" s="333">
        <v>172.565</v>
      </c>
      <c r="X838" s="346">
        <v>9000</v>
      </c>
      <c r="Y838" s="334">
        <v>170.91399999999999</v>
      </c>
      <c r="Z838" s="335">
        <v>8990</v>
      </c>
      <c r="AA838" s="334">
        <v>436.45699999999999</v>
      </c>
      <c r="AB838" s="336">
        <v>8990</v>
      </c>
      <c r="AC838" s="334">
        <v>436.47699999999998</v>
      </c>
      <c r="AD838" s="336">
        <v>8990</v>
      </c>
      <c r="AE838" s="334">
        <v>404.34300000000002</v>
      </c>
      <c r="AF838" s="336">
        <v>8990</v>
      </c>
      <c r="AG838" s="334">
        <v>403.53399999999999</v>
      </c>
      <c r="AH838" s="336">
        <v>8990</v>
      </c>
      <c r="AI838" s="334">
        <v>404.17</v>
      </c>
      <c r="AJ838" s="336">
        <v>8970</v>
      </c>
      <c r="AK838" s="334">
        <v>405.22</v>
      </c>
      <c r="AL838" s="336">
        <v>8990</v>
      </c>
      <c r="AM838" s="334">
        <v>404.89</v>
      </c>
      <c r="AN838" s="336">
        <v>8990</v>
      </c>
      <c r="AO838" s="334">
        <v>405.55599999999998</v>
      </c>
      <c r="AP838" s="336">
        <v>8980</v>
      </c>
      <c r="AQ838" s="334">
        <v>405.32900000000001</v>
      </c>
      <c r="AR838" s="336">
        <v>8990</v>
      </c>
      <c r="AS838" s="334">
        <v>404.7</v>
      </c>
      <c r="AT838" s="336">
        <v>8990</v>
      </c>
      <c r="AU838" s="334">
        <v>403.09100000000001</v>
      </c>
      <c r="AV838" s="336">
        <v>8990</v>
      </c>
      <c r="AW838" s="334">
        <v>403.46899999999999</v>
      </c>
      <c r="AX838" s="336">
        <v>8980</v>
      </c>
      <c r="AY838" s="334">
        <v>329.16500000000002</v>
      </c>
      <c r="AZ838" s="336">
        <v>8990</v>
      </c>
      <c r="BA838" s="337">
        <v>330.79</v>
      </c>
      <c r="BB838" s="336">
        <v>8970</v>
      </c>
      <c r="BC838" s="334">
        <v>75.44</v>
      </c>
      <c r="BD838" s="336">
        <v>8970</v>
      </c>
      <c r="BE838" s="334">
        <v>80.182000000000002</v>
      </c>
    </row>
    <row r="839" spans="22:57">
      <c r="V839" s="346">
        <v>9000</v>
      </c>
      <c r="W839" s="333">
        <v>171.86</v>
      </c>
      <c r="X839" s="346">
        <v>9010</v>
      </c>
      <c r="Y839" s="334">
        <v>170.21199999999999</v>
      </c>
      <c r="Z839" s="335">
        <v>9000</v>
      </c>
      <c r="AA839" s="334">
        <v>435.00700000000001</v>
      </c>
      <c r="AB839" s="336">
        <v>9000</v>
      </c>
      <c r="AC839" s="334">
        <v>435.02499999999998</v>
      </c>
      <c r="AD839" s="336">
        <v>9000</v>
      </c>
      <c r="AE839" s="334">
        <v>403.13099999999997</v>
      </c>
      <c r="AF839" s="336">
        <v>9000</v>
      </c>
      <c r="AG839" s="334">
        <v>402.32</v>
      </c>
      <c r="AH839" s="336">
        <v>9000</v>
      </c>
      <c r="AI839" s="334">
        <v>402.95800000000003</v>
      </c>
      <c r="AJ839" s="336">
        <v>8980</v>
      </c>
      <c r="AK839" s="334">
        <v>404.00799999999998</v>
      </c>
      <c r="AL839" s="336">
        <v>9000</v>
      </c>
      <c r="AM839" s="334">
        <v>403.678</v>
      </c>
      <c r="AN839" s="336">
        <v>9000</v>
      </c>
      <c r="AO839" s="334">
        <v>404.34399999999999</v>
      </c>
      <c r="AP839" s="336">
        <v>8990</v>
      </c>
      <c r="AQ839" s="334">
        <v>404.11900000000003</v>
      </c>
      <c r="AR839" s="336">
        <v>9000</v>
      </c>
      <c r="AS839" s="334">
        <v>403.48899999999998</v>
      </c>
      <c r="AT839" s="336">
        <v>9000</v>
      </c>
      <c r="AU839" s="334">
        <v>401.88</v>
      </c>
      <c r="AV839" s="336">
        <v>9000</v>
      </c>
      <c r="AW839" s="334">
        <v>402.25900000000001</v>
      </c>
      <c r="AX839" s="336">
        <v>8990</v>
      </c>
      <c r="AY839" s="334">
        <v>328</v>
      </c>
      <c r="AZ839" s="336">
        <v>9000</v>
      </c>
      <c r="BA839" s="337">
        <v>329.62400000000002</v>
      </c>
      <c r="BB839" s="336">
        <v>8980</v>
      </c>
      <c r="BC839" s="334">
        <v>75.138000000000005</v>
      </c>
      <c r="BD839" s="336">
        <v>8980</v>
      </c>
      <c r="BE839" s="334">
        <v>79.866</v>
      </c>
    </row>
    <row r="840" spans="22:57">
      <c r="V840" s="346">
        <v>9010</v>
      </c>
      <c r="W840" s="333">
        <v>171.15600000000001</v>
      </c>
      <c r="X840" s="346">
        <v>9020</v>
      </c>
      <c r="Y840" s="334">
        <v>169.511</v>
      </c>
      <c r="Z840" s="335">
        <v>9010</v>
      </c>
      <c r="AA840" s="334">
        <v>433.55599999999998</v>
      </c>
      <c r="AB840" s="336">
        <v>9010</v>
      </c>
      <c r="AC840" s="334">
        <v>433.57400000000001</v>
      </c>
      <c r="AD840" s="336">
        <v>9010</v>
      </c>
      <c r="AE840" s="334">
        <v>401.92</v>
      </c>
      <c r="AF840" s="336">
        <v>9010</v>
      </c>
      <c r="AG840" s="334">
        <v>401.10700000000003</v>
      </c>
      <c r="AH840" s="336">
        <v>9010</v>
      </c>
      <c r="AI840" s="334">
        <v>401.74599999999998</v>
      </c>
      <c r="AJ840" s="336">
        <v>8990</v>
      </c>
      <c r="AK840" s="334">
        <v>402.79599999999999</v>
      </c>
      <c r="AL840" s="336">
        <v>9010</v>
      </c>
      <c r="AM840" s="334">
        <v>402.46600000000001</v>
      </c>
      <c r="AN840" s="336">
        <v>9010</v>
      </c>
      <c r="AO840" s="334">
        <v>403.13200000000001</v>
      </c>
      <c r="AP840" s="336">
        <v>9000</v>
      </c>
      <c r="AQ840" s="334">
        <v>402.90899999999999</v>
      </c>
      <c r="AR840" s="336">
        <v>9010</v>
      </c>
      <c r="AS840" s="334">
        <v>402.27800000000002</v>
      </c>
      <c r="AT840" s="336">
        <v>9010</v>
      </c>
      <c r="AU840" s="334">
        <v>400.66899999999998</v>
      </c>
      <c r="AV840" s="336">
        <v>9010</v>
      </c>
      <c r="AW840" s="334">
        <v>401.04899999999998</v>
      </c>
      <c r="AX840" s="336">
        <v>9000</v>
      </c>
      <c r="AY840" s="334">
        <v>326.83499999999998</v>
      </c>
      <c r="AZ840" s="336">
        <v>9010</v>
      </c>
      <c r="BA840" s="337">
        <v>328.459</v>
      </c>
      <c r="BB840" s="336">
        <v>8990</v>
      </c>
      <c r="BC840" s="334">
        <v>74.835999999999999</v>
      </c>
      <c r="BD840" s="336">
        <v>8990</v>
      </c>
      <c r="BE840" s="334">
        <v>79.55</v>
      </c>
    </row>
    <row r="841" spans="22:57">
      <c r="V841" s="346">
        <v>9020</v>
      </c>
      <c r="W841" s="333">
        <v>170.452</v>
      </c>
      <c r="X841" s="346">
        <v>9030</v>
      </c>
      <c r="Y841" s="334">
        <v>168.81</v>
      </c>
      <c r="Z841" s="335">
        <v>9020</v>
      </c>
      <c r="AA841" s="334">
        <v>432.10500000000002</v>
      </c>
      <c r="AB841" s="336">
        <v>9020</v>
      </c>
      <c r="AC841" s="334">
        <v>432.12200000000001</v>
      </c>
      <c r="AD841" s="336">
        <v>9020</v>
      </c>
      <c r="AE841" s="334">
        <v>400.70800000000003</v>
      </c>
      <c r="AF841" s="336">
        <v>9020</v>
      </c>
      <c r="AG841" s="334">
        <v>399.89400000000001</v>
      </c>
      <c r="AH841" s="336">
        <v>9020</v>
      </c>
      <c r="AI841" s="334">
        <v>400.53399999999999</v>
      </c>
      <c r="AJ841" s="336">
        <v>9000</v>
      </c>
      <c r="AK841" s="334">
        <v>401.584</v>
      </c>
      <c r="AL841" s="336">
        <v>9020</v>
      </c>
      <c r="AM841" s="334">
        <v>401.25400000000002</v>
      </c>
      <c r="AN841" s="336">
        <v>9020</v>
      </c>
      <c r="AO841" s="334">
        <v>401.92</v>
      </c>
      <c r="AP841" s="336">
        <v>9010</v>
      </c>
      <c r="AQ841" s="334">
        <v>401.69799999999998</v>
      </c>
      <c r="AR841" s="336">
        <v>9020</v>
      </c>
      <c r="AS841" s="334">
        <v>401.06700000000001</v>
      </c>
      <c r="AT841" s="336">
        <v>9020</v>
      </c>
      <c r="AU841" s="334">
        <v>399.45800000000003</v>
      </c>
      <c r="AV841" s="336">
        <v>9020</v>
      </c>
      <c r="AW841" s="334">
        <v>399.839</v>
      </c>
      <c r="AX841" s="336">
        <v>9010</v>
      </c>
      <c r="AY841" s="334">
        <v>325.67099999999999</v>
      </c>
      <c r="AZ841" s="336">
        <v>9020</v>
      </c>
      <c r="BA841" s="337">
        <v>327.29500000000002</v>
      </c>
      <c r="BB841" s="336">
        <v>9000</v>
      </c>
      <c r="BC841" s="334">
        <v>74.534999999999997</v>
      </c>
      <c r="BD841" s="336">
        <v>9000</v>
      </c>
      <c r="BE841" s="334">
        <v>79.233999999999995</v>
      </c>
    </row>
    <row r="842" spans="22:57">
      <c r="V842" s="346">
        <v>9030</v>
      </c>
      <c r="W842" s="333">
        <v>169.74799999999999</v>
      </c>
      <c r="X842" s="346">
        <v>9040</v>
      </c>
      <c r="Y842" s="334">
        <v>168.10900000000001</v>
      </c>
      <c r="Z842" s="335">
        <v>9030</v>
      </c>
      <c r="AA842" s="334">
        <v>430.65499999999997</v>
      </c>
      <c r="AB842" s="336">
        <v>9030</v>
      </c>
      <c r="AC842" s="334">
        <v>430.67</v>
      </c>
      <c r="AD842" s="336">
        <v>9030</v>
      </c>
      <c r="AE842" s="334">
        <v>399.49599999999998</v>
      </c>
      <c r="AF842" s="336">
        <v>9030</v>
      </c>
      <c r="AG842" s="334">
        <v>398.68</v>
      </c>
      <c r="AH842" s="336">
        <v>9030</v>
      </c>
      <c r="AI842" s="334">
        <v>399.322</v>
      </c>
      <c r="AJ842" s="336">
        <v>9010</v>
      </c>
      <c r="AK842" s="334">
        <v>400.37200000000001</v>
      </c>
      <c r="AL842" s="336">
        <v>9030</v>
      </c>
      <c r="AM842" s="334">
        <v>400.04199999999997</v>
      </c>
      <c r="AN842" s="336">
        <v>9030</v>
      </c>
      <c r="AO842" s="334">
        <v>400.70800000000003</v>
      </c>
      <c r="AP842" s="336">
        <v>9020</v>
      </c>
      <c r="AQ842" s="334">
        <v>400.488</v>
      </c>
      <c r="AR842" s="336">
        <v>9030</v>
      </c>
      <c r="AS842" s="334">
        <v>399.85599999999999</v>
      </c>
      <c r="AT842" s="336">
        <v>9030</v>
      </c>
      <c r="AU842" s="334">
        <v>398.24700000000001</v>
      </c>
      <c r="AV842" s="336">
        <v>9030</v>
      </c>
      <c r="AW842" s="334">
        <v>398.62900000000002</v>
      </c>
      <c r="AX842" s="336">
        <v>9020</v>
      </c>
      <c r="AY842" s="334">
        <v>324.50799999999998</v>
      </c>
      <c r="AZ842" s="336">
        <v>9030</v>
      </c>
      <c r="BA842" s="337">
        <v>326.13200000000001</v>
      </c>
      <c r="BB842" s="336">
        <v>9010</v>
      </c>
      <c r="BC842" s="334">
        <v>74.233999999999995</v>
      </c>
      <c r="BD842" s="336">
        <v>9010</v>
      </c>
      <c r="BE842" s="334">
        <v>78.918999999999997</v>
      </c>
    </row>
    <row r="843" spans="22:57">
      <c r="V843" s="346">
        <v>9040</v>
      </c>
      <c r="W843" s="333">
        <v>169.04499999999999</v>
      </c>
      <c r="X843" s="346">
        <v>9050</v>
      </c>
      <c r="Y843" s="334">
        <v>167.40899999999999</v>
      </c>
      <c r="Z843" s="335">
        <v>9040</v>
      </c>
      <c r="AA843" s="334">
        <v>429.20400000000001</v>
      </c>
      <c r="AB843" s="336">
        <v>9040</v>
      </c>
      <c r="AC843" s="334">
        <v>429.21899999999999</v>
      </c>
      <c r="AD843" s="336">
        <v>9040</v>
      </c>
      <c r="AE843" s="334">
        <v>398.28500000000003</v>
      </c>
      <c r="AF843" s="336">
        <v>9040</v>
      </c>
      <c r="AG843" s="334">
        <v>397.46699999999998</v>
      </c>
      <c r="AH843" s="336">
        <v>9040</v>
      </c>
      <c r="AI843" s="334">
        <v>398.11099999999999</v>
      </c>
      <c r="AJ843" s="336">
        <v>9020</v>
      </c>
      <c r="AK843" s="334">
        <v>399.16</v>
      </c>
      <c r="AL843" s="336">
        <v>9040</v>
      </c>
      <c r="AM843" s="334">
        <v>398.83100000000002</v>
      </c>
      <c r="AN843" s="336">
        <v>9040</v>
      </c>
      <c r="AO843" s="334">
        <v>399.49599999999998</v>
      </c>
      <c r="AP843" s="336">
        <v>9030</v>
      </c>
      <c r="AQ843" s="334">
        <v>399.27800000000002</v>
      </c>
      <c r="AR843" s="336">
        <v>9040</v>
      </c>
      <c r="AS843" s="334">
        <v>398.64499999999998</v>
      </c>
      <c r="AT843" s="336">
        <v>9040</v>
      </c>
      <c r="AU843" s="334">
        <v>397.036</v>
      </c>
      <c r="AV843" s="336">
        <v>9040</v>
      </c>
      <c r="AW843" s="334">
        <v>397.41899999999998</v>
      </c>
      <c r="AX843" s="336">
        <v>9030</v>
      </c>
      <c r="AY843" s="334">
        <v>323.346</v>
      </c>
      <c r="AZ843" s="336">
        <v>9040</v>
      </c>
      <c r="BA843" s="337">
        <v>324.97000000000003</v>
      </c>
      <c r="BB843" s="336">
        <v>9020</v>
      </c>
      <c r="BC843" s="334">
        <v>73.933999999999997</v>
      </c>
      <c r="BD843" s="336">
        <v>9020</v>
      </c>
      <c r="BE843" s="334">
        <v>78.603999999999999</v>
      </c>
    </row>
    <row r="844" spans="22:57">
      <c r="V844" s="346">
        <v>9050</v>
      </c>
      <c r="W844" s="333">
        <v>168.34100000000001</v>
      </c>
      <c r="X844" s="346">
        <v>9060</v>
      </c>
      <c r="Y844" s="334">
        <v>166.709</v>
      </c>
      <c r="Z844" s="335">
        <v>9050</v>
      </c>
      <c r="AA844" s="334">
        <v>427.75400000000002</v>
      </c>
      <c r="AB844" s="336">
        <v>9050</v>
      </c>
      <c r="AC844" s="334">
        <v>427.76799999999997</v>
      </c>
      <c r="AD844" s="336">
        <v>9050</v>
      </c>
      <c r="AE844" s="334">
        <v>397.07299999999998</v>
      </c>
      <c r="AF844" s="336">
        <v>9050</v>
      </c>
      <c r="AG844" s="334">
        <v>396.25299999999999</v>
      </c>
      <c r="AH844" s="336">
        <v>9050</v>
      </c>
      <c r="AI844" s="334">
        <v>396.899</v>
      </c>
      <c r="AJ844" s="336">
        <v>9030</v>
      </c>
      <c r="AK844" s="334">
        <v>397.94799999999998</v>
      </c>
      <c r="AL844" s="336">
        <v>9050</v>
      </c>
      <c r="AM844" s="334">
        <v>397.61900000000003</v>
      </c>
      <c r="AN844" s="336">
        <v>9050</v>
      </c>
      <c r="AO844" s="334">
        <v>398.28399999999999</v>
      </c>
      <c r="AP844" s="336">
        <v>9040</v>
      </c>
      <c r="AQ844" s="334">
        <v>398.06700000000001</v>
      </c>
      <c r="AR844" s="336">
        <v>9050</v>
      </c>
      <c r="AS844" s="334">
        <v>397.43400000000003</v>
      </c>
      <c r="AT844" s="336">
        <v>9050</v>
      </c>
      <c r="AU844" s="334">
        <v>395.82600000000002</v>
      </c>
      <c r="AV844" s="336">
        <v>9050</v>
      </c>
      <c r="AW844" s="334">
        <v>396.209</v>
      </c>
      <c r="AX844" s="336">
        <v>9040</v>
      </c>
      <c r="AY844" s="334">
        <v>322.18400000000003</v>
      </c>
      <c r="AZ844" s="336">
        <v>9050</v>
      </c>
      <c r="BA844" s="337">
        <v>323.80799999999999</v>
      </c>
      <c r="BB844" s="336">
        <v>9030</v>
      </c>
      <c r="BC844" s="334">
        <v>73.634</v>
      </c>
      <c r="BD844" s="336">
        <v>9030</v>
      </c>
      <c r="BE844" s="334">
        <v>78.290000000000006</v>
      </c>
    </row>
    <row r="845" spans="22:57">
      <c r="V845" s="346">
        <v>9060</v>
      </c>
      <c r="W845" s="333">
        <v>167.63800000000001</v>
      </c>
      <c r="X845" s="346">
        <v>9070</v>
      </c>
      <c r="Y845" s="334">
        <v>166.00899999999999</v>
      </c>
      <c r="Z845" s="335">
        <v>9060</v>
      </c>
      <c r="AA845" s="334">
        <v>426.303</v>
      </c>
      <c r="AB845" s="336">
        <v>9060</v>
      </c>
      <c r="AC845" s="334">
        <v>426.31599999999997</v>
      </c>
      <c r="AD845" s="336">
        <v>9060</v>
      </c>
      <c r="AE845" s="334">
        <v>395.86200000000002</v>
      </c>
      <c r="AF845" s="336">
        <v>9060</v>
      </c>
      <c r="AG845" s="334">
        <v>395.04</v>
      </c>
      <c r="AH845" s="336">
        <v>9060</v>
      </c>
      <c r="AI845" s="334">
        <v>395.68700000000001</v>
      </c>
      <c r="AJ845" s="336">
        <v>9040</v>
      </c>
      <c r="AK845" s="334">
        <v>396.73599999999999</v>
      </c>
      <c r="AL845" s="336">
        <v>9060</v>
      </c>
      <c r="AM845" s="334">
        <v>396.40699999999998</v>
      </c>
      <c r="AN845" s="336">
        <v>9060</v>
      </c>
      <c r="AO845" s="334">
        <v>397.072</v>
      </c>
      <c r="AP845" s="336">
        <v>9050</v>
      </c>
      <c r="AQ845" s="334">
        <v>396.85700000000003</v>
      </c>
      <c r="AR845" s="336">
        <v>9060</v>
      </c>
      <c r="AS845" s="334">
        <v>396.22300000000001</v>
      </c>
      <c r="AT845" s="336">
        <v>9060</v>
      </c>
      <c r="AU845" s="334">
        <v>394.61500000000001</v>
      </c>
      <c r="AV845" s="336">
        <v>9060</v>
      </c>
      <c r="AW845" s="334">
        <v>394.99900000000002</v>
      </c>
      <c r="AX845" s="336">
        <v>9050</v>
      </c>
      <c r="AY845" s="334">
        <v>321.02300000000002</v>
      </c>
      <c r="AZ845" s="336">
        <v>9060</v>
      </c>
      <c r="BA845" s="337">
        <v>322.64699999999999</v>
      </c>
      <c r="BB845" s="336">
        <v>9040</v>
      </c>
      <c r="BC845" s="334">
        <v>73.334000000000003</v>
      </c>
      <c r="BD845" s="336">
        <v>9040</v>
      </c>
      <c r="BE845" s="334">
        <v>77.975999999999999</v>
      </c>
    </row>
    <row r="846" spans="22:57">
      <c r="V846" s="346">
        <v>9070</v>
      </c>
      <c r="W846" s="333">
        <v>166.93600000000001</v>
      </c>
      <c r="X846" s="346">
        <v>9080</v>
      </c>
      <c r="Y846" s="334">
        <v>165.309</v>
      </c>
      <c r="Z846" s="335">
        <v>9070</v>
      </c>
      <c r="AA846" s="334">
        <v>424.85300000000001</v>
      </c>
      <c r="AB846" s="336">
        <v>9070</v>
      </c>
      <c r="AC846" s="334">
        <v>424.86500000000001</v>
      </c>
      <c r="AD846" s="336">
        <v>9070</v>
      </c>
      <c r="AE846" s="334">
        <v>394.65</v>
      </c>
      <c r="AF846" s="336">
        <v>9070</v>
      </c>
      <c r="AG846" s="334">
        <v>393.827</v>
      </c>
      <c r="AH846" s="336">
        <v>9070</v>
      </c>
      <c r="AI846" s="334">
        <v>394.47500000000002</v>
      </c>
      <c r="AJ846" s="336">
        <v>9050</v>
      </c>
      <c r="AK846" s="334">
        <v>395.524</v>
      </c>
      <c r="AL846" s="336">
        <v>9070</v>
      </c>
      <c r="AM846" s="334">
        <v>395.19499999999999</v>
      </c>
      <c r="AN846" s="336">
        <v>9070</v>
      </c>
      <c r="AO846" s="334">
        <v>395.86</v>
      </c>
      <c r="AP846" s="336">
        <v>9060</v>
      </c>
      <c r="AQ846" s="334">
        <v>395.64699999999999</v>
      </c>
      <c r="AR846" s="336">
        <v>9070</v>
      </c>
      <c r="AS846" s="334">
        <v>395.012</v>
      </c>
      <c r="AT846" s="336">
        <v>9070</v>
      </c>
      <c r="AU846" s="334">
        <v>393.404</v>
      </c>
      <c r="AV846" s="336">
        <v>9070</v>
      </c>
      <c r="AW846" s="334">
        <v>393.78899999999999</v>
      </c>
      <c r="AX846" s="336">
        <v>9060</v>
      </c>
      <c r="AY846" s="334">
        <v>319.863</v>
      </c>
      <c r="AZ846" s="336">
        <v>9070</v>
      </c>
      <c r="BA846" s="337">
        <v>321.48599999999999</v>
      </c>
      <c r="BB846" s="336">
        <v>9050</v>
      </c>
      <c r="BC846" s="334">
        <v>73.034999999999997</v>
      </c>
      <c r="BD846" s="336">
        <v>9050</v>
      </c>
      <c r="BE846" s="334">
        <v>77.662000000000006</v>
      </c>
    </row>
    <row r="847" spans="22:57">
      <c r="V847" s="346">
        <v>9080</v>
      </c>
      <c r="W847" s="333">
        <v>166.233</v>
      </c>
      <c r="X847" s="346">
        <v>9090</v>
      </c>
      <c r="Y847" s="334">
        <v>164.61</v>
      </c>
      <c r="Z847" s="335">
        <v>9080</v>
      </c>
      <c r="AA847" s="334">
        <v>423.40300000000002</v>
      </c>
      <c r="AB847" s="336">
        <v>9080</v>
      </c>
      <c r="AC847" s="334">
        <v>423.41399999999999</v>
      </c>
      <c r="AD847" s="336">
        <v>9080</v>
      </c>
      <c r="AE847" s="334">
        <v>393.43799999999999</v>
      </c>
      <c r="AF847" s="336">
        <v>9080</v>
      </c>
      <c r="AG847" s="334">
        <v>392.613</v>
      </c>
      <c r="AH847" s="336">
        <v>9080</v>
      </c>
      <c r="AI847" s="334">
        <v>393.26400000000001</v>
      </c>
      <c r="AJ847" s="336">
        <v>9060</v>
      </c>
      <c r="AK847" s="334">
        <v>394.31200000000001</v>
      </c>
      <c r="AL847" s="336">
        <v>9080</v>
      </c>
      <c r="AM847" s="334">
        <v>393.983</v>
      </c>
      <c r="AN847" s="336">
        <v>9080</v>
      </c>
      <c r="AO847" s="334">
        <v>394.64800000000002</v>
      </c>
      <c r="AP847" s="336">
        <v>9070</v>
      </c>
      <c r="AQ847" s="334">
        <v>394.43599999999998</v>
      </c>
      <c r="AR847" s="336">
        <v>9080</v>
      </c>
      <c r="AS847" s="334">
        <v>393.80099999999999</v>
      </c>
      <c r="AT847" s="336">
        <v>9080</v>
      </c>
      <c r="AU847" s="334">
        <v>392.19299999999998</v>
      </c>
      <c r="AV847" s="336">
        <v>9080</v>
      </c>
      <c r="AW847" s="334">
        <v>392.57900000000001</v>
      </c>
      <c r="AX847" s="336">
        <v>9070</v>
      </c>
      <c r="AY847" s="334">
        <v>318.70299999999997</v>
      </c>
      <c r="AZ847" s="336">
        <v>9080</v>
      </c>
      <c r="BA847" s="337">
        <v>320.32600000000002</v>
      </c>
      <c r="BB847" s="336">
        <v>9060</v>
      </c>
      <c r="BC847" s="334">
        <v>72.736000000000004</v>
      </c>
      <c r="BD847" s="336">
        <v>9060</v>
      </c>
      <c r="BE847" s="334">
        <v>77.349000000000004</v>
      </c>
    </row>
    <row r="848" spans="22:57">
      <c r="V848" s="346">
        <v>9090</v>
      </c>
      <c r="W848" s="333">
        <v>165.53200000000001</v>
      </c>
      <c r="X848" s="346">
        <v>9100</v>
      </c>
      <c r="Y848" s="334">
        <v>163.911</v>
      </c>
      <c r="Z848" s="335">
        <v>9090</v>
      </c>
      <c r="AA848" s="334">
        <v>421.95299999999997</v>
      </c>
      <c r="AB848" s="336">
        <v>9090</v>
      </c>
      <c r="AC848" s="334">
        <v>421.96300000000002</v>
      </c>
      <c r="AD848" s="336">
        <v>9090</v>
      </c>
      <c r="AE848" s="334">
        <v>392.22699999999998</v>
      </c>
      <c r="AF848" s="336">
        <v>9090</v>
      </c>
      <c r="AG848" s="334">
        <v>391.4</v>
      </c>
      <c r="AH848" s="336">
        <v>9090</v>
      </c>
      <c r="AI848" s="334">
        <v>392.05200000000002</v>
      </c>
      <c r="AJ848" s="336">
        <v>9070</v>
      </c>
      <c r="AK848" s="334">
        <v>393.1</v>
      </c>
      <c r="AL848" s="336">
        <v>9090</v>
      </c>
      <c r="AM848" s="334">
        <v>392.77199999999999</v>
      </c>
      <c r="AN848" s="336">
        <v>9090</v>
      </c>
      <c r="AO848" s="334">
        <v>393.43599999999998</v>
      </c>
      <c r="AP848" s="336">
        <v>9080</v>
      </c>
      <c r="AQ848" s="334">
        <v>393.226</v>
      </c>
      <c r="AR848" s="336">
        <v>9090</v>
      </c>
      <c r="AS848" s="334">
        <v>392.59</v>
      </c>
      <c r="AT848" s="336">
        <v>9090</v>
      </c>
      <c r="AU848" s="334">
        <v>390.98200000000003</v>
      </c>
      <c r="AV848" s="336">
        <v>9090</v>
      </c>
      <c r="AW848" s="334">
        <v>391.36900000000003</v>
      </c>
      <c r="AX848" s="336">
        <v>9080</v>
      </c>
      <c r="AY848" s="334">
        <v>317.54399999999998</v>
      </c>
      <c r="AZ848" s="336">
        <v>9090</v>
      </c>
      <c r="BA848" s="337">
        <v>319.16800000000001</v>
      </c>
      <c r="BB848" s="336">
        <v>9070</v>
      </c>
      <c r="BC848" s="334">
        <v>72.438000000000002</v>
      </c>
      <c r="BD848" s="336">
        <v>9070</v>
      </c>
      <c r="BE848" s="334">
        <v>77.036000000000001</v>
      </c>
    </row>
    <row r="849" spans="22:57">
      <c r="V849" s="346">
        <v>9100</v>
      </c>
      <c r="W849" s="333">
        <v>164.83</v>
      </c>
      <c r="X849" s="346">
        <v>9110</v>
      </c>
      <c r="Y849" s="334">
        <v>163.21199999999999</v>
      </c>
      <c r="Z849" s="335">
        <v>9100</v>
      </c>
      <c r="AA849" s="334">
        <v>420.50299999999999</v>
      </c>
      <c r="AB849" s="336">
        <v>9100</v>
      </c>
      <c r="AC849" s="334">
        <v>420.512</v>
      </c>
      <c r="AD849" s="336">
        <v>9100</v>
      </c>
      <c r="AE849" s="334">
        <v>391.01499999999999</v>
      </c>
      <c r="AF849" s="336">
        <v>9100</v>
      </c>
      <c r="AG849" s="334">
        <v>390.18599999999998</v>
      </c>
      <c r="AH849" s="336">
        <v>9100</v>
      </c>
      <c r="AI849" s="334">
        <v>390.84</v>
      </c>
      <c r="AJ849" s="336">
        <v>9080</v>
      </c>
      <c r="AK849" s="334">
        <v>391.88799999999998</v>
      </c>
      <c r="AL849" s="336">
        <v>9100</v>
      </c>
      <c r="AM849" s="334">
        <v>391.56</v>
      </c>
      <c r="AN849" s="336">
        <v>9100</v>
      </c>
      <c r="AO849" s="334">
        <v>392.22399999999999</v>
      </c>
      <c r="AP849" s="336">
        <v>9090</v>
      </c>
      <c r="AQ849" s="334">
        <v>392.01600000000002</v>
      </c>
      <c r="AR849" s="336">
        <v>9100</v>
      </c>
      <c r="AS849" s="334">
        <v>391.37900000000002</v>
      </c>
      <c r="AT849" s="336">
        <v>9100</v>
      </c>
      <c r="AU849" s="334">
        <v>389.77199999999999</v>
      </c>
      <c r="AV849" s="336">
        <v>9100</v>
      </c>
      <c r="AW849" s="334">
        <v>390.15899999999999</v>
      </c>
      <c r="AX849" s="336">
        <v>9090</v>
      </c>
      <c r="AY849" s="334">
        <v>316.38600000000002</v>
      </c>
      <c r="AZ849" s="336">
        <v>9100</v>
      </c>
      <c r="BA849" s="337">
        <v>318.00900000000001</v>
      </c>
      <c r="BB849" s="336">
        <v>9080</v>
      </c>
      <c r="BC849" s="334">
        <v>72.14</v>
      </c>
      <c r="BD849" s="336">
        <v>9080</v>
      </c>
      <c r="BE849" s="334">
        <v>76.724000000000004</v>
      </c>
    </row>
    <row r="850" spans="22:57">
      <c r="V850" s="346">
        <v>9110</v>
      </c>
      <c r="W850" s="333">
        <v>164.12899999999999</v>
      </c>
      <c r="X850" s="346">
        <v>9120</v>
      </c>
      <c r="Y850" s="334">
        <v>162.51499999999999</v>
      </c>
      <c r="Z850" s="335">
        <v>9110</v>
      </c>
      <c r="AA850" s="334">
        <v>419.05399999999997</v>
      </c>
      <c r="AB850" s="336">
        <v>9110</v>
      </c>
      <c r="AC850" s="334">
        <v>419.06099999999998</v>
      </c>
      <c r="AD850" s="336">
        <v>9110</v>
      </c>
      <c r="AE850" s="334">
        <v>389.80399999999997</v>
      </c>
      <c r="AF850" s="336">
        <v>9110</v>
      </c>
      <c r="AG850" s="334">
        <v>388.97300000000001</v>
      </c>
      <c r="AH850" s="336">
        <v>9110</v>
      </c>
      <c r="AI850" s="334">
        <v>389.62799999999999</v>
      </c>
      <c r="AJ850" s="336">
        <v>9090</v>
      </c>
      <c r="AK850" s="334">
        <v>390.67599999999999</v>
      </c>
      <c r="AL850" s="336">
        <v>9110</v>
      </c>
      <c r="AM850" s="334">
        <v>390.34800000000001</v>
      </c>
      <c r="AN850" s="336">
        <v>9110</v>
      </c>
      <c r="AO850" s="334">
        <v>391.012</v>
      </c>
      <c r="AP850" s="336">
        <v>9100</v>
      </c>
      <c r="AQ850" s="334">
        <v>390.80599999999998</v>
      </c>
      <c r="AR850" s="336">
        <v>9110</v>
      </c>
      <c r="AS850" s="334">
        <v>390.16800000000001</v>
      </c>
      <c r="AT850" s="336">
        <v>9110</v>
      </c>
      <c r="AU850" s="334">
        <v>388.56099999999998</v>
      </c>
      <c r="AV850" s="336">
        <v>9110</v>
      </c>
      <c r="AW850" s="334">
        <v>388.94900000000001</v>
      </c>
      <c r="AX850" s="336">
        <v>9100</v>
      </c>
      <c r="AY850" s="334">
        <v>315.22899999999998</v>
      </c>
      <c r="AZ850" s="336">
        <v>9110</v>
      </c>
      <c r="BA850" s="337">
        <v>316.85199999999998</v>
      </c>
      <c r="BB850" s="336">
        <v>9090</v>
      </c>
      <c r="BC850" s="334">
        <v>71.841999999999999</v>
      </c>
      <c r="BD850" s="336">
        <v>9090</v>
      </c>
      <c r="BE850" s="334">
        <v>76.412000000000006</v>
      </c>
    </row>
    <row r="851" spans="22:57">
      <c r="V851" s="346">
        <v>9120</v>
      </c>
      <c r="W851" s="333">
        <v>163.429</v>
      </c>
      <c r="X851" s="346">
        <v>9130</v>
      </c>
      <c r="Y851" s="334">
        <v>161.81700000000001</v>
      </c>
      <c r="Z851" s="335">
        <v>9120</v>
      </c>
      <c r="AA851" s="334">
        <v>417.60399999999998</v>
      </c>
      <c r="AB851" s="336">
        <v>9120</v>
      </c>
      <c r="AC851" s="334">
        <v>417.61099999999999</v>
      </c>
      <c r="AD851" s="336">
        <v>9120</v>
      </c>
      <c r="AE851" s="334">
        <v>388.59199999999998</v>
      </c>
      <c r="AF851" s="336">
        <v>9120</v>
      </c>
      <c r="AG851" s="334">
        <v>387.76</v>
      </c>
      <c r="AH851" s="336">
        <v>9120</v>
      </c>
      <c r="AI851" s="334">
        <v>388.416</v>
      </c>
      <c r="AJ851" s="336">
        <v>9100</v>
      </c>
      <c r="AK851" s="334">
        <v>389.464</v>
      </c>
      <c r="AL851" s="336">
        <v>9120</v>
      </c>
      <c r="AM851" s="334">
        <v>389.13600000000002</v>
      </c>
      <c r="AN851" s="336">
        <v>9120</v>
      </c>
      <c r="AO851" s="334">
        <v>389.8</v>
      </c>
      <c r="AP851" s="336">
        <v>9110</v>
      </c>
      <c r="AQ851" s="334">
        <v>389.59500000000003</v>
      </c>
      <c r="AR851" s="336">
        <v>9120</v>
      </c>
      <c r="AS851" s="334">
        <v>388.95699999999999</v>
      </c>
      <c r="AT851" s="336">
        <v>9120</v>
      </c>
      <c r="AU851" s="334">
        <v>387.35</v>
      </c>
      <c r="AV851" s="336">
        <v>9120</v>
      </c>
      <c r="AW851" s="334">
        <v>387.73899999999998</v>
      </c>
      <c r="AX851" s="336">
        <v>9110</v>
      </c>
      <c r="AY851" s="334">
        <v>314.07299999999998</v>
      </c>
      <c r="AZ851" s="336">
        <v>9120</v>
      </c>
      <c r="BA851" s="337">
        <v>315.69499999999999</v>
      </c>
      <c r="BB851" s="336">
        <v>9100</v>
      </c>
      <c r="BC851" s="334">
        <v>71.545000000000002</v>
      </c>
      <c r="BD851" s="336">
        <v>9100</v>
      </c>
      <c r="BE851" s="334">
        <v>76.099999999999994</v>
      </c>
    </row>
    <row r="852" spans="22:57">
      <c r="V852" s="346">
        <v>9130</v>
      </c>
      <c r="W852" s="333">
        <v>162.72900000000001</v>
      </c>
      <c r="X852" s="346">
        <v>9140</v>
      </c>
      <c r="Y852" s="334">
        <v>161.12100000000001</v>
      </c>
      <c r="Z852" s="335">
        <v>9130</v>
      </c>
      <c r="AA852" s="334">
        <v>416.15499999999997</v>
      </c>
      <c r="AB852" s="336">
        <v>9130</v>
      </c>
      <c r="AC852" s="334">
        <v>416.16</v>
      </c>
      <c r="AD852" s="336">
        <v>9130</v>
      </c>
      <c r="AE852" s="334">
        <v>387.38099999999997</v>
      </c>
      <c r="AF852" s="336">
        <v>9130</v>
      </c>
      <c r="AG852" s="334">
        <v>386.54599999999999</v>
      </c>
      <c r="AH852" s="336">
        <v>9130</v>
      </c>
      <c r="AI852" s="334">
        <v>387.20499999999998</v>
      </c>
      <c r="AJ852" s="336">
        <v>9110</v>
      </c>
      <c r="AK852" s="334">
        <v>388.25200000000001</v>
      </c>
      <c r="AL852" s="336">
        <v>9130</v>
      </c>
      <c r="AM852" s="334">
        <v>387.92399999999998</v>
      </c>
      <c r="AN852" s="336">
        <v>9130</v>
      </c>
      <c r="AO852" s="334">
        <v>388.58800000000002</v>
      </c>
      <c r="AP852" s="336">
        <v>9120</v>
      </c>
      <c r="AQ852" s="334">
        <v>388.38499999999999</v>
      </c>
      <c r="AR852" s="336">
        <v>9130</v>
      </c>
      <c r="AS852" s="334">
        <v>387.74599999999998</v>
      </c>
      <c r="AT852" s="336">
        <v>9130</v>
      </c>
      <c r="AU852" s="334">
        <v>386.13900000000001</v>
      </c>
      <c r="AV852" s="336">
        <v>9130</v>
      </c>
      <c r="AW852" s="334">
        <v>386.529</v>
      </c>
      <c r="AX852" s="336">
        <v>9120</v>
      </c>
      <c r="AY852" s="334">
        <v>312.91699999999997</v>
      </c>
      <c r="AZ852" s="336">
        <v>9130</v>
      </c>
      <c r="BA852" s="337">
        <v>314.53899999999999</v>
      </c>
      <c r="BB852" s="336">
        <v>9110</v>
      </c>
      <c r="BC852" s="334">
        <v>71.248999999999995</v>
      </c>
      <c r="BD852" s="336">
        <v>9110</v>
      </c>
      <c r="BE852" s="334">
        <v>75.789000000000001</v>
      </c>
    </row>
    <row r="853" spans="22:57">
      <c r="V853" s="346">
        <v>9140</v>
      </c>
      <c r="W853" s="333">
        <v>162.029</v>
      </c>
      <c r="X853" s="346">
        <v>9150</v>
      </c>
      <c r="Y853" s="334">
        <v>160.42500000000001</v>
      </c>
      <c r="Z853" s="335">
        <v>9140</v>
      </c>
      <c r="AA853" s="334">
        <v>414.70499999999998</v>
      </c>
      <c r="AB853" s="336">
        <v>9140</v>
      </c>
      <c r="AC853" s="334">
        <v>414.709</v>
      </c>
      <c r="AD853" s="336">
        <v>9140</v>
      </c>
      <c r="AE853" s="334">
        <v>386.16899999999998</v>
      </c>
      <c r="AF853" s="336">
        <v>9140</v>
      </c>
      <c r="AG853" s="334">
        <v>385.33300000000003</v>
      </c>
      <c r="AH853" s="336">
        <v>9140</v>
      </c>
      <c r="AI853" s="334">
        <v>385.99299999999999</v>
      </c>
      <c r="AJ853" s="336">
        <v>9120</v>
      </c>
      <c r="AK853" s="334">
        <v>387.04</v>
      </c>
      <c r="AL853" s="336">
        <v>9140</v>
      </c>
      <c r="AM853" s="334">
        <v>386.71300000000002</v>
      </c>
      <c r="AN853" s="336">
        <v>9140</v>
      </c>
      <c r="AO853" s="334">
        <v>387.37599999999998</v>
      </c>
      <c r="AP853" s="336">
        <v>9130</v>
      </c>
      <c r="AQ853" s="334">
        <v>387.17500000000001</v>
      </c>
      <c r="AR853" s="336">
        <v>9140</v>
      </c>
      <c r="AS853" s="334">
        <v>386.53500000000003</v>
      </c>
      <c r="AT853" s="336">
        <v>9140</v>
      </c>
      <c r="AU853" s="334">
        <v>384.928</v>
      </c>
      <c r="AV853" s="336">
        <v>9140</v>
      </c>
      <c r="AW853" s="334">
        <v>385.31900000000002</v>
      </c>
      <c r="AX853" s="336">
        <v>9130</v>
      </c>
      <c r="AY853" s="334">
        <v>311.762</v>
      </c>
      <c r="AZ853" s="336">
        <v>9140</v>
      </c>
      <c r="BA853" s="337">
        <v>313.38400000000001</v>
      </c>
      <c r="BB853" s="336">
        <v>9120</v>
      </c>
      <c r="BC853" s="334">
        <v>70.951999999999998</v>
      </c>
      <c r="BD853" s="336">
        <v>9120</v>
      </c>
      <c r="BE853" s="334">
        <v>75.477999999999994</v>
      </c>
    </row>
    <row r="854" spans="22:57">
      <c r="V854" s="346">
        <v>9150</v>
      </c>
      <c r="W854" s="333">
        <v>161.33099999999999</v>
      </c>
      <c r="X854" s="346">
        <v>9160</v>
      </c>
      <c r="Y854" s="334">
        <v>159.72900000000001</v>
      </c>
      <c r="Z854" s="335">
        <v>9150</v>
      </c>
      <c r="AA854" s="334">
        <v>413.25599999999997</v>
      </c>
      <c r="AB854" s="336">
        <v>9150</v>
      </c>
      <c r="AC854" s="334">
        <v>413.25900000000001</v>
      </c>
      <c r="AD854" s="336">
        <v>9150</v>
      </c>
      <c r="AE854" s="334">
        <v>384.95800000000003</v>
      </c>
      <c r="AF854" s="336">
        <v>9150</v>
      </c>
      <c r="AG854" s="334">
        <v>384.12</v>
      </c>
      <c r="AH854" s="336">
        <v>9150</v>
      </c>
      <c r="AI854" s="334">
        <v>384.78100000000001</v>
      </c>
      <c r="AJ854" s="336">
        <v>9130</v>
      </c>
      <c r="AK854" s="334">
        <v>385.82799999999997</v>
      </c>
      <c r="AL854" s="336">
        <v>9150</v>
      </c>
      <c r="AM854" s="334">
        <v>385.50099999999998</v>
      </c>
      <c r="AN854" s="336">
        <v>9150</v>
      </c>
      <c r="AO854" s="334">
        <v>386.16399999999999</v>
      </c>
      <c r="AP854" s="336">
        <v>9140</v>
      </c>
      <c r="AQ854" s="334">
        <v>385.964</v>
      </c>
      <c r="AR854" s="336">
        <v>9150</v>
      </c>
      <c r="AS854" s="334">
        <v>385.32299999999998</v>
      </c>
      <c r="AT854" s="336">
        <v>9150</v>
      </c>
      <c r="AU854" s="334">
        <v>383.71800000000002</v>
      </c>
      <c r="AV854" s="336">
        <v>9150</v>
      </c>
      <c r="AW854" s="334">
        <v>384.10899999999998</v>
      </c>
      <c r="AX854" s="336">
        <v>9140</v>
      </c>
      <c r="AY854" s="334">
        <v>310.608</v>
      </c>
      <c r="AZ854" s="336">
        <v>9150</v>
      </c>
      <c r="BA854" s="337">
        <v>312.23</v>
      </c>
      <c r="BB854" s="336">
        <v>9130</v>
      </c>
      <c r="BC854" s="334">
        <v>70.656000000000006</v>
      </c>
      <c r="BD854" s="336">
        <v>9130</v>
      </c>
      <c r="BE854" s="334">
        <v>75.168000000000006</v>
      </c>
    </row>
    <row r="855" spans="22:57">
      <c r="V855" s="346">
        <v>9160</v>
      </c>
      <c r="W855" s="333">
        <v>160.63300000000001</v>
      </c>
      <c r="X855" s="346">
        <v>9170</v>
      </c>
      <c r="Y855" s="334">
        <v>159.035</v>
      </c>
      <c r="Z855" s="335">
        <v>9160</v>
      </c>
      <c r="AA855" s="334">
        <v>411.80700000000002</v>
      </c>
      <c r="AB855" s="336">
        <v>9160</v>
      </c>
      <c r="AC855" s="334">
        <v>411.80900000000003</v>
      </c>
      <c r="AD855" s="336">
        <v>9160</v>
      </c>
      <c r="AE855" s="334">
        <v>383.74599999999998</v>
      </c>
      <c r="AF855" s="336">
        <v>9160</v>
      </c>
      <c r="AG855" s="334">
        <v>382.90600000000001</v>
      </c>
      <c r="AH855" s="336">
        <v>9160</v>
      </c>
      <c r="AI855" s="334">
        <v>383.56900000000002</v>
      </c>
      <c r="AJ855" s="336">
        <v>9140</v>
      </c>
      <c r="AK855" s="334">
        <v>384.61599999999999</v>
      </c>
      <c r="AL855" s="336">
        <v>9160</v>
      </c>
      <c r="AM855" s="334">
        <v>384.28899999999999</v>
      </c>
      <c r="AN855" s="336">
        <v>9160</v>
      </c>
      <c r="AO855" s="334">
        <v>384.952</v>
      </c>
      <c r="AP855" s="336">
        <v>9150</v>
      </c>
      <c r="AQ855" s="334">
        <v>384.75400000000002</v>
      </c>
      <c r="AR855" s="336">
        <v>9160</v>
      </c>
      <c r="AS855" s="334">
        <v>384.11200000000002</v>
      </c>
      <c r="AT855" s="336">
        <v>9160</v>
      </c>
      <c r="AU855" s="334">
        <v>382.50700000000001</v>
      </c>
      <c r="AV855" s="336">
        <v>9160</v>
      </c>
      <c r="AW855" s="334">
        <v>382.899</v>
      </c>
      <c r="AX855" s="336">
        <v>9150</v>
      </c>
      <c r="AY855" s="334">
        <v>309.45400000000001</v>
      </c>
      <c r="AZ855" s="336">
        <v>9160</v>
      </c>
      <c r="BA855" s="337">
        <v>311.07600000000002</v>
      </c>
      <c r="BB855" s="336">
        <v>9140</v>
      </c>
      <c r="BC855" s="334">
        <v>70.361000000000004</v>
      </c>
      <c r="BD855" s="336">
        <v>9140</v>
      </c>
      <c r="BE855" s="334">
        <v>74.858000000000004</v>
      </c>
    </row>
    <row r="856" spans="22:57">
      <c r="V856" s="346">
        <v>9170</v>
      </c>
      <c r="W856" s="333">
        <v>159.935</v>
      </c>
      <c r="X856" s="346">
        <v>9180</v>
      </c>
      <c r="Y856" s="334">
        <v>158.34100000000001</v>
      </c>
      <c r="Z856" s="335">
        <v>9170</v>
      </c>
      <c r="AA856" s="334">
        <v>410.358</v>
      </c>
      <c r="AB856" s="336">
        <v>9170</v>
      </c>
      <c r="AC856" s="334">
        <v>410.358</v>
      </c>
      <c r="AD856" s="336">
        <v>9170</v>
      </c>
      <c r="AE856" s="334">
        <v>382.53399999999999</v>
      </c>
      <c r="AF856" s="336">
        <v>9170</v>
      </c>
      <c r="AG856" s="334">
        <v>381.69299999999998</v>
      </c>
      <c r="AH856" s="336">
        <v>9170</v>
      </c>
      <c r="AI856" s="334">
        <v>382.358</v>
      </c>
      <c r="AJ856" s="336">
        <v>9150</v>
      </c>
      <c r="AK856" s="334">
        <v>383.404</v>
      </c>
      <c r="AL856" s="336">
        <v>9170</v>
      </c>
      <c r="AM856" s="334">
        <v>383.077</v>
      </c>
      <c r="AN856" s="336">
        <v>9170</v>
      </c>
      <c r="AO856" s="334">
        <v>383.74</v>
      </c>
      <c r="AP856" s="336">
        <v>9160</v>
      </c>
      <c r="AQ856" s="334">
        <v>383.54399999999998</v>
      </c>
      <c r="AR856" s="336">
        <v>9170</v>
      </c>
      <c r="AS856" s="334">
        <v>382.90100000000001</v>
      </c>
      <c r="AT856" s="336">
        <v>9170</v>
      </c>
      <c r="AU856" s="334">
        <v>381.29599999999999</v>
      </c>
      <c r="AV856" s="336">
        <v>9170</v>
      </c>
      <c r="AW856" s="334">
        <v>381.68900000000002</v>
      </c>
      <c r="AX856" s="336">
        <v>9160</v>
      </c>
      <c r="AY856" s="334">
        <v>308.30200000000002</v>
      </c>
      <c r="AZ856" s="336">
        <v>9170</v>
      </c>
      <c r="BA856" s="337">
        <v>309.923</v>
      </c>
      <c r="BB856" s="336">
        <v>9150</v>
      </c>
      <c r="BC856" s="334">
        <v>70.064999999999998</v>
      </c>
      <c r="BD856" s="336">
        <v>9150</v>
      </c>
      <c r="BE856" s="334">
        <v>74.548000000000002</v>
      </c>
    </row>
    <row r="857" spans="22:57">
      <c r="V857" s="346">
        <v>9180</v>
      </c>
      <c r="W857" s="333">
        <v>159.239</v>
      </c>
      <c r="X857" s="346">
        <v>9190</v>
      </c>
      <c r="Y857" s="334">
        <v>157.648</v>
      </c>
      <c r="Z857" s="335">
        <v>9180</v>
      </c>
      <c r="AA857" s="334">
        <v>408.90899999999999</v>
      </c>
      <c r="AB857" s="336">
        <v>9180</v>
      </c>
      <c r="AC857" s="334">
        <v>408.90800000000002</v>
      </c>
      <c r="AD857" s="336">
        <v>9180</v>
      </c>
      <c r="AE857" s="334">
        <v>381.32299999999998</v>
      </c>
      <c r="AF857" s="336">
        <v>9180</v>
      </c>
      <c r="AG857" s="334">
        <v>380.48</v>
      </c>
      <c r="AH857" s="336">
        <v>9180</v>
      </c>
      <c r="AI857" s="334">
        <v>381.14600000000002</v>
      </c>
      <c r="AJ857" s="336">
        <v>9160</v>
      </c>
      <c r="AK857" s="334">
        <v>382.19200000000001</v>
      </c>
      <c r="AL857" s="336">
        <v>9180</v>
      </c>
      <c r="AM857" s="334">
        <v>381.86599999999999</v>
      </c>
      <c r="AN857" s="336">
        <v>9180</v>
      </c>
      <c r="AO857" s="334">
        <v>382.52800000000002</v>
      </c>
      <c r="AP857" s="336">
        <v>9170</v>
      </c>
      <c r="AQ857" s="334">
        <v>382.33300000000003</v>
      </c>
      <c r="AR857" s="336">
        <v>9180</v>
      </c>
      <c r="AS857" s="334">
        <v>381.69</v>
      </c>
      <c r="AT857" s="336">
        <v>9180</v>
      </c>
      <c r="AU857" s="334">
        <v>380.08499999999998</v>
      </c>
      <c r="AV857" s="336">
        <v>9180</v>
      </c>
      <c r="AW857" s="334">
        <v>380.47899999999998</v>
      </c>
      <c r="AX857" s="336">
        <v>9170</v>
      </c>
      <c r="AY857" s="334">
        <v>307.14999999999998</v>
      </c>
      <c r="AZ857" s="336">
        <v>9180</v>
      </c>
      <c r="BA857" s="337">
        <v>308.77100000000002</v>
      </c>
      <c r="BB857" s="336">
        <v>9160</v>
      </c>
      <c r="BC857" s="334">
        <v>69.771000000000001</v>
      </c>
      <c r="BD857" s="336">
        <v>9160</v>
      </c>
      <c r="BE857" s="334">
        <v>74.239000000000004</v>
      </c>
    </row>
    <row r="858" spans="22:57">
      <c r="V858" s="346">
        <v>9190</v>
      </c>
      <c r="W858" s="333">
        <v>158.54300000000001</v>
      </c>
      <c r="X858" s="346">
        <v>9200</v>
      </c>
      <c r="Y858" s="334">
        <v>156.95599999999999</v>
      </c>
      <c r="Z858" s="335">
        <v>9190</v>
      </c>
      <c r="AA858" s="334">
        <v>407.46</v>
      </c>
      <c r="AB858" s="336">
        <v>9190</v>
      </c>
      <c r="AC858" s="334">
        <v>407.45800000000003</v>
      </c>
      <c r="AD858" s="336">
        <v>9190</v>
      </c>
      <c r="AE858" s="334">
        <v>380.11099999999999</v>
      </c>
      <c r="AF858" s="336">
        <v>9190</v>
      </c>
      <c r="AG858" s="334">
        <v>379.26600000000002</v>
      </c>
      <c r="AH858" s="336">
        <v>9190</v>
      </c>
      <c r="AI858" s="334">
        <v>379.93400000000003</v>
      </c>
      <c r="AJ858" s="336">
        <v>9170</v>
      </c>
      <c r="AK858" s="334">
        <v>380.98</v>
      </c>
      <c r="AL858" s="336">
        <v>9190</v>
      </c>
      <c r="AM858" s="334">
        <v>380.654</v>
      </c>
      <c r="AN858" s="336">
        <v>9190</v>
      </c>
      <c r="AO858" s="334">
        <v>381.31599999999997</v>
      </c>
      <c r="AP858" s="336">
        <v>9180</v>
      </c>
      <c r="AQ858" s="334">
        <v>381.12299999999999</v>
      </c>
      <c r="AR858" s="336">
        <v>9190</v>
      </c>
      <c r="AS858" s="334">
        <v>380.47899999999998</v>
      </c>
      <c r="AT858" s="336">
        <v>9190</v>
      </c>
      <c r="AU858" s="334">
        <v>378.87400000000002</v>
      </c>
      <c r="AV858" s="336">
        <v>9190</v>
      </c>
      <c r="AW858" s="334">
        <v>379.26900000000001</v>
      </c>
      <c r="AX858" s="336">
        <v>9180</v>
      </c>
      <c r="AY858" s="334">
        <v>305.99900000000002</v>
      </c>
      <c r="AZ858" s="336">
        <v>9190</v>
      </c>
      <c r="BA858" s="337">
        <v>307.62</v>
      </c>
      <c r="BB858" s="336">
        <v>9170</v>
      </c>
      <c r="BC858" s="334">
        <v>69.475999999999999</v>
      </c>
      <c r="BD858" s="336">
        <v>9170</v>
      </c>
      <c r="BE858" s="334">
        <v>73.930000000000007</v>
      </c>
    </row>
    <row r="859" spans="22:57">
      <c r="V859" s="346">
        <v>9200</v>
      </c>
      <c r="W859" s="333">
        <v>157.84800000000001</v>
      </c>
      <c r="X859" s="346">
        <v>9210</v>
      </c>
      <c r="Y859" s="334">
        <v>156.26599999999999</v>
      </c>
      <c r="Z859" s="335">
        <v>9200</v>
      </c>
      <c r="AA859" s="334">
        <v>406.01100000000002</v>
      </c>
      <c r="AB859" s="336">
        <v>9200</v>
      </c>
      <c r="AC859" s="334">
        <v>406.00799999999998</v>
      </c>
      <c r="AD859" s="336">
        <v>9200</v>
      </c>
      <c r="AE859" s="334">
        <v>378.9</v>
      </c>
      <c r="AF859" s="336">
        <v>9200</v>
      </c>
      <c r="AG859" s="334">
        <v>378.053</v>
      </c>
      <c r="AH859" s="336">
        <v>9200</v>
      </c>
      <c r="AI859" s="334">
        <v>378.72199999999998</v>
      </c>
      <c r="AJ859" s="336">
        <v>9180</v>
      </c>
      <c r="AK859" s="334">
        <v>379.76799999999997</v>
      </c>
      <c r="AL859" s="336">
        <v>9200</v>
      </c>
      <c r="AM859" s="334">
        <v>379.44200000000001</v>
      </c>
      <c r="AN859" s="336">
        <v>9200</v>
      </c>
      <c r="AO859" s="334">
        <v>380.10399999999998</v>
      </c>
      <c r="AP859" s="336">
        <v>9190</v>
      </c>
      <c r="AQ859" s="334">
        <v>379.91300000000001</v>
      </c>
      <c r="AR859" s="336">
        <v>9200</v>
      </c>
      <c r="AS859" s="334">
        <v>379.26799999999997</v>
      </c>
      <c r="AT859" s="336">
        <v>9200</v>
      </c>
      <c r="AU859" s="334">
        <v>377.66399999999999</v>
      </c>
      <c r="AV859" s="336">
        <v>9200</v>
      </c>
      <c r="AW859" s="334">
        <v>378.05900000000003</v>
      </c>
      <c r="AX859" s="336">
        <v>9190</v>
      </c>
      <c r="AY859" s="334">
        <v>304.84899999999999</v>
      </c>
      <c r="AZ859" s="336">
        <v>9200</v>
      </c>
      <c r="BA859" s="337">
        <v>306.46899999999999</v>
      </c>
      <c r="BB859" s="336">
        <v>9180</v>
      </c>
      <c r="BC859" s="334">
        <v>69.182000000000002</v>
      </c>
      <c r="BD859" s="336">
        <v>9180</v>
      </c>
      <c r="BE859" s="334">
        <v>73.622</v>
      </c>
    </row>
    <row r="860" spans="22:57">
      <c r="V860" s="346">
        <v>9210</v>
      </c>
      <c r="W860" s="333">
        <v>157.154</v>
      </c>
      <c r="X860" s="346">
        <v>9220</v>
      </c>
      <c r="Y860" s="334">
        <v>155.57599999999999</v>
      </c>
      <c r="Z860" s="335">
        <v>9210</v>
      </c>
      <c r="AA860" s="334">
        <v>404.56200000000001</v>
      </c>
      <c r="AB860" s="336">
        <v>9210</v>
      </c>
      <c r="AC860" s="334">
        <v>404.55799999999999</v>
      </c>
      <c r="AD860" s="336">
        <v>9210</v>
      </c>
      <c r="AE860" s="334">
        <v>377.68799999999999</v>
      </c>
      <c r="AF860" s="336">
        <v>9210</v>
      </c>
      <c r="AG860" s="334">
        <v>376.84</v>
      </c>
      <c r="AH860" s="336">
        <v>9210</v>
      </c>
      <c r="AI860" s="334">
        <v>377.51100000000002</v>
      </c>
      <c r="AJ860" s="336">
        <v>9190</v>
      </c>
      <c r="AK860" s="334">
        <v>378.55599999999998</v>
      </c>
      <c r="AL860" s="336">
        <v>9210</v>
      </c>
      <c r="AM860" s="334">
        <v>378.23</v>
      </c>
      <c r="AN860" s="336">
        <v>9210</v>
      </c>
      <c r="AO860" s="334">
        <v>378.892</v>
      </c>
      <c r="AP860" s="336">
        <v>9200</v>
      </c>
      <c r="AQ860" s="334">
        <v>378.702</v>
      </c>
      <c r="AR860" s="336">
        <v>9210</v>
      </c>
      <c r="AS860" s="334">
        <v>378.05700000000002</v>
      </c>
      <c r="AT860" s="336">
        <v>9210</v>
      </c>
      <c r="AU860" s="334">
        <v>376.45299999999997</v>
      </c>
      <c r="AV860" s="336">
        <v>9210</v>
      </c>
      <c r="AW860" s="334">
        <v>376.84899999999999</v>
      </c>
      <c r="AX860" s="336">
        <v>9200</v>
      </c>
      <c r="AY860" s="334">
        <v>303.69900000000001</v>
      </c>
      <c r="AZ860" s="336">
        <v>9210</v>
      </c>
      <c r="BA860" s="337">
        <v>305.31900000000002</v>
      </c>
      <c r="BB860" s="336">
        <v>9190</v>
      </c>
      <c r="BC860" s="334">
        <v>68.888999999999996</v>
      </c>
      <c r="BD860" s="336">
        <v>9190</v>
      </c>
      <c r="BE860" s="334">
        <v>73.313999999999993</v>
      </c>
    </row>
    <row r="861" spans="22:57">
      <c r="V861" s="346">
        <v>9220</v>
      </c>
      <c r="W861" s="333">
        <v>156.46100000000001</v>
      </c>
      <c r="X861" s="346">
        <v>9230</v>
      </c>
      <c r="Y861" s="334">
        <v>154.887</v>
      </c>
      <c r="Z861" s="335">
        <v>9220</v>
      </c>
      <c r="AA861" s="334">
        <v>403.11399999999998</v>
      </c>
      <c r="AB861" s="336">
        <v>9220</v>
      </c>
      <c r="AC861" s="334">
        <v>403.10899999999998</v>
      </c>
      <c r="AD861" s="336">
        <v>9220</v>
      </c>
      <c r="AE861" s="334">
        <v>376.47699999999998</v>
      </c>
      <c r="AF861" s="336">
        <v>9220</v>
      </c>
      <c r="AG861" s="334">
        <v>375.62599999999998</v>
      </c>
      <c r="AH861" s="336">
        <v>9220</v>
      </c>
      <c r="AI861" s="334">
        <v>376.29899999999998</v>
      </c>
      <c r="AJ861" s="336">
        <v>9200</v>
      </c>
      <c r="AK861" s="334">
        <v>377.34399999999999</v>
      </c>
      <c r="AL861" s="336">
        <v>9220</v>
      </c>
      <c r="AM861" s="334">
        <v>377.01900000000001</v>
      </c>
      <c r="AN861" s="336">
        <v>9220</v>
      </c>
      <c r="AO861" s="334">
        <v>377.68</v>
      </c>
      <c r="AP861" s="336">
        <v>9210</v>
      </c>
      <c r="AQ861" s="334">
        <v>377.49200000000002</v>
      </c>
      <c r="AR861" s="336">
        <v>9220</v>
      </c>
      <c r="AS861" s="334">
        <v>376.846</v>
      </c>
      <c r="AT861" s="336">
        <v>9220</v>
      </c>
      <c r="AU861" s="334">
        <v>375.24200000000002</v>
      </c>
      <c r="AV861" s="336">
        <v>9220</v>
      </c>
      <c r="AW861" s="334">
        <v>375.63900000000001</v>
      </c>
      <c r="AX861" s="336">
        <v>9210</v>
      </c>
      <c r="AY861" s="334">
        <v>302.55</v>
      </c>
      <c r="AZ861" s="336">
        <v>9220</v>
      </c>
      <c r="BA861" s="337">
        <v>304.17</v>
      </c>
      <c r="BB861" s="336">
        <v>9200</v>
      </c>
      <c r="BC861" s="334">
        <v>68.596000000000004</v>
      </c>
      <c r="BD861" s="336">
        <v>9200</v>
      </c>
      <c r="BE861" s="334">
        <v>73.006</v>
      </c>
    </row>
    <row r="862" spans="22:57">
      <c r="V862" s="346">
        <v>9230</v>
      </c>
      <c r="W862" s="333">
        <v>155.768</v>
      </c>
      <c r="X862" s="346">
        <v>9240</v>
      </c>
      <c r="Y862" s="334">
        <v>154.19900000000001</v>
      </c>
      <c r="Z862" s="335">
        <v>9230</v>
      </c>
      <c r="AA862" s="334">
        <v>401.66500000000002</v>
      </c>
      <c r="AB862" s="336">
        <v>9230</v>
      </c>
      <c r="AC862" s="334">
        <v>401.65899999999999</v>
      </c>
      <c r="AD862" s="336">
        <v>9230</v>
      </c>
      <c r="AE862" s="334">
        <v>375.26499999999999</v>
      </c>
      <c r="AF862" s="336">
        <v>9230</v>
      </c>
      <c r="AG862" s="334">
        <v>374.41300000000001</v>
      </c>
      <c r="AH862" s="336">
        <v>9230</v>
      </c>
      <c r="AI862" s="334">
        <v>375.08699999999999</v>
      </c>
      <c r="AJ862" s="336">
        <v>9210</v>
      </c>
      <c r="AK862" s="334">
        <v>376.13200000000001</v>
      </c>
      <c r="AL862" s="336">
        <v>9230</v>
      </c>
      <c r="AM862" s="334">
        <v>375.80700000000002</v>
      </c>
      <c r="AN862" s="336">
        <v>9230</v>
      </c>
      <c r="AO862" s="334">
        <v>376.46800000000002</v>
      </c>
      <c r="AP862" s="336">
        <v>9220</v>
      </c>
      <c r="AQ862" s="334">
        <v>376.28199999999998</v>
      </c>
      <c r="AR862" s="336">
        <v>9230</v>
      </c>
      <c r="AS862" s="334">
        <v>375.63499999999999</v>
      </c>
      <c r="AT862" s="336">
        <v>9230</v>
      </c>
      <c r="AU862" s="334">
        <v>374.03100000000001</v>
      </c>
      <c r="AV862" s="336">
        <v>9230</v>
      </c>
      <c r="AW862" s="334">
        <v>374.42899999999997</v>
      </c>
      <c r="AX862" s="336">
        <v>9220</v>
      </c>
      <c r="AY862" s="334">
        <v>301.40199999999999</v>
      </c>
      <c r="AZ862" s="336">
        <v>9230</v>
      </c>
      <c r="BA862" s="337">
        <v>303.02199999999999</v>
      </c>
      <c r="BB862" s="336">
        <v>9210</v>
      </c>
      <c r="BC862" s="334">
        <v>68.302999999999997</v>
      </c>
      <c r="BD862" s="336">
        <v>9210</v>
      </c>
      <c r="BE862" s="334">
        <v>72.698999999999998</v>
      </c>
    </row>
    <row r="863" spans="22:57">
      <c r="V863" s="346">
        <v>9240</v>
      </c>
      <c r="W863" s="333">
        <v>155.077</v>
      </c>
      <c r="X863" s="346">
        <v>9250</v>
      </c>
      <c r="Y863" s="334">
        <v>153.51300000000001</v>
      </c>
      <c r="Z863" s="335">
        <v>9240</v>
      </c>
      <c r="AA863" s="334">
        <v>400.21699999999998</v>
      </c>
      <c r="AB863" s="336">
        <v>9240</v>
      </c>
      <c r="AC863" s="334">
        <v>400.209</v>
      </c>
      <c r="AD863" s="336">
        <v>9240</v>
      </c>
      <c r="AE863" s="334">
        <v>374.05399999999997</v>
      </c>
      <c r="AF863" s="336">
        <v>9240</v>
      </c>
      <c r="AG863" s="334">
        <v>373.19900000000001</v>
      </c>
      <c r="AH863" s="336">
        <v>9240</v>
      </c>
      <c r="AI863" s="334">
        <v>373.875</v>
      </c>
      <c r="AJ863" s="336">
        <v>9220</v>
      </c>
      <c r="AK863" s="334">
        <v>374.92</v>
      </c>
      <c r="AL863" s="336">
        <v>9240</v>
      </c>
      <c r="AM863" s="334">
        <v>374.59500000000003</v>
      </c>
      <c r="AN863" s="336">
        <v>9240</v>
      </c>
      <c r="AO863" s="334">
        <v>375.25599999999997</v>
      </c>
      <c r="AP863" s="336">
        <v>9230</v>
      </c>
      <c r="AQ863" s="334">
        <v>375.07100000000003</v>
      </c>
      <c r="AR863" s="336">
        <v>9240</v>
      </c>
      <c r="AS863" s="334">
        <v>374.42399999999998</v>
      </c>
      <c r="AT863" s="336">
        <v>9240</v>
      </c>
      <c r="AU863" s="334">
        <v>372.82</v>
      </c>
      <c r="AV863" s="336">
        <v>9240</v>
      </c>
      <c r="AW863" s="334">
        <v>373.21899999999999</v>
      </c>
      <c r="AX863" s="336">
        <v>9230</v>
      </c>
      <c r="AY863" s="334">
        <v>300.255</v>
      </c>
      <c r="AZ863" s="336">
        <v>9240</v>
      </c>
      <c r="BA863" s="337">
        <v>301.875</v>
      </c>
      <c r="BB863" s="336">
        <v>9220</v>
      </c>
      <c r="BC863" s="334">
        <v>68.010000000000005</v>
      </c>
      <c r="BD863" s="336">
        <v>9220</v>
      </c>
      <c r="BE863" s="334">
        <v>72.391999999999996</v>
      </c>
    </row>
    <row r="864" spans="22:57">
      <c r="V864" s="346">
        <v>9250</v>
      </c>
      <c r="W864" s="333">
        <v>154.387</v>
      </c>
      <c r="X864" s="346">
        <v>9260</v>
      </c>
      <c r="Y864" s="334">
        <v>152.827</v>
      </c>
      <c r="Z864" s="335">
        <v>9250</v>
      </c>
      <c r="AA864" s="334">
        <v>398.76900000000001</v>
      </c>
      <c r="AB864" s="336">
        <v>9250</v>
      </c>
      <c r="AC864" s="334">
        <v>398.76</v>
      </c>
      <c r="AD864" s="336">
        <v>9250</v>
      </c>
      <c r="AE864" s="334">
        <v>372.84199999999998</v>
      </c>
      <c r="AF864" s="336">
        <v>9250</v>
      </c>
      <c r="AG864" s="334">
        <v>371.98599999999999</v>
      </c>
      <c r="AH864" s="336">
        <v>9250</v>
      </c>
      <c r="AI864" s="334">
        <v>372.66399999999999</v>
      </c>
      <c r="AJ864" s="336">
        <v>9230</v>
      </c>
      <c r="AK864" s="334">
        <v>373.70800000000003</v>
      </c>
      <c r="AL864" s="336">
        <v>9250</v>
      </c>
      <c r="AM864" s="334">
        <v>373.38299999999998</v>
      </c>
      <c r="AN864" s="336">
        <v>9250</v>
      </c>
      <c r="AO864" s="334">
        <v>374.04399999999998</v>
      </c>
      <c r="AP864" s="336">
        <v>9240</v>
      </c>
      <c r="AQ864" s="334">
        <v>373.86099999999999</v>
      </c>
      <c r="AR864" s="336">
        <v>9250</v>
      </c>
      <c r="AS864" s="334">
        <v>373.21300000000002</v>
      </c>
      <c r="AT864" s="336">
        <v>9250</v>
      </c>
      <c r="AU864" s="334">
        <v>371.61</v>
      </c>
      <c r="AV864" s="336">
        <v>9250</v>
      </c>
      <c r="AW864" s="334">
        <v>372.00900000000001</v>
      </c>
      <c r="AX864" s="336">
        <v>9240</v>
      </c>
      <c r="AY864" s="334">
        <v>299.10899999999998</v>
      </c>
      <c r="AZ864" s="336">
        <v>9250</v>
      </c>
      <c r="BA864" s="337">
        <v>300.72800000000001</v>
      </c>
      <c r="BB864" s="336">
        <v>9230</v>
      </c>
      <c r="BC864" s="334">
        <v>67.718000000000004</v>
      </c>
      <c r="BD864" s="336">
        <v>9230</v>
      </c>
      <c r="BE864" s="334">
        <v>72.085999999999999</v>
      </c>
    </row>
    <row r="865" spans="22:57">
      <c r="V865" s="346">
        <v>9260</v>
      </c>
      <c r="W865" s="333">
        <v>153.69800000000001</v>
      </c>
      <c r="X865" s="346">
        <v>9270</v>
      </c>
      <c r="Y865" s="334">
        <v>152.143</v>
      </c>
      <c r="Z865" s="335">
        <v>9260</v>
      </c>
      <c r="AA865" s="334">
        <v>397.32</v>
      </c>
      <c r="AB865" s="336">
        <v>9260</v>
      </c>
      <c r="AC865" s="334">
        <v>397.31</v>
      </c>
      <c r="AD865" s="336">
        <v>9260</v>
      </c>
      <c r="AE865" s="334">
        <v>371.63099999999997</v>
      </c>
      <c r="AF865" s="336">
        <v>9260</v>
      </c>
      <c r="AG865" s="334">
        <v>370.77300000000002</v>
      </c>
      <c r="AH865" s="336">
        <v>9260</v>
      </c>
      <c r="AI865" s="334">
        <v>371.452</v>
      </c>
      <c r="AJ865" s="336">
        <v>9240</v>
      </c>
      <c r="AK865" s="334">
        <v>372.49599999999998</v>
      </c>
      <c r="AL865" s="336">
        <v>9260</v>
      </c>
      <c r="AM865" s="334">
        <v>372.17200000000003</v>
      </c>
      <c r="AN865" s="336">
        <v>9260</v>
      </c>
      <c r="AO865" s="334">
        <v>372.83199999999999</v>
      </c>
      <c r="AP865" s="336">
        <v>9250</v>
      </c>
      <c r="AQ865" s="334">
        <v>372.65100000000001</v>
      </c>
      <c r="AR865" s="336">
        <v>9260</v>
      </c>
      <c r="AS865" s="334">
        <v>372.00200000000001</v>
      </c>
      <c r="AT865" s="336">
        <v>9260</v>
      </c>
      <c r="AU865" s="334">
        <v>370.399</v>
      </c>
      <c r="AV865" s="336">
        <v>9260</v>
      </c>
      <c r="AW865" s="334">
        <v>370.79899999999998</v>
      </c>
      <c r="AX865" s="336">
        <v>9250</v>
      </c>
      <c r="AY865" s="334">
        <v>297.964</v>
      </c>
      <c r="AZ865" s="336">
        <v>9260</v>
      </c>
      <c r="BA865" s="337">
        <v>299.58300000000003</v>
      </c>
      <c r="BB865" s="336">
        <v>9240</v>
      </c>
      <c r="BC865" s="334">
        <v>67.427000000000007</v>
      </c>
      <c r="BD865" s="336">
        <v>9240</v>
      </c>
      <c r="BE865" s="334">
        <v>71.78</v>
      </c>
    </row>
    <row r="866" spans="22:57">
      <c r="V866" s="346">
        <v>9270</v>
      </c>
      <c r="W866" s="333">
        <v>153.01</v>
      </c>
      <c r="X866" s="346">
        <v>9280</v>
      </c>
      <c r="Y866" s="334">
        <v>151.46</v>
      </c>
      <c r="Z866" s="335">
        <v>9270</v>
      </c>
      <c r="AA866" s="334">
        <v>395.87200000000001</v>
      </c>
      <c r="AB866" s="336">
        <v>9270</v>
      </c>
      <c r="AC866" s="334">
        <v>395.86099999999999</v>
      </c>
      <c r="AD866" s="336">
        <v>9270</v>
      </c>
      <c r="AE866" s="334">
        <v>370.41899999999998</v>
      </c>
      <c r="AF866" s="336">
        <v>9270</v>
      </c>
      <c r="AG866" s="334">
        <v>369.55900000000003</v>
      </c>
      <c r="AH866" s="336">
        <v>9270</v>
      </c>
      <c r="AI866" s="334">
        <v>370.24</v>
      </c>
      <c r="AJ866" s="336">
        <v>9250</v>
      </c>
      <c r="AK866" s="334">
        <v>371.28399999999999</v>
      </c>
      <c r="AL866" s="336">
        <v>9270</v>
      </c>
      <c r="AM866" s="334">
        <v>370.96</v>
      </c>
      <c r="AN866" s="336">
        <v>9270</v>
      </c>
      <c r="AO866" s="334">
        <v>371.62</v>
      </c>
      <c r="AP866" s="336">
        <v>9260</v>
      </c>
      <c r="AQ866" s="334">
        <v>371.44</v>
      </c>
      <c r="AR866" s="336">
        <v>9270</v>
      </c>
      <c r="AS866" s="334">
        <v>370.791</v>
      </c>
      <c r="AT866" s="336">
        <v>9270</v>
      </c>
      <c r="AU866" s="334">
        <v>369.18799999999999</v>
      </c>
      <c r="AV866" s="336">
        <v>9270</v>
      </c>
      <c r="AW866" s="334">
        <v>369.589</v>
      </c>
      <c r="AX866" s="336">
        <v>9260</v>
      </c>
      <c r="AY866" s="334">
        <v>296.81900000000002</v>
      </c>
      <c r="AZ866" s="336">
        <v>9270</v>
      </c>
      <c r="BA866" s="337">
        <v>298.43799999999999</v>
      </c>
      <c r="BB866" s="336">
        <v>9250</v>
      </c>
      <c r="BC866" s="334">
        <v>67.135999999999996</v>
      </c>
      <c r="BD866" s="336">
        <v>9250</v>
      </c>
      <c r="BE866" s="334">
        <v>71.474000000000004</v>
      </c>
    </row>
    <row r="867" spans="22:57">
      <c r="V867" s="346">
        <v>9280</v>
      </c>
      <c r="W867" s="333">
        <v>152.32300000000001</v>
      </c>
      <c r="X867" s="346">
        <v>9290</v>
      </c>
      <c r="Y867" s="334">
        <v>150.77799999999999</v>
      </c>
      <c r="Z867" s="335">
        <v>9280</v>
      </c>
      <c r="AA867" s="334">
        <v>394.42399999999998</v>
      </c>
      <c r="AB867" s="336">
        <v>9280</v>
      </c>
      <c r="AC867" s="334">
        <v>394.41199999999998</v>
      </c>
      <c r="AD867" s="336">
        <v>9280</v>
      </c>
      <c r="AE867" s="334">
        <v>369.20800000000003</v>
      </c>
      <c r="AF867" s="336">
        <v>9280</v>
      </c>
      <c r="AG867" s="334">
        <v>368.346</v>
      </c>
      <c r="AH867" s="336">
        <v>9280</v>
      </c>
      <c r="AI867" s="334">
        <v>369.02800000000002</v>
      </c>
      <c r="AJ867" s="336">
        <v>9260</v>
      </c>
      <c r="AK867" s="334">
        <v>370.072</v>
      </c>
      <c r="AL867" s="336">
        <v>9280</v>
      </c>
      <c r="AM867" s="334">
        <v>369.74799999999999</v>
      </c>
      <c r="AN867" s="336">
        <v>9280</v>
      </c>
      <c r="AO867" s="334">
        <v>370.40800000000002</v>
      </c>
      <c r="AP867" s="336">
        <v>9270</v>
      </c>
      <c r="AQ867" s="334">
        <v>370.23</v>
      </c>
      <c r="AR867" s="336">
        <v>9280</v>
      </c>
      <c r="AS867" s="334">
        <v>369.58</v>
      </c>
      <c r="AT867" s="336">
        <v>9280</v>
      </c>
      <c r="AU867" s="334">
        <v>367.97699999999998</v>
      </c>
      <c r="AV867" s="336">
        <v>9280</v>
      </c>
      <c r="AW867" s="334">
        <v>368.37900000000002</v>
      </c>
      <c r="AX867" s="336">
        <v>9270</v>
      </c>
      <c r="AY867" s="334">
        <v>295.67500000000001</v>
      </c>
      <c r="AZ867" s="336">
        <v>9280</v>
      </c>
      <c r="BA867" s="337">
        <v>297.29399999999998</v>
      </c>
      <c r="BB867" s="336">
        <v>9260</v>
      </c>
      <c r="BC867" s="334">
        <v>66.844999999999999</v>
      </c>
      <c r="BD867" s="336">
        <v>9260</v>
      </c>
      <c r="BE867" s="334">
        <v>71.168999999999997</v>
      </c>
    </row>
    <row r="868" spans="22:57">
      <c r="V868" s="346">
        <v>9290</v>
      </c>
      <c r="W868" s="333">
        <v>151.637</v>
      </c>
      <c r="X868" s="346">
        <v>9300</v>
      </c>
      <c r="Y868" s="334">
        <v>150.09700000000001</v>
      </c>
      <c r="Z868" s="335">
        <v>9290</v>
      </c>
      <c r="AA868" s="334">
        <v>392.97699999999998</v>
      </c>
      <c r="AB868" s="336">
        <v>9290</v>
      </c>
      <c r="AC868" s="334">
        <v>392.96300000000002</v>
      </c>
      <c r="AD868" s="336">
        <v>9290</v>
      </c>
      <c r="AE868" s="334">
        <v>367.99599999999998</v>
      </c>
      <c r="AF868" s="336">
        <v>9290</v>
      </c>
      <c r="AG868" s="334">
        <v>367.13299999999998</v>
      </c>
      <c r="AH868" s="336">
        <v>9290</v>
      </c>
      <c r="AI868" s="334">
        <v>367.81700000000001</v>
      </c>
      <c r="AJ868" s="336">
        <v>9270</v>
      </c>
      <c r="AK868" s="334">
        <v>368.86</v>
      </c>
      <c r="AL868" s="336">
        <v>9290</v>
      </c>
      <c r="AM868" s="334">
        <v>368.536</v>
      </c>
      <c r="AN868" s="336">
        <v>9290</v>
      </c>
      <c r="AO868" s="334">
        <v>369.19600000000003</v>
      </c>
      <c r="AP868" s="336">
        <v>9280</v>
      </c>
      <c r="AQ868" s="334">
        <v>369.02</v>
      </c>
      <c r="AR868" s="336">
        <v>9290</v>
      </c>
      <c r="AS868" s="334">
        <v>368.36900000000003</v>
      </c>
      <c r="AT868" s="336">
        <v>9290</v>
      </c>
      <c r="AU868" s="334">
        <v>366.76600000000002</v>
      </c>
      <c r="AV868" s="336">
        <v>9290</v>
      </c>
      <c r="AW868" s="334">
        <v>367.16899999999998</v>
      </c>
      <c r="AX868" s="336">
        <v>9280</v>
      </c>
      <c r="AY868" s="334">
        <v>294.53199999999998</v>
      </c>
      <c r="AZ868" s="336">
        <v>9290</v>
      </c>
      <c r="BA868" s="337">
        <v>296.14999999999998</v>
      </c>
      <c r="BB868" s="336">
        <v>9270</v>
      </c>
      <c r="BC868" s="334">
        <v>66.555000000000007</v>
      </c>
      <c r="BD868" s="336">
        <v>9270</v>
      </c>
      <c r="BE868" s="334">
        <v>70.864000000000004</v>
      </c>
    </row>
    <row r="869" spans="22:57">
      <c r="V869" s="346">
        <v>9300</v>
      </c>
      <c r="W869" s="333">
        <v>150.952</v>
      </c>
      <c r="X869" s="346">
        <v>9310</v>
      </c>
      <c r="Y869" s="334">
        <v>149.41800000000001</v>
      </c>
      <c r="Z869" s="335">
        <v>9300</v>
      </c>
      <c r="AA869" s="334">
        <v>391.529</v>
      </c>
      <c r="AB869" s="336">
        <v>9300</v>
      </c>
      <c r="AC869" s="334">
        <v>391.51400000000001</v>
      </c>
      <c r="AD869" s="336">
        <v>9300</v>
      </c>
      <c r="AE869" s="334">
        <v>366.78500000000003</v>
      </c>
      <c r="AF869" s="336">
        <v>9300</v>
      </c>
      <c r="AG869" s="334">
        <v>365.91899999999998</v>
      </c>
      <c r="AH869" s="336">
        <v>9300</v>
      </c>
      <c r="AI869" s="334">
        <v>366.60500000000002</v>
      </c>
      <c r="AJ869" s="336">
        <v>9280</v>
      </c>
      <c r="AK869" s="334">
        <v>367.64800000000002</v>
      </c>
      <c r="AL869" s="336">
        <v>9300</v>
      </c>
      <c r="AM869" s="334">
        <v>367.32499999999999</v>
      </c>
      <c r="AN869" s="336">
        <v>9300</v>
      </c>
      <c r="AO869" s="334">
        <v>367.98399999999998</v>
      </c>
      <c r="AP869" s="336">
        <v>9290</v>
      </c>
      <c r="AQ869" s="334">
        <v>367.80900000000003</v>
      </c>
      <c r="AR869" s="336">
        <v>9300</v>
      </c>
      <c r="AS869" s="334">
        <v>367.15800000000002</v>
      </c>
      <c r="AT869" s="336">
        <v>9300</v>
      </c>
      <c r="AU869" s="334">
        <v>365.55599999999998</v>
      </c>
      <c r="AV869" s="336">
        <v>9300</v>
      </c>
      <c r="AW869" s="334">
        <v>365.959</v>
      </c>
      <c r="AX869" s="336">
        <v>9290</v>
      </c>
      <c r="AY869" s="334">
        <v>293.39</v>
      </c>
      <c r="AZ869" s="336">
        <v>9300</v>
      </c>
      <c r="BA869" s="337">
        <v>295.00799999999998</v>
      </c>
      <c r="BB869" s="336">
        <v>9280</v>
      </c>
      <c r="BC869" s="334">
        <v>66.265000000000001</v>
      </c>
      <c r="BD869" s="336">
        <v>9280</v>
      </c>
      <c r="BE869" s="334">
        <v>70.56</v>
      </c>
    </row>
    <row r="870" spans="22:57">
      <c r="V870" s="346">
        <v>9310</v>
      </c>
      <c r="W870" s="333">
        <v>150.26900000000001</v>
      </c>
      <c r="X870" s="346">
        <v>9320</v>
      </c>
      <c r="Y870" s="334">
        <v>148.74</v>
      </c>
      <c r="Z870" s="335">
        <v>9310</v>
      </c>
      <c r="AA870" s="334">
        <v>390.08100000000002</v>
      </c>
      <c r="AB870" s="336">
        <v>9310</v>
      </c>
      <c r="AC870" s="334">
        <v>390.065</v>
      </c>
      <c r="AD870" s="336">
        <v>9310</v>
      </c>
      <c r="AE870" s="334">
        <v>365.57299999999998</v>
      </c>
      <c r="AF870" s="336">
        <v>9310</v>
      </c>
      <c r="AG870" s="334">
        <v>364.70600000000002</v>
      </c>
      <c r="AH870" s="336">
        <v>9310</v>
      </c>
      <c r="AI870" s="334">
        <v>365.39299999999997</v>
      </c>
      <c r="AJ870" s="336">
        <v>9290</v>
      </c>
      <c r="AK870" s="334">
        <v>366.43599999999998</v>
      </c>
      <c r="AL870" s="336">
        <v>9310</v>
      </c>
      <c r="AM870" s="334">
        <v>366.113</v>
      </c>
      <c r="AN870" s="336">
        <v>9310</v>
      </c>
      <c r="AO870" s="334">
        <v>366.77199999999999</v>
      </c>
      <c r="AP870" s="336">
        <v>9300</v>
      </c>
      <c r="AQ870" s="334">
        <v>366.59899999999999</v>
      </c>
      <c r="AR870" s="336">
        <v>9310</v>
      </c>
      <c r="AS870" s="334">
        <v>365.947</v>
      </c>
      <c r="AT870" s="336">
        <v>9310</v>
      </c>
      <c r="AU870" s="334">
        <v>364.34500000000003</v>
      </c>
      <c r="AV870" s="336">
        <v>9310</v>
      </c>
      <c r="AW870" s="334">
        <v>364.74900000000002</v>
      </c>
      <c r="AX870" s="336">
        <v>9300</v>
      </c>
      <c r="AY870" s="334">
        <v>292.24900000000002</v>
      </c>
      <c r="AZ870" s="336">
        <v>9310</v>
      </c>
      <c r="BA870" s="337">
        <v>293.86599999999999</v>
      </c>
      <c r="BB870" s="336">
        <v>9290</v>
      </c>
      <c r="BC870" s="334">
        <v>65.974999999999994</v>
      </c>
      <c r="BD870" s="336">
        <v>9290</v>
      </c>
      <c r="BE870" s="334">
        <v>70.256</v>
      </c>
    </row>
    <row r="871" spans="22:57">
      <c r="V871" s="346">
        <v>9320</v>
      </c>
      <c r="W871" s="333">
        <v>149.58600000000001</v>
      </c>
      <c r="X871" s="346">
        <v>9330</v>
      </c>
      <c r="Y871" s="334">
        <v>148.06299999999999</v>
      </c>
      <c r="Z871" s="335">
        <v>9320</v>
      </c>
      <c r="AA871" s="334">
        <v>388.63400000000001</v>
      </c>
      <c r="AB871" s="336">
        <v>9320</v>
      </c>
      <c r="AC871" s="334">
        <v>388.61599999999999</v>
      </c>
      <c r="AD871" s="336">
        <v>9320</v>
      </c>
      <c r="AE871" s="334">
        <v>364.36200000000002</v>
      </c>
      <c r="AF871" s="336">
        <v>9320</v>
      </c>
      <c r="AG871" s="334">
        <v>363.49200000000002</v>
      </c>
      <c r="AH871" s="336">
        <v>9320</v>
      </c>
      <c r="AI871" s="334">
        <v>364.18200000000002</v>
      </c>
      <c r="AJ871" s="336">
        <v>9300</v>
      </c>
      <c r="AK871" s="334">
        <v>365.22399999999999</v>
      </c>
      <c r="AL871" s="336">
        <v>9320</v>
      </c>
      <c r="AM871" s="334">
        <v>364.90100000000001</v>
      </c>
      <c r="AN871" s="336">
        <v>9320</v>
      </c>
      <c r="AO871" s="334">
        <v>365.56</v>
      </c>
      <c r="AP871" s="336">
        <v>9310</v>
      </c>
      <c r="AQ871" s="334">
        <v>365.38900000000001</v>
      </c>
      <c r="AR871" s="336">
        <v>9320</v>
      </c>
      <c r="AS871" s="334">
        <v>364.73599999999999</v>
      </c>
      <c r="AT871" s="336">
        <v>9320</v>
      </c>
      <c r="AU871" s="334">
        <v>363.13400000000001</v>
      </c>
      <c r="AV871" s="336">
        <v>9320</v>
      </c>
      <c r="AW871" s="334">
        <v>363.53899999999999</v>
      </c>
      <c r="AX871" s="336">
        <v>9310</v>
      </c>
      <c r="AY871" s="334">
        <v>291.10899999999998</v>
      </c>
      <c r="AZ871" s="336">
        <v>9320</v>
      </c>
      <c r="BA871" s="337">
        <v>292.72500000000002</v>
      </c>
      <c r="BB871" s="336">
        <v>9300</v>
      </c>
      <c r="BC871" s="334">
        <v>65.686000000000007</v>
      </c>
      <c r="BD871" s="336">
        <v>9300</v>
      </c>
      <c r="BE871" s="334">
        <v>69.951999999999998</v>
      </c>
    </row>
    <row r="872" spans="22:57">
      <c r="V872" s="346">
        <v>9330</v>
      </c>
      <c r="W872" s="333">
        <v>148.905</v>
      </c>
      <c r="X872" s="346">
        <v>9340</v>
      </c>
      <c r="Y872" s="334">
        <v>147.387</v>
      </c>
      <c r="Z872" s="335">
        <v>9330</v>
      </c>
      <c r="AA872" s="334">
        <v>387.18599999999998</v>
      </c>
      <c r="AB872" s="336">
        <v>9330</v>
      </c>
      <c r="AC872" s="334">
        <v>387.16699999999997</v>
      </c>
      <c r="AD872" s="336">
        <v>9330</v>
      </c>
      <c r="AE872" s="334">
        <v>363.15</v>
      </c>
      <c r="AF872" s="336">
        <v>9330</v>
      </c>
      <c r="AG872" s="334">
        <v>362.279</v>
      </c>
      <c r="AH872" s="336">
        <v>9330</v>
      </c>
      <c r="AI872" s="334">
        <v>362.97</v>
      </c>
      <c r="AJ872" s="336">
        <v>9310</v>
      </c>
      <c r="AK872" s="334">
        <v>364.012</v>
      </c>
      <c r="AL872" s="336">
        <v>9330</v>
      </c>
      <c r="AM872" s="334">
        <v>363.68900000000002</v>
      </c>
      <c r="AN872" s="336">
        <v>9330</v>
      </c>
      <c r="AO872" s="334">
        <v>364.34800000000001</v>
      </c>
      <c r="AP872" s="336">
        <v>9320</v>
      </c>
      <c r="AQ872" s="334">
        <v>364.178</v>
      </c>
      <c r="AR872" s="336">
        <v>9330</v>
      </c>
      <c r="AS872" s="334">
        <v>363.524</v>
      </c>
      <c r="AT872" s="336">
        <v>9330</v>
      </c>
      <c r="AU872" s="334">
        <v>361.923</v>
      </c>
      <c r="AV872" s="336">
        <v>9330</v>
      </c>
      <c r="AW872" s="334">
        <v>362.32900000000001</v>
      </c>
      <c r="AX872" s="336">
        <v>9320</v>
      </c>
      <c r="AY872" s="334">
        <v>289.96899999999999</v>
      </c>
      <c r="AZ872" s="336">
        <v>9330</v>
      </c>
      <c r="BA872" s="337">
        <v>291.58499999999998</v>
      </c>
      <c r="BB872" s="336">
        <v>9310</v>
      </c>
      <c r="BC872" s="334">
        <v>65.397000000000006</v>
      </c>
      <c r="BD872" s="336">
        <v>9310</v>
      </c>
      <c r="BE872" s="334">
        <v>69.649000000000001</v>
      </c>
    </row>
    <row r="873" spans="22:57">
      <c r="V873" s="346">
        <v>9340</v>
      </c>
      <c r="W873" s="333">
        <v>148.22499999999999</v>
      </c>
      <c r="X873" s="346">
        <v>9350</v>
      </c>
      <c r="Y873" s="334">
        <v>146.71199999999999</v>
      </c>
      <c r="Z873" s="335">
        <v>9340</v>
      </c>
      <c r="AA873" s="334">
        <v>385.73899999999998</v>
      </c>
      <c r="AB873" s="336">
        <v>9340</v>
      </c>
      <c r="AC873" s="334">
        <v>385.71800000000002</v>
      </c>
      <c r="AD873" s="336">
        <v>9340</v>
      </c>
      <c r="AE873" s="334">
        <v>361.93900000000002</v>
      </c>
      <c r="AF873" s="336">
        <v>9340</v>
      </c>
      <c r="AG873" s="334">
        <v>361.06599999999997</v>
      </c>
      <c r="AH873" s="336">
        <v>9340</v>
      </c>
      <c r="AI873" s="334">
        <v>361.75799999999998</v>
      </c>
      <c r="AJ873" s="336">
        <v>9320</v>
      </c>
      <c r="AK873" s="334">
        <v>362.8</v>
      </c>
      <c r="AL873" s="336">
        <v>9340</v>
      </c>
      <c r="AM873" s="334">
        <v>362.47800000000001</v>
      </c>
      <c r="AN873" s="336">
        <v>9340</v>
      </c>
      <c r="AO873" s="334">
        <v>363.13600000000002</v>
      </c>
      <c r="AP873" s="336">
        <v>9330</v>
      </c>
      <c r="AQ873" s="334">
        <v>362.96800000000002</v>
      </c>
      <c r="AR873" s="336">
        <v>9340</v>
      </c>
      <c r="AS873" s="334">
        <v>362.31299999999999</v>
      </c>
      <c r="AT873" s="336">
        <v>9340</v>
      </c>
      <c r="AU873" s="334">
        <v>360.71300000000002</v>
      </c>
      <c r="AV873" s="336">
        <v>9340</v>
      </c>
      <c r="AW873" s="334">
        <v>361.11900000000003</v>
      </c>
      <c r="AX873" s="336">
        <v>9330</v>
      </c>
      <c r="AY873" s="334">
        <v>288.83</v>
      </c>
      <c r="AZ873" s="336">
        <v>9340</v>
      </c>
      <c r="BA873" s="337">
        <v>290.44600000000003</v>
      </c>
      <c r="BB873" s="336">
        <v>9320</v>
      </c>
      <c r="BC873" s="334">
        <v>65.108999999999995</v>
      </c>
      <c r="BD873" s="336">
        <v>9320</v>
      </c>
      <c r="BE873" s="334">
        <v>69.346000000000004</v>
      </c>
    </row>
    <row r="874" spans="22:57">
      <c r="V874" s="346">
        <v>9350</v>
      </c>
      <c r="W874" s="333">
        <v>147.547</v>
      </c>
      <c r="X874" s="346">
        <v>9360</v>
      </c>
      <c r="Y874" s="334">
        <v>146.03899999999999</v>
      </c>
      <c r="Z874" s="335">
        <v>9350</v>
      </c>
      <c r="AA874" s="334">
        <v>384.29199999999997</v>
      </c>
      <c r="AB874" s="336">
        <v>9350</v>
      </c>
      <c r="AC874" s="334">
        <v>384.27</v>
      </c>
      <c r="AD874" s="336">
        <v>9350</v>
      </c>
      <c r="AE874" s="334">
        <v>360.72699999999998</v>
      </c>
      <c r="AF874" s="336">
        <v>9350</v>
      </c>
      <c r="AG874" s="334">
        <v>359.85199999999998</v>
      </c>
      <c r="AH874" s="336">
        <v>9350</v>
      </c>
      <c r="AI874" s="334">
        <v>360.54599999999999</v>
      </c>
      <c r="AJ874" s="336">
        <v>9330</v>
      </c>
      <c r="AK874" s="334">
        <v>361.58800000000002</v>
      </c>
      <c r="AL874" s="336">
        <v>9350</v>
      </c>
      <c r="AM874" s="334">
        <v>361.26600000000002</v>
      </c>
      <c r="AN874" s="336">
        <v>9350</v>
      </c>
      <c r="AO874" s="334">
        <v>361.92399999999998</v>
      </c>
      <c r="AP874" s="336">
        <v>9340</v>
      </c>
      <c r="AQ874" s="334">
        <v>361.75799999999998</v>
      </c>
      <c r="AR874" s="336">
        <v>9350</v>
      </c>
      <c r="AS874" s="334">
        <v>361.10199999999998</v>
      </c>
      <c r="AT874" s="336">
        <v>9350</v>
      </c>
      <c r="AU874" s="334">
        <v>359.50200000000001</v>
      </c>
      <c r="AV874" s="336">
        <v>9350</v>
      </c>
      <c r="AW874" s="334">
        <v>359.90899999999999</v>
      </c>
      <c r="AX874" s="336">
        <v>9340</v>
      </c>
      <c r="AY874" s="334">
        <v>287.69299999999998</v>
      </c>
      <c r="AZ874" s="336">
        <v>9350</v>
      </c>
      <c r="BA874" s="337">
        <v>289.30799999999999</v>
      </c>
      <c r="BB874" s="336">
        <v>9330</v>
      </c>
      <c r="BC874" s="334">
        <v>64.820999999999998</v>
      </c>
      <c r="BD874" s="336">
        <v>9330</v>
      </c>
      <c r="BE874" s="334">
        <v>69.043999999999997</v>
      </c>
    </row>
    <row r="875" spans="22:57">
      <c r="V875" s="346">
        <v>9360</v>
      </c>
      <c r="W875" s="333">
        <v>146.869</v>
      </c>
      <c r="X875" s="346">
        <v>9370</v>
      </c>
      <c r="Y875" s="334">
        <v>145.36699999999999</v>
      </c>
      <c r="Z875" s="335">
        <v>9360</v>
      </c>
      <c r="AA875" s="334">
        <v>382.84500000000003</v>
      </c>
      <c r="AB875" s="336">
        <v>9360</v>
      </c>
      <c r="AC875" s="334">
        <v>382.82100000000003</v>
      </c>
      <c r="AD875" s="336">
        <v>9360</v>
      </c>
      <c r="AE875" s="334">
        <v>359.51600000000002</v>
      </c>
      <c r="AF875" s="336">
        <v>9360</v>
      </c>
      <c r="AG875" s="334">
        <v>358.63900000000001</v>
      </c>
      <c r="AH875" s="336">
        <v>9360</v>
      </c>
      <c r="AI875" s="334">
        <v>359.33499999999998</v>
      </c>
      <c r="AJ875" s="336">
        <v>9340</v>
      </c>
      <c r="AK875" s="334">
        <v>360.37599999999998</v>
      </c>
      <c r="AL875" s="336">
        <v>9360</v>
      </c>
      <c r="AM875" s="334">
        <v>360.05399999999997</v>
      </c>
      <c r="AN875" s="336">
        <v>9360</v>
      </c>
      <c r="AO875" s="334">
        <v>360.71199999999999</v>
      </c>
      <c r="AP875" s="336">
        <v>9350</v>
      </c>
      <c r="AQ875" s="334">
        <v>360.54700000000003</v>
      </c>
      <c r="AR875" s="336">
        <v>9360</v>
      </c>
      <c r="AS875" s="334">
        <v>359.89100000000002</v>
      </c>
      <c r="AT875" s="336">
        <v>9360</v>
      </c>
      <c r="AU875" s="334">
        <v>358.291</v>
      </c>
      <c r="AV875" s="336">
        <v>9360</v>
      </c>
      <c r="AW875" s="334">
        <v>358.69900000000001</v>
      </c>
      <c r="AX875" s="336">
        <v>9350</v>
      </c>
      <c r="AY875" s="334">
        <v>286.55599999999998</v>
      </c>
      <c r="AZ875" s="336">
        <v>9360</v>
      </c>
      <c r="BA875" s="337">
        <v>288.17099999999999</v>
      </c>
      <c r="BB875" s="336">
        <v>9340</v>
      </c>
      <c r="BC875" s="334">
        <v>64.533000000000001</v>
      </c>
      <c r="BD875" s="336">
        <v>9340</v>
      </c>
      <c r="BE875" s="334">
        <v>68.742000000000004</v>
      </c>
    </row>
    <row r="876" spans="22:57">
      <c r="V876" s="346">
        <v>9370</v>
      </c>
      <c r="W876" s="333">
        <v>146.19300000000001</v>
      </c>
      <c r="X876" s="346">
        <v>9380</v>
      </c>
      <c r="Y876" s="334">
        <v>144.696</v>
      </c>
      <c r="Z876" s="335">
        <v>9370</v>
      </c>
      <c r="AA876" s="334">
        <v>381.39800000000002</v>
      </c>
      <c r="AB876" s="336">
        <v>9370</v>
      </c>
      <c r="AC876" s="334">
        <v>381.37299999999999</v>
      </c>
      <c r="AD876" s="336">
        <v>9370</v>
      </c>
      <c r="AE876" s="334">
        <v>358.30399999999997</v>
      </c>
      <c r="AF876" s="336">
        <v>9370</v>
      </c>
      <c r="AG876" s="334">
        <v>357.42599999999999</v>
      </c>
      <c r="AH876" s="336">
        <v>9370</v>
      </c>
      <c r="AI876" s="334">
        <v>358.12299999999999</v>
      </c>
      <c r="AJ876" s="336">
        <v>9350</v>
      </c>
      <c r="AK876" s="334">
        <v>359.16399999999999</v>
      </c>
      <c r="AL876" s="336">
        <v>9370</v>
      </c>
      <c r="AM876" s="334">
        <v>358.84199999999998</v>
      </c>
      <c r="AN876" s="336">
        <v>9370</v>
      </c>
      <c r="AO876" s="334">
        <v>359.5</v>
      </c>
      <c r="AP876" s="336">
        <v>9360</v>
      </c>
      <c r="AQ876" s="334">
        <v>359.33699999999999</v>
      </c>
      <c r="AR876" s="336">
        <v>9370</v>
      </c>
      <c r="AS876" s="334">
        <v>358.68</v>
      </c>
      <c r="AT876" s="336">
        <v>9370</v>
      </c>
      <c r="AU876" s="334">
        <v>357.08</v>
      </c>
      <c r="AV876" s="336">
        <v>9370</v>
      </c>
      <c r="AW876" s="334">
        <v>357.48899999999998</v>
      </c>
      <c r="AX876" s="336">
        <v>9360</v>
      </c>
      <c r="AY876" s="334">
        <v>285.41899999999998</v>
      </c>
      <c r="AZ876" s="336">
        <v>9370</v>
      </c>
      <c r="BA876" s="337">
        <v>287.03399999999999</v>
      </c>
      <c r="BB876" s="336">
        <v>9350</v>
      </c>
      <c r="BC876" s="334">
        <v>64.245999999999995</v>
      </c>
      <c r="BD876" s="336">
        <v>9350</v>
      </c>
      <c r="BE876" s="334">
        <v>68.44</v>
      </c>
    </row>
    <row r="877" spans="22:57">
      <c r="V877" s="346">
        <v>9380</v>
      </c>
      <c r="W877" s="333">
        <v>145.518</v>
      </c>
      <c r="X877" s="346">
        <v>9390</v>
      </c>
      <c r="Y877" s="334">
        <v>144.02699999999999</v>
      </c>
      <c r="Z877" s="335">
        <v>9380</v>
      </c>
      <c r="AA877" s="334">
        <v>379.95100000000002</v>
      </c>
      <c r="AB877" s="336">
        <v>9380</v>
      </c>
      <c r="AC877" s="334">
        <v>379.92500000000001</v>
      </c>
      <c r="AD877" s="336">
        <v>9380</v>
      </c>
      <c r="AE877" s="334">
        <v>357.09300000000002</v>
      </c>
      <c r="AF877" s="336">
        <v>9380</v>
      </c>
      <c r="AG877" s="334">
        <v>356.21199999999999</v>
      </c>
      <c r="AH877" s="336">
        <v>9380</v>
      </c>
      <c r="AI877" s="334">
        <v>356.911</v>
      </c>
      <c r="AJ877" s="336">
        <v>9360</v>
      </c>
      <c r="AK877" s="334">
        <v>357.952</v>
      </c>
      <c r="AL877" s="336">
        <v>9380</v>
      </c>
      <c r="AM877" s="334">
        <v>357.63099999999997</v>
      </c>
      <c r="AN877" s="336">
        <v>9380</v>
      </c>
      <c r="AO877" s="334">
        <v>358.28800000000001</v>
      </c>
      <c r="AP877" s="336">
        <v>9370</v>
      </c>
      <c r="AQ877" s="334">
        <v>358.12700000000001</v>
      </c>
      <c r="AR877" s="336">
        <v>9380</v>
      </c>
      <c r="AS877" s="334">
        <v>357.46899999999999</v>
      </c>
      <c r="AT877" s="336">
        <v>9380</v>
      </c>
      <c r="AU877" s="334">
        <v>355.86900000000003</v>
      </c>
      <c r="AV877" s="336">
        <v>9380</v>
      </c>
      <c r="AW877" s="334">
        <v>356.279</v>
      </c>
      <c r="AX877" s="336">
        <v>9370</v>
      </c>
      <c r="AY877" s="334">
        <v>284.28399999999999</v>
      </c>
      <c r="AZ877" s="336">
        <v>9380</v>
      </c>
      <c r="BA877" s="337">
        <v>285.89800000000002</v>
      </c>
      <c r="BB877" s="336">
        <v>9360</v>
      </c>
      <c r="BC877" s="334">
        <v>63.959000000000003</v>
      </c>
      <c r="BD877" s="336">
        <v>9360</v>
      </c>
      <c r="BE877" s="334">
        <v>68.138999999999996</v>
      </c>
    </row>
    <row r="878" spans="22:57">
      <c r="V878" s="346">
        <v>9390</v>
      </c>
      <c r="W878" s="333">
        <v>144.84399999999999</v>
      </c>
      <c r="X878" s="346">
        <v>9400</v>
      </c>
      <c r="Y878" s="334">
        <v>143.35900000000001</v>
      </c>
      <c r="Z878" s="335">
        <v>9390</v>
      </c>
      <c r="AA878" s="334">
        <v>378.50400000000002</v>
      </c>
      <c r="AB878" s="336">
        <v>9390</v>
      </c>
      <c r="AC878" s="334">
        <v>378.47699999999998</v>
      </c>
      <c r="AD878" s="336">
        <v>9390</v>
      </c>
      <c r="AE878" s="334">
        <v>355.88099999999997</v>
      </c>
      <c r="AF878" s="336">
        <v>9390</v>
      </c>
      <c r="AG878" s="334">
        <v>354.99900000000002</v>
      </c>
      <c r="AH878" s="336">
        <v>9390</v>
      </c>
      <c r="AI878" s="334">
        <v>355.7</v>
      </c>
      <c r="AJ878" s="336">
        <v>9370</v>
      </c>
      <c r="AK878" s="334">
        <v>356.74</v>
      </c>
      <c r="AL878" s="336">
        <v>9390</v>
      </c>
      <c r="AM878" s="334">
        <v>356.41899999999998</v>
      </c>
      <c r="AN878" s="336">
        <v>9390</v>
      </c>
      <c r="AO878" s="334">
        <v>357.07600000000002</v>
      </c>
      <c r="AP878" s="336">
        <v>9380</v>
      </c>
      <c r="AQ878" s="334">
        <v>356.916</v>
      </c>
      <c r="AR878" s="336">
        <v>9390</v>
      </c>
      <c r="AS878" s="334">
        <v>356.25799999999998</v>
      </c>
      <c r="AT878" s="336">
        <v>9390</v>
      </c>
      <c r="AU878" s="334">
        <v>354.65899999999999</v>
      </c>
      <c r="AV878" s="336">
        <v>9390</v>
      </c>
      <c r="AW878" s="334">
        <v>355.06900000000002</v>
      </c>
      <c r="AX878" s="336">
        <v>9380</v>
      </c>
      <c r="AY878" s="334">
        <v>283.14999999999998</v>
      </c>
      <c r="AZ878" s="336">
        <v>9390</v>
      </c>
      <c r="BA878" s="337">
        <v>284.76400000000001</v>
      </c>
      <c r="BB878" s="336">
        <v>9370</v>
      </c>
      <c r="BC878" s="334">
        <v>63.673000000000002</v>
      </c>
      <c r="BD878" s="336">
        <v>9370</v>
      </c>
      <c r="BE878" s="334">
        <v>67.837999999999994</v>
      </c>
    </row>
    <row r="879" spans="22:57">
      <c r="V879" s="346">
        <v>9400</v>
      </c>
      <c r="W879" s="333">
        <v>144.172</v>
      </c>
      <c r="X879" s="346">
        <v>9410</v>
      </c>
      <c r="Y879" s="334">
        <v>142.69200000000001</v>
      </c>
      <c r="Z879" s="335">
        <v>9400</v>
      </c>
      <c r="AA879" s="334">
        <v>377.05700000000002</v>
      </c>
      <c r="AB879" s="336">
        <v>9400</v>
      </c>
      <c r="AC879" s="334">
        <v>377.029</v>
      </c>
      <c r="AD879" s="336">
        <v>9400</v>
      </c>
      <c r="AE879" s="334">
        <v>354.67</v>
      </c>
      <c r="AF879" s="336">
        <v>9400</v>
      </c>
      <c r="AG879" s="334">
        <v>353.786</v>
      </c>
      <c r="AH879" s="336">
        <v>9400</v>
      </c>
      <c r="AI879" s="334">
        <v>354.488</v>
      </c>
      <c r="AJ879" s="336">
        <v>9380</v>
      </c>
      <c r="AK879" s="334">
        <v>355.52800000000002</v>
      </c>
      <c r="AL879" s="336">
        <v>9400</v>
      </c>
      <c r="AM879" s="334">
        <v>355.20699999999999</v>
      </c>
      <c r="AN879" s="336">
        <v>9400</v>
      </c>
      <c r="AO879" s="334">
        <v>355.86399999999998</v>
      </c>
      <c r="AP879" s="336">
        <v>9390</v>
      </c>
      <c r="AQ879" s="334">
        <v>355.70600000000002</v>
      </c>
      <c r="AR879" s="336">
        <v>9400</v>
      </c>
      <c r="AS879" s="334">
        <v>355.04700000000003</v>
      </c>
      <c r="AT879" s="336">
        <v>9400</v>
      </c>
      <c r="AU879" s="334">
        <v>353.44799999999998</v>
      </c>
      <c r="AV879" s="336">
        <v>9400</v>
      </c>
      <c r="AW879" s="334">
        <v>353.85899999999998</v>
      </c>
      <c r="AX879" s="336">
        <v>9390</v>
      </c>
      <c r="AY879" s="334">
        <v>282.01600000000002</v>
      </c>
      <c r="AZ879" s="336">
        <v>9400</v>
      </c>
      <c r="BA879" s="337">
        <v>283.63</v>
      </c>
      <c r="BB879" s="336">
        <v>9380</v>
      </c>
      <c r="BC879" s="334">
        <v>63.387</v>
      </c>
      <c r="BD879" s="336">
        <v>9380</v>
      </c>
      <c r="BE879" s="334">
        <v>67.537999999999997</v>
      </c>
    </row>
    <row r="880" spans="22:57">
      <c r="V880" s="346">
        <v>9410</v>
      </c>
      <c r="W880" s="333">
        <v>143.501</v>
      </c>
      <c r="X880" s="346">
        <v>9420</v>
      </c>
      <c r="Y880" s="334">
        <v>142.02600000000001</v>
      </c>
      <c r="Z880" s="335">
        <v>9410</v>
      </c>
      <c r="AA880" s="334">
        <v>375.61099999999999</v>
      </c>
      <c r="AB880" s="336">
        <v>9410</v>
      </c>
      <c r="AC880" s="334">
        <v>375.58100000000002</v>
      </c>
      <c r="AD880" s="336">
        <v>9410</v>
      </c>
      <c r="AE880" s="334">
        <v>353.45800000000003</v>
      </c>
      <c r="AF880" s="336">
        <v>9410</v>
      </c>
      <c r="AG880" s="334">
        <v>352.572</v>
      </c>
      <c r="AH880" s="336">
        <v>9410</v>
      </c>
      <c r="AI880" s="334">
        <v>353.27600000000001</v>
      </c>
      <c r="AJ880" s="336">
        <v>9390</v>
      </c>
      <c r="AK880" s="334">
        <v>354.31599999999997</v>
      </c>
      <c r="AL880" s="336">
        <v>9410</v>
      </c>
      <c r="AM880" s="334">
        <v>353.99599999999998</v>
      </c>
      <c r="AN880" s="336">
        <v>9410</v>
      </c>
      <c r="AO880" s="334">
        <v>354.65199999999999</v>
      </c>
      <c r="AP880" s="336">
        <v>9400</v>
      </c>
      <c r="AQ880" s="334">
        <v>354.49599999999998</v>
      </c>
      <c r="AR880" s="336">
        <v>9410</v>
      </c>
      <c r="AS880" s="334">
        <v>353.83600000000001</v>
      </c>
      <c r="AT880" s="336">
        <v>9410</v>
      </c>
      <c r="AU880" s="334">
        <v>352.23700000000002</v>
      </c>
      <c r="AV880" s="336">
        <v>9410</v>
      </c>
      <c r="AW880" s="334">
        <v>352.649</v>
      </c>
      <c r="AX880" s="336">
        <v>9400</v>
      </c>
      <c r="AY880" s="334">
        <v>280.88400000000001</v>
      </c>
      <c r="AZ880" s="336">
        <v>9410</v>
      </c>
      <c r="BA880" s="337">
        <v>282.49700000000001</v>
      </c>
      <c r="BB880" s="336">
        <v>9390</v>
      </c>
      <c r="BC880" s="334">
        <v>63.100999999999999</v>
      </c>
      <c r="BD880" s="336">
        <v>9390</v>
      </c>
      <c r="BE880" s="334">
        <v>67.238</v>
      </c>
    </row>
    <row r="881" spans="22:57">
      <c r="V881" s="346">
        <v>9420</v>
      </c>
      <c r="W881" s="333">
        <v>142.83099999999999</v>
      </c>
      <c r="X881" s="346">
        <v>9430</v>
      </c>
      <c r="Y881" s="334">
        <v>141.36199999999999</v>
      </c>
      <c r="Z881" s="335">
        <v>9420</v>
      </c>
      <c r="AA881" s="334">
        <v>374.16399999999999</v>
      </c>
      <c r="AB881" s="336">
        <v>9420</v>
      </c>
      <c r="AC881" s="334">
        <v>374.13400000000001</v>
      </c>
      <c r="AD881" s="336">
        <v>9420</v>
      </c>
      <c r="AE881" s="334">
        <v>352.24700000000001</v>
      </c>
      <c r="AF881" s="336">
        <v>9420</v>
      </c>
      <c r="AG881" s="334">
        <v>351.35899999999998</v>
      </c>
      <c r="AH881" s="336">
        <v>9420</v>
      </c>
      <c r="AI881" s="334">
        <v>352.06400000000002</v>
      </c>
      <c r="AJ881" s="336">
        <v>9400</v>
      </c>
      <c r="AK881" s="334">
        <v>353.10399999999998</v>
      </c>
      <c r="AL881" s="336">
        <v>9420</v>
      </c>
      <c r="AM881" s="334">
        <v>352.78399999999999</v>
      </c>
      <c r="AN881" s="336">
        <v>9420</v>
      </c>
      <c r="AO881" s="334">
        <v>353.44</v>
      </c>
      <c r="AP881" s="336">
        <v>9410</v>
      </c>
      <c r="AQ881" s="334">
        <v>353.28500000000003</v>
      </c>
      <c r="AR881" s="336">
        <v>9420</v>
      </c>
      <c r="AS881" s="334">
        <v>352.625</v>
      </c>
      <c r="AT881" s="336">
        <v>9420</v>
      </c>
      <c r="AU881" s="334">
        <v>351.02600000000001</v>
      </c>
      <c r="AV881" s="336">
        <v>9420</v>
      </c>
      <c r="AW881" s="334">
        <v>351.43900000000002</v>
      </c>
      <c r="AX881" s="336">
        <v>9410</v>
      </c>
      <c r="AY881" s="334">
        <v>279.75200000000001</v>
      </c>
      <c r="AZ881" s="336">
        <v>9420</v>
      </c>
      <c r="BA881" s="337">
        <v>281.36399999999998</v>
      </c>
      <c r="BB881" s="336">
        <v>9400</v>
      </c>
      <c r="BC881" s="334">
        <v>62.816000000000003</v>
      </c>
      <c r="BD881" s="336">
        <v>9400</v>
      </c>
      <c r="BE881" s="334">
        <v>66.938999999999993</v>
      </c>
    </row>
    <row r="882" spans="22:57">
      <c r="V882" s="346">
        <v>9430</v>
      </c>
      <c r="W882" s="333">
        <v>142.16300000000001</v>
      </c>
      <c r="X882" s="346">
        <v>9440</v>
      </c>
      <c r="Y882" s="334">
        <v>140.69900000000001</v>
      </c>
      <c r="Z882" s="335">
        <v>9430</v>
      </c>
      <c r="AA882" s="334">
        <v>372.71800000000002</v>
      </c>
      <c r="AB882" s="336">
        <v>9430</v>
      </c>
      <c r="AC882" s="334">
        <v>372.68599999999998</v>
      </c>
      <c r="AD882" s="336">
        <v>9430</v>
      </c>
      <c r="AE882" s="334">
        <v>351.03500000000003</v>
      </c>
      <c r="AF882" s="336">
        <v>9430</v>
      </c>
      <c r="AG882" s="334">
        <v>350.14499999999998</v>
      </c>
      <c r="AH882" s="336">
        <v>9430</v>
      </c>
      <c r="AI882" s="334">
        <v>350.85300000000001</v>
      </c>
      <c r="AJ882" s="336">
        <v>9410</v>
      </c>
      <c r="AK882" s="334">
        <v>351.892</v>
      </c>
      <c r="AL882" s="336">
        <v>9430</v>
      </c>
      <c r="AM882" s="334">
        <v>351.572</v>
      </c>
      <c r="AN882" s="336">
        <v>9430</v>
      </c>
      <c r="AO882" s="334">
        <v>352.22800000000001</v>
      </c>
      <c r="AP882" s="336">
        <v>9420</v>
      </c>
      <c r="AQ882" s="334">
        <v>352.07499999999999</v>
      </c>
      <c r="AR882" s="336">
        <v>9430</v>
      </c>
      <c r="AS882" s="334">
        <v>351.41399999999999</v>
      </c>
      <c r="AT882" s="336">
        <v>9430</v>
      </c>
      <c r="AU882" s="334">
        <v>349.81599999999997</v>
      </c>
      <c r="AV882" s="336">
        <v>9430</v>
      </c>
      <c r="AW882" s="334">
        <v>350.22899999999998</v>
      </c>
      <c r="AX882" s="336">
        <v>9420</v>
      </c>
      <c r="AY882" s="334">
        <v>278.62099999999998</v>
      </c>
      <c r="AZ882" s="336">
        <v>9430</v>
      </c>
      <c r="BA882" s="337">
        <v>280.233</v>
      </c>
      <c r="BB882" s="336">
        <v>9410</v>
      </c>
      <c r="BC882" s="334">
        <v>62.530999999999999</v>
      </c>
      <c r="BD882" s="336">
        <v>9410</v>
      </c>
      <c r="BE882" s="334">
        <v>66.638999999999996</v>
      </c>
    </row>
    <row r="883" spans="22:57">
      <c r="V883" s="346">
        <v>9440</v>
      </c>
      <c r="W883" s="333">
        <v>141.49600000000001</v>
      </c>
      <c r="X883" s="346">
        <v>9450</v>
      </c>
      <c r="Y883" s="334">
        <v>140.03700000000001</v>
      </c>
      <c r="Z883" s="335">
        <v>9440</v>
      </c>
      <c r="AA883" s="334">
        <v>371.27199999999999</v>
      </c>
      <c r="AB883" s="336">
        <v>9440</v>
      </c>
      <c r="AC883" s="334">
        <v>371.23899999999998</v>
      </c>
      <c r="AD883" s="336">
        <v>9440</v>
      </c>
      <c r="AE883" s="334">
        <v>349.82400000000001</v>
      </c>
      <c r="AF883" s="336">
        <v>9440</v>
      </c>
      <c r="AG883" s="334">
        <v>348.93200000000002</v>
      </c>
      <c r="AH883" s="336">
        <v>9440</v>
      </c>
      <c r="AI883" s="334">
        <v>349.64100000000002</v>
      </c>
      <c r="AJ883" s="336">
        <v>9420</v>
      </c>
      <c r="AK883" s="334">
        <v>350.68</v>
      </c>
      <c r="AL883" s="336">
        <v>9440</v>
      </c>
      <c r="AM883" s="334">
        <v>350.36099999999999</v>
      </c>
      <c r="AN883" s="336">
        <v>9440</v>
      </c>
      <c r="AO883" s="334">
        <v>351.01600000000002</v>
      </c>
      <c r="AP883" s="336">
        <v>9430</v>
      </c>
      <c r="AQ883" s="334">
        <v>350.86500000000001</v>
      </c>
      <c r="AR883" s="336">
        <v>9440</v>
      </c>
      <c r="AS883" s="334">
        <v>350.20299999999997</v>
      </c>
      <c r="AT883" s="336">
        <v>9440</v>
      </c>
      <c r="AU883" s="334">
        <v>348.60500000000002</v>
      </c>
      <c r="AV883" s="336">
        <v>9440</v>
      </c>
      <c r="AW883" s="334">
        <v>349.01900000000001</v>
      </c>
      <c r="AX883" s="336">
        <v>9430</v>
      </c>
      <c r="AY883" s="334">
        <v>277.49099999999999</v>
      </c>
      <c r="AZ883" s="336">
        <v>9440</v>
      </c>
      <c r="BA883" s="337">
        <v>279.10300000000001</v>
      </c>
      <c r="BB883" s="336">
        <v>9420</v>
      </c>
      <c r="BC883" s="334">
        <v>62.247</v>
      </c>
      <c r="BD883" s="336">
        <v>9420</v>
      </c>
      <c r="BE883" s="334">
        <v>66.340999999999994</v>
      </c>
    </row>
    <row r="884" spans="22:57">
      <c r="V884" s="346">
        <v>9450</v>
      </c>
      <c r="W884" s="333">
        <v>140.83000000000001</v>
      </c>
      <c r="X884" s="346">
        <v>9460</v>
      </c>
      <c r="Y884" s="334">
        <v>139.37700000000001</v>
      </c>
      <c r="Z884" s="335">
        <v>9450</v>
      </c>
      <c r="AA884" s="334">
        <v>369.82600000000002</v>
      </c>
      <c r="AB884" s="336">
        <v>9450</v>
      </c>
      <c r="AC884" s="334">
        <v>369.79199999999997</v>
      </c>
      <c r="AD884" s="336">
        <v>9450</v>
      </c>
      <c r="AE884" s="334">
        <v>348.61200000000002</v>
      </c>
      <c r="AF884" s="336">
        <v>9450</v>
      </c>
      <c r="AG884" s="334">
        <v>347.71899999999999</v>
      </c>
      <c r="AH884" s="336">
        <v>9450</v>
      </c>
      <c r="AI884" s="334">
        <v>348.42899999999997</v>
      </c>
      <c r="AJ884" s="336">
        <v>9430</v>
      </c>
      <c r="AK884" s="334">
        <v>349.46899999999999</v>
      </c>
      <c r="AL884" s="336">
        <v>9450</v>
      </c>
      <c r="AM884" s="334">
        <v>349.149</v>
      </c>
      <c r="AN884" s="336">
        <v>9450</v>
      </c>
      <c r="AO884" s="334">
        <v>349.80399999999997</v>
      </c>
      <c r="AP884" s="336">
        <v>9440</v>
      </c>
      <c r="AQ884" s="352">
        <v>349.654</v>
      </c>
      <c r="AR884" s="336">
        <v>9450</v>
      </c>
      <c r="AS884" s="334">
        <v>348.99200000000002</v>
      </c>
      <c r="AT884" s="336">
        <v>9450</v>
      </c>
      <c r="AU884" s="334">
        <v>347.39400000000001</v>
      </c>
      <c r="AV884" s="336">
        <v>9450</v>
      </c>
      <c r="AW884" s="334">
        <v>347.80900000000003</v>
      </c>
      <c r="AX884" s="336">
        <v>9440</v>
      </c>
      <c r="AY884" s="334">
        <v>276.36200000000002</v>
      </c>
      <c r="AZ884" s="336">
        <v>9450</v>
      </c>
      <c r="BA884" s="337">
        <v>277.97300000000001</v>
      </c>
      <c r="BB884" s="336">
        <v>9430</v>
      </c>
      <c r="BC884" s="334">
        <v>61.963000000000001</v>
      </c>
      <c r="BD884" s="336">
        <v>9430</v>
      </c>
      <c r="BE884" s="334">
        <v>66.042000000000002</v>
      </c>
    </row>
    <row r="885" spans="22:57">
      <c r="V885" s="346">
        <v>9460</v>
      </c>
      <c r="W885" s="333">
        <v>140.16499999999999</v>
      </c>
      <c r="X885" s="346">
        <v>9470</v>
      </c>
      <c r="Y885" s="334">
        <v>138.71700000000001</v>
      </c>
      <c r="Z885" s="335">
        <v>9460</v>
      </c>
      <c r="AA885" s="334">
        <v>368.38</v>
      </c>
      <c r="AB885" s="336">
        <v>9460</v>
      </c>
      <c r="AC885" s="334">
        <v>368.34500000000003</v>
      </c>
      <c r="AD885" s="336">
        <v>9460</v>
      </c>
      <c r="AE885" s="334">
        <v>347.40100000000001</v>
      </c>
      <c r="AF885" s="336">
        <v>9460</v>
      </c>
      <c r="AG885" s="334">
        <v>346.505</v>
      </c>
      <c r="AH885" s="336">
        <v>9460</v>
      </c>
      <c r="AI885" s="334">
        <v>347.21800000000002</v>
      </c>
      <c r="AJ885" s="336">
        <v>9440</v>
      </c>
      <c r="AK885" s="334">
        <v>348.25700000000001</v>
      </c>
      <c r="AL885" s="336">
        <v>9460</v>
      </c>
      <c r="AM885" s="334">
        <v>347.93700000000001</v>
      </c>
      <c r="AN885" s="336">
        <v>9460</v>
      </c>
      <c r="AO885" s="334">
        <v>348.59199999999998</v>
      </c>
      <c r="AP885" s="336">
        <v>9450</v>
      </c>
      <c r="AQ885" s="352">
        <v>348.44400000000002</v>
      </c>
      <c r="AR885" s="336">
        <v>9460</v>
      </c>
      <c r="AS885" s="334">
        <v>347.78</v>
      </c>
      <c r="AT885" s="336">
        <v>9460</v>
      </c>
      <c r="AU885" s="334">
        <v>346.18299999999999</v>
      </c>
      <c r="AV885" s="336">
        <v>9460</v>
      </c>
      <c r="AW885" s="334">
        <v>346.59899999999999</v>
      </c>
      <c r="AX885" s="336">
        <v>9450</v>
      </c>
      <c r="AY885" s="334">
        <v>275.23399999999998</v>
      </c>
      <c r="AZ885" s="336">
        <v>9460</v>
      </c>
      <c r="BA885" s="337">
        <v>276.84399999999999</v>
      </c>
      <c r="BB885" s="336">
        <v>9440</v>
      </c>
      <c r="BC885" s="334">
        <v>61.679000000000002</v>
      </c>
      <c r="BD885" s="336">
        <v>9440</v>
      </c>
      <c r="BE885" s="334">
        <v>65.744</v>
      </c>
    </row>
    <row r="886" spans="22:57">
      <c r="V886" s="346">
        <v>9470</v>
      </c>
      <c r="W886" s="333">
        <v>139.50200000000001</v>
      </c>
      <c r="X886" s="346">
        <v>9480</v>
      </c>
      <c r="Y886" s="334">
        <v>138.059</v>
      </c>
      <c r="Z886" s="335">
        <v>9470</v>
      </c>
      <c r="AA886" s="334">
        <v>366.935</v>
      </c>
      <c r="AB886" s="336">
        <v>9470</v>
      </c>
      <c r="AC886" s="334">
        <v>366.899</v>
      </c>
      <c r="AD886" s="336">
        <v>9470</v>
      </c>
      <c r="AE886" s="334">
        <v>346.18900000000002</v>
      </c>
      <c r="AF886" s="336">
        <v>9470</v>
      </c>
      <c r="AG886" s="334">
        <v>345.29199999999997</v>
      </c>
      <c r="AH886" s="336">
        <v>9470</v>
      </c>
      <c r="AI886" s="334">
        <v>346.00599999999997</v>
      </c>
      <c r="AJ886" s="336">
        <v>9450</v>
      </c>
      <c r="AK886" s="334">
        <v>347.04500000000002</v>
      </c>
      <c r="AL886" s="336">
        <v>9470</v>
      </c>
      <c r="AM886" s="334">
        <v>346.72500000000002</v>
      </c>
      <c r="AN886" s="336">
        <v>9470</v>
      </c>
      <c r="AO886" s="334">
        <v>347.38</v>
      </c>
      <c r="AP886" s="336">
        <v>9460</v>
      </c>
      <c r="AQ886" s="334">
        <v>347.233</v>
      </c>
      <c r="AR886" s="336">
        <v>9470</v>
      </c>
      <c r="AS886" s="334">
        <v>346.56900000000002</v>
      </c>
      <c r="AT886" s="336">
        <v>9470</v>
      </c>
      <c r="AU886" s="334">
        <v>344.97300000000001</v>
      </c>
      <c r="AV886" s="336">
        <v>9470</v>
      </c>
      <c r="AW886" s="334">
        <v>345.38900000000001</v>
      </c>
      <c r="AX886" s="336">
        <v>9460</v>
      </c>
      <c r="AY886" s="334">
        <v>274.10700000000003</v>
      </c>
      <c r="AZ886" s="336">
        <v>9470</v>
      </c>
      <c r="BA886" s="337">
        <v>275.71699999999998</v>
      </c>
      <c r="BB886" s="336">
        <v>9450</v>
      </c>
      <c r="BC886" s="334">
        <v>61.396000000000001</v>
      </c>
      <c r="BD886" s="336">
        <v>9450</v>
      </c>
      <c r="BE886" s="334">
        <v>65.447000000000003</v>
      </c>
    </row>
    <row r="887" spans="22:57">
      <c r="V887" s="346">
        <v>9480</v>
      </c>
      <c r="W887" s="333">
        <v>138.839</v>
      </c>
      <c r="X887" s="346">
        <v>9490</v>
      </c>
      <c r="Y887" s="370">
        <v>137.40299999999999</v>
      </c>
      <c r="Z887" s="335">
        <v>9480</v>
      </c>
      <c r="AA887" s="334">
        <v>365.49</v>
      </c>
      <c r="AB887" s="336">
        <v>9480</v>
      </c>
      <c r="AC887" s="334">
        <v>365.45299999999997</v>
      </c>
      <c r="AD887" s="336">
        <v>9480</v>
      </c>
      <c r="AE887" s="334">
        <v>344.97800000000001</v>
      </c>
      <c r="AF887" s="336">
        <v>9480</v>
      </c>
      <c r="AG887" s="334">
        <v>344.07900000000001</v>
      </c>
      <c r="AH887" s="336">
        <v>9480</v>
      </c>
      <c r="AI887" s="334">
        <v>344.79399999999998</v>
      </c>
      <c r="AJ887" s="336">
        <v>9460</v>
      </c>
      <c r="AK887" s="334">
        <v>345.83300000000003</v>
      </c>
      <c r="AL887" s="336">
        <v>9480</v>
      </c>
      <c r="AM887" s="334">
        <v>345.51400000000001</v>
      </c>
      <c r="AN887" s="336">
        <v>9480</v>
      </c>
      <c r="AO887" s="334">
        <v>346.16800000000001</v>
      </c>
      <c r="AP887" s="336">
        <v>9470</v>
      </c>
      <c r="AQ887" s="334">
        <v>346.02300000000002</v>
      </c>
      <c r="AR887" s="336">
        <v>9480</v>
      </c>
      <c r="AS887" s="334">
        <v>345.358</v>
      </c>
      <c r="AT887" s="336">
        <v>9480</v>
      </c>
      <c r="AU887" s="334">
        <v>343.762</v>
      </c>
      <c r="AV887" s="336">
        <v>9480</v>
      </c>
      <c r="AW887" s="334">
        <v>344.17899999999997</v>
      </c>
      <c r="AX887" s="336">
        <v>9470</v>
      </c>
      <c r="AY887" s="334">
        <v>272.98</v>
      </c>
      <c r="AZ887" s="336">
        <v>9480</v>
      </c>
      <c r="BA887" s="337">
        <v>274.58999999999997</v>
      </c>
      <c r="BB887" s="336">
        <v>9460</v>
      </c>
      <c r="BC887" s="334">
        <v>61.113</v>
      </c>
      <c r="BD887" s="336">
        <v>9460</v>
      </c>
      <c r="BE887" s="334">
        <v>65.150000000000006</v>
      </c>
    </row>
    <row r="888" spans="22:57">
      <c r="V888" s="346">
        <v>9490</v>
      </c>
      <c r="W888" s="333">
        <v>138.179</v>
      </c>
      <c r="X888" s="346">
        <v>9500</v>
      </c>
      <c r="Y888" s="334">
        <v>136.74700000000001</v>
      </c>
      <c r="Z888" s="335">
        <v>9490</v>
      </c>
      <c r="AA888" s="334">
        <v>364.04500000000002</v>
      </c>
      <c r="AB888" s="336">
        <v>9490</v>
      </c>
      <c r="AC888" s="334">
        <v>364.00700000000001</v>
      </c>
      <c r="AD888" s="336">
        <v>9490</v>
      </c>
      <c r="AE888" s="334">
        <v>343.767</v>
      </c>
      <c r="AF888" s="336">
        <v>9490</v>
      </c>
      <c r="AG888" s="334">
        <v>342.86500000000001</v>
      </c>
      <c r="AH888" s="336">
        <v>9490</v>
      </c>
      <c r="AI888" s="334">
        <v>343.58300000000003</v>
      </c>
      <c r="AJ888" s="336">
        <v>9470</v>
      </c>
      <c r="AK888" s="334">
        <v>344.62099999999998</v>
      </c>
      <c r="AL888" s="336">
        <v>9490</v>
      </c>
      <c r="AM888" s="334">
        <v>344.30200000000002</v>
      </c>
      <c r="AN888" s="336">
        <v>9490</v>
      </c>
      <c r="AO888" s="334">
        <v>344.95600000000002</v>
      </c>
      <c r="AP888" s="336">
        <v>9480</v>
      </c>
      <c r="AQ888" s="334">
        <v>344.81299999999999</v>
      </c>
      <c r="AR888" s="336">
        <v>9490</v>
      </c>
      <c r="AS888" s="334">
        <v>344.14699999999999</v>
      </c>
      <c r="AT888" s="336">
        <v>9490</v>
      </c>
      <c r="AU888" s="334">
        <v>342.55099999999999</v>
      </c>
      <c r="AV888" s="336">
        <v>9490</v>
      </c>
      <c r="AW888" s="334">
        <v>342.96899999999999</v>
      </c>
      <c r="AX888" s="336">
        <v>9480</v>
      </c>
      <c r="AY888" s="334">
        <v>271.85500000000002</v>
      </c>
      <c r="AZ888" s="336">
        <v>9490</v>
      </c>
      <c r="BA888" s="337">
        <v>273.464</v>
      </c>
      <c r="BB888" s="336">
        <v>9470</v>
      </c>
      <c r="BC888" s="334">
        <v>60.831000000000003</v>
      </c>
      <c r="BD888" s="336">
        <v>9470</v>
      </c>
      <c r="BE888" s="334">
        <v>64.852999999999994</v>
      </c>
    </row>
    <row r="889" spans="22:57">
      <c r="V889" s="346">
        <v>9500</v>
      </c>
      <c r="W889" s="333">
        <v>137.51900000000001</v>
      </c>
      <c r="X889" s="346">
        <v>9510</v>
      </c>
      <c r="Y889" s="334">
        <v>136.09299999999999</v>
      </c>
      <c r="Z889" s="335">
        <v>9500</v>
      </c>
      <c r="AA889" s="334">
        <v>362.6</v>
      </c>
      <c r="AB889" s="336">
        <v>9500</v>
      </c>
      <c r="AC889" s="334">
        <v>362.56099999999998</v>
      </c>
      <c r="AD889" s="336">
        <v>9500</v>
      </c>
      <c r="AE889" s="334">
        <v>342.55500000000001</v>
      </c>
      <c r="AF889" s="336">
        <v>9500</v>
      </c>
      <c r="AG889" s="334">
        <v>341.65199999999999</v>
      </c>
      <c r="AH889" s="336">
        <v>9500</v>
      </c>
      <c r="AI889" s="334">
        <v>342.37099999999998</v>
      </c>
      <c r="AJ889" s="336">
        <v>9480</v>
      </c>
      <c r="AK889" s="334">
        <v>343.40899999999999</v>
      </c>
      <c r="AL889" s="336">
        <v>9500</v>
      </c>
      <c r="AM889" s="334">
        <v>343.09</v>
      </c>
      <c r="AN889" s="336">
        <v>9500</v>
      </c>
      <c r="AO889" s="334">
        <v>343.74400000000003</v>
      </c>
      <c r="AP889" s="336">
        <v>9490</v>
      </c>
      <c r="AQ889" s="334">
        <v>343.60199999999998</v>
      </c>
      <c r="AR889" s="336">
        <v>9500</v>
      </c>
      <c r="AS889" s="334">
        <v>342.93599999999998</v>
      </c>
      <c r="AT889" s="336">
        <v>9500</v>
      </c>
      <c r="AU889" s="334">
        <v>341.34</v>
      </c>
      <c r="AV889" s="336">
        <v>9500</v>
      </c>
      <c r="AW889" s="334">
        <v>341.75900000000001</v>
      </c>
      <c r="AX889" s="336">
        <v>9490</v>
      </c>
      <c r="AY889" s="334">
        <v>270.73</v>
      </c>
      <c r="AZ889" s="336">
        <v>9500</v>
      </c>
      <c r="BA889" s="337">
        <v>272.339</v>
      </c>
      <c r="BB889" s="336">
        <v>9480</v>
      </c>
      <c r="BC889" s="334">
        <v>60.548999999999999</v>
      </c>
      <c r="BD889" s="336">
        <v>9480</v>
      </c>
      <c r="BE889" s="334">
        <v>64.557000000000002</v>
      </c>
    </row>
    <row r="890" spans="22:57">
      <c r="V890" s="346">
        <v>9510</v>
      </c>
      <c r="W890" s="333">
        <v>136.86099999999999</v>
      </c>
      <c r="X890" s="346">
        <v>9520</v>
      </c>
      <c r="Y890" s="334">
        <v>135.44</v>
      </c>
      <c r="Z890" s="335">
        <v>9510</v>
      </c>
      <c r="AA890" s="334">
        <v>361.15600000000001</v>
      </c>
      <c r="AB890" s="336">
        <v>9510</v>
      </c>
      <c r="AC890" s="334">
        <v>361.11599999999999</v>
      </c>
      <c r="AD890" s="336">
        <v>9510</v>
      </c>
      <c r="AE890" s="334">
        <v>341.34399999999999</v>
      </c>
      <c r="AF890" s="336">
        <v>9510</v>
      </c>
      <c r="AG890" s="334">
        <v>340.43900000000002</v>
      </c>
      <c r="AH890" s="336">
        <v>9510</v>
      </c>
      <c r="AI890" s="334">
        <v>341.15899999999999</v>
      </c>
      <c r="AJ890" s="336">
        <v>9490</v>
      </c>
      <c r="AK890" s="334">
        <v>342.197</v>
      </c>
      <c r="AL890" s="336">
        <v>9510</v>
      </c>
      <c r="AM890" s="334">
        <v>341.87900000000002</v>
      </c>
      <c r="AN890" s="336">
        <v>9510</v>
      </c>
      <c r="AO890" s="334">
        <v>342.53199999999998</v>
      </c>
      <c r="AP890" s="336">
        <v>9500</v>
      </c>
      <c r="AQ890" s="334">
        <v>342.392</v>
      </c>
      <c r="AR890" s="336">
        <v>9510</v>
      </c>
      <c r="AS890" s="334">
        <v>341.72500000000002</v>
      </c>
      <c r="AT890" s="336">
        <v>9510</v>
      </c>
      <c r="AU890" s="334">
        <v>340.13</v>
      </c>
      <c r="AV890" s="336">
        <v>9510</v>
      </c>
      <c r="AW890" s="334">
        <v>340.54899999999998</v>
      </c>
      <c r="AX890" s="336">
        <v>9500</v>
      </c>
      <c r="AY890" s="334">
        <v>269.60599999999999</v>
      </c>
      <c r="AZ890" s="336">
        <v>9510</v>
      </c>
      <c r="BA890" s="337">
        <v>271.214</v>
      </c>
      <c r="BB890" s="336">
        <v>9490</v>
      </c>
      <c r="BC890" s="334">
        <v>60.268000000000001</v>
      </c>
      <c r="BD890" s="336">
        <v>9490</v>
      </c>
      <c r="BE890" s="334">
        <v>64.260999999999996</v>
      </c>
    </row>
    <row r="891" spans="22:57">
      <c r="V891" s="346">
        <v>9520</v>
      </c>
      <c r="W891" s="333">
        <v>136.20400000000001</v>
      </c>
      <c r="X891" s="346">
        <v>9530</v>
      </c>
      <c r="Y891" s="334">
        <v>134.78899999999999</v>
      </c>
      <c r="Z891" s="335">
        <v>9520</v>
      </c>
      <c r="AA891" s="334">
        <v>359.71100000000001</v>
      </c>
      <c r="AB891" s="336">
        <v>9520</v>
      </c>
      <c r="AC891" s="334">
        <v>359.67099999999999</v>
      </c>
      <c r="AD891" s="336">
        <v>9520</v>
      </c>
      <c r="AE891" s="334">
        <v>340.13200000000001</v>
      </c>
      <c r="AF891" s="336">
        <v>9520</v>
      </c>
      <c r="AG891" s="334">
        <v>339.22500000000002</v>
      </c>
      <c r="AH891" s="336">
        <v>9520</v>
      </c>
      <c r="AI891" s="334">
        <v>339.94799999999998</v>
      </c>
      <c r="AJ891" s="336">
        <v>9500</v>
      </c>
      <c r="AK891" s="334">
        <v>340.98500000000001</v>
      </c>
      <c r="AL891" s="336">
        <v>9520</v>
      </c>
      <c r="AM891" s="334">
        <v>340.66699999999997</v>
      </c>
      <c r="AN891" s="336">
        <v>9520</v>
      </c>
      <c r="AO891" s="334">
        <v>341.32</v>
      </c>
      <c r="AP891" s="336">
        <v>9510</v>
      </c>
      <c r="AQ891" s="334">
        <v>341.18200000000002</v>
      </c>
      <c r="AR891" s="336">
        <v>9520</v>
      </c>
      <c r="AS891" s="334">
        <v>340.51400000000001</v>
      </c>
      <c r="AT891" s="336">
        <v>9520</v>
      </c>
      <c r="AU891" s="334">
        <v>338.91899999999998</v>
      </c>
      <c r="AV891" s="336">
        <v>9520</v>
      </c>
      <c r="AW891" s="334">
        <v>339.339</v>
      </c>
      <c r="AX891" s="336">
        <v>9510</v>
      </c>
      <c r="AY891" s="334">
        <v>268.48399999999998</v>
      </c>
      <c r="AZ891" s="336">
        <v>9520</v>
      </c>
      <c r="BA891" s="337">
        <v>270.09100000000001</v>
      </c>
      <c r="BB891" s="336">
        <v>9500</v>
      </c>
      <c r="BC891" s="334">
        <v>59.985999999999997</v>
      </c>
      <c r="BD891" s="336">
        <v>9500</v>
      </c>
      <c r="BE891" s="334">
        <v>63.966000000000001</v>
      </c>
    </row>
    <row r="892" spans="22:57">
      <c r="V892" s="346">
        <v>9530</v>
      </c>
      <c r="W892" s="333">
        <v>135.548</v>
      </c>
      <c r="X892" s="346">
        <v>9540</v>
      </c>
      <c r="Y892" s="334">
        <v>134.13900000000001</v>
      </c>
      <c r="Z892" s="335">
        <v>9530</v>
      </c>
      <c r="AA892" s="334">
        <v>358.267</v>
      </c>
      <c r="AB892" s="336">
        <v>9530</v>
      </c>
      <c r="AC892" s="334">
        <v>358.226</v>
      </c>
      <c r="AD892" s="336">
        <v>9530</v>
      </c>
      <c r="AE892" s="334">
        <v>338.92099999999999</v>
      </c>
      <c r="AF892" s="336">
        <v>9530</v>
      </c>
      <c r="AG892" s="334">
        <v>338.012</v>
      </c>
      <c r="AH892" s="336">
        <v>9530</v>
      </c>
      <c r="AI892" s="334">
        <v>338.73599999999999</v>
      </c>
      <c r="AJ892" s="336">
        <v>9510</v>
      </c>
      <c r="AK892" s="334">
        <v>339.77300000000002</v>
      </c>
      <c r="AL892" s="336">
        <v>9530</v>
      </c>
      <c r="AM892" s="334">
        <v>339.45499999999998</v>
      </c>
      <c r="AN892" s="336">
        <v>9530</v>
      </c>
      <c r="AO892" s="334">
        <v>340.108</v>
      </c>
      <c r="AP892" s="336">
        <v>9520</v>
      </c>
      <c r="AQ892" s="334">
        <v>339.971</v>
      </c>
      <c r="AR892" s="336">
        <v>9530</v>
      </c>
      <c r="AS892" s="334">
        <v>339.303</v>
      </c>
      <c r="AT892" s="336">
        <v>9530</v>
      </c>
      <c r="AU892" s="334">
        <v>337.70800000000003</v>
      </c>
      <c r="AV892" s="336">
        <v>9530</v>
      </c>
      <c r="AW892" s="334">
        <v>338.12799999999999</v>
      </c>
      <c r="AX892" s="336">
        <v>9520</v>
      </c>
      <c r="AY892" s="334">
        <v>267.36200000000002</v>
      </c>
      <c r="AZ892" s="336">
        <v>9530</v>
      </c>
      <c r="BA892" s="337">
        <v>268.96899999999999</v>
      </c>
      <c r="BB892" s="336">
        <v>9510</v>
      </c>
      <c r="BC892" s="334">
        <v>59.706000000000003</v>
      </c>
      <c r="BD892" s="336">
        <v>9510</v>
      </c>
      <c r="BE892" s="334">
        <v>63.670999999999999</v>
      </c>
    </row>
    <row r="893" spans="22:57">
      <c r="V893" s="346">
        <v>9540</v>
      </c>
      <c r="W893" s="333">
        <v>134.89400000000001</v>
      </c>
      <c r="X893" s="346">
        <v>9550</v>
      </c>
      <c r="Y893" s="334">
        <v>133.49</v>
      </c>
      <c r="Z893" s="335">
        <v>9540</v>
      </c>
      <c r="AA893" s="334">
        <v>356.82400000000001</v>
      </c>
      <c r="AB893" s="336">
        <v>9540</v>
      </c>
      <c r="AC893" s="334">
        <v>356.78199999999998</v>
      </c>
      <c r="AD893" s="336">
        <v>9540</v>
      </c>
      <c r="AE893" s="334">
        <v>337.71</v>
      </c>
      <c r="AF893" s="336">
        <v>9540</v>
      </c>
      <c r="AG893" s="334">
        <v>336.79899999999998</v>
      </c>
      <c r="AH893" s="336">
        <v>9540</v>
      </c>
      <c r="AI893" s="334">
        <v>337.524</v>
      </c>
      <c r="AJ893" s="336">
        <v>9520</v>
      </c>
      <c r="AK893" s="334">
        <v>338.56099999999998</v>
      </c>
      <c r="AL893" s="336">
        <v>9540</v>
      </c>
      <c r="AM893" s="334">
        <v>338.24400000000003</v>
      </c>
      <c r="AN893" s="336">
        <v>9540</v>
      </c>
      <c r="AO893" s="334">
        <v>338.89600000000002</v>
      </c>
      <c r="AP893" s="336">
        <v>9530</v>
      </c>
      <c r="AQ893" s="334">
        <v>338.76100000000002</v>
      </c>
      <c r="AR893" s="336">
        <v>9540</v>
      </c>
      <c r="AS893" s="334">
        <v>338.09199999999998</v>
      </c>
      <c r="AT893" s="336">
        <v>9540</v>
      </c>
      <c r="AU893" s="334">
        <v>336.49700000000001</v>
      </c>
      <c r="AV893" s="336">
        <v>9540</v>
      </c>
      <c r="AW893" s="334">
        <v>336.91800000000001</v>
      </c>
      <c r="AX893" s="336">
        <v>9530</v>
      </c>
      <c r="AY893" s="334">
        <v>266.24099999999999</v>
      </c>
      <c r="AZ893" s="336">
        <v>9540</v>
      </c>
      <c r="BA893" s="337">
        <v>267.84699999999998</v>
      </c>
      <c r="BB893" s="336">
        <v>9520</v>
      </c>
      <c r="BC893" s="334">
        <v>59.426000000000002</v>
      </c>
      <c r="BD893" s="336">
        <v>9520</v>
      </c>
      <c r="BE893" s="334">
        <v>63.375999999999998</v>
      </c>
    </row>
    <row r="894" spans="22:57">
      <c r="V894" s="346">
        <v>9550</v>
      </c>
      <c r="W894" s="333">
        <v>134.24100000000001</v>
      </c>
      <c r="X894" s="346">
        <v>9560</v>
      </c>
      <c r="Y894" s="334">
        <v>132.84200000000001</v>
      </c>
      <c r="Z894" s="335">
        <v>9550</v>
      </c>
      <c r="AA894" s="334">
        <v>355.38</v>
      </c>
      <c r="AB894" s="336">
        <v>9550</v>
      </c>
      <c r="AC894" s="334">
        <v>355.33800000000002</v>
      </c>
      <c r="AD894" s="336">
        <v>9550</v>
      </c>
      <c r="AE894" s="334">
        <v>336.49799999999999</v>
      </c>
      <c r="AF894" s="336">
        <v>9550</v>
      </c>
      <c r="AG894" s="334">
        <v>335.58499999999998</v>
      </c>
      <c r="AH894" s="336">
        <v>9550</v>
      </c>
      <c r="AI894" s="334">
        <v>336.31299999999999</v>
      </c>
      <c r="AJ894" s="336">
        <v>9530</v>
      </c>
      <c r="AK894" s="334">
        <v>337.34899999999999</v>
      </c>
      <c r="AL894" s="336">
        <v>9550</v>
      </c>
      <c r="AM894" s="334">
        <v>337.03199999999998</v>
      </c>
      <c r="AN894" s="336">
        <v>9550</v>
      </c>
      <c r="AO894" s="334">
        <v>337.68400000000003</v>
      </c>
      <c r="AP894" s="336">
        <v>9540</v>
      </c>
      <c r="AQ894" s="334">
        <v>337.55099999999999</v>
      </c>
      <c r="AR894" s="336">
        <v>9550</v>
      </c>
      <c r="AS894" s="334">
        <v>336.88099999999997</v>
      </c>
      <c r="AT894" s="336">
        <v>9550</v>
      </c>
      <c r="AU894" s="334">
        <v>335.28699999999998</v>
      </c>
      <c r="AV894" s="336">
        <v>9550</v>
      </c>
      <c r="AW894" s="334">
        <v>335.70800000000003</v>
      </c>
      <c r="AX894" s="336">
        <v>9540</v>
      </c>
      <c r="AY894" s="334">
        <v>265.12099999999998</v>
      </c>
      <c r="AZ894" s="336">
        <v>9550</v>
      </c>
      <c r="BA894" s="337">
        <v>266.72699999999998</v>
      </c>
      <c r="BB894" s="336">
        <v>9530</v>
      </c>
      <c r="BC894" s="334">
        <v>59.146000000000001</v>
      </c>
      <c r="BD894" s="336">
        <v>9530</v>
      </c>
      <c r="BE894" s="334">
        <v>63.082000000000001</v>
      </c>
    </row>
    <row r="895" spans="22:57">
      <c r="V895" s="346">
        <v>9560</v>
      </c>
      <c r="W895" s="333">
        <v>133.589</v>
      </c>
      <c r="X895" s="346">
        <v>9570</v>
      </c>
      <c r="Y895" s="334">
        <v>132.196</v>
      </c>
      <c r="Z895" s="335">
        <v>9560</v>
      </c>
      <c r="AA895" s="334">
        <v>353.93700000000001</v>
      </c>
      <c r="AB895" s="336">
        <v>9560</v>
      </c>
      <c r="AC895" s="334">
        <v>353.89400000000001</v>
      </c>
      <c r="AD895" s="336">
        <v>9560</v>
      </c>
      <c r="AE895" s="334">
        <v>335.28699999999998</v>
      </c>
      <c r="AF895" s="336">
        <v>9560</v>
      </c>
      <c r="AG895" s="334">
        <v>334.37200000000001</v>
      </c>
      <c r="AH895" s="336">
        <v>9560</v>
      </c>
      <c r="AI895" s="334">
        <v>335.101</v>
      </c>
      <c r="AJ895" s="336">
        <v>9540</v>
      </c>
      <c r="AK895" s="334">
        <v>336.137</v>
      </c>
      <c r="AL895" s="336">
        <v>9560</v>
      </c>
      <c r="AM895" s="334">
        <v>335.82</v>
      </c>
      <c r="AN895" s="336">
        <v>9560</v>
      </c>
      <c r="AO895" s="334">
        <v>336.47199999999998</v>
      </c>
      <c r="AP895" s="336">
        <v>9550</v>
      </c>
      <c r="AQ895" s="334">
        <v>336.34</v>
      </c>
      <c r="AR895" s="336">
        <v>9560</v>
      </c>
      <c r="AS895" s="334">
        <v>335.67</v>
      </c>
      <c r="AT895" s="336">
        <v>9560</v>
      </c>
      <c r="AU895" s="334">
        <v>334.07600000000002</v>
      </c>
      <c r="AV895" s="336">
        <v>9560</v>
      </c>
      <c r="AW895" s="334">
        <v>334.49799999999999</v>
      </c>
      <c r="AX895" s="336">
        <v>9550</v>
      </c>
      <c r="AY895" s="334">
        <v>264.00200000000001</v>
      </c>
      <c r="AZ895" s="336">
        <v>9560</v>
      </c>
      <c r="BA895" s="337">
        <v>265.60700000000003</v>
      </c>
      <c r="BB895" s="336">
        <v>9540</v>
      </c>
      <c r="BC895" s="334">
        <v>58.866999999999997</v>
      </c>
      <c r="BD895" s="336">
        <v>9540</v>
      </c>
      <c r="BE895" s="334">
        <v>62.787999999999997</v>
      </c>
    </row>
    <row r="896" spans="22:57">
      <c r="V896" s="346">
        <v>9570</v>
      </c>
      <c r="W896" s="333">
        <v>132.93799999999999</v>
      </c>
      <c r="X896" s="346">
        <v>9580</v>
      </c>
      <c r="Y896" s="334">
        <v>131.55000000000001</v>
      </c>
      <c r="Z896" s="335">
        <v>9570</v>
      </c>
      <c r="AA896" s="334">
        <v>352.495</v>
      </c>
      <c r="AB896" s="336">
        <v>9570</v>
      </c>
      <c r="AC896" s="334">
        <v>352.45</v>
      </c>
      <c r="AD896" s="336">
        <v>9570</v>
      </c>
      <c r="AE896" s="334">
        <v>334.07499999999999</v>
      </c>
      <c r="AF896" s="336">
        <v>9570</v>
      </c>
      <c r="AG896" s="334">
        <v>333.15899999999999</v>
      </c>
      <c r="AH896" s="336">
        <v>9570</v>
      </c>
      <c r="AI896" s="334">
        <v>333.88900000000001</v>
      </c>
      <c r="AJ896" s="336">
        <v>9550</v>
      </c>
      <c r="AK896" s="334">
        <v>334.92500000000001</v>
      </c>
      <c r="AL896" s="336">
        <v>9570</v>
      </c>
      <c r="AM896" s="334">
        <v>334.60899999999998</v>
      </c>
      <c r="AN896" s="336">
        <v>9570</v>
      </c>
      <c r="AO896" s="334">
        <v>335.26</v>
      </c>
      <c r="AP896" s="336">
        <v>9560</v>
      </c>
      <c r="AQ896" s="334">
        <v>335.13</v>
      </c>
      <c r="AR896" s="336">
        <v>9570</v>
      </c>
      <c r="AS896" s="334">
        <v>334.459</v>
      </c>
      <c r="AT896" s="336">
        <v>9570</v>
      </c>
      <c r="AU896" s="334">
        <v>332.86500000000001</v>
      </c>
      <c r="AV896" s="336">
        <v>9570</v>
      </c>
      <c r="AW896" s="334">
        <v>333.28800000000001</v>
      </c>
      <c r="AX896" s="336">
        <v>9560</v>
      </c>
      <c r="AY896" s="334">
        <v>262.935</v>
      </c>
      <c r="AZ896" s="336">
        <v>9570</v>
      </c>
      <c r="BA896" s="337">
        <v>264.488</v>
      </c>
      <c r="BB896" s="336">
        <v>9550</v>
      </c>
      <c r="BC896" s="334">
        <v>58.588000000000001</v>
      </c>
      <c r="BD896" s="336">
        <v>9550</v>
      </c>
      <c r="BE896" s="334">
        <v>62.494999999999997</v>
      </c>
    </row>
    <row r="897" spans="22:57">
      <c r="V897" s="346">
        <v>9580</v>
      </c>
      <c r="W897" s="333">
        <v>132.28899999999999</v>
      </c>
      <c r="X897" s="346">
        <v>9590</v>
      </c>
      <c r="Y897" s="334">
        <v>130.90600000000001</v>
      </c>
      <c r="Z897" s="335">
        <v>9580</v>
      </c>
      <c r="AA897" s="334">
        <v>351.05200000000002</v>
      </c>
      <c r="AB897" s="336">
        <v>9580</v>
      </c>
      <c r="AC897" s="334">
        <v>351.00799999999998</v>
      </c>
      <c r="AD897" s="336">
        <v>9580</v>
      </c>
      <c r="AE897" s="334">
        <v>332.86399999999998</v>
      </c>
      <c r="AF897" s="336">
        <v>9580</v>
      </c>
      <c r="AG897" s="334">
        <v>331.94499999999999</v>
      </c>
      <c r="AH897" s="336">
        <v>9580</v>
      </c>
      <c r="AI897" s="334">
        <v>332.678</v>
      </c>
      <c r="AJ897" s="336">
        <v>9560</v>
      </c>
      <c r="AK897" s="334">
        <v>333.71300000000002</v>
      </c>
      <c r="AL897" s="336">
        <v>9580</v>
      </c>
      <c r="AM897" s="334">
        <v>333.39699999999999</v>
      </c>
      <c r="AN897" s="336">
        <v>9580</v>
      </c>
      <c r="AO897" s="334">
        <v>334.048</v>
      </c>
      <c r="AP897" s="336">
        <v>9570</v>
      </c>
      <c r="AQ897" s="334">
        <v>333.91899999999998</v>
      </c>
      <c r="AR897" s="336">
        <v>9580</v>
      </c>
      <c r="AS897" s="334">
        <v>333.24700000000001</v>
      </c>
      <c r="AT897" s="336">
        <v>9580</v>
      </c>
      <c r="AU897" s="334">
        <v>331.654</v>
      </c>
      <c r="AV897" s="336">
        <v>9580</v>
      </c>
      <c r="AW897" s="334">
        <v>332.07799999999997</v>
      </c>
      <c r="AX897" s="336">
        <v>9570</v>
      </c>
      <c r="AY897" s="334">
        <v>261.88200000000001</v>
      </c>
      <c r="AZ897" s="336">
        <v>9580</v>
      </c>
      <c r="BA897" s="337">
        <v>263.37</v>
      </c>
      <c r="BB897" s="336">
        <v>9560</v>
      </c>
      <c r="BC897" s="334">
        <v>58.308999999999997</v>
      </c>
      <c r="BD897" s="336">
        <v>9560</v>
      </c>
      <c r="BE897" s="334">
        <v>62.201999999999998</v>
      </c>
    </row>
    <row r="898" spans="22:57">
      <c r="V898" s="346">
        <v>9590</v>
      </c>
      <c r="W898" s="333">
        <v>131.64099999999999</v>
      </c>
      <c r="X898" s="346">
        <v>9600</v>
      </c>
      <c r="Y898" s="334">
        <v>130.26400000000001</v>
      </c>
      <c r="Z898" s="335">
        <v>9590</v>
      </c>
      <c r="AA898" s="334">
        <v>349.61099999999999</v>
      </c>
      <c r="AB898" s="336">
        <v>9590</v>
      </c>
      <c r="AC898" s="334">
        <v>349.565</v>
      </c>
      <c r="AD898" s="336">
        <v>9590</v>
      </c>
      <c r="AE898" s="334">
        <v>331.65199999999999</v>
      </c>
      <c r="AF898" s="336">
        <v>9590</v>
      </c>
      <c r="AG898" s="334">
        <v>330.73200000000003</v>
      </c>
      <c r="AH898" s="336">
        <v>9590</v>
      </c>
      <c r="AI898" s="334">
        <v>331.46600000000001</v>
      </c>
      <c r="AJ898" s="336">
        <v>9570</v>
      </c>
      <c r="AK898" s="334">
        <v>332.50099999999998</v>
      </c>
      <c r="AL898" s="336">
        <v>9590</v>
      </c>
      <c r="AM898" s="334">
        <v>332.185</v>
      </c>
      <c r="AN898" s="336">
        <v>9590</v>
      </c>
      <c r="AO898" s="334">
        <v>332.83600000000001</v>
      </c>
      <c r="AP898" s="336">
        <v>9580</v>
      </c>
      <c r="AQ898" s="334">
        <v>332.709</v>
      </c>
      <c r="AR898" s="336">
        <v>9590</v>
      </c>
      <c r="AS898" s="334">
        <v>332.036</v>
      </c>
      <c r="AT898" s="336">
        <v>9590</v>
      </c>
      <c r="AU898" s="334">
        <v>330.44400000000002</v>
      </c>
      <c r="AV898" s="336">
        <v>9590</v>
      </c>
      <c r="AW898" s="334">
        <v>330.86799999999999</v>
      </c>
      <c r="AX898" s="336">
        <v>9580</v>
      </c>
      <c r="AY898" s="334">
        <v>260.82900000000001</v>
      </c>
      <c r="AZ898" s="336">
        <v>9590</v>
      </c>
      <c r="BA898" s="337">
        <v>262.25299999999999</v>
      </c>
      <c r="BB898" s="336">
        <v>9570</v>
      </c>
      <c r="BC898" s="334">
        <v>58.030999999999999</v>
      </c>
      <c r="BD898" s="336">
        <v>9570</v>
      </c>
      <c r="BE898" s="334">
        <v>61.91</v>
      </c>
    </row>
    <row r="899" spans="22:57">
      <c r="V899" s="346">
        <v>9600</v>
      </c>
      <c r="W899" s="333">
        <v>130.995</v>
      </c>
      <c r="X899" s="346">
        <v>9610</v>
      </c>
      <c r="Y899" s="334">
        <v>129.62299999999999</v>
      </c>
      <c r="Z899" s="335">
        <v>9600</v>
      </c>
      <c r="AA899" s="334">
        <v>348.16899999999998</v>
      </c>
      <c r="AB899" s="336">
        <v>9600</v>
      </c>
      <c r="AC899" s="334">
        <v>348.12299999999999</v>
      </c>
      <c r="AD899" s="336">
        <v>9600</v>
      </c>
      <c r="AE899" s="334">
        <v>330.44099999999997</v>
      </c>
      <c r="AF899" s="336">
        <v>9600</v>
      </c>
      <c r="AG899" s="334">
        <v>329.51799999999997</v>
      </c>
      <c r="AH899" s="336">
        <v>9600</v>
      </c>
      <c r="AI899" s="334">
        <v>330.25400000000002</v>
      </c>
      <c r="AJ899" s="336">
        <v>9580</v>
      </c>
      <c r="AK899" s="334">
        <v>331.29</v>
      </c>
      <c r="AL899" s="336">
        <v>9600</v>
      </c>
      <c r="AM899" s="334">
        <v>330.97399999999999</v>
      </c>
      <c r="AN899" s="336">
        <v>9600</v>
      </c>
      <c r="AO899" s="334">
        <v>331.62400000000002</v>
      </c>
      <c r="AP899" s="336">
        <v>9590</v>
      </c>
      <c r="AQ899" s="334">
        <v>331.49900000000002</v>
      </c>
      <c r="AR899" s="336">
        <v>9600</v>
      </c>
      <c r="AS899" s="334">
        <v>330.82499999999999</v>
      </c>
      <c r="AT899" s="336">
        <v>9600</v>
      </c>
      <c r="AU899" s="334">
        <v>329.233</v>
      </c>
      <c r="AV899" s="336">
        <v>9600</v>
      </c>
      <c r="AW899" s="334">
        <v>329.65800000000002</v>
      </c>
      <c r="AX899" s="336">
        <v>9590</v>
      </c>
      <c r="AY899" s="334">
        <v>259.77699999999999</v>
      </c>
      <c r="AZ899" s="336">
        <v>9600</v>
      </c>
      <c r="BA899" s="337">
        <v>261.137</v>
      </c>
      <c r="BB899" s="336">
        <v>9580</v>
      </c>
      <c r="BC899" s="334">
        <v>57.753</v>
      </c>
      <c r="BD899" s="336">
        <v>9580</v>
      </c>
      <c r="BE899" s="334">
        <v>61.618000000000002</v>
      </c>
    </row>
    <row r="900" spans="22:57">
      <c r="V900" s="346">
        <v>9610</v>
      </c>
      <c r="W900" s="333">
        <v>130.34899999999999</v>
      </c>
      <c r="X900" s="346">
        <v>9620</v>
      </c>
      <c r="Y900" s="334">
        <v>128.983</v>
      </c>
      <c r="Z900" s="335">
        <v>9610</v>
      </c>
      <c r="AA900" s="334">
        <v>346.72800000000001</v>
      </c>
      <c r="AB900" s="336">
        <v>9610</v>
      </c>
      <c r="AC900" s="334">
        <v>346.68099999999998</v>
      </c>
      <c r="AD900" s="336">
        <v>9610</v>
      </c>
      <c r="AE900" s="334">
        <v>329.23</v>
      </c>
      <c r="AF900" s="336">
        <v>9610</v>
      </c>
      <c r="AG900" s="334">
        <v>328.30500000000001</v>
      </c>
      <c r="AH900" s="336">
        <v>9610</v>
      </c>
      <c r="AI900" s="334">
        <v>329.04300000000001</v>
      </c>
      <c r="AJ900" s="336">
        <v>9590</v>
      </c>
      <c r="AK900" s="334">
        <v>330.07799999999997</v>
      </c>
      <c r="AL900" s="336">
        <v>9610</v>
      </c>
      <c r="AM900" s="334">
        <v>329.762</v>
      </c>
      <c r="AN900" s="336">
        <v>9610</v>
      </c>
      <c r="AO900" s="334">
        <v>330.41199999999998</v>
      </c>
      <c r="AP900" s="336">
        <v>9600</v>
      </c>
      <c r="AQ900" s="334">
        <v>330.28800000000001</v>
      </c>
      <c r="AR900" s="336">
        <v>9610</v>
      </c>
      <c r="AS900" s="334">
        <v>329.61399999999998</v>
      </c>
      <c r="AT900" s="336">
        <v>9610</v>
      </c>
      <c r="AU900" s="334">
        <v>328.02199999999999</v>
      </c>
      <c r="AV900" s="336">
        <v>9610</v>
      </c>
      <c r="AW900" s="334">
        <v>328.44799999999998</v>
      </c>
      <c r="AX900" s="336">
        <v>9600</v>
      </c>
      <c r="AY900" s="334">
        <v>258.72399999999999</v>
      </c>
      <c r="AZ900" s="336">
        <v>9610</v>
      </c>
      <c r="BA900" s="337">
        <v>260.02199999999999</v>
      </c>
      <c r="BB900" s="336">
        <v>9590</v>
      </c>
      <c r="BC900" s="334">
        <v>57.475999999999999</v>
      </c>
      <c r="BD900" s="336">
        <v>9590</v>
      </c>
      <c r="BE900" s="334">
        <v>61.326000000000001</v>
      </c>
    </row>
    <row r="901" spans="22:57">
      <c r="V901" s="346">
        <v>9620</v>
      </c>
      <c r="W901" s="333">
        <v>129.70500000000001</v>
      </c>
      <c r="X901" s="346">
        <v>9630</v>
      </c>
      <c r="Y901" s="334">
        <v>128.34399999999999</v>
      </c>
      <c r="Z901" s="335">
        <v>9620</v>
      </c>
      <c r="AA901" s="334">
        <v>345.28699999999998</v>
      </c>
      <c r="AB901" s="336">
        <v>9620</v>
      </c>
      <c r="AC901" s="334">
        <v>345.24</v>
      </c>
      <c r="AD901" s="336">
        <v>9620</v>
      </c>
      <c r="AE901" s="334">
        <v>328.01799999999997</v>
      </c>
      <c r="AF901" s="336">
        <v>9620</v>
      </c>
      <c r="AG901" s="334">
        <v>327.09199999999998</v>
      </c>
      <c r="AH901" s="336">
        <v>9620</v>
      </c>
      <c r="AI901" s="334">
        <v>327.83100000000002</v>
      </c>
      <c r="AJ901" s="336">
        <v>9600</v>
      </c>
      <c r="AK901" s="334">
        <v>328.86599999999999</v>
      </c>
      <c r="AL901" s="336">
        <v>9620</v>
      </c>
      <c r="AM901" s="334">
        <v>328.55</v>
      </c>
      <c r="AN901" s="336">
        <v>9620</v>
      </c>
      <c r="AO901" s="334">
        <v>329.2</v>
      </c>
      <c r="AP901" s="336">
        <v>9610</v>
      </c>
      <c r="AQ901" s="334">
        <v>329.07799999999997</v>
      </c>
      <c r="AR901" s="336">
        <v>9620</v>
      </c>
      <c r="AS901" s="334">
        <v>328.40300000000002</v>
      </c>
      <c r="AT901" s="336">
        <v>9620</v>
      </c>
      <c r="AU901" s="334">
        <v>326.81099999999998</v>
      </c>
      <c r="AV901" s="336">
        <v>9620</v>
      </c>
      <c r="AW901" s="334">
        <v>327.238</v>
      </c>
      <c r="AX901" s="336">
        <v>9610</v>
      </c>
      <c r="AY901" s="334">
        <v>257.67099999999999</v>
      </c>
      <c r="AZ901" s="336">
        <v>9620</v>
      </c>
      <c r="BA901" s="337">
        <v>258.90800000000002</v>
      </c>
      <c r="BB901" s="336">
        <v>9600</v>
      </c>
      <c r="BC901" s="334">
        <v>57.2</v>
      </c>
      <c r="BD901" s="336">
        <v>9600</v>
      </c>
      <c r="BE901" s="334">
        <v>61.034999999999997</v>
      </c>
    </row>
    <row r="902" spans="22:57">
      <c r="V902" s="346">
        <v>9630</v>
      </c>
      <c r="W902" s="333">
        <v>129.06200000000001</v>
      </c>
      <c r="X902" s="346">
        <v>9640</v>
      </c>
      <c r="Y902" s="334">
        <v>127.706</v>
      </c>
      <c r="Z902" s="335">
        <v>9630</v>
      </c>
      <c r="AA902" s="334">
        <v>343.84699999999998</v>
      </c>
      <c r="AB902" s="336">
        <v>9630</v>
      </c>
      <c r="AC902" s="334">
        <v>343.79899999999998</v>
      </c>
      <c r="AD902" s="336">
        <v>9630</v>
      </c>
      <c r="AE902" s="334">
        <v>326.80700000000002</v>
      </c>
      <c r="AF902" s="336">
        <v>9630</v>
      </c>
      <c r="AG902" s="334">
        <v>325.87799999999999</v>
      </c>
      <c r="AH902" s="336">
        <v>9630</v>
      </c>
      <c r="AI902" s="334">
        <v>326.61900000000003</v>
      </c>
      <c r="AJ902" s="336">
        <v>9610</v>
      </c>
      <c r="AK902" s="334">
        <v>327.654</v>
      </c>
      <c r="AL902" s="336">
        <v>9630</v>
      </c>
      <c r="AM902" s="334">
        <v>327.339</v>
      </c>
      <c r="AN902" s="336">
        <v>9630</v>
      </c>
      <c r="AO902" s="334">
        <v>327.988</v>
      </c>
      <c r="AP902" s="336">
        <v>9620</v>
      </c>
      <c r="AQ902" s="334">
        <v>327.86799999999999</v>
      </c>
      <c r="AR902" s="336">
        <v>9630</v>
      </c>
      <c r="AS902" s="334">
        <v>327.19200000000001</v>
      </c>
      <c r="AT902" s="336">
        <v>9630</v>
      </c>
      <c r="AU902" s="334">
        <v>325.601</v>
      </c>
      <c r="AV902" s="336">
        <v>9630</v>
      </c>
      <c r="AW902" s="334">
        <v>326.02800000000002</v>
      </c>
      <c r="AX902" s="336">
        <v>9620</v>
      </c>
      <c r="AY902" s="334">
        <v>256.61900000000003</v>
      </c>
      <c r="AZ902" s="336">
        <v>9630</v>
      </c>
      <c r="BA902" s="337">
        <v>257.79399999999998</v>
      </c>
      <c r="BB902" s="336">
        <v>9610</v>
      </c>
      <c r="BC902" s="334">
        <v>56.923000000000002</v>
      </c>
      <c r="BD902" s="336">
        <v>9610</v>
      </c>
      <c r="BE902" s="334">
        <v>60.744999999999997</v>
      </c>
    </row>
    <row r="903" spans="22:57">
      <c r="V903" s="346">
        <v>9640</v>
      </c>
      <c r="W903" s="333">
        <v>128.42099999999999</v>
      </c>
      <c r="X903" s="346">
        <v>9650</v>
      </c>
      <c r="Y903" s="334">
        <v>127.07</v>
      </c>
      <c r="Z903" s="335">
        <v>9640</v>
      </c>
      <c r="AA903" s="334">
        <v>342.40699999999998</v>
      </c>
      <c r="AB903" s="336">
        <v>9640</v>
      </c>
      <c r="AC903" s="334">
        <v>342.35899999999998</v>
      </c>
      <c r="AD903" s="336">
        <v>9640</v>
      </c>
      <c r="AE903" s="334">
        <v>325.59500000000003</v>
      </c>
      <c r="AF903" s="336">
        <v>9640</v>
      </c>
      <c r="AG903" s="334">
        <v>324.66500000000002</v>
      </c>
      <c r="AH903" s="336">
        <v>9640</v>
      </c>
      <c r="AI903" s="334">
        <v>325.40800000000002</v>
      </c>
      <c r="AJ903" s="336">
        <v>9620</v>
      </c>
      <c r="AK903" s="334">
        <v>326.44200000000001</v>
      </c>
      <c r="AL903" s="336">
        <v>9640</v>
      </c>
      <c r="AM903" s="334">
        <v>326.12700000000001</v>
      </c>
      <c r="AN903" s="336">
        <v>9640</v>
      </c>
      <c r="AO903" s="334">
        <v>326.77600000000001</v>
      </c>
      <c r="AP903" s="336">
        <v>9630</v>
      </c>
      <c r="AQ903" s="334">
        <v>326.65699999999998</v>
      </c>
      <c r="AR903" s="336">
        <v>9640</v>
      </c>
      <c r="AS903" s="334">
        <v>325.98099999999999</v>
      </c>
      <c r="AT903" s="336">
        <v>9640</v>
      </c>
      <c r="AU903" s="334">
        <v>324.39</v>
      </c>
      <c r="AV903" s="336">
        <v>9640</v>
      </c>
      <c r="AW903" s="334">
        <v>324.81799999999998</v>
      </c>
      <c r="AX903" s="336">
        <v>9630</v>
      </c>
      <c r="AY903" s="334">
        <v>255.566</v>
      </c>
      <c r="AZ903" s="336">
        <v>9640</v>
      </c>
      <c r="BA903" s="337">
        <v>256.68200000000002</v>
      </c>
      <c r="BB903" s="336">
        <v>9620</v>
      </c>
      <c r="BC903" s="334">
        <v>56.648000000000003</v>
      </c>
      <c r="BD903" s="336">
        <v>9620</v>
      </c>
      <c r="BE903" s="334">
        <v>60.454000000000001</v>
      </c>
    </row>
    <row r="904" spans="22:57">
      <c r="V904" s="346">
        <v>9650</v>
      </c>
      <c r="W904" s="333">
        <v>127.78</v>
      </c>
      <c r="X904" s="346">
        <v>9660</v>
      </c>
      <c r="Y904" s="334">
        <v>126.435</v>
      </c>
      <c r="Z904" s="335">
        <v>9650</v>
      </c>
      <c r="AA904" s="334">
        <v>340.96699999999998</v>
      </c>
      <c r="AB904" s="336">
        <v>9650</v>
      </c>
      <c r="AC904" s="334">
        <v>340.91899999999998</v>
      </c>
      <c r="AD904" s="336">
        <v>9650</v>
      </c>
      <c r="AE904" s="334">
        <v>324.38400000000001</v>
      </c>
      <c r="AF904" s="336">
        <v>9650</v>
      </c>
      <c r="AG904" s="334">
        <v>323.452</v>
      </c>
      <c r="AH904" s="336">
        <v>9650</v>
      </c>
      <c r="AI904" s="334">
        <v>324.19600000000003</v>
      </c>
      <c r="AJ904" s="336">
        <v>9630</v>
      </c>
      <c r="AK904" s="334">
        <v>325.23</v>
      </c>
      <c r="AL904" s="336">
        <v>9650</v>
      </c>
      <c r="AM904" s="334">
        <v>324.91500000000002</v>
      </c>
      <c r="AN904" s="336">
        <v>9650</v>
      </c>
      <c r="AO904" s="334">
        <v>325.56400000000002</v>
      </c>
      <c r="AP904" s="336">
        <v>9640</v>
      </c>
      <c r="AQ904" s="334">
        <v>325.447</v>
      </c>
      <c r="AR904" s="336">
        <v>9650</v>
      </c>
      <c r="AS904" s="334">
        <v>324.77</v>
      </c>
      <c r="AT904" s="336">
        <v>9650</v>
      </c>
      <c r="AU904" s="334">
        <v>323.17899999999997</v>
      </c>
      <c r="AV904" s="336">
        <v>9650</v>
      </c>
      <c r="AW904" s="334">
        <v>323.608</v>
      </c>
      <c r="AX904" s="336">
        <v>9640</v>
      </c>
      <c r="AY904" s="334">
        <v>254.51300000000001</v>
      </c>
      <c r="AZ904" s="336">
        <v>9650</v>
      </c>
      <c r="BA904" s="337">
        <v>255.57</v>
      </c>
      <c r="BB904" s="336">
        <v>9630</v>
      </c>
      <c r="BC904" s="334">
        <v>56.372</v>
      </c>
      <c r="BD904" s="336">
        <v>9630</v>
      </c>
      <c r="BE904" s="334">
        <v>60.164999999999999</v>
      </c>
    </row>
    <row r="905" spans="22:57">
      <c r="V905" s="346">
        <v>9660</v>
      </c>
      <c r="W905" s="333">
        <v>127.14100000000001</v>
      </c>
      <c r="X905" s="346">
        <v>9670</v>
      </c>
      <c r="Y905" s="334">
        <v>125.801</v>
      </c>
      <c r="Z905" s="335">
        <v>9660</v>
      </c>
      <c r="AA905" s="334">
        <v>339.52800000000002</v>
      </c>
      <c r="AB905" s="336">
        <v>9660</v>
      </c>
      <c r="AC905" s="334">
        <v>339.47899999999998</v>
      </c>
      <c r="AD905" s="336">
        <v>9660</v>
      </c>
      <c r="AE905" s="334">
        <v>323.173</v>
      </c>
      <c r="AF905" s="336">
        <v>9660</v>
      </c>
      <c r="AG905" s="334">
        <v>322.238</v>
      </c>
      <c r="AH905" s="336">
        <v>9660</v>
      </c>
      <c r="AI905" s="334">
        <v>322.98399999999998</v>
      </c>
      <c r="AJ905" s="336">
        <v>9640</v>
      </c>
      <c r="AK905" s="334">
        <v>324.01799999999997</v>
      </c>
      <c r="AL905" s="336">
        <v>9660</v>
      </c>
      <c r="AM905" s="334">
        <v>323.70400000000001</v>
      </c>
      <c r="AN905" s="336">
        <v>9660</v>
      </c>
      <c r="AO905" s="334">
        <v>324.35199999999998</v>
      </c>
      <c r="AP905" s="336">
        <v>9650</v>
      </c>
      <c r="AQ905" s="334">
        <v>324.23599999999999</v>
      </c>
      <c r="AR905" s="336">
        <v>9660</v>
      </c>
      <c r="AS905" s="334">
        <v>323.55900000000003</v>
      </c>
      <c r="AT905" s="336">
        <v>9660</v>
      </c>
      <c r="AU905" s="334">
        <v>321.96899999999999</v>
      </c>
      <c r="AV905" s="336">
        <v>9660</v>
      </c>
      <c r="AW905" s="334">
        <v>322.39800000000002</v>
      </c>
      <c r="AX905" s="336">
        <v>9650</v>
      </c>
      <c r="AY905" s="334">
        <v>253.46100000000001</v>
      </c>
      <c r="AZ905" s="336">
        <v>9660</v>
      </c>
      <c r="BA905" s="337">
        <v>254.46</v>
      </c>
      <c r="BB905" s="336">
        <v>9640</v>
      </c>
      <c r="BC905" s="334">
        <v>56.097000000000001</v>
      </c>
      <c r="BD905" s="336">
        <v>9640</v>
      </c>
      <c r="BE905" s="334">
        <v>59.875999999999998</v>
      </c>
    </row>
    <row r="906" spans="22:57">
      <c r="V906" s="346">
        <v>9670</v>
      </c>
      <c r="W906" s="333">
        <v>126.504</v>
      </c>
      <c r="X906" s="346">
        <v>9680</v>
      </c>
      <c r="Y906" s="334">
        <v>125.169</v>
      </c>
      <c r="Z906" s="335">
        <v>9670</v>
      </c>
      <c r="AA906" s="334">
        <v>338.09</v>
      </c>
      <c r="AB906" s="336">
        <v>9670</v>
      </c>
      <c r="AC906" s="334">
        <v>338.041</v>
      </c>
      <c r="AD906" s="336">
        <v>9670</v>
      </c>
      <c r="AE906" s="334">
        <v>321.96100000000001</v>
      </c>
      <c r="AF906" s="336">
        <v>9670</v>
      </c>
      <c r="AG906" s="334">
        <v>321.02499999999998</v>
      </c>
      <c r="AH906" s="336">
        <v>9670</v>
      </c>
      <c r="AI906" s="334">
        <v>321.77300000000002</v>
      </c>
      <c r="AJ906" s="336">
        <v>9650</v>
      </c>
      <c r="AK906" s="334">
        <v>322.80599999999998</v>
      </c>
      <c r="AL906" s="336">
        <v>9670</v>
      </c>
      <c r="AM906" s="334">
        <v>322.49200000000002</v>
      </c>
      <c r="AN906" s="336">
        <v>9670</v>
      </c>
      <c r="AO906" s="334">
        <v>323.14</v>
      </c>
      <c r="AP906" s="336">
        <v>9660</v>
      </c>
      <c r="AQ906" s="334">
        <v>323.02600000000001</v>
      </c>
      <c r="AR906" s="336">
        <v>9670</v>
      </c>
      <c r="AS906" s="334">
        <v>322.34800000000001</v>
      </c>
      <c r="AT906" s="336">
        <v>9670</v>
      </c>
      <c r="AU906" s="334">
        <v>320.75799999999998</v>
      </c>
      <c r="AV906" s="336">
        <v>9670</v>
      </c>
      <c r="AW906" s="334">
        <v>321.18799999999999</v>
      </c>
      <c r="AX906" s="336">
        <v>9660</v>
      </c>
      <c r="AY906" s="334">
        <v>252.40799999999999</v>
      </c>
      <c r="AZ906" s="336">
        <v>9670</v>
      </c>
      <c r="BA906" s="337">
        <v>253.35</v>
      </c>
      <c r="BB906" s="336">
        <v>9650</v>
      </c>
      <c r="BC906" s="334">
        <v>55.823</v>
      </c>
      <c r="BD906" s="336">
        <v>9650</v>
      </c>
      <c r="BE906" s="334">
        <v>59.587000000000003</v>
      </c>
    </row>
    <row r="907" spans="22:57">
      <c r="V907" s="346">
        <v>9680</v>
      </c>
      <c r="W907" s="333">
        <v>125.867</v>
      </c>
      <c r="X907" s="346">
        <v>9690</v>
      </c>
      <c r="Y907" s="334">
        <v>124.538</v>
      </c>
      <c r="Z907" s="335">
        <v>9680</v>
      </c>
      <c r="AA907" s="334">
        <v>336.65100000000001</v>
      </c>
      <c r="AB907" s="336">
        <v>9680</v>
      </c>
      <c r="AC907" s="334">
        <v>336.60199999999998</v>
      </c>
      <c r="AD907" s="336">
        <v>9680</v>
      </c>
      <c r="AE907" s="334">
        <v>320.75</v>
      </c>
      <c r="AF907" s="336">
        <v>9680</v>
      </c>
      <c r="AG907" s="334">
        <v>319.81200000000001</v>
      </c>
      <c r="AH907" s="336">
        <v>9680</v>
      </c>
      <c r="AI907" s="334">
        <v>320.56099999999998</v>
      </c>
      <c r="AJ907" s="336">
        <v>9660</v>
      </c>
      <c r="AK907" s="334">
        <v>321.59399999999999</v>
      </c>
      <c r="AL907" s="336">
        <v>9680</v>
      </c>
      <c r="AM907" s="334">
        <v>321.27999999999997</v>
      </c>
      <c r="AN907" s="336">
        <v>9680</v>
      </c>
      <c r="AO907" s="334">
        <v>321.928</v>
      </c>
      <c r="AP907" s="336">
        <v>9670</v>
      </c>
      <c r="AQ907" s="334">
        <v>321.81599999999997</v>
      </c>
      <c r="AR907" s="336">
        <v>9680</v>
      </c>
      <c r="AS907" s="334">
        <v>321.13600000000002</v>
      </c>
      <c r="AT907" s="336">
        <v>9680</v>
      </c>
      <c r="AU907" s="334">
        <v>319.54700000000003</v>
      </c>
      <c r="AV907" s="336">
        <v>9680</v>
      </c>
      <c r="AW907" s="334">
        <v>319.97800000000001</v>
      </c>
      <c r="AX907" s="336">
        <v>9670</v>
      </c>
      <c r="AY907" s="334">
        <v>251.35499999999999</v>
      </c>
      <c r="AZ907" s="336">
        <v>9680</v>
      </c>
      <c r="BA907" s="337">
        <v>252.24199999999999</v>
      </c>
      <c r="BB907" s="336">
        <v>9660</v>
      </c>
      <c r="BC907" s="334">
        <v>55.548999999999999</v>
      </c>
      <c r="BD907" s="336">
        <v>9660</v>
      </c>
      <c r="BE907" s="334">
        <v>59.298000000000002</v>
      </c>
    </row>
    <row r="908" spans="22:57">
      <c r="V908" s="346">
        <v>9690</v>
      </c>
      <c r="W908" s="333">
        <v>125.232</v>
      </c>
      <c r="X908" s="346">
        <v>9700</v>
      </c>
      <c r="Y908" s="334">
        <v>123.908</v>
      </c>
      <c r="Z908" s="335">
        <v>9690</v>
      </c>
      <c r="AA908" s="334">
        <v>335.214</v>
      </c>
      <c r="AB908" s="336">
        <v>9690</v>
      </c>
      <c r="AC908" s="334">
        <v>335.16399999999999</v>
      </c>
      <c r="AD908" s="336">
        <v>9690</v>
      </c>
      <c r="AE908" s="334">
        <v>319.53899999999999</v>
      </c>
      <c r="AF908" s="336">
        <v>9690</v>
      </c>
      <c r="AG908" s="334">
        <v>318.59800000000001</v>
      </c>
      <c r="AH908" s="336">
        <v>9690</v>
      </c>
      <c r="AI908" s="334">
        <v>319.34899999999999</v>
      </c>
      <c r="AJ908" s="336">
        <v>9670</v>
      </c>
      <c r="AK908" s="334">
        <v>320.38200000000001</v>
      </c>
      <c r="AL908" s="336">
        <v>9690</v>
      </c>
      <c r="AM908" s="334">
        <v>320.06900000000002</v>
      </c>
      <c r="AN908" s="336">
        <v>9690</v>
      </c>
      <c r="AO908" s="334">
        <v>320.71600000000001</v>
      </c>
      <c r="AP908" s="336">
        <v>9680</v>
      </c>
      <c r="AQ908" s="334">
        <v>320.60500000000002</v>
      </c>
      <c r="AR908" s="336">
        <v>9690</v>
      </c>
      <c r="AS908" s="334">
        <v>319.92500000000001</v>
      </c>
      <c r="AT908" s="336">
        <v>9690</v>
      </c>
      <c r="AU908" s="334">
        <v>318.33600000000001</v>
      </c>
      <c r="AV908" s="336">
        <v>9690</v>
      </c>
      <c r="AW908" s="334">
        <v>318.76799999999997</v>
      </c>
      <c r="AX908" s="336">
        <v>9680</v>
      </c>
      <c r="AY908" s="334">
        <v>250.303</v>
      </c>
      <c r="AZ908" s="336">
        <v>9690</v>
      </c>
      <c r="BA908" s="337">
        <v>251.13399999999999</v>
      </c>
      <c r="BB908" s="336">
        <v>9670</v>
      </c>
      <c r="BC908" s="334">
        <v>55.274999999999999</v>
      </c>
      <c r="BD908" s="336">
        <v>9670</v>
      </c>
      <c r="BE908" s="334">
        <v>59.011000000000003</v>
      </c>
    </row>
    <row r="909" spans="22:57">
      <c r="V909" s="346">
        <v>9700</v>
      </c>
      <c r="W909" s="333">
        <v>124.598</v>
      </c>
      <c r="X909" s="346">
        <v>9710</v>
      </c>
      <c r="Y909" s="334">
        <v>123.28</v>
      </c>
      <c r="Z909" s="335">
        <v>9700</v>
      </c>
      <c r="AA909" s="334">
        <v>333.77699999999999</v>
      </c>
      <c r="AB909" s="336">
        <v>9700</v>
      </c>
      <c r="AC909" s="334">
        <v>333.72699999999998</v>
      </c>
      <c r="AD909" s="336">
        <v>9700</v>
      </c>
      <c r="AE909" s="334">
        <v>318.327</v>
      </c>
      <c r="AF909" s="336">
        <v>9700</v>
      </c>
      <c r="AG909" s="334">
        <v>317.38499999999999</v>
      </c>
      <c r="AH909" s="336">
        <v>9700</v>
      </c>
      <c r="AI909" s="334">
        <v>318.13799999999998</v>
      </c>
      <c r="AJ909" s="336">
        <v>9680</v>
      </c>
      <c r="AK909" s="334">
        <v>319.17099999999999</v>
      </c>
      <c r="AL909" s="336">
        <v>9700</v>
      </c>
      <c r="AM909" s="334">
        <v>318.85700000000003</v>
      </c>
      <c r="AN909" s="336">
        <v>9700</v>
      </c>
      <c r="AO909" s="334">
        <v>319.50400000000002</v>
      </c>
      <c r="AP909" s="336">
        <v>9690</v>
      </c>
      <c r="AQ909" s="334">
        <v>319.39499999999998</v>
      </c>
      <c r="AR909" s="336">
        <v>9700</v>
      </c>
      <c r="AS909" s="334">
        <v>318.714</v>
      </c>
      <c r="AT909" s="336">
        <v>9700</v>
      </c>
      <c r="AU909" s="334">
        <v>317.12599999999998</v>
      </c>
      <c r="AV909" s="336">
        <v>9700</v>
      </c>
      <c r="AW909" s="334">
        <v>317.55799999999999</v>
      </c>
      <c r="AX909" s="336">
        <v>9690</v>
      </c>
      <c r="AY909" s="334">
        <v>249.25</v>
      </c>
      <c r="AZ909" s="336">
        <v>9700</v>
      </c>
      <c r="BA909" s="337">
        <v>250.02699999999999</v>
      </c>
      <c r="BB909" s="336">
        <v>9680</v>
      </c>
      <c r="BC909" s="334">
        <v>55.002000000000002</v>
      </c>
      <c r="BD909" s="336">
        <v>9680</v>
      </c>
      <c r="BE909" s="334">
        <v>58.722999999999999</v>
      </c>
    </row>
    <row r="910" spans="22:57">
      <c r="V910" s="346">
        <v>9710</v>
      </c>
      <c r="W910" s="333">
        <v>123.96599999999999</v>
      </c>
      <c r="X910" s="346">
        <v>9720</v>
      </c>
      <c r="Y910" s="334">
        <v>122.652</v>
      </c>
      <c r="Z910" s="335">
        <v>9710</v>
      </c>
      <c r="AA910" s="334">
        <v>332.34</v>
      </c>
      <c r="AB910" s="336">
        <v>9710</v>
      </c>
      <c r="AC910" s="334">
        <v>332.29</v>
      </c>
      <c r="AD910" s="336">
        <v>9710</v>
      </c>
      <c r="AE910" s="334">
        <v>317.11599999999999</v>
      </c>
      <c r="AF910" s="336">
        <v>9710</v>
      </c>
      <c r="AG910" s="334">
        <v>316.17200000000003</v>
      </c>
      <c r="AH910" s="336">
        <v>9710</v>
      </c>
      <c r="AI910" s="334">
        <v>316.92599999999999</v>
      </c>
      <c r="AJ910" s="336">
        <v>9690</v>
      </c>
      <c r="AK910" s="334">
        <v>317.959</v>
      </c>
      <c r="AL910" s="336">
        <v>9710</v>
      </c>
      <c r="AM910" s="334">
        <v>317.64499999999998</v>
      </c>
      <c r="AN910" s="336">
        <v>9710</v>
      </c>
      <c r="AO910" s="334">
        <v>318.29199999999997</v>
      </c>
      <c r="AP910" s="336">
        <v>9700</v>
      </c>
      <c r="AQ910" s="334">
        <v>318.18400000000003</v>
      </c>
      <c r="AR910" s="336">
        <v>9710</v>
      </c>
      <c r="AS910" s="334">
        <v>317.50299999999999</v>
      </c>
      <c r="AT910" s="336">
        <v>9710</v>
      </c>
      <c r="AU910" s="334">
        <v>315.91500000000002</v>
      </c>
      <c r="AV910" s="336">
        <v>9710</v>
      </c>
      <c r="AW910" s="334">
        <v>316.34800000000001</v>
      </c>
      <c r="AX910" s="336">
        <v>9700</v>
      </c>
      <c r="AY910" s="334">
        <v>248.197</v>
      </c>
      <c r="AZ910" s="336">
        <v>9710</v>
      </c>
      <c r="BA910" s="337">
        <v>248.92099999999999</v>
      </c>
      <c r="BB910" s="336">
        <v>9690</v>
      </c>
      <c r="BC910" s="334">
        <v>54.728999999999999</v>
      </c>
      <c r="BD910" s="336">
        <v>9690</v>
      </c>
      <c r="BE910" s="334">
        <v>58.436</v>
      </c>
    </row>
    <row r="911" spans="22:57">
      <c r="V911" s="346">
        <v>9720</v>
      </c>
      <c r="W911" s="333">
        <v>123.334</v>
      </c>
      <c r="X911" s="346">
        <v>9730</v>
      </c>
      <c r="Y911" s="334">
        <v>122.026</v>
      </c>
      <c r="Z911" s="335">
        <v>9720</v>
      </c>
      <c r="AA911" s="334">
        <v>330.904</v>
      </c>
      <c r="AB911" s="336">
        <v>9720</v>
      </c>
      <c r="AC911" s="334">
        <v>330.85399999999998</v>
      </c>
      <c r="AD911" s="336">
        <v>9720</v>
      </c>
      <c r="AE911" s="334">
        <v>315.904</v>
      </c>
      <c r="AF911" s="336">
        <v>9720</v>
      </c>
      <c r="AG911" s="334">
        <v>314.95800000000003</v>
      </c>
      <c r="AH911" s="336">
        <v>9720</v>
      </c>
      <c r="AI911" s="334">
        <v>315.714</v>
      </c>
      <c r="AJ911" s="336">
        <v>9700</v>
      </c>
      <c r="AK911" s="334">
        <v>316.74700000000001</v>
      </c>
      <c r="AL911" s="336">
        <v>9720</v>
      </c>
      <c r="AM911" s="334">
        <v>316.43400000000003</v>
      </c>
      <c r="AN911" s="336">
        <v>9720</v>
      </c>
      <c r="AO911" s="334">
        <v>317.08</v>
      </c>
      <c r="AP911" s="336">
        <v>9710</v>
      </c>
      <c r="AQ911" s="334">
        <v>316.97399999999999</v>
      </c>
      <c r="AR911" s="336">
        <v>9720</v>
      </c>
      <c r="AS911" s="334">
        <v>316.29199999999997</v>
      </c>
      <c r="AT911" s="336">
        <v>9720</v>
      </c>
      <c r="AU911" s="334">
        <v>314.70400000000001</v>
      </c>
      <c r="AV911" s="336">
        <v>9720</v>
      </c>
      <c r="AW911" s="334">
        <v>315.13799999999998</v>
      </c>
      <c r="AX911" s="336">
        <v>9710</v>
      </c>
      <c r="AY911" s="334">
        <v>247.14500000000001</v>
      </c>
      <c r="AZ911" s="336">
        <v>9720</v>
      </c>
      <c r="BA911" s="337">
        <v>247.816</v>
      </c>
      <c r="BB911" s="336">
        <v>9700</v>
      </c>
      <c r="BC911" s="334">
        <v>54.457000000000001</v>
      </c>
      <c r="BD911" s="336">
        <v>9700</v>
      </c>
      <c r="BE911" s="334">
        <v>58.15</v>
      </c>
    </row>
    <row r="912" spans="22:57">
      <c r="V912" s="346">
        <v>9730</v>
      </c>
      <c r="W912" s="333">
        <v>122.70399999999999</v>
      </c>
      <c r="X912" s="346">
        <v>9740</v>
      </c>
      <c r="Y912" s="334">
        <v>121.402</v>
      </c>
      <c r="Z912" s="335">
        <v>9730</v>
      </c>
      <c r="AA912" s="334">
        <v>329.46899999999999</v>
      </c>
      <c r="AB912" s="336">
        <v>9730</v>
      </c>
      <c r="AC912" s="334">
        <v>329.41899999999998</v>
      </c>
      <c r="AD912" s="336">
        <v>9730</v>
      </c>
      <c r="AE912" s="334">
        <v>314.69299999999998</v>
      </c>
      <c r="AF912" s="336">
        <v>9730</v>
      </c>
      <c r="AG912" s="334">
        <v>313.745</v>
      </c>
      <c r="AH912" s="336">
        <v>9730</v>
      </c>
      <c r="AI912" s="334">
        <v>314.50299999999999</v>
      </c>
      <c r="AJ912" s="336">
        <v>9710</v>
      </c>
      <c r="AK912" s="334">
        <v>315.53500000000003</v>
      </c>
      <c r="AL912" s="336">
        <v>9730</v>
      </c>
      <c r="AM912" s="334">
        <v>315.22199999999998</v>
      </c>
      <c r="AN912" s="336">
        <v>9730</v>
      </c>
      <c r="AO912" s="334">
        <v>315.86799999999999</v>
      </c>
      <c r="AP912" s="336">
        <v>9720</v>
      </c>
      <c r="AQ912" s="334">
        <v>315.76400000000001</v>
      </c>
      <c r="AR912" s="336">
        <v>9730</v>
      </c>
      <c r="AS912" s="334">
        <v>315.08100000000002</v>
      </c>
      <c r="AT912" s="336">
        <v>9730</v>
      </c>
      <c r="AU912" s="334">
        <v>313.49299999999999</v>
      </c>
      <c r="AV912" s="336">
        <v>9730</v>
      </c>
      <c r="AW912" s="334">
        <v>313.928</v>
      </c>
      <c r="AX912" s="336">
        <v>9720</v>
      </c>
      <c r="AY912" s="334">
        <v>246.09200000000001</v>
      </c>
      <c r="AZ912" s="336">
        <v>9730</v>
      </c>
      <c r="BA912" s="337">
        <v>246.71199999999999</v>
      </c>
      <c r="BB912" s="336">
        <v>9710</v>
      </c>
      <c r="BC912" s="334">
        <v>54.186</v>
      </c>
      <c r="BD912" s="336">
        <v>9710</v>
      </c>
      <c r="BE912" s="334">
        <v>57.863999999999997</v>
      </c>
    </row>
    <row r="913" spans="22:57">
      <c r="V913" s="346">
        <v>9740</v>
      </c>
      <c r="W913" s="333">
        <v>122.07599999999999</v>
      </c>
      <c r="X913" s="346">
        <v>9750</v>
      </c>
      <c r="Y913" s="334">
        <v>120.77800000000001</v>
      </c>
      <c r="Z913" s="335">
        <v>9740</v>
      </c>
      <c r="AA913" s="334">
        <v>328.03399999999999</v>
      </c>
      <c r="AB913" s="336">
        <v>9740</v>
      </c>
      <c r="AC913" s="334">
        <v>327.98399999999998</v>
      </c>
      <c r="AD913" s="336">
        <v>9740</v>
      </c>
      <c r="AE913" s="334">
        <v>313.48200000000003</v>
      </c>
      <c r="AF913" s="336">
        <v>9740</v>
      </c>
      <c r="AG913" s="334">
        <v>312.53199999999998</v>
      </c>
      <c r="AH913" s="336">
        <v>9740</v>
      </c>
      <c r="AI913" s="334">
        <v>313.291</v>
      </c>
      <c r="AJ913" s="336">
        <v>9720</v>
      </c>
      <c r="AK913" s="334">
        <v>314.32299999999998</v>
      </c>
      <c r="AL913" s="336">
        <v>9740</v>
      </c>
      <c r="AM913" s="334">
        <v>314.01100000000002</v>
      </c>
      <c r="AN913" s="336">
        <v>9740</v>
      </c>
      <c r="AO913" s="334">
        <v>314.65600000000001</v>
      </c>
      <c r="AP913" s="336">
        <v>9730</v>
      </c>
      <c r="AQ913" s="334">
        <v>314.553</v>
      </c>
      <c r="AR913" s="336">
        <v>9740</v>
      </c>
      <c r="AS913" s="334">
        <v>313.87</v>
      </c>
      <c r="AT913" s="336">
        <v>9740</v>
      </c>
      <c r="AU913" s="334">
        <v>312.28300000000002</v>
      </c>
      <c r="AV913" s="336">
        <v>9740</v>
      </c>
      <c r="AW913" s="334">
        <v>312.71800000000002</v>
      </c>
      <c r="AX913" s="336">
        <v>9730</v>
      </c>
      <c r="AY913" s="334">
        <v>245.03899999999999</v>
      </c>
      <c r="AZ913" s="336">
        <v>9740</v>
      </c>
      <c r="BA913" s="337">
        <v>245.60900000000001</v>
      </c>
      <c r="BB913" s="336">
        <v>9720</v>
      </c>
      <c r="BC913" s="334">
        <v>53.914000000000001</v>
      </c>
      <c r="BD913" s="336">
        <v>9720</v>
      </c>
      <c r="BE913" s="334">
        <v>57.578000000000003</v>
      </c>
    </row>
    <row r="914" spans="22:57">
      <c r="V914" s="346">
        <v>9750</v>
      </c>
      <c r="W914" s="333">
        <v>121.44799999999999</v>
      </c>
      <c r="X914" s="346">
        <v>9760</v>
      </c>
      <c r="Y914" s="334">
        <v>120.15600000000001</v>
      </c>
      <c r="Z914" s="335">
        <v>9750</v>
      </c>
      <c r="AA914" s="334">
        <v>326.59899999999999</v>
      </c>
      <c r="AB914" s="336">
        <v>9750</v>
      </c>
      <c r="AC914" s="334">
        <v>326.54899999999998</v>
      </c>
      <c r="AD914" s="336">
        <v>9750</v>
      </c>
      <c r="AE914" s="334">
        <v>312.27</v>
      </c>
      <c r="AF914" s="336">
        <v>9750</v>
      </c>
      <c r="AG914" s="334">
        <v>311.31799999999998</v>
      </c>
      <c r="AH914" s="336">
        <v>9750</v>
      </c>
      <c r="AI914" s="334">
        <v>312.08</v>
      </c>
      <c r="AJ914" s="336">
        <v>9730</v>
      </c>
      <c r="AK914" s="334">
        <v>313.11099999999999</v>
      </c>
      <c r="AL914" s="336">
        <v>9750</v>
      </c>
      <c r="AM914" s="334">
        <v>312.79899999999998</v>
      </c>
      <c r="AN914" s="336">
        <v>9750</v>
      </c>
      <c r="AO914" s="334">
        <v>313.44400000000002</v>
      </c>
      <c r="AP914" s="336">
        <v>9740</v>
      </c>
      <c r="AQ914" s="334">
        <v>313.34300000000002</v>
      </c>
      <c r="AR914" s="336">
        <v>9750</v>
      </c>
      <c r="AS914" s="334">
        <v>312.65899999999999</v>
      </c>
      <c r="AT914" s="336">
        <v>9750</v>
      </c>
      <c r="AU914" s="334">
        <v>311.072</v>
      </c>
      <c r="AV914" s="336">
        <v>9750</v>
      </c>
      <c r="AW914" s="334">
        <v>311.50799999999998</v>
      </c>
      <c r="AX914" s="336">
        <v>9740</v>
      </c>
      <c r="AY914" s="334">
        <v>243.98699999999999</v>
      </c>
      <c r="AZ914" s="336">
        <v>9750</v>
      </c>
      <c r="BA914" s="337">
        <v>244.50700000000001</v>
      </c>
      <c r="BB914" s="336">
        <v>9730</v>
      </c>
      <c r="BC914" s="334">
        <v>53.643000000000001</v>
      </c>
      <c r="BD914" s="336">
        <v>9730</v>
      </c>
      <c r="BE914" s="334">
        <v>57.292999999999999</v>
      </c>
    </row>
    <row r="915" spans="22:57">
      <c r="V915" s="346">
        <v>9760</v>
      </c>
      <c r="W915" s="333">
        <v>120.822</v>
      </c>
      <c r="X915" s="346">
        <v>9770</v>
      </c>
      <c r="Y915" s="334">
        <v>119.535</v>
      </c>
      <c r="Z915" s="335">
        <v>9760</v>
      </c>
      <c r="AA915" s="334">
        <v>325.16500000000002</v>
      </c>
      <c r="AB915" s="336">
        <v>9760</v>
      </c>
      <c r="AC915" s="334">
        <v>325.11599999999999</v>
      </c>
      <c r="AD915" s="336">
        <v>9760</v>
      </c>
      <c r="AE915" s="334">
        <v>311.05900000000003</v>
      </c>
      <c r="AF915" s="336">
        <v>9760</v>
      </c>
      <c r="AG915" s="334">
        <v>310.10500000000002</v>
      </c>
      <c r="AH915" s="336">
        <v>9760</v>
      </c>
      <c r="AI915" s="334">
        <v>310.86799999999999</v>
      </c>
      <c r="AJ915" s="336">
        <v>9740</v>
      </c>
      <c r="AK915" s="334">
        <v>311.899</v>
      </c>
      <c r="AL915" s="336">
        <v>9760</v>
      </c>
      <c r="AM915" s="334">
        <v>311.58699999999999</v>
      </c>
      <c r="AN915" s="336">
        <v>9760</v>
      </c>
      <c r="AO915" s="334">
        <v>312.23200000000003</v>
      </c>
      <c r="AP915" s="336">
        <v>9750</v>
      </c>
      <c r="AQ915" s="334">
        <v>312.13200000000001</v>
      </c>
      <c r="AR915" s="336">
        <v>9760</v>
      </c>
      <c r="AS915" s="334">
        <v>311.44799999999998</v>
      </c>
      <c r="AT915" s="336">
        <v>9760</v>
      </c>
      <c r="AU915" s="334">
        <v>309.86099999999999</v>
      </c>
      <c r="AV915" s="336">
        <v>9760</v>
      </c>
      <c r="AW915" s="334">
        <v>310.298</v>
      </c>
      <c r="AX915" s="336">
        <v>9750</v>
      </c>
      <c r="AY915" s="334">
        <v>242.934</v>
      </c>
      <c r="AZ915" s="336">
        <v>9760</v>
      </c>
      <c r="BA915" s="337">
        <v>243.40600000000001</v>
      </c>
      <c r="BB915" s="336">
        <v>9740</v>
      </c>
      <c r="BC915" s="334">
        <v>53.372999999999998</v>
      </c>
      <c r="BD915" s="336">
        <v>9740</v>
      </c>
      <c r="BE915" s="334">
        <v>57.008000000000003</v>
      </c>
    </row>
    <row r="916" spans="22:57">
      <c r="V916" s="346">
        <v>9770</v>
      </c>
      <c r="W916" s="333">
        <v>120.197</v>
      </c>
      <c r="X916" s="346">
        <v>9780</v>
      </c>
      <c r="Y916" s="334">
        <v>118.916</v>
      </c>
      <c r="Z916" s="335">
        <v>9770</v>
      </c>
      <c r="AA916" s="334">
        <v>323.73200000000003</v>
      </c>
      <c r="AB916" s="336">
        <v>9770</v>
      </c>
      <c r="AC916" s="334">
        <v>323.68299999999999</v>
      </c>
      <c r="AD916" s="336">
        <v>9770</v>
      </c>
      <c r="AE916" s="334">
        <v>309.84800000000001</v>
      </c>
      <c r="AF916" s="336">
        <v>9770</v>
      </c>
      <c r="AG916" s="334">
        <v>308.892</v>
      </c>
      <c r="AH916" s="336">
        <v>9770</v>
      </c>
      <c r="AI916" s="334">
        <v>309.65600000000001</v>
      </c>
      <c r="AJ916" s="336">
        <v>9750</v>
      </c>
      <c r="AK916" s="334">
        <v>310.68700000000001</v>
      </c>
      <c r="AL916" s="336">
        <v>9770</v>
      </c>
      <c r="AM916" s="334">
        <v>310.37599999999998</v>
      </c>
      <c r="AN916" s="336">
        <v>9770</v>
      </c>
      <c r="AO916" s="334">
        <v>311.02</v>
      </c>
      <c r="AP916" s="336">
        <v>9760</v>
      </c>
      <c r="AQ916" s="334">
        <v>310.92200000000003</v>
      </c>
      <c r="AR916" s="336">
        <v>9770</v>
      </c>
      <c r="AS916" s="334">
        <v>310.23700000000002</v>
      </c>
      <c r="AT916" s="336">
        <v>9770</v>
      </c>
      <c r="AU916" s="334">
        <v>308.64999999999998</v>
      </c>
      <c r="AV916" s="336">
        <v>9770</v>
      </c>
      <c r="AW916" s="334">
        <v>309.08800000000002</v>
      </c>
      <c r="AX916" s="336">
        <v>9760</v>
      </c>
      <c r="AY916" s="334">
        <v>241.881</v>
      </c>
      <c r="AZ916" s="336">
        <v>9770</v>
      </c>
      <c r="BA916" s="337">
        <v>242.30600000000001</v>
      </c>
      <c r="BB916" s="336">
        <v>9750</v>
      </c>
      <c r="BC916" s="334">
        <v>53.103000000000002</v>
      </c>
      <c r="BD916" s="336">
        <v>9750</v>
      </c>
      <c r="BE916" s="334">
        <v>56.723999999999997</v>
      </c>
    </row>
    <row r="917" spans="22:57">
      <c r="V917" s="346">
        <v>9780</v>
      </c>
      <c r="W917" s="333">
        <v>119.574</v>
      </c>
      <c r="X917" s="346">
        <v>9790</v>
      </c>
      <c r="Y917" s="334">
        <v>118.297</v>
      </c>
      <c r="Z917" s="335">
        <v>9780</v>
      </c>
      <c r="AA917" s="334">
        <v>322.3</v>
      </c>
      <c r="AB917" s="336">
        <v>9780</v>
      </c>
      <c r="AC917" s="334">
        <v>322.25</v>
      </c>
      <c r="AD917" s="336">
        <v>9780</v>
      </c>
      <c r="AE917" s="334">
        <v>308.63600000000002</v>
      </c>
      <c r="AF917" s="336">
        <v>9780</v>
      </c>
      <c r="AG917" s="334">
        <v>307.678</v>
      </c>
      <c r="AH917" s="336">
        <v>9780</v>
      </c>
      <c r="AI917" s="334">
        <v>308.44499999999999</v>
      </c>
      <c r="AJ917" s="336">
        <v>9760</v>
      </c>
      <c r="AK917" s="334">
        <v>309.476</v>
      </c>
      <c r="AL917" s="336">
        <v>9780</v>
      </c>
      <c r="AM917" s="334">
        <v>309.16399999999999</v>
      </c>
      <c r="AN917" s="336">
        <v>9780</v>
      </c>
      <c r="AO917" s="334">
        <v>309.80799999999999</v>
      </c>
      <c r="AP917" s="336">
        <v>9770</v>
      </c>
      <c r="AQ917" s="334">
        <v>309.71199999999999</v>
      </c>
      <c r="AR917" s="336">
        <v>9780</v>
      </c>
      <c r="AS917" s="334">
        <v>309.02499999999998</v>
      </c>
      <c r="AT917" s="336">
        <v>9780</v>
      </c>
      <c r="AU917" s="334">
        <v>307.44</v>
      </c>
      <c r="AV917" s="336">
        <v>9780</v>
      </c>
      <c r="AW917" s="334">
        <v>307.87799999999999</v>
      </c>
      <c r="AX917" s="336">
        <v>9770</v>
      </c>
      <c r="AY917" s="334">
        <v>240.82900000000001</v>
      </c>
      <c r="AZ917" s="336">
        <v>9780</v>
      </c>
      <c r="BA917" s="337">
        <v>241.20699999999999</v>
      </c>
      <c r="BB917" s="336">
        <v>9760</v>
      </c>
      <c r="BC917" s="334">
        <v>52.834000000000003</v>
      </c>
      <c r="BD917" s="336">
        <v>9760</v>
      </c>
      <c r="BE917" s="334">
        <v>56.441000000000003</v>
      </c>
    </row>
    <row r="918" spans="22:57">
      <c r="V918" s="346">
        <v>9790</v>
      </c>
      <c r="W918" s="333">
        <v>118.95099999999999</v>
      </c>
      <c r="X918" s="346">
        <v>9800</v>
      </c>
      <c r="Y918" s="334">
        <v>117.68</v>
      </c>
      <c r="Z918" s="335">
        <v>9790</v>
      </c>
      <c r="AA918" s="334">
        <v>320.86799999999999</v>
      </c>
      <c r="AB918" s="336">
        <v>9790</v>
      </c>
      <c r="AC918" s="334">
        <v>320.81900000000002</v>
      </c>
      <c r="AD918" s="336">
        <v>9790</v>
      </c>
      <c r="AE918" s="334">
        <v>307.42500000000001</v>
      </c>
      <c r="AF918" s="336">
        <v>9790</v>
      </c>
      <c r="AG918" s="334">
        <v>306.46499999999997</v>
      </c>
      <c r="AH918" s="336">
        <v>9790</v>
      </c>
      <c r="AI918" s="334">
        <v>307.233</v>
      </c>
      <c r="AJ918" s="336">
        <v>9770</v>
      </c>
      <c r="AK918" s="334">
        <v>308.26400000000001</v>
      </c>
      <c r="AL918" s="336">
        <v>9790</v>
      </c>
      <c r="AM918" s="334">
        <v>307.952</v>
      </c>
      <c r="AN918" s="336">
        <v>9790</v>
      </c>
      <c r="AO918" s="334">
        <v>308.596</v>
      </c>
      <c r="AP918" s="336">
        <v>9780</v>
      </c>
      <c r="AQ918" s="334">
        <v>308.50099999999998</v>
      </c>
      <c r="AR918" s="336">
        <v>9790</v>
      </c>
      <c r="AS918" s="334">
        <v>307.81400000000002</v>
      </c>
      <c r="AT918" s="336">
        <v>9790</v>
      </c>
      <c r="AU918" s="334">
        <v>306.22899999999998</v>
      </c>
      <c r="AV918" s="336">
        <v>9790</v>
      </c>
      <c r="AW918" s="334">
        <v>306.66800000000001</v>
      </c>
      <c r="AX918" s="336">
        <v>9780</v>
      </c>
      <c r="AY918" s="334">
        <v>239.77600000000001</v>
      </c>
      <c r="AZ918" s="336">
        <v>9790</v>
      </c>
      <c r="BA918" s="337">
        <v>240.108</v>
      </c>
      <c r="BB918" s="336">
        <v>9770</v>
      </c>
      <c r="BC918" s="334">
        <v>52.564999999999998</v>
      </c>
      <c r="BD918" s="336">
        <v>9770</v>
      </c>
      <c r="BE918" s="334">
        <v>56.158000000000001</v>
      </c>
    </row>
    <row r="919" spans="22:57">
      <c r="V919" s="346">
        <v>9800</v>
      </c>
      <c r="W919" s="333">
        <v>118.33</v>
      </c>
      <c r="X919" s="346">
        <v>9810</v>
      </c>
      <c r="Y919" s="334">
        <v>117.06399999999999</v>
      </c>
      <c r="Z919" s="335">
        <v>9800</v>
      </c>
      <c r="AA919" s="334">
        <v>319.43599999999998</v>
      </c>
      <c r="AB919" s="336">
        <v>9800</v>
      </c>
      <c r="AC919" s="334">
        <v>319.38799999999998</v>
      </c>
      <c r="AD919" s="336">
        <v>9800</v>
      </c>
      <c r="AE919" s="334">
        <v>306.214</v>
      </c>
      <c r="AF919" s="336">
        <v>9800</v>
      </c>
      <c r="AG919" s="334">
        <v>305.25200000000001</v>
      </c>
      <c r="AH919" s="336">
        <v>9800</v>
      </c>
      <c r="AI919" s="334">
        <v>306.02199999999999</v>
      </c>
      <c r="AJ919" s="336">
        <v>9780</v>
      </c>
      <c r="AK919" s="334">
        <v>307.05200000000002</v>
      </c>
      <c r="AL919" s="336">
        <v>9800</v>
      </c>
      <c r="AM919" s="334">
        <v>306.74099999999999</v>
      </c>
      <c r="AN919" s="336">
        <v>9800</v>
      </c>
      <c r="AO919" s="334">
        <v>307.38400000000001</v>
      </c>
      <c r="AP919" s="336">
        <v>9790</v>
      </c>
      <c r="AQ919" s="334">
        <v>307.291</v>
      </c>
      <c r="AR919" s="336">
        <v>9800</v>
      </c>
      <c r="AS919" s="334">
        <v>306.60300000000001</v>
      </c>
      <c r="AT919" s="336">
        <v>9800</v>
      </c>
      <c r="AU919" s="334">
        <v>305.01799999999997</v>
      </c>
      <c r="AV919" s="336">
        <v>9800</v>
      </c>
      <c r="AW919" s="334">
        <v>305.45800000000003</v>
      </c>
      <c r="AX919" s="336">
        <v>9790</v>
      </c>
      <c r="AY919" s="334">
        <v>238.72300000000001</v>
      </c>
      <c r="AZ919" s="336">
        <v>9800</v>
      </c>
      <c r="BA919" s="337">
        <v>239.011</v>
      </c>
      <c r="BB919" s="336">
        <v>9780</v>
      </c>
      <c r="BC919" s="334">
        <v>52.296999999999997</v>
      </c>
      <c r="BD919" s="336">
        <v>9780</v>
      </c>
      <c r="BE919" s="334">
        <v>55.875</v>
      </c>
    </row>
    <row r="920" spans="22:57">
      <c r="V920" s="346">
        <v>9810</v>
      </c>
      <c r="W920" s="333">
        <v>117.711</v>
      </c>
      <c r="X920" s="346">
        <v>9820</v>
      </c>
      <c r="Y920" s="334">
        <v>116.45</v>
      </c>
      <c r="Z920" s="335">
        <v>9810</v>
      </c>
      <c r="AA920" s="334">
        <v>318.00599999999997</v>
      </c>
      <c r="AB920" s="336">
        <v>9810</v>
      </c>
      <c r="AC920" s="334">
        <v>317.95699999999999</v>
      </c>
      <c r="AD920" s="336">
        <v>9810</v>
      </c>
      <c r="AE920" s="334">
        <v>305.00200000000001</v>
      </c>
      <c r="AF920" s="336">
        <v>9810</v>
      </c>
      <c r="AG920" s="334">
        <v>304.03800000000001</v>
      </c>
      <c r="AH920" s="336">
        <v>9810</v>
      </c>
      <c r="AI920" s="334">
        <v>304.81</v>
      </c>
      <c r="AJ920" s="336">
        <v>9790</v>
      </c>
      <c r="AK920" s="334">
        <v>305.83999999999997</v>
      </c>
      <c r="AL920" s="336">
        <v>9810</v>
      </c>
      <c r="AM920" s="334">
        <v>305.529</v>
      </c>
      <c r="AN920" s="336">
        <v>9810</v>
      </c>
      <c r="AO920" s="334">
        <v>306.17200000000003</v>
      </c>
      <c r="AP920" s="336">
        <v>9800</v>
      </c>
      <c r="AQ920" s="334">
        <v>306.08</v>
      </c>
      <c r="AR920" s="336">
        <v>9810</v>
      </c>
      <c r="AS920" s="334">
        <v>305.392</v>
      </c>
      <c r="AT920" s="336">
        <v>9810</v>
      </c>
      <c r="AU920" s="334">
        <v>303.80799999999999</v>
      </c>
      <c r="AV920" s="336">
        <v>9810</v>
      </c>
      <c r="AW920" s="334">
        <v>304.24799999999999</v>
      </c>
      <c r="AX920" s="336">
        <v>9800</v>
      </c>
      <c r="AY920" s="334">
        <v>237.67099999999999</v>
      </c>
      <c r="AZ920" s="336">
        <v>9810</v>
      </c>
      <c r="BA920" s="337">
        <v>237.91499999999999</v>
      </c>
      <c r="BB920" s="336">
        <v>9790</v>
      </c>
      <c r="BC920" s="334">
        <v>52.029000000000003</v>
      </c>
      <c r="BD920" s="336">
        <v>9790</v>
      </c>
      <c r="BE920" s="334">
        <v>55.593000000000004</v>
      </c>
    </row>
    <row r="921" spans="22:57">
      <c r="V921" s="346">
        <v>9820</v>
      </c>
      <c r="W921" s="333">
        <v>117.092</v>
      </c>
      <c r="X921" s="346">
        <v>9830</v>
      </c>
      <c r="Y921" s="334">
        <v>115.837</v>
      </c>
      <c r="Z921" s="335">
        <v>9820</v>
      </c>
      <c r="AA921" s="334">
        <v>316.57600000000002</v>
      </c>
      <c r="AB921" s="336">
        <v>9820</v>
      </c>
      <c r="AC921" s="334">
        <v>316.52800000000002</v>
      </c>
      <c r="AD921" s="336">
        <v>9820</v>
      </c>
      <c r="AE921" s="334">
        <v>303.791</v>
      </c>
      <c r="AF921" s="336">
        <v>9820</v>
      </c>
      <c r="AG921" s="334">
        <v>302.82499999999999</v>
      </c>
      <c r="AH921" s="336">
        <v>9820</v>
      </c>
      <c r="AI921" s="334">
        <v>303.59800000000001</v>
      </c>
      <c r="AJ921" s="336">
        <v>9800</v>
      </c>
      <c r="AK921" s="334">
        <v>304.62799999999999</v>
      </c>
      <c r="AL921" s="336">
        <v>9820</v>
      </c>
      <c r="AM921" s="334">
        <v>304.31799999999998</v>
      </c>
      <c r="AN921" s="336">
        <v>9820</v>
      </c>
      <c r="AO921" s="334">
        <v>304.95999999999998</v>
      </c>
      <c r="AP921" s="336">
        <v>9810</v>
      </c>
      <c r="AQ921" s="334">
        <v>304.87</v>
      </c>
      <c r="AR921" s="336">
        <v>9820</v>
      </c>
      <c r="AS921" s="334">
        <v>304.18099999999998</v>
      </c>
      <c r="AT921" s="336">
        <v>9820</v>
      </c>
      <c r="AU921" s="334">
        <v>302.59699999999998</v>
      </c>
      <c r="AV921" s="336">
        <v>9820</v>
      </c>
      <c r="AW921" s="334">
        <v>303.03800000000001</v>
      </c>
      <c r="AX921" s="336">
        <v>9810</v>
      </c>
      <c r="AY921" s="334">
        <v>236.61799999999999</v>
      </c>
      <c r="AZ921" s="336">
        <v>9820</v>
      </c>
      <c r="BA921" s="337">
        <v>236.81899999999999</v>
      </c>
      <c r="BB921" s="336">
        <v>9800</v>
      </c>
      <c r="BC921" s="334">
        <v>51.761000000000003</v>
      </c>
      <c r="BD921" s="336">
        <v>9800</v>
      </c>
      <c r="BE921" s="334">
        <v>55.311</v>
      </c>
    </row>
    <row r="922" spans="22:57">
      <c r="V922" s="346">
        <v>9830</v>
      </c>
      <c r="W922" s="333">
        <v>116.47499999999999</v>
      </c>
      <c r="X922" s="346">
        <v>9840</v>
      </c>
      <c r="Y922" s="334">
        <v>115.22499999999999</v>
      </c>
      <c r="Z922" s="335">
        <v>9830</v>
      </c>
      <c r="AA922" s="334">
        <v>315.14699999999999</v>
      </c>
      <c r="AB922" s="336">
        <v>9830</v>
      </c>
      <c r="AC922" s="334">
        <v>315.09899999999999</v>
      </c>
      <c r="AD922" s="336">
        <v>9830</v>
      </c>
      <c r="AE922" s="334">
        <v>302.58</v>
      </c>
      <c r="AF922" s="336">
        <v>9830</v>
      </c>
      <c r="AG922" s="334">
        <v>301.61200000000002</v>
      </c>
      <c r="AH922" s="336">
        <v>9830</v>
      </c>
      <c r="AI922" s="334">
        <v>302.387</v>
      </c>
      <c r="AJ922" s="336">
        <v>9810</v>
      </c>
      <c r="AK922" s="334">
        <v>303.416</v>
      </c>
      <c r="AL922" s="336">
        <v>9830</v>
      </c>
      <c r="AM922" s="334">
        <v>303.10599999999999</v>
      </c>
      <c r="AN922" s="336">
        <v>9830</v>
      </c>
      <c r="AO922" s="334">
        <v>303.74799999999999</v>
      </c>
      <c r="AP922" s="336">
        <v>9820</v>
      </c>
      <c r="AQ922" s="334">
        <v>303.66000000000003</v>
      </c>
      <c r="AR922" s="336">
        <v>9830</v>
      </c>
      <c r="AS922" s="334">
        <v>302.97000000000003</v>
      </c>
      <c r="AT922" s="336">
        <v>9830</v>
      </c>
      <c r="AU922" s="334">
        <v>301.38600000000002</v>
      </c>
      <c r="AV922" s="336">
        <v>9830</v>
      </c>
      <c r="AW922" s="334">
        <v>301.82799999999997</v>
      </c>
      <c r="AX922" s="336">
        <v>9820</v>
      </c>
      <c r="AY922" s="334">
        <v>235.565</v>
      </c>
      <c r="AZ922" s="336">
        <v>9830</v>
      </c>
      <c r="BA922" s="337">
        <v>235.72499999999999</v>
      </c>
      <c r="BB922" s="336">
        <v>9810</v>
      </c>
      <c r="BC922" s="334">
        <v>51.494</v>
      </c>
      <c r="BD922" s="336">
        <v>9810</v>
      </c>
      <c r="BE922" s="334">
        <v>55.03</v>
      </c>
    </row>
    <row r="923" spans="22:57">
      <c r="V923" s="346">
        <v>9840</v>
      </c>
      <c r="W923" s="333">
        <v>115.85899999999999</v>
      </c>
      <c r="X923" s="346">
        <v>9850</v>
      </c>
      <c r="Y923" s="334">
        <v>114.614</v>
      </c>
      <c r="Z923" s="335">
        <v>9840</v>
      </c>
      <c r="AA923" s="334">
        <v>313.71800000000002</v>
      </c>
      <c r="AB923" s="336">
        <v>9840</v>
      </c>
      <c r="AC923" s="334">
        <v>313.67099999999999</v>
      </c>
      <c r="AD923" s="336">
        <v>9840</v>
      </c>
      <c r="AE923" s="334">
        <v>301.36799999999999</v>
      </c>
      <c r="AF923" s="336">
        <v>9840</v>
      </c>
      <c r="AG923" s="334">
        <v>300.39800000000002</v>
      </c>
      <c r="AH923" s="336">
        <v>9840</v>
      </c>
      <c r="AI923" s="334">
        <v>301.17500000000001</v>
      </c>
      <c r="AJ923" s="336">
        <v>9820</v>
      </c>
      <c r="AK923" s="334">
        <v>302.20400000000001</v>
      </c>
      <c r="AL923" s="336">
        <v>9840</v>
      </c>
      <c r="AM923" s="334">
        <v>301.89400000000001</v>
      </c>
      <c r="AN923" s="336">
        <v>9840</v>
      </c>
      <c r="AO923" s="334">
        <v>302.536</v>
      </c>
      <c r="AP923" s="336">
        <v>9830</v>
      </c>
      <c r="AQ923" s="334">
        <v>302.44900000000001</v>
      </c>
      <c r="AR923" s="336">
        <v>9840</v>
      </c>
      <c r="AS923" s="334">
        <v>301.75900000000001</v>
      </c>
      <c r="AT923" s="336">
        <v>9840</v>
      </c>
      <c r="AU923" s="334">
        <v>300.17599999999999</v>
      </c>
      <c r="AV923" s="336">
        <v>9840</v>
      </c>
      <c r="AW923" s="334">
        <v>300.61799999999999</v>
      </c>
      <c r="AX923" s="336">
        <v>9830</v>
      </c>
      <c r="AY923" s="334">
        <v>234.51300000000001</v>
      </c>
      <c r="AZ923" s="336">
        <v>9840</v>
      </c>
      <c r="BA923" s="337">
        <v>234.631</v>
      </c>
      <c r="BB923" s="336">
        <v>9820</v>
      </c>
      <c r="BC923" s="334">
        <v>51.228000000000002</v>
      </c>
      <c r="BD923" s="336">
        <v>9820</v>
      </c>
      <c r="BE923" s="334">
        <v>54.749000000000002</v>
      </c>
    </row>
    <row r="924" spans="22:57">
      <c r="V924" s="346">
        <v>9850</v>
      </c>
      <c r="W924" s="333">
        <v>115.245</v>
      </c>
      <c r="X924" s="346">
        <v>9860</v>
      </c>
      <c r="Y924" s="334">
        <v>114.005</v>
      </c>
      <c r="Z924" s="335">
        <v>9850</v>
      </c>
      <c r="AA924" s="334">
        <v>312.29000000000002</v>
      </c>
      <c r="AB924" s="336">
        <v>9850</v>
      </c>
      <c r="AC924" s="334">
        <v>312.24400000000003</v>
      </c>
      <c r="AD924" s="336">
        <v>9850</v>
      </c>
      <c r="AE924" s="334">
        <v>300.15699999999998</v>
      </c>
      <c r="AF924" s="336">
        <v>9850</v>
      </c>
      <c r="AG924" s="334">
        <v>299.185</v>
      </c>
      <c r="AH924" s="336">
        <v>9850</v>
      </c>
      <c r="AI924" s="334">
        <v>299.96300000000002</v>
      </c>
      <c r="AJ924" s="336">
        <v>9830</v>
      </c>
      <c r="AK924" s="334">
        <v>300.99299999999999</v>
      </c>
      <c r="AL924" s="336">
        <v>9850</v>
      </c>
      <c r="AM924" s="334">
        <v>300.68299999999999</v>
      </c>
      <c r="AN924" s="336">
        <v>9850</v>
      </c>
      <c r="AO924" s="334">
        <v>301.32400000000001</v>
      </c>
      <c r="AP924" s="336">
        <v>9840</v>
      </c>
      <c r="AQ924" s="334">
        <v>301.23899999999998</v>
      </c>
      <c r="AR924" s="336">
        <v>9850</v>
      </c>
      <c r="AS924" s="334">
        <v>300.548</v>
      </c>
      <c r="AT924" s="336">
        <v>9850</v>
      </c>
      <c r="AU924" s="334">
        <v>298.96499999999997</v>
      </c>
      <c r="AV924" s="336">
        <v>9850</v>
      </c>
      <c r="AW924" s="334">
        <v>299.40800000000002</v>
      </c>
      <c r="AX924" s="336">
        <v>9840</v>
      </c>
      <c r="AY924" s="334">
        <v>233.46</v>
      </c>
      <c r="AZ924" s="336">
        <v>9850</v>
      </c>
      <c r="BA924" s="337">
        <v>233.53899999999999</v>
      </c>
      <c r="BB924" s="336">
        <v>9830</v>
      </c>
      <c r="BC924" s="334">
        <v>50.962000000000003</v>
      </c>
      <c r="BD924" s="336">
        <v>9830</v>
      </c>
      <c r="BE924" s="334">
        <v>54.469000000000001</v>
      </c>
    </row>
    <row r="925" spans="22:57">
      <c r="V925" s="346">
        <v>9860</v>
      </c>
      <c r="W925" s="333">
        <v>114.631</v>
      </c>
      <c r="X925" s="346">
        <v>9870</v>
      </c>
      <c r="Y925" s="334">
        <v>113.39700000000001</v>
      </c>
      <c r="Z925" s="335">
        <v>9860</v>
      </c>
      <c r="AA925" s="334">
        <v>310.863</v>
      </c>
      <c r="AB925" s="336">
        <v>9860</v>
      </c>
      <c r="AC925" s="334">
        <v>310.81700000000001</v>
      </c>
      <c r="AD925" s="336">
        <v>9860</v>
      </c>
      <c r="AE925" s="334">
        <v>298.94600000000003</v>
      </c>
      <c r="AF925" s="336">
        <v>9860</v>
      </c>
      <c r="AG925" s="334">
        <v>297.97199999999998</v>
      </c>
      <c r="AH925" s="336">
        <v>9860</v>
      </c>
      <c r="AI925" s="334">
        <v>298.75200000000001</v>
      </c>
      <c r="AJ925" s="336">
        <v>9840</v>
      </c>
      <c r="AK925" s="334">
        <v>299.78100000000001</v>
      </c>
      <c r="AL925" s="336">
        <v>9860</v>
      </c>
      <c r="AM925" s="334">
        <v>299.471</v>
      </c>
      <c r="AN925" s="336">
        <v>9860</v>
      </c>
      <c r="AO925" s="334">
        <v>300.11200000000002</v>
      </c>
      <c r="AP925" s="336">
        <v>9850</v>
      </c>
      <c r="AQ925" s="334">
        <v>300.02800000000002</v>
      </c>
      <c r="AR925" s="336">
        <v>9860</v>
      </c>
      <c r="AS925" s="334">
        <v>299.33699999999999</v>
      </c>
      <c r="AT925" s="336">
        <v>9860</v>
      </c>
      <c r="AU925" s="334">
        <v>297.75400000000002</v>
      </c>
      <c r="AV925" s="336">
        <v>9860</v>
      </c>
      <c r="AW925" s="334">
        <v>298.19799999999998</v>
      </c>
      <c r="AX925" s="336">
        <v>9850</v>
      </c>
      <c r="AY925" s="334">
        <v>232.40700000000001</v>
      </c>
      <c r="AZ925" s="336">
        <v>9860</v>
      </c>
      <c r="BA925" s="337">
        <v>232.447</v>
      </c>
      <c r="BB925" s="336">
        <v>9840</v>
      </c>
      <c r="BC925" s="334">
        <v>50.695999999999998</v>
      </c>
      <c r="BD925" s="336">
        <v>9840</v>
      </c>
      <c r="BE925" s="334">
        <v>54.189</v>
      </c>
    </row>
    <row r="926" spans="22:57">
      <c r="V926" s="346">
        <v>9870</v>
      </c>
      <c r="W926" s="333">
        <v>114.01900000000001</v>
      </c>
      <c r="X926" s="346">
        <v>9880</v>
      </c>
      <c r="Y926" s="334">
        <v>112.79</v>
      </c>
      <c r="Z926" s="335">
        <v>9870</v>
      </c>
      <c r="AA926" s="334">
        <v>309.43700000000001</v>
      </c>
      <c r="AB926" s="336">
        <v>9870</v>
      </c>
      <c r="AC926" s="334">
        <v>309.39100000000002</v>
      </c>
      <c r="AD926" s="336">
        <v>9870</v>
      </c>
      <c r="AE926" s="334">
        <v>297.73399999999998</v>
      </c>
      <c r="AF926" s="336">
        <v>9870</v>
      </c>
      <c r="AG926" s="334">
        <v>296.75799999999998</v>
      </c>
      <c r="AH926" s="336">
        <v>9870</v>
      </c>
      <c r="AI926" s="334">
        <v>297.54000000000002</v>
      </c>
      <c r="AJ926" s="336">
        <v>9850</v>
      </c>
      <c r="AK926" s="334">
        <v>298.56900000000002</v>
      </c>
      <c r="AL926" s="336">
        <v>9870</v>
      </c>
      <c r="AM926" s="334">
        <v>298.26</v>
      </c>
      <c r="AN926" s="336">
        <v>9870</v>
      </c>
      <c r="AO926" s="334">
        <v>298.90100000000001</v>
      </c>
      <c r="AP926" s="336">
        <v>9860</v>
      </c>
      <c r="AQ926" s="334">
        <v>298.81799999999998</v>
      </c>
      <c r="AR926" s="336">
        <v>9870</v>
      </c>
      <c r="AS926" s="334">
        <v>298.125</v>
      </c>
      <c r="AT926" s="336">
        <v>9870</v>
      </c>
      <c r="AU926" s="334">
        <v>296.54300000000001</v>
      </c>
      <c r="AV926" s="336">
        <v>9870</v>
      </c>
      <c r="AW926" s="334">
        <v>296.988</v>
      </c>
      <c r="AX926" s="336">
        <v>9860</v>
      </c>
      <c r="AY926" s="334">
        <v>231.35499999999999</v>
      </c>
      <c r="AZ926" s="336">
        <v>9870</v>
      </c>
      <c r="BA926" s="337">
        <v>231.35599999999999</v>
      </c>
      <c r="BB926" s="336">
        <v>9850</v>
      </c>
      <c r="BC926" s="334">
        <v>50.430999999999997</v>
      </c>
      <c r="BD926" s="336">
        <v>9850</v>
      </c>
      <c r="BE926" s="334">
        <v>53.91</v>
      </c>
    </row>
    <row r="927" spans="22:57">
      <c r="V927" s="346">
        <v>9880</v>
      </c>
      <c r="W927" s="333">
        <v>113.40900000000001</v>
      </c>
      <c r="X927" s="346">
        <v>9890</v>
      </c>
      <c r="Y927" s="334">
        <v>112.184</v>
      </c>
      <c r="Z927" s="335">
        <v>9880</v>
      </c>
      <c r="AA927" s="334">
        <v>308.01100000000002</v>
      </c>
      <c r="AB927" s="336">
        <v>9880</v>
      </c>
      <c r="AC927" s="334">
        <v>307.96699999999998</v>
      </c>
      <c r="AD927" s="336">
        <v>9880</v>
      </c>
      <c r="AE927" s="334">
        <v>296.52300000000002</v>
      </c>
      <c r="AF927" s="336">
        <v>9880</v>
      </c>
      <c r="AG927" s="334">
        <v>295.54500000000002</v>
      </c>
      <c r="AH927" s="336">
        <v>9880</v>
      </c>
      <c r="AI927" s="334">
        <v>296.32900000000001</v>
      </c>
      <c r="AJ927" s="336">
        <v>9860</v>
      </c>
      <c r="AK927" s="334">
        <v>297.35700000000003</v>
      </c>
      <c r="AL927" s="336">
        <v>9880</v>
      </c>
      <c r="AM927" s="334">
        <v>297.048</v>
      </c>
      <c r="AN927" s="336">
        <v>9880</v>
      </c>
      <c r="AO927" s="334">
        <v>297.68900000000002</v>
      </c>
      <c r="AP927" s="336">
        <v>9870</v>
      </c>
      <c r="AQ927" s="334">
        <v>297.60700000000003</v>
      </c>
      <c r="AR927" s="336">
        <v>9880</v>
      </c>
      <c r="AS927" s="334">
        <v>296.91399999999999</v>
      </c>
      <c r="AT927" s="336">
        <v>9880</v>
      </c>
      <c r="AU927" s="334">
        <v>295.33300000000003</v>
      </c>
      <c r="AV927" s="336">
        <v>9880</v>
      </c>
      <c r="AW927" s="334">
        <v>295.77699999999999</v>
      </c>
      <c r="AX927" s="336">
        <v>9870</v>
      </c>
      <c r="AY927" s="334">
        <v>230.30199999999999</v>
      </c>
      <c r="AZ927" s="336">
        <v>9880</v>
      </c>
      <c r="BA927" s="337">
        <v>230.267</v>
      </c>
      <c r="BB927" s="336">
        <v>9860</v>
      </c>
      <c r="BC927" s="334">
        <v>50.167000000000002</v>
      </c>
      <c r="BD927" s="336">
        <v>9860</v>
      </c>
      <c r="BE927" s="334">
        <v>53.631</v>
      </c>
    </row>
    <row r="928" spans="22:57">
      <c r="V928" s="346">
        <v>9890</v>
      </c>
      <c r="W928" s="333">
        <v>112.79900000000001</v>
      </c>
      <c r="X928" s="346">
        <v>9900</v>
      </c>
      <c r="Y928" s="334">
        <v>111.58</v>
      </c>
      <c r="Z928" s="335">
        <v>9890</v>
      </c>
      <c r="AA928" s="334">
        <v>306.58600000000001</v>
      </c>
      <c r="AB928" s="336">
        <v>9890</v>
      </c>
      <c r="AC928" s="334">
        <v>306.54199999999997</v>
      </c>
      <c r="AD928" s="336">
        <v>9890</v>
      </c>
      <c r="AE928" s="334">
        <v>295.31200000000001</v>
      </c>
      <c r="AF928" s="336">
        <v>9890</v>
      </c>
      <c r="AG928" s="334">
        <v>294.33199999999999</v>
      </c>
      <c r="AH928" s="336">
        <v>9890</v>
      </c>
      <c r="AI928" s="334">
        <v>295.11700000000002</v>
      </c>
      <c r="AJ928" s="336">
        <v>9870</v>
      </c>
      <c r="AK928" s="334">
        <v>296.14499999999998</v>
      </c>
      <c r="AL928" s="336">
        <v>9890</v>
      </c>
      <c r="AM928" s="334">
        <v>295.83600000000001</v>
      </c>
      <c r="AN928" s="336">
        <v>9890</v>
      </c>
      <c r="AO928" s="334">
        <v>296.47699999999998</v>
      </c>
      <c r="AP928" s="336">
        <v>9880</v>
      </c>
      <c r="AQ928" s="334">
        <v>296.39699999999999</v>
      </c>
      <c r="AR928" s="336">
        <v>9890</v>
      </c>
      <c r="AS928" s="334">
        <v>295.70299999999997</v>
      </c>
      <c r="AT928" s="336">
        <v>9890</v>
      </c>
      <c r="AU928" s="334">
        <v>294.12200000000001</v>
      </c>
      <c r="AV928" s="336">
        <v>9890</v>
      </c>
      <c r="AW928" s="334">
        <v>294.56700000000001</v>
      </c>
      <c r="AX928" s="336">
        <v>9880</v>
      </c>
      <c r="AY928" s="334">
        <v>229.249</v>
      </c>
      <c r="AZ928" s="336">
        <v>9890</v>
      </c>
      <c r="BA928" s="337">
        <v>229.178</v>
      </c>
      <c r="BB928" s="336">
        <v>9870</v>
      </c>
      <c r="BC928" s="334">
        <v>49.902999999999999</v>
      </c>
      <c r="BD928" s="336">
        <v>9870</v>
      </c>
      <c r="BE928" s="334">
        <v>53.353000000000002</v>
      </c>
    </row>
    <row r="929" spans="22:57">
      <c r="V929" s="346">
        <v>9900</v>
      </c>
      <c r="W929" s="333">
        <v>112.191</v>
      </c>
      <c r="X929" s="346">
        <v>9910</v>
      </c>
      <c r="Y929" s="334">
        <v>110.977</v>
      </c>
      <c r="Z929" s="335">
        <v>9900</v>
      </c>
      <c r="AA929" s="334">
        <v>305.16199999999998</v>
      </c>
      <c r="AB929" s="336">
        <v>9900</v>
      </c>
      <c r="AC929" s="334">
        <v>305.11900000000003</v>
      </c>
      <c r="AD929" s="336">
        <v>9900</v>
      </c>
      <c r="AE929" s="334">
        <v>294.10000000000002</v>
      </c>
      <c r="AF929" s="336">
        <v>9900</v>
      </c>
      <c r="AG929" s="334">
        <v>293.11799999999999</v>
      </c>
      <c r="AH929" s="336">
        <v>9900</v>
      </c>
      <c r="AI929" s="334">
        <v>293.90600000000001</v>
      </c>
      <c r="AJ929" s="336">
        <v>9880</v>
      </c>
      <c r="AK929" s="334">
        <v>294.93299999999999</v>
      </c>
      <c r="AL929" s="336">
        <v>9900</v>
      </c>
      <c r="AM929" s="334">
        <v>294.625</v>
      </c>
      <c r="AN929" s="336">
        <v>9900</v>
      </c>
      <c r="AO929" s="334">
        <v>295.26499999999999</v>
      </c>
      <c r="AP929" s="336">
        <v>9890</v>
      </c>
      <c r="AQ929" s="334">
        <v>295.18700000000001</v>
      </c>
      <c r="AR929" s="336">
        <v>9900</v>
      </c>
      <c r="AS929" s="334">
        <v>294.49200000000002</v>
      </c>
      <c r="AT929" s="336">
        <v>9900</v>
      </c>
      <c r="AU929" s="334">
        <v>292.911</v>
      </c>
      <c r="AV929" s="336">
        <v>9900</v>
      </c>
      <c r="AW929" s="334">
        <v>293.35700000000003</v>
      </c>
      <c r="AX929" s="336">
        <v>9890</v>
      </c>
      <c r="AY929" s="334">
        <v>228.197</v>
      </c>
      <c r="AZ929" s="336">
        <v>9900</v>
      </c>
      <c r="BA929" s="337">
        <v>228.09</v>
      </c>
      <c r="BB929" s="336">
        <v>9880</v>
      </c>
      <c r="BC929" s="334">
        <v>49.639000000000003</v>
      </c>
      <c r="BD929" s="336">
        <v>9880</v>
      </c>
      <c r="BE929" s="334">
        <v>53.075000000000003</v>
      </c>
    </row>
    <row r="930" spans="22:57" ht="17.25" customHeight="1">
      <c r="V930" s="346">
        <v>9910</v>
      </c>
      <c r="W930" s="333">
        <v>111.584</v>
      </c>
      <c r="X930" s="346">
        <v>9920</v>
      </c>
      <c r="Y930" s="334">
        <v>110.375</v>
      </c>
      <c r="Z930" s="335">
        <v>9910</v>
      </c>
      <c r="AA930" s="334">
        <v>303.73899999999998</v>
      </c>
      <c r="AB930" s="336">
        <v>9910</v>
      </c>
      <c r="AC930" s="334">
        <v>303.697</v>
      </c>
      <c r="AD930" s="336">
        <v>9910</v>
      </c>
      <c r="AE930" s="334">
        <v>292.88900000000001</v>
      </c>
      <c r="AF930" s="336">
        <v>9910</v>
      </c>
      <c r="AG930" s="334">
        <v>291.90499999999997</v>
      </c>
      <c r="AH930" s="336">
        <v>9910</v>
      </c>
      <c r="AI930" s="334">
        <v>292.69400000000002</v>
      </c>
      <c r="AJ930" s="336">
        <v>9890</v>
      </c>
      <c r="AK930" s="334">
        <v>293.72199999999998</v>
      </c>
      <c r="AL930" s="336">
        <v>9910</v>
      </c>
      <c r="AM930" s="334">
        <v>293.41300000000001</v>
      </c>
      <c r="AN930" s="336">
        <v>9910</v>
      </c>
      <c r="AO930" s="334">
        <v>294.053</v>
      </c>
      <c r="AP930" s="336">
        <v>9900</v>
      </c>
      <c r="AQ930" s="334">
        <v>293.976</v>
      </c>
      <c r="AR930" s="336">
        <v>9910</v>
      </c>
      <c r="AS930" s="334">
        <v>293.28100000000001</v>
      </c>
      <c r="AT930" s="336">
        <v>9910</v>
      </c>
      <c r="AU930" s="334">
        <v>291.70100000000002</v>
      </c>
      <c r="AV930" s="336">
        <v>9910</v>
      </c>
      <c r="AW930" s="334">
        <v>292.14699999999999</v>
      </c>
      <c r="AX930" s="336">
        <v>9900</v>
      </c>
      <c r="AY930" s="334">
        <v>227.14400000000001</v>
      </c>
      <c r="AZ930" s="336">
        <v>9910</v>
      </c>
      <c r="BA930" s="337">
        <v>227.00399999999999</v>
      </c>
      <c r="BB930" s="336">
        <v>9890</v>
      </c>
      <c r="BC930" s="334">
        <v>49.375999999999998</v>
      </c>
      <c r="BD930" s="336">
        <v>9890</v>
      </c>
      <c r="BE930" s="334">
        <v>52.796999999999997</v>
      </c>
    </row>
    <row r="931" spans="22:57">
      <c r="V931" s="346">
        <v>9920</v>
      </c>
      <c r="W931" s="333">
        <v>110.97799999999999</v>
      </c>
      <c r="X931" s="346">
        <v>9930</v>
      </c>
      <c r="Y931" s="334">
        <v>109.77500000000001</v>
      </c>
      <c r="Z931" s="335">
        <v>9920</v>
      </c>
      <c r="AA931" s="334">
        <v>302.31599999999997</v>
      </c>
      <c r="AB931" s="336">
        <v>9920</v>
      </c>
      <c r="AC931" s="334">
        <v>302.27499999999998</v>
      </c>
      <c r="AD931" s="336">
        <v>9920</v>
      </c>
      <c r="AE931" s="334">
        <v>291.678</v>
      </c>
      <c r="AF931" s="336">
        <v>9920</v>
      </c>
      <c r="AG931" s="334">
        <v>290.69200000000001</v>
      </c>
      <c r="AH931" s="336">
        <v>9920</v>
      </c>
      <c r="AI931" s="334">
        <v>291.48200000000003</v>
      </c>
      <c r="AJ931" s="336">
        <v>9900</v>
      </c>
      <c r="AK931" s="334">
        <v>292.51</v>
      </c>
      <c r="AL931" s="336">
        <v>9920</v>
      </c>
      <c r="AM931" s="334">
        <v>292.202</v>
      </c>
      <c r="AN931" s="336">
        <v>9920</v>
      </c>
      <c r="AO931" s="334">
        <v>292.84100000000001</v>
      </c>
      <c r="AP931" s="336">
        <v>9910</v>
      </c>
      <c r="AQ931" s="334">
        <v>292.76600000000002</v>
      </c>
      <c r="AR931" s="336">
        <v>9920</v>
      </c>
      <c r="AS931" s="334">
        <v>292.07</v>
      </c>
      <c r="AT931" s="336">
        <v>9920</v>
      </c>
      <c r="AU931" s="334">
        <v>290.49</v>
      </c>
      <c r="AV931" s="336">
        <v>9920</v>
      </c>
      <c r="AW931" s="334">
        <v>290.93700000000001</v>
      </c>
      <c r="AX931" s="336">
        <v>9910</v>
      </c>
      <c r="AY931" s="334">
        <v>226.09100000000001</v>
      </c>
      <c r="AZ931" s="336">
        <v>9920</v>
      </c>
      <c r="BA931" s="337">
        <v>225.91800000000001</v>
      </c>
      <c r="BB931" s="336">
        <v>9900</v>
      </c>
      <c r="BC931" s="334">
        <v>49.113999999999997</v>
      </c>
      <c r="BD931" s="336">
        <v>9900</v>
      </c>
      <c r="BE931" s="334">
        <v>52.521000000000001</v>
      </c>
    </row>
    <row r="932" spans="22:57">
      <c r="V932" s="346">
        <v>9930</v>
      </c>
      <c r="W932" s="333">
        <v>110.374</v>
      </c>
      <c r="X932" s="346">
        <v>9940</v>
      </c>
      <c r="Y932" s="334">
        <v>109.176</v>
      </c>
      <c r="Z932" s="335">
        <v>9930</v>
      </c>
      <c r="AA932" s="334">
        <v>300.89499999999998</v>
      </c>
      <c r="AB932" s="336">
        <v>9930</v>
      </c>
      <c r="AC932" s="334">
        <v>300.85500000000002</v>
      </c>
      <c r="AD932" s="336">
        <v>9930</v>
      </c>
      <c r="AE932" s="334">
        <v>290.46699999999998</v>
      </c>
      <c r="AF932" s="336">
        <v>9930</v>
      </c>
      <c r="AG932" s="334">
        <v>289.47800000000001</v>
      </c>
      <c r="AH932" s="336">
        <v>9930</v>
      </c>
      <c r="AI932" s="334">
        <v>290.27100000000002</v>
      </c>
      <c r="AJ932" s="336">
        <v>9910</v>
      </c>
      <c r="AK932" s="334">
        <v>291.298</v>
      </c>
      <c r="AL932" s="336">
        <v>9930</v>
      </c>
      <c r="AM932" s="334">
        <v>290.99</v>
      </c>
      <c r="AN932" s="336">
        <v>9930</v>
      </c>
      <c r="AO932" s="334">
        <v>291.62900000000002</v>
      </c>
      <c r="AP932" s="336">
        <v>9920</v>
      </c>
      <c r="AQ932" s="334">
        <v>291.55500000000001</v>
      </c>
      <c r="AR932" s="336">
        <v>9930</v>
      </c>
      <c r="AS932" s="334">
        <v>290.85899999999998</v>
      </c>
      <c r="AT932" s="336">
        <v>9930</v>
      </c>
      <c r="AU932" s="334">
        <v>289.279</v>
      </c>
      <c r="AV932" s="336">
        <v>9930</v>
      </c>
      <c r="AW932" s="334">
        <v>289.72699999999998</v>
      </c>
      <c r="AX932" s="336">
        <v>9920</v>
      </c>
      <c r="AY932" s="334">
        <v>225.03899999999999</v>
      </c>
      <c r="AZ932" s="336">
        <v>9930</v>
      </c>
      <c r="BA932" s="337">
        <v>224.833</v>
      </c>
      <c r="BB932" s="336">
        <v>9910</v>
      </c>
      <c r="BC932" s="334">
        <v>48.851999999999997</v>
      </c>
      <c r="BD932" s="336">
        <v>9910</v>
      </c>
      <c r="BE932" s="334">
        <v>52.244</v>
      </c>
    </row>
    <row r="933" spans="22:57">
      <c r="V933" s="346">
        <v>9940</v>
      </c>
      <c r="W933" s="333">
        <v>109.771</v>
      </c>
      <c r="X933" s="346">
        <v>9950</v>
      </c>
      <c r="Y933" s="334">
        <v>108.578</v>
      </c>
      <c r="Z933" s="335">
        <v>9940</v>
      </c>
      <c r="AA933" s="334">
        <v>299.47399999999999</v>
      </c>
      <c r="AB933" s="336">
        <v>9940</v>
      </c>
      <c r="AC933" s="334">
        <v>299.435</v>
      </c>
      <c r="AD933" s="336">
        <v>9940</v>
      </c>
      <c r="AE933" s="334">
        <v>289.255</v>
      </c>
      <c r="AF933" s="336">
        <v>9940</v>
      </c>
      <c r="AG933" s="334">
        <v>288.26499999999999</v>
      </c>
      <c r="AH933" s="336">
        <v>9940</v>
      </c>
      <c r="AI933" s="334">
        <v>289.05900000000003</v>
      </c>
      <c r="AJ933" s="336">
        <v>9920</v>
      </c>
      <c r="AK933" s="334">
        <v>290.08600000000001</v>
      </c>
      <c r="AL933" s="336">
        <v>9940</v>
      </c>
      <c r="AM933" s="334">
        <v>289.779</v>
      </c>
      <c r="AN933" s="336">
        <v>9940</v>
      </c>
      <c r="AO933" s="334">
        <v>290.41699999999997</v>
      </c>
      <c r="AP933" s="336">
        <v>9930</v>
      </c>
      <c r="AQ933" s="334">
        <v>290.34500000000003</v>
      </c>
      <c r="AR933" s="336">
        <v>9940</v>
      </c>
      <c r="AS933" s="334">
        <v>289.64800000000002</v>
      </c>
      <c r="AT933" s="336">
        <v>9940</v>
      </c>
      <c r="AU933" s="334">
        <v>288.06799999999998</v>
      </c>
      <c r="AV933" s="336">
        <v>9940</v>
      </c>
      <c r="AW933" s="334">
        <v>288.517</v>
      </c>
      <c r="AX933" s="336">
        <v>9930</v>
      </c>
      <c r="AY933" s="334">
        <v>223.98599999999999</v>
      </c>
      <c r="AZ933" s="336">
        <v>9940</v>
      </c>
      <c r="BA933" s="337">
        <v>223.749</v>
      </c>
      <c r="BB933" s="336">
        <v>9920</v>
      </c>
      <c r="BC933" s="334">
        <v>48.59</v>
      </c>
      <c r="BD933" s="336">
        <v>9920</v>
      </c>
      <c r="BE933" s="334">
        <v>51.969000000000001</v>
      </c>
    </row>
    <row r="934" spans="22:57">
      <c r="V934" s="346">
        <v>9950</v>
      </c>
      <c r="W934" s="333">
        <v>109.169</v>
      </c>
      <c r="X934" s="346">
        <v>9960</v>
      </c>
      <c r="Y934" s="334">
        <v>107.98099999999999</v>
      </c>
      <c r="Z934" s="335">
        <v>9950</v>
      </c>
      <c r="AA934" s="334">
        <v>298.05399999999997</v>
      </c>
      <c r="AB934" s="336">
        <v>9950</v>
      </c>
      <c r="AC934" s="334">
        <v>298.01600000000002</v>
      </c>
      <c r="AD934" s="336">
        <v>9950</v>
      </c>
      <c r="AE934" s="334">
        <v>288.04399999999998</v>
      </c>
      <c r="AF934" s="336">
        <v>9950</v>
      </c>
      <c r="AG934" s="334">
        <v>287.05200000000002</v>
      </c>
      <c r="AH934" s="336">
        <v>9950</v>
      </c>
      <c r="AI934" s="334">
        <v>287.84800000000001</v>
      </c>
      <c r="AJ934" s="336">
        <v>9930</v>
      </c>
      <c r="AK934" s="334">
        <v>288.87400000000002</v>
      </c>
      <c r="AL934" s="336">
        <v>9950</v>
      </c>
      <c r="AM934" s="334">
        <v>288.56700000000001</v>
      </c>
      <c r="AN934" s="336">
        <v>9950</v>
      </c>
      <c r="AO934" s="334">
        <v>289.20499999999998</v>
      </c>
      <c r="AP934" s="336">
        <v>9940</v>
      </c>
      <c r="AQ934" s="352">
        <v>289.13400000000001</v>
      </c>
      <c r="AR934" s="336">
        <v>9950</v>
      </c>
      <c r="AS934" s="334">
        <v>288.43599999999998</v>
      </c>
      <c r="AT934" s="336">
        <v>9950</v>
      </c>
      <c r="AU934" s="334">
        <v>286.858</v>
      </c>
      <c r="AV934" s="336">
        <v>9950</v>
      </c>
      <c r="AW934" s="334">
        <v>287.30700000000002</v>
      </c>
      <c r="AX934" s="336">
        <v>9940</v>
      </c>
      <c r="AY934" s="334">
        <v>222.93299999999999</v>
      </c>
      <c r="AZ934" s="336">
        <v>9950</v>
      </c>
      <c r="BA934" s="337">
        <v>222.666</v>
      </c>
      <c r="BB934" s="336">
        <v>9930</v>
      </c>
      <c r="BC934" s="334">
        <v>48.329000000000001</v>
      </c>
      <c r="BD934" s="336">
        <v>9930</v>
      </c>
      <c r="BE934" s="334">
        <v>51.692999999999998</v>
      </c>
    </row>
    <row r="935" spans="22:57">
      <c r="V935" s="346">
        <v>9960</v>
      </c>
      <c r="W935" s="333">
        <v>108.569</v>
      </c>
      <c r="X935" s="346">
        <v>9970</v>
      </c>
      <c r="Y935" s="334">
        <v>107.386</v>
      </c>
      <c r="Z935" s="335">
        <v>9960</v>
      </c>
      <c r="AA935" s="334">
        <v>296.63499999999999</v>
      </c>
      <c r="AB935" s="336">
        <v>9960</v>
      </c>
      <c r="AC935" s="334">
        <v>296.59800000000001</v>
      </c>
      <c r="AD935" s="336">
        <v>9960</v>
      </c>
      <c r="AE935" s="334">
        <v>286.83300000000003</v>
      </c>
      <c r="AF935" s="336">
        <v>9960</v>
      </c>
      <c r="AG935" s="334">
        <v>285.83800000000002</v>
      </c>
      <c r="AH935" s="336">
        <v>9960</v>
      </c>
      <c r="AI935" s="334">
        <v>286.63600000000002</v>
      </c>
      <c r="AJ935" s="336">
        <v>9940</v>
      </c>
      <c r="AK935" s="334">
        <v>287.66199999999998</v>
      </c>
      <c r="AL935" s="336">
        <v>9960</v>
      </c>
      <c r="AM935" s="334">
        <v>287.35500000000002</v>
      </c>
      <c r="AN935" s="336">
        <v>9960</v>
      </c>
      <c r="AO935" s="334">
        <v>287.99299999999999</v>
      </c>
      <c r="AP935" s="336">
        <v>9950</v>
      </c>
      <c r="AQ935" s="352">
        <v>287.92399999999998</v>
      </c>
      <c r="AR935" s="336">
        <v>9960</v>
      </c>
      <c r="AS935" s="334">
        <v>287.22500000000002</v>
      </c>
      <c r="AT935" s="336">
        <v>9960</v>
      </c>
      <c r="AU935" s="334">
        <v>285.64699999999999</v>
      </c>
      <c r="AV935" s="336">
        <v>9960</v>
      </c>
      <c r="AW935" s="334">
        <v>286.09699999999998</v>
      </c>
      <c r="AX935" s="336">
        <v>9950</v>
      </c>
      <c r="AY935" s="334">
        <v>221.881</v>
      </c>
      <c r="AZ935" s="336">
        <v>9960</v>
      </c>
      <c r="BA935" s="337">
        <v>221.584</v>
      </c>
      <c r="BB935" s="336">
        <v>9940</v>
      </c>
      <c r="BC935" s="334">
        <v>48.067999999999998</v>
      </c>
      <c r="BD935" s="336">
        <v>9940</v>
      </c>
      <c r="BE935" s="334">
        <v>51.418999999999997</v>
      </c>
    </row>
    <row r="936" spans="22:57">
      <c r="V936" s="346">
        <v>9970</v>
      </c>
      <c r="W936" s="333">
        <v>107.97</v>
      </c>
      <c r="X936" s="346">
        <v>9980</v>
      </c>
      <c r="Y936" s="334">
        <v>106.792</v>
      </c>
      <c r="Z936" s="335">
        <v>9970</v>
      </c>
      <c r="AA936" s="334">
        <v>295.21600000000001</v>
      </c>
      <c r="AB936" s="336">
        <v>9970</v>
      </c>
      <c r="AC936" s="334">
        <v>295.18099999999998</v>
      </c>
      <c r="AD936" s="336">
        <v>9970</v>
      </c>
      <c r="AE936" s="334">
        <v>285.62200000000001</v>
      </c>
      <c r="AF936" s="336">
        <v>9970</v>
      </c>
      <c r="AG936" s="334">
        <v>284.625</v>
      </c>
      <c r="AH936" s="336">
        <v>9970</v>
      </c>
      <c r="AI936" s="334">
        <v>285.42399999999998</v>
      </c>
      <c r="AJ936" s="336">
        <v>9950</v>
      </c>
      <c r="AK936" s="334">
        <v>286.45100000000002</v>
      </c>
      <c r="AL936" s="336">
        <v>9970</v>
      </c>
      <c r="AM936" s="334">
        <v>286.14400000000001</v>
      </c>
      <c r="AN936" s="336">
        <v>9970</v>
      </c>
      <c r="AO936" s="334">
        <v>286.78100000000001</v>
      </c>
      <c r="AP936" s="336">
        <v>9960</v>
      </c>
      <c r="AQ936" s="334">
        <v>286.714</v>
      </c>
      <c r="AR936" s="336">
        <v>9970</v>
      </c>
      <c r="AS936" s="334">
        <v>286.01400000000001</v>
      </c>
      <c r="AT936" s="336">
        <v>9970</v>
      </c>
      <c r="AU936" s="334">
        <v>284.43599999999998</v>
      </c>
      <c r="AV936" s="336">
        <v>9970</v>
      </c>
      <c r="AW936" s="334">
        <v>284.887</v>
      </c>
      <c r="AX936" s="336">
        <v>9960</v>
      </c>
      <c r="AY936" s="334">
        <v>220.828</v>
      </c>
      <c r="AZ936" s="336">
        <v>9970</v>
      </c>
      <c r="BA936" s="337">
        <v>220.50399999999999</v>
      </c>
      <c r="BB936" s="336">
        <v>9950</v>
      </c>
      <c r="BC936" s="334">
        <v>47.808</v>
      </c>
      <c r="BD936" s="336">
        <v>9950</v>
      </c>
      <c r="BE936" s="334">
        <v>51.143999999999998</v>
      </c>
    </row>
    <row r="937" spans="22:57">
      <c r="V937" s="346">
        <v>9980</v>
      </c>
      <c r="W937" s="333">
        <v>107.372</v>
      </c>
      <c r="X937" s="346">
        <v>9990</v>
      </c>
      <c r="Y937" s="334">
        <v>106.199</v>
      </c>
      <c r="Z937" s="335">
        <v>9980</v>
      </c>
      <c r="AA937" s="334">
        <v>293.79899999999998</v>
      </c>
      <c r="AB937" s="336">
        <v>9980</v>
      </c>
      <c r="AC937" s="334">
        <v>293.76499999999999</v>
      </c>
      <c r="AD937" s="336">
        <v>9980</v>
      </c>
      <c r="AE937" s="334">
        <v>284.41000000000003</v>
      </c>
      <c r="AF937" s="336">
        <v>9980</v>
      </c>
      <c r="AG937" s="334">
        <v>283.41199999999998</v>
      </c>
      <c r="AH937" s="336">
        <v>9980</v>
      </c>
      <c r="AI937" s="334">
        <v>284.21300000000002</v>
      </c>
      <c r="AJ937" s="336">
        <v>9960</v>
      </c>
      <c r="AK937" s="334">
        <v>285.23899999999998</v>
      </c>
      <c r="AL937" s="336">
        <v>9980</v>
      </c>
      <c r="AM937" s="334">
        <v>284.93200000000002</v>
      </c>
      <c r="AN937" s="336">
        <v>9980</v>
      </c>
      <c r="AO937" s="334">
        <v>285.56900000000002</v>
      </c>
      <c r="AP937" s="336">
        <v>9970</v>
      </c>
      <c r="AQ937" s="334">
        <v>285.50299999999999</v>
      </c>
      <c r="AR937" s="336">
        <v>9980</v>
      </c>
      <c r="AS937" s="334">
        <v>284.803</v>
      </c>
      <c r="AT937" s="336">
        <v>9980</v>
      </c>
      <c r="AU937" s="334">
        <v>283.226</v>
      </c>
      <c r="AV937" s="336">
        <v>9980</v>
      </c>
      <c r="AW937" s="334">
        <v>283.67700000000002</v>
      </c>
      <c r="AX937" s="336">
        <v>9970</v>
      </c>
      <c r="AY937" s="334">
        <v>219.77500000000001</v>
      </c>
      <c r="AZ937" s="336">
        <v>9980</v>
      </c>
      <c r="BA937" s="337">
        <v>219.42400000000001</v>
      </c>
      <c r="BB937" s="336">
        <v>9960</v>
      </c>
      <c r="BC937" s="334">
        <v>47.548999999999999</v>
      </c>
      <c r="BD937" s="336">
        <v>9960</v>
      </c>
      <c r="BE937" s="334">
        <v>50.871000000000002</v>
      </c>
    </row>
    <row r="938" spans="22:57">
      <c r="V938" s="346">
        <v>9990</v>
      </c>
      <c r="W938" s="333">
        <v>106.77500000000001</v>
      </c>
      <c r="X938" s="346">
        <v>10000</v>
      </c>
      <c r="Y938" s="334">
        <v>105.608</v>
      </c>
      <c r="Z938" s="335">
        <v>9990</v>
      </c>
      <c r="AA938" s="334">
        <v>292.38299999999998</v>
      </c>
      <c r="AB938" s="336">
        <v>9990</v>
      </c>
      <c r="AC938" s="334">
        <v>292.35000000000002</v>
      </c>
      <c r="AD938" s="336">
        <v>9990</v>
      </c>
      <c r="AE938" s="334">
        <v>283.19900000000001</v>
      </c>
      <c r="AF938" s="336">
        <v>9990</v>
      </c>
      <c r="AG938" s="334">
        <v>282.19799999999998</v>
      </c>
      <c r="AH938" s="336">
        <v>9990</v>
      </c>
      <c r="AI938" s="334">
        <v>283.00099999999998</v>
      </c>
      <c r="AJ938" s="336">
        <v>9970</v>
      </c>
      <c r="AK938" s="334">
        <v>284.02699999999999</v>
      </c>
      <c r="AL938" s="336">
        <v>9990</v>
      </c>
      <c r="AM938" s="334">
        <v>283.721</v>
      </c>
      <c r="AN938" s="336">
        <v>9990</v>
      </c>
      <c r="AO938" s="334">
        <v>284.35700000000003</v>
      </c>
      <c r="AP938" s="336">
        <v>9980</v>
      </c>
      <c r="AQ938" s="334">
        <v>284.29300000000001</v>
      </c>
      <c r="AR938" s="336">
        <v>9990</v>
      </c>
      <c r="AS938" s="334">
        <v>283.59199999999998</v>
      </c>
      <c r="AT938" s="336">
        <v>9990</v>
      </c>
      <c r="AU938" s="334">
        <v>282.01499999999999</v>
      </c>
      <c r="AV938" s="336">
        <v>9990</v>
      </c>
      <c r="AW938" s="334">
        <v>282.46699999999998</v>
      </c>
      <c r="AX938" s="336">
        <v>9980</v>
      </c>
      <c r="AY938" s="334">
        <v>218.72300000000001</v>
      </c>
      <c r="AZ938" s="336">
        <v>9990</v>
      </c>
      <c r="BA938" s="337">
        <v>218.345</v>
      </c>
      <c r="BB938" s="336">
        <v>9970</v>
      </c>
      <c r="BC938" s="334">
        <v>47.29</v>
      </c>
      <c r="BD938" s="336">
        <v>9970</v>
      </c>
      <c r="BE938" s="334">
        <v>50.597999999999999</v>
      </c>
    </row>
    <row r="939" spans="22:57">
      <c r="V939" s="346">
        <v>10000</v>
      </c>
      <c r="W939" s="333">
        <v>106.18</v>
      </c>
      <c r="X939" s="346">
        <v>10010</v>
      </c>
      <c r="Y939" s="334">
        <v>105.017</v>
      </c>
      <c r="Z939" s="335">
        <v>10000</v>
      </c>
      <c r="AA939" s="334">
        <v>290.96699999999998</v>
      </c>
      <c r="AB939" s="336">
        <v>10000</v>
      </c>
      <c r="AC939" s="334">
        <v>290.93599999999998</v>
      </c>
      <c r="AD939" s="336">
        <v>10000</v>
      </c>
      <c r="AE939" s="334">
        <v>281.988</v>
      </c>
      <c r="AF939" s="336">
        <v>10000</v>
      </c>
      <c r="AG939" s="334">
        <v>280.98500000000001</v>
      </c>
      <c r="AH939" s="336">
        <v>10000</v>
      </c>
      <c r="AI939" s="334">
        <v>281.79000000000002</v>
      </c>
      <c r="AJ939" s="336">
        <v>9980</v>
      </c>
      <c r="AK939" s="334">
        <v>282.815</v>
      </c>
      <c r="AL939" s="336">
        <v>10000</v>
      </c>
      <c r="AM939" s="334">
        <v>282.50900000000001</v>
      </c>
      <c r="AN939" s="336">
        <v>10000</v>
      </c>
      <c r="AO939" s="334">
        <v>283.14499999999998</v>
      </c>
      <c r="AP939" s="336">
        <v>9990</v>
      </c>
      <c r="AQ939" s="334">
        <v>283.08199999999999</v>
      </c>
      <c r="AR939" s="336">
        <v>10000</v>
      </c>
      <c r="AS939" s="334">
        <v>282.38099999999997</v>
      </c>
      <c r="AT939" s="336">
        <v>10000</v>
      </c>
      <c r="AU939" s="334">
        <v>280.80399999999997</v>
      </c>
      <c r="AV939" s="336">
        <v>10000</v>
      </c>
      <c r="AW939" s="334">
        <v>281.25700000000001</v>
      </c>
      <c r="AX939" s="336">
        <v>9990</v>
      </c>
      <c r="AY939" s="334">
        <v>217.67</v>
      </c>
      <c r="AZ939" s="336">
        <v>10000</v>
      </c>
      <c r="BA939" s="337">
        <v>217.267</v>
      </c>
      <c r="BB939" s="336">
        <v>9980</v>
      </c>
      <c r="BC939" s="334">
        <v>47.031999999999996</v>
      </c>
      <c r="BD939" s="336">
        <v>9980</v>
      </c>
      <c r="BE939" s="334">
        <v>50.325000000000003</v>
      </c>
    </row>
    <row r="940" spans="22:57">
      <c r="V940" s="346">
        <v>10010</v>
      </c>
      <c r="W940" s="333">
        <v>105.586</v>
      </c>
      <c r="X940" s="346">
        <v>10020</v>
      </c>
      <c r="Y940" s="334">
        <v>104.428</v>
      </c>
      <c r="Z940" s="335">
        <v>10010</v>
      </c>
      <c r="AA940" s="334">
        <v>289.553</v>
      </c>
      <c r="AB940" s="336">
        <v>10010</v>
      </c>
      <c r="AC940" s="334">
        <v>289.52300000000002</v>
      </c>
      <c r="AD940" s="336">
        <v>10010</v>
      </c>
      <c r="AE940" s="334">
        <v>280.77600000000001</v>
      </c>
      <c r="AF940" s="336">
        <v>10010</v>
      </c>
      <c r="AG940" s="334">
        <v>279.77199999999999</v>
      </c>
      <c r="AH940" s="336">
        <v>10010</v>
      </c>
      <c r="AI940" s="334">
        <v>280.57799999999997</v>
      </c>
      <c r="AJ940" s="336">
        <v>9990</v>
      </c>
      <c r="AK940" s="334">
        <v>281.60300000000001</v>
      </c>
      <c r="AL940" s="336">
        <v>10010</v>
      </c>
      <c r="AM940" s="334">
        <v>281.298</v>
      </c>
      <c r="AN940" s="336">
        <v>10010</v>
      </c>
      <c r="AO940" s="334">
        <v>281.93299999999999</v>
      </c>
      <c r="AP940" s="336">
        <v>10000</v>
      </c>
      <c r="AQ940" s="334">
        <v>281.87200000000001</v>
      </c>
      <c r="AR940" s="336">
        <v>10010</v>
      </c>
      <c r="AS940" s="334">
        <v>281.17</v>
      </c>
      <c r="AT940" s="336">
        <v>10010</v>
      </c>
      <c r="AU940" s="334">
        <v>279.59399999999999</v>
      </c>
      <c r="AV940" s="336">
        <v>10010</v>
      </c>
      <c r="AW940" s="334">
        <v>280.04700000000003</v>
      </c>
      <c r="AX940" s="336">
        <v>10000</v>
      </c>
      <c r="AY940" s="334">
        <v>216.61699999999999</v>
      </c>
      <c r="AZ940" s="336">
        <v>10010</v>
      </c>
      <c r="BA940" s="337">
        <v>216.19</v>
      </c>
      <c r="BB940" s="336">
        <v>9990</v>
      </c>
      <c r="BC940" s="334">
        <v>46.774000000000001</v>
      </c>
      <c r="BD940" s="336">
        <v>9990</v>
      </c>
      <c r="BE940" s="334">
        <v>50.052999999999997</v>
      </c>
    </row>
    <row r="941" spans="22:57">
      <c r="V941" s="346">
        <v>10020</v>
      </c>
      <c r="W941" s="333">
        <v>104.99299999999999</v>
      </c>
      <c r="X941" s="346">
        <v>10030</v>
      </c>
      <c r="Y941" s="334">
        <v>103.84099999999999</v>
      </c>
      <c r="Z941" s="335">
        <v>10020</v>
      </c>
      <c r="AA941" s="334">
        <v>288.13900000000001</v>
      </c>
      <c r="AB941" s="336">
        <v>10020</v>
      </c>
      <c r="AC941" s="334">
        <v>288.11099999999999</v>
      </c>
      <c r="AD941" s="336">
        <v>10020</v>
      </c>
      <c r="AE941" s="334">
        <v>279.565</v>
      </c>
      <c r="AF941" s="336">
        <v>10020</v>
      </c>
      <c r="AG941" s="334">
        <v>278.55799999999999</v>
      </c>
      <c r="AH941" s="336">
        <v>10020</v>
      </c>
      <c r="AI941" s="334">
        <v>279.36700000000002</v>
      </c>
      <c r="AJ941" s="336">
        <v>10000</v>
      </c>
      <c r="AK941" s="334">
        <v>280.39100000000002</v>
      </c>
      <c r="AL941" s="336">
        <v>10020</v>
      </c>
      <c r="AM941" s="334">
        <v>280.08600000000001</v>
      </c>
      <c r="AN941" s="336">
        <v>10020</v>
      </c>
      <c r="AO941" s="334">
        <v>280.721</v>
      </c>
      <c r="AP941" s="336">
        <v>10010</v>
      </c>
      <c r="AQ941" s="334">
        <v>280.661</v>
      </c>
      <c r="AR941" s="336">
        <v>10020</v>
      </c>
      <c r="AS941" s="334">
        <v>279.959</v>
      </c>
      <c r="AT941" s="336">
        <v>10020</v>
      </c>
      <c r="AU941" s="334">
        <v>278.38299999999998</v>
      </c>
      <c r="AV941" s="336">
        <v>10020</v>
      </c>
      <c r="AW941" s="334">
        <v>278.83699999999999</v>
      </c>
      <c r="AX941" s="336">
        <v>10010</v>
      </c>
      <c r="AY941" s="334">
        <v>215.56399999999999</v>
      </c>
      <c r="AZ941" s="336">
        <v>10020</v>
      </c>
      <c r="BA941" s="337">
        <v>215.114</v>
      </c>
      <c r="BB941" s="336">
        <v>10000</v>
      </c>
      <c r="BC941" s="334">
        <v>46.515999999999998</v>
      </c>
      <c r="BD941" s="336">
        <v>10000</v>
      </c>
      <c r="BE941" s="334">
        <v>49.780999999999999</v>
      </c>
    </row>
    <row r="942" spans="22:57">
      <c r="V942" s="346">
        <v>10030</v>
      </c>
      <c r="W942" s="333">
        <v>104.402</v>
      </c>
      <c r="X942" s="346">
        <v>10040</v>
      </c>
      <c r="Y942" s="334">
        <v>103.254</v>
      </c>
      <c r="Z942" s="335">
        <v>10030</v>
      </c>
      <c r="AA942" s="334">
        <v>286.726</v>
      </c>
      <c r="AB942" s="336">
        <v>10030</v>
      </c>
      <c r="AC942" s="334">
        <v>286.7</v>
      </c>
      <c r="AD942" s="336">
        <v>10030</v>
      </c>
      <c r="AE942" s="334">
        <v>278.35399999999998</v>
      </c>
      <c r="AF942" s="336">
        <v>10030</v>
      </c>
      <c r="AG942" s="334">
        <v>277.34500000000003</v>
      </c>
      <c r="AH942" s="336">
        <v>10030</v>
      </c>
      <c r="AI942" s="334">
        <v>278.15499999999997</v>
      </c>
      <c r="AJ942" s="336">
        <v>10010</v>
      </c>
      <c r="AK942" s="334">
        <v>279.18</v>
      </c>
      <c r="AL942" s="336">
        <v>10030</v>
      </c>
      <c r="AM942" s="334">
        <v>278.87400000000002</v>
      </c>
      <c r="AN942" s="336">
        <v>10030</v>
      </c>
      <c r="AO942" s="334">
        <v>279.50900000000001</v>
      </c>
      <c r="AP942" s="336">
        <v>10020</v>
      </c>
      <c r="AQ942" s="334">
        <v>279.45100000000002</v>
      </c>
      <c r="AR942" s="336">
        <v>10030</v>
      </c>
      <c r="AS942" s="334">
        <v>278.74700000000001</v>
      </c>
      <c r="AT942" s="336">
        <v>10030</v>
      </c>
      <c r="AU942" s="334">
        <v>277.17200000000003</v>
      </c>
      <c r="AV942" s="336">
        <v>10030</v>
      </c>
      <c r="AW942" s="334">
        <v>277.62700000000001</v>
      </c>
      <c r="AX942" s="336">
        <v>10020</v>
      </c>
      <c r="AY942" s="334">
        <v>214.512</v>
      </c>
      <c r="AZ942" s="336">
        <v>10030</v>
      </c>
      <c r="BA942" s="337">
        <v>214.03899999999999</v>
      </c>
      <c r="BB942" s="336">
        <v>10010</v>
      </c>
      <c r="BC942" s="334">
        <v>46.259</v>
      </c>
      <c r="BD942" s="336">
        <v>10010</v>
      </c>
      <c r="BE942" s="334">
        <v>49.51</v>
      </c>
    </row>
    <row r="943" spans="22:57">
      <c r="V943" s="346">
        <v>10040</v>
      </c>
      <c r="W943" s="333">
        <v>103.81100000000001</v>
      </c>
      <c r="X943" s="346">
        <v>10050</v>
      </c>
      <c r="Y943" s="334">
        <v>102.669</v>
      </c>
      <c r="Z943" s="335">
        <v>10040</v>
      </c>
      <c r="AA943" s="334">
        <v>285.315</v>
      </c>
      <c r="AB943" s="336">
        <v>10040</v>
      </c>
      <c r="AC943" s="334">
        <v>285.28899999999999</v>
      </c>
      <c r="AD943" s="336">
        <v>10040</v>
      </c>
      <c r="AE943" s="334">
        <v>277.14299999999997</v>
      </c>
      <c r="AF943" s="336">
        <v>10040</v>
      </c>
      <c r="AG943" s="334">
        <v>276.13200000000001</v>
      </c>
      <c r="AH943" s="336">
        <v>10040</v>
      </c>
      <c r="AI943" s="334">
        <v>276.94400000000002</v>
      </c>
      <c r="AJ943" s="336">
        <v>10020</v>
      </c>
      <c r="AK943" s="334">
        <v>277.96800000000002</v>
      </c>
      <c r="AL943" s="336">
        <v>10040</v>
      </c>
      <c r="AM943" s="334">
        <v>277.66300000000001</v>
      </c>
      <c r="AN943" s="336">
        <v>10040</v>
      </c>
      <c r="AO943" s="334">
        <v>278.29700000000003</v>
      </c>
      <c r="AP943" s="336">
        <v>10030</v>
      </c>
      <c r="AQ943" s="334">
        <v>278.24</v>
      </c>
      <c r="AR943" s="336">
        <v>10040</v>
      </c>
      <c r="AS943" s="334">
        <v>277.536</v>
      </c>
      <c r="AT943" s="336">
        <v>10040</v>
      </c>
      <c r="AU943" s="334">
        <v>275.96199999999999</v>
      </c>
      <c r="AV943" s="336">
        <v>10040</v>
      </c>
      <c r="AW943" s="334">
        <v>276.41699999999997</v>
      </c>
      <c r="AX943" s="336">
        <v>10030</v>
      </c>
      <c r="AY943" s="334">
        <v>213.459</v>
      </c>
      <c r="AZ943" s="336">
        <v>10040</v>
      </c>
      <c r="BA943" s="337">
        <v>212.965</v>
      </c>
      <c r="BB943" s="336">
        <v>10020</v>
      </c>
      <c r="BC943" s="334">
        <v>46.003</v>
      </c>
      <c r="BD943" s="336">
        <v>10020</v>
      </c>
      <c r="BE943" s="334">
        <v>49.24</v>
      </c>
    </row>
    <row r="944" spans="22:57">
      <c r="V944" s="346">
        <v>10050</v>
      </c>
      <c r="W944" s="333">
        <v>103.22199999999999</v>
      </c>
      <c r="X944" s="346">
        <v>10060</v>
      </c>
      <c r="Y944" s="334">
        <v>102.08499999999999</v>
      </c>
      <c r="Z944" s="335">
        <v>10050</v>
      </c>
      <c r="AA944" s="334">
        <v>283.904</v>
      </c>
      <c r="AB944" s="336">
        <v>10050</v>
      </c>
      <c r="AC944" s="334">
        <v>283.88</v>
      </c>
      <c r="AD944" s="336">
        <v>10050</v>
      </c>
      <c r="AE944" s="334">
        <v>275.93099999999998</v>
      </c>
      <c r="AF944" s="336">
        <v>10050</v>
      </c>
      <c r="AG944" s="334">
        <v>274.91800000000001</v>
      </c>
      <c r="AH944" s="336">
        <v>10050</v>
      </c>
      <c r="AI944" s="334">
        <v>275.73200000000003</v>
      </c>
      <c r="AJ944" s="336">
        <v>10030</v>
      </c>
      <c r="AK944" s="334">
        <v>276.75599999999997</v>
      </c>
      <c r="AL944" s="336">
        <v>10050</v>
      </c>
      <c r="AM944" s="334">
        <v>276.45100000000002</v>
      </c>
      <c r="AN944" s="336">
        <v>10050</v>
      </c>
      <c r="AO944" s="334">
        <v>277.08499999999998</v>
      </c>
      <c r="AP944" s="336">
        <v>10040</v>
      </c>
      <c r="AQ944" s="334">
        <v>277.02999999999997</v>
      </c>
      <c r="AR944" s="336">
        <v>10050</v>
      </c>
      <c r="AS944" s="334">
        <v>276.32499999999999</v>
      </c>
      <c r="AT944" s="336">
        <v>10050</v>
      </c>
      <c r="AU944" s="334">
        <v>274.75099999999998</v>
      </c>
      <c r="AV944" s="336">
        <v>10050</v>
      </c>
      <c r="AW944" s="334">
        <v>275.20699999999999</v>
      </c>
      <c r="AX944" s="336">
        <v>10040</v>
      </c>
      <c r="AY944" s="334">
        <v>212.40600000000001</v>
      </c>
      <c r="AZ944" s="336">
        <v>10050</v>
      </c>
      <c r="BA944" s="337">
        <v>211.892</v>
      </c>
      <c r="BB944" s="336">
        <v>10030</v>
      </c>
      <c r="BC944" s="334">
        <v>45.747</v>
      </c>
      <c r="BD944" s="336">
        <v>10030</v>
      </c>
      <c r="BE944" s="334">
        <v>48.969000000000001</v>
      </c>
    </row>
    <row r="945" spans="22:57">
      <c r="V945" s="346">
        <v>10060</v>
      </c>
      <c r="W945" s="333">
        <v>102.63500000000001</v>
      </c>
      <c r="X945" s="346">
        <v>10070</v>
      </c>
      <c r="Y945" s="334">
        <v>101.503</v>
      </c>
      <c r="Z945" s="335">
        <v>10060</v>
      </c>
      <c r="AA945" s="334">
        <v>282.495</v>
      </c>
      <c r="AB945" s="336">
        <v>10060</v>
      </c>
      <c r="AC945" s="334">
        <v>282.47199999999998</v>
      </c>
      <c r="AD945" s="336">
        <v>10060</v>
      </c>
      <c r="AE945" s="334">
        <v>274.72000000000003</v>
      </c>
      <c r="AF945" s="336">
        <v>10060</v>
      </c>
      <c r="AG945" s="334">
        <v>273.70499999999998</v>
      </c>
      <c r="AH945" s="336">
        <v>10060</v>
      </c>
      <c r="AI945" s="334">
        <v>274.52</v>
      </c>
      <c r="AJ945" s="336">
        <v>10040</v>
      </c>
      <c r="AK945" s="334">
        <v>275.54399999999998</v>
      </c>
      <c r="AL945" s="336">
        <v>10060</v>
      </c>
      <c r="AM945" s="334">
        <v>275.24</v>
      </c>
      <c r="AN945" s="336">
        <v>10060</v>
      </c>
      <c r="AO945" s="334">
        <v>275.87299999999999</v>
      </c>
      <c r="AP945" s="336">
        <v>10050</v>
      </c>
      <c r="AQ945" s="334">
        <v>275.82</v>
      </c>
      <c r="AR945" s="336">
        <v>10060</v>
      </c>
      <c r="AS945" s="334">
        <v>275.11399999999998</v>
      </c>
      <c r="AT945" s="336">
        <v>10060</v>
      </c>
      <c r="AU945" s="334">
        <v>273.54000000000002</v>
      </c>
      <c r="AV945" s="336">
        <v>10060</v>
      </c>
      <c r="AW945" s="334">
        <v>273.99700000000001</v>
      </c>
      <c r="AX945" s="336">
        <v>10050</v>
      </c>
      <c r="AY945" s="334">
        <v>211.35400000000001</v>
      </c>
      <c r="AZ945" s="336">
        <v>10060</v>
      </c>
      <c r="BA945" s="337">
        <v>210.82</v>
      </c>
      <c r="BB945" s="336">
        <v>10040</v>
      </c>
      <c r="BC945" s="334">
        <v>45.491999999999997</v>
      </c>
      <c r="BD945" s="336">
        <v>10040</v>
      </c>
      <c r="BE945" s="334">
        <v>48.7</v>
      </c>
    </row>
    <row r="946" spans="22:57">
      <c r="V946" s="346">
        <v>10070</v>
      </c>
      <c r="W946" s="333">
        <v>102.048</v>
      </c>
      <c r="X946" s="346">
        <v>10080</v>
      </c>
      <c r="Y946" s="334">
        <v>100.922</v>
      </c>
      <c r="Z946" s="335">
        <v>10070</v>
      </c>
      <c r="AA946" s="334">
        <v>281.08600000000001</v>
      </c>
      <c r="AB946" s="336">
        <v>10070</v>
      </c>
      <c r="AC946" s="334">
        <v>281.065</v>
      </c>
      <c r="AD946" s="336">
        <v>10070</v>
      </c>
      <c r="AE946" s="334">
        <v>273.50900000000001</v>
      </c>
      <c r="AF946" s="336">
        <v>10070</v>
      </c>
      <c r="AG946" s="334">
        <v>272.49200000000002</v>
      </c>
      <c r="AH946" s="336">
        <v>10070</v>
      </c>
      <c r="AI946" s="334">
        <v>273.30900000000003</v>
      </c>
      <c r="AJ946" s="336">
        <v>10050</v>
      </c>
      <c r="AK946" s="334">
        <v>274.33199999999999</v>
      </c>
      <c r="AL946" s="336">
        <v>10070</v>
      </c>
      <c r="AM946" s="334">
        <v>274.02800000000002</v>
      </c>
      <c r="AN946" s="336">
        <v>10070</v>
      </c>
      <c r="AO946" s="334">
        <v>274.661</v>
      </c>
      <c r="AP946" s="336">
        <v>10060</v>
      </c>
      <c r="AQ946" s="334">
        <v>274.60899999999998</v>
      </c>
      <c r="AR946" s="336">
        <v>10070</v>
      </c>
      <c r="AS946" s="334">
        <v>273.90300000000002</v>
      </c>
      <c r="AT946" s="336">
        <v>10070</v>
      </c>
      <c r="AU946" s="334">
        <v>272.32900000000001</v>
      </c>
      <c r="AV946" s="336">
        <v>10070</v>
      </c>
      <c r="AW946" s="334">
        <v>272.78699999999998</v>
      </c>
      <c r="AX946" s="336">
        <v>10060</v>
      </c>
      <c r="AY946" s="334">
        <v>210.30099999999999</v>
      </c>
      <c r="AZ946" s="336">
        <v>10070</v>
      </c>
      <c r="BA946" s="337">
        <v>209.75</v>
      </c>
      <c r="BB946" s="336">
        <v>10050</v>
      </c>
      <c r="BC946" s="334">
        <v>45.237000000000002</v>
      </c>
      <c r="BD946" s="336">
        <v>10050</v>
      </c>
      <c r="BE946" s="334">
        <v>48.430999999999997</v>
      </c>
    </row>
    <row r="947" spans="22:57">
      <c r="V947" s="346">
        <v>10080</v>
      </c>
      <c r="W947" s="333">
        <v>101.46299999999999</v>
      </c>
      <c r="X947" s="346">
        <v>10090</v>
      </c>
      <c r="Y947" s="334">
        <v>100.342</v>
      </c>
      <c r="Z947" s="335">
        <v>10080</v>
      </c>
      <c r="AA947" s="334">
        <v>279.678</v>
      </c>
      <c r="AB947" s="336">
        <v>10080</v>
      </c>
      <c r="AC947" s="334">
        <v>279.65899999999999</v>
      </c>
      <c r="AD947" s="336">
        <v>10080</v>
      </c>
      <c r="AE947" s="334">
        <v>272.298</v>
      </c>
      <c r="AF947" s="336">
        <v>10080</v>
      </c>
      <c r="AG947" s="334">
        <v>271.27800000000002</v>
      </c>
      <c r="AH947" s="336">
        <v>10080</v>
      </c>
      <c r="AI947" s="334">
        <v>272.09699999999998</v>
      </c>
      <c r="AJ947" s="336">
        <v>10060</v>
      </c>
      <c r="AK947" s="334">
        <v>273.12099999999998</v>
      </c>
      <c r="AL947" s="336">
        <v>10080</v>
      </c>
      <c r="AM947" s="334">
        <v>272.81700000000001</v>
      </c>
      <c r="AN947" s="336">
        <v>10080</v>
      </c>
      <c r="AO947" s="334">
        <v>273.44900000000001</v>
      </c>
      <c r="AP947" s="336">
        <v>10070</v>
      </c>
      <c r="AQ947" s="334">
        <v>273.399</v>
      </c>
      <c r="AR947" s="336">
        <v>10080</v>
      </c>
      <c r="AS947" s="334">
        <v>272.69200000000001</v>
      </c>
      <c r="AT947" s="336">
        <v>10080</v>
      </c>
      <c r="AU947" s="334">
        <v>271.11900000000003</v>
      </c>
      <c r="AV947" s="336">
        <v>10080</v>
      </c>
      <c r="AW947" s="334">
        <v>271.577</v>
      </c>
      <c r="AX947" s="336">
        <v>10070</v>
      </c>
      <c r="AY947" s="334">
        <v>209.24799999999999</v>
      </c>
      <c r="AZ947" s="336">
        <v>10080</v>
      </c>
      <c r="BA947" s="337">
        <v>208.68</v>
      </c>
      <c r="BB947" s="336">
        <v>10060</v>
      </c>
      <c r="BC947" s="334">
        <v>44.982999999999997</v>
      </c>
      <c r="BD947" s="336">
        <v>10060</v>
      </c>
      <c r="BE947" s="334">
        <v>48.161999999999999</v>
      </c>
    </row>
    <row r="948" spans="22:57">
      <c r="V948" s="346">
        <v>10090</v>
      </c>
      <c r="W948" s="333">
        <v>100.88</v>
      </c>
      <c r="X948" s="346">
        <v>10100</v>
      </c>
      <c r="Y948" s="334">
        <v>99.763000000000005</v>
      </c>
      <c r="Z948" s="335">
        <v>10090</v>
      </c>
      <c r="AA948" s="334">
        <v>278.27199999999999</v>
      </c>
      <c r="AB948" s="336">
        <v>10090</v>
      </c>
      <c r="AC948" s="334">
        <v>278.25400000000002</v>
      </c>
      <c r="AD948" s="336">
        <v>10090</v>
      </c>
      <c r="AE948" s="334">
        <v>271.08600000000001</v>
      </c>
      <c r="AF948" s="336">
        <v>10090</v>
      </c>
      <c r="AG948" s="334">
        <v>270.065</v>
      </c>
      <c r="AH948" s="336">
        <v>10090</v>
      </c>
      <c r="AI948" s="334">
        <v>270.88600000000002</v>
      </c>
      <c r="AJ948" s="336">
        <v>10070</v>
      </c>
      <c r="AK948" s="334">
        <v>271.90899999999999</v>
      </c>
      <c r="AL948" s="336">
        <v>10090</v>
      </c>
      <c r="AM948" s="334">
        <v>271.60500000000002</v>
      </c>
      <c r="AN948" s="336">
        <v>10090</v>
      </c>
      <c r="AO948" s="334">
        <v>272.23700000000002</v>
      </c>
      <c r="AP948" s="336">
        <v>10080</v>
      </c>
      <c r="AQ948" s="334">
        <v>272.18799999999999</v>
      </c>
      <c r="AR948" s="336">
        <v>10090</v>
      </c>
      <c r="AS948" s="334">
        <v>271.48099999999999</v>
      </c>
      <c r="AT948" s="336">
        <v>10090</v>
      </c>
      <c r="AU948" s="334">
        <v>269.90800000000002</v>
      </c>
      <c r="AV948" s="336">
        <v>10090</v>
      </c>
      <c r="AW948" s="334">
        <v>270.36700000000002</v>
      </c>
      <c r="AX948" s="336">
        <v>10080</v>
      </c>
      <c r="AY948" s="334">
        <v>208.196</v>
      </c>
      <c r="AZ948" s="336">
        <v>10090</v>
      </c>
      <c r="BA948" s="337">
        <v>207.61099999999999</v>
      </c>
      <c r="BB948" s="336">
        <v>10070</v>
      </c>
      <c r="BC948" s="334">
        <v>44.728999999999999</v>
      </c>
      <c r="BD948" s="336">
        <v>10070</v>
      </c>
      <c r="BE948" s="334">
        <v>47.895000000000003</v>
      </c>
    </row>
    <row r="949" spans="22:57">
      <c r="V949" s="346">
        <v>10100</v>
      </c>
      <c r="W949" s="333">
        <v>100.297</v>
      </c>
      <c r="X949" s="346">
        <v>10110</v>
      </c>
      <c r="Y949" s="334">
        <v>99.185000000000002</v>
      </c>
      <c r="Z949" s="335">
        <v>10100</v>
      </c>
      <c r="AA949" s="334">
        <v>276.86599999999999</v>
      </c>
      <c r="AB949" s="336">
        <v>10100</v>
      </c>
      <c r="AC949" s="334">
        <v>276.84899999999999</v>
      </c>
      <c r="AD949" s="336">
        <v>10100</v>
      </c>
      <c r="AE949" s="334">
        <v>269.875</v>
      </c>
      <c r="AF949" s="336">
        <v>10100</v>
      </c>
      <c r="AG949" s="334">
        <v>268.85199999999998</v>
      </c>
      <c r="AH949" s="336">
        <v>10100</v>
      </c>
      <c r="AI949" s="334">
        <v>269.67399999999998</v>
      </c>
      <c r="AJ949" s="336">
        <v>10080</v>
      </c>
      <c r="AK949" s="334">
        <v>270.697</v>
      </c>
      <c r="AL949" s="336">
        <v>10100</v>
      </c>
      <c r="AM949" s="334">
        <v>270.39400000000001</v>
      </c>
      <c r="AN949" s="336">
        <v>10100</v>
      </c>
      <c r="AO949" s="334">
        <v>271.02499999999998</v>
      </c>
      <c r="AP949" s="336">
        <v>10090</v>
      </c>
      <c r="AQ949" s="334">
        <v>270.97800000000001</v>
      </c>
      <c r="AR949" s="336">
        <v>10100</v>
      </c>
      <c r="AS949" s="334">
        <v>270.27</v>
      </c>
      <c r="AT949" s="336">
        <v>10100</v>
      </c>
      <c r="AU949" s="334">
        <v>268.69799999999998</v>
      </c>
      <c r="AV949" s="336">
        <v>10100</v>
      </c>
      <c r="AW949" s="334">
        <v>269.15699999999998</v>
      </c>
      <c r="AX949" s="336">
        <v>10090</v>
      </c>
      <c r="AY949" s="334">
        <v>207.143</v>
      </c>
      <c r="AZ949" s="336">
        <v>10100</v>
      </c>
      <c r="BA949" s="337">
        <v>206.54300000000001</v>
      </c>
      <c r="BB949" s="336">
        <v>10080</v>
      </c>
      <c r="BC949" s="334">
        <v>44.475999999999999</v>
      </c>
      <c r="BD949" s="336">
        <v>10080</v>
      </c>
      <c r="BE949" s="334">
        <v>47.627000000000002</v>
      </c>
    </row>
    <row r="950" spans="22:57">
      <c r="V950" s="346">
        <v>10110</v>
      </c>
      <c r="W950" s="333">
        <v>99.715999999999994</v>
      </c>
      <c r="X950" s="346">
        <v>10120</v>
      </c>
      <c r="Y950" s="334">
        <v>98.608999999999995</v>
      </c>
      <c r="Z950" s="335">
        <v>10110</v>
      </c>
      <c r="AA950" s="334">
        <v>275.46199999999999</v>
      </c>
      <c r="AB950" s="336">
        <v>10110</v>
      </c>
      <c r="AC950" s="334">
        <v>275.44600000000003</v>
      </c>
      <c r="AD950" s="336">
        <v>10110</v>
      </c>
      <c r="AE950" s="334">
        <v>268.66399999999999</v>
      </c>
      <c r="AF950" s="336">
        <v>10110</v>
      </c>
      <c r="AG950" s="334">
        <v>267.63799999999998</v>
      </c>
      <c r="AH950" s="336">
        <v>10110</v>
      </c>
      <c r="AI950" s="334">
        <v>268.46300000000002</v>
      </c>
      <c r="AJ950" s="336">
        <v>10090</v>
      </c>
      <c r="AK950" s="334">
        <v>269.48500000000001</v>
      </c>
      <c r="AL950" s="336">
        <v>10110</v>
      </c>
      <c r="AM950" s="334">
        <v>269.18200000000002</v>
      </c>
      <c r="AN950" s="336">
        <v>10110</v>
      </c>
      <c r="AO950" s="334">
        <v>269.81299999999999</v>
      </c>
      <c r="AP950" s="336">
        <v>10100</v>
      </c>
      <c r="AQ950" s="334">
        <v>269.767</v>
      </c>
      <c r="AR950" s="336">
        <v>10110</v>
      </c>
      <c r="AS950" s="334">
        <v>269.05799999999999</v>
      </c>
      <c r="AT950" s="336">
        <v>10110</v>
      </c>
      <c r="AU950" s="334">
        <v>267.48700000000002</v>
      </c>
      <c r="AV950" s="336">
        <v>10110</v>
      </c>
      <c r="AW950" s="334">
        <v>267.947</v>
      </c>
      <c r="AX950" s="336">
        <v>10100</v>
      </c>
      <c r="AY950" s="334">
        <v>206.09</v>
      </c>
      <c r="AZ950" s="336">
        <v>10110</v>
      </c>
      <c r="BA950" s="337">
        <v>205.476</v>
      </c>
      <c r="BB950" s="336">
        <v>10090</v>
      </c>
      <c r="BC950" s="334">
        <v>44.222999999999999</v>
      </c>
      <c r="BD950" s="336">
        <v>10090</v>
      </c>
      <c r="BE950" s="334">
        <v>47.36</v>
      </c>
    </row>
    <row r="951" spans="22:57">
      <c r="V951" s="346">
        <v>10120</v>
      </c>
      <c r="W951" s="333">
        <v>99.135999999999996</v>
      </c>
      <c r="X951" s="346">
        <v>10130</v>
      </c>
      <c r="Y951" s="334">
        <v>98.034000000000006</v>
      </c>
      <c r="Z951" s="335">
        <v>10120</v>
      </c>
      <c r="AA951" s="334">
        <v>274.05799999999999</v>
      </c>
      <c r="AB951" s="336">
        <v>10120</v>
      </c>
      <c r="AC951" s="334">
        <v>274.04399999999998</v>
      </c>
      <c r="AD951" s="336">
        <v>10120</v>
      </c>
      <c r="AE951" s="334">
        <v>267.45299999999997</v>
      </c>
      <c r="AF951" s="336">
        <v>10120</v>
      </c>
      <c r="AG951" s="334">
        <v>266.42500000000001</v>
      </c>
      <c r="AH951" s="336">
        <v>10120</v>
      </c>
      <c r="AI951" s="334">
        <v>267.25099999999998</v>
      </c>
      <c r="AJ951" s="336">
        <v>10100</v>
      </c>
      <c r="AK951" s="334">
        <v>268.274</v>
      </c>
      <c r="AL951" s="336">
        <v>10120</v>
      </c>
      <c r="AM951" s="334">
        <v>267.971</v>
      </c>
      <c r="AN951" s="336">
        <v>10120</v>
      </c>
      <c r="AO951" s="334">
        <v>268.601</v>
      </c>
      <c r="AP951" s="336">
        <v>10110</v>
      </c>
      <c r="AQ951" s="334">
        <v>268.55700000000002</v>
      </c>
      <c r="AR951" s="336">
        <v>10120</v>
      </c>
      <c r="AS951" s="334">
        <v>267.84699999999998</v>
      </c>
      <c r="AT951" s="336">
        <v>10120</v>
      </c>
      <c r="AU951" s="334">
        <v>266.27600000000001</v>
      </c>
      <c r="AV951" s="336">
        <v>10120</v>
      </c>
      <c r="AW951" s="334">
        <v>266.73700000000002</v>
      </c>
      <c r="AX951" s="336">
        <v>10110</v>
      </c>
      <c r="AY951" s="334">
        <v>205.03800000000001</v>
      </c>
      <c r="AZ951" s="336">
        <v>10120</v>
      </c>
      <c r="BA951" s="337">
        <v>204.41</v>
      </c>
      <c r="BB951" s="336">
        <v>10100</v>
      </c>
      <c r="BC951" s="334">
        <v>43.970999999999997</v>
      </c>
      <c r="BD951" s="336">
        <v>10100</v>
      </c>
      <c r="BE951" s="334">
        <v>47.094000000000001</v>
      </c>
    </row>
    <row r="952" spans="22:57">
      <c r="V952" s="346">
        <v>10130</v>
      </c>
      <c r="W952" s="333">
        <v>98.557000000000002</v>
      </c>
      <c r="X952" s="346">
        <v>10140</v>
      </c>
      <c r="Y952" s="334">
        <v>97.460999999999999</v>
      </c>
      <c r="Z952" s="335">
        <v>10130</v>
      </c>
      <c r="AA952" s="334">
        <v>272.65600000000001</v>
      </c>
      <c r="AB952" s="336">
        <v>10130</v>
      </c>
      <c r="AC952" s="334">
        <v>272.64299999999997</v>
      </c>
      <c r="AD952" s="336">
        <v>10130</v>
      </c>
      <c r="AE952" s="334">
        <v>266.24099999999999</v>
      </c>
      <c r="AF952" s="336">
        <v>10130</v>
      </c>
      <c r="AG952" s="334">
        <v>265.21199999999999</v>
      </c>
      <c r="AH952" s="336">
        <v>10130</v>
      </c>
      <c r="AI952" s="334">
        <v>266.04000000000002</v>
      </c>
      <c r="AJ952" s="336">
        <v>10110</v>
      </c>
      <c r="AK952" s="334">
        <v>267.06200000000001</v>
      </c>
      <c r="AL952" s="336">
        <v>10130</v>
      </c>
      <c r="AM952" s="334">
        <v>266.75900000000001</v>
      </c>
      <c r="AN952" s="336">
        <v>10130</v>
      </c>
      <c r="AO952" s="334">
        <v>267.38900000000001</v>
      </c>
      <c r="AP952" s="336">
        <v>10120</v>
      </c>
      <c r="AQ952" s="334">
        <v>267.346</v>
      </c>
      <c r="AR952" s="336">
        <v>10130</v>
      </c>
      <c r="AS952" s="334">
        <v>266.63600000000002</v>
      </c>
      <c r="AT952" s="336">
        <v>10130</v>
      </c>
      <c r="AU952" s="334">
        <v>265.065</v>
      </c>
      <c r="AV952" s="336">
        <v>10130</v>
      </c>
      <c r="AW952" s="334">
        <v>265.52600000000001</v>
      </c>
      <c r="AX952" s="336">
        <v>10120</v>
      </c>
      <c r="AY952" s="334">
        <v>203.98500000000001</v>
      </c>
      <c r="AZ952" s="336">
        <v>10130</v>
      </c>
      <c r="BA952" s="337">
        <v>203.345</v>
      </c>
      <c r="BB952" s="336">
        <v>10110</v>
      </c>
      <c r="BC952" s="334">
        <v>43.719000000000001</v>
      </c>
      <c r="BD952" s="336">
        <v>10110</v>
      </c>
      <c r="BE952" s="334">
        <v>46.828000000000003</v>
      </c>
    </row>
    <row r="953" spans="22:57">
      <c r="V953" s="346">
        <v>10140</v>
      </c>
      <c r="W953" s="333">
        <v>97.98</v>
      </c>
      <c r="X953" s="346">
        <v>10150</v>
      </c>
      <c r="Y953" s="334">
        <v>96.888000000000005</v>
      </c>
      <c r="Z953" s="335">
        <v>10140</v>
      </c>
      <c r="AA953" s="334">
        <v>271.25400000000002</v>
      </c>
      <c r="AB953" s="336">
        <v>10140</v>
      </c>
      <c r="AC953" s="334">
        <v>271.24299999999999</v>
      </c>
      <c r="AD953" s="336">
        <v>10140</v>
      </c>
      <c r="AE953" s="334">
        <v>265.02999999999997</v>
      </c>
      <c r="AF953" s="336">
        <v>10140</v>
      </c>
      <c r="AG953" s="334">
        <v>263.99799999999999</v>
      </c>
      <c r="AH953" s="336">
        <v>10140</v>
      </c>
      <c r="AI953" s="334">
        <v>264.82799999999997</v>
      </c>
      <c r="AJ953" s="336">
        <v>10120</v>
      </c>
      <c r="AK953" s="334">
        <v>265.85000000000002</v>
      </c>
      <c r="AL953" s="336">
        <v>10140</v>
      </c>
      <c r="AM953" s="334">
        <v>265.548</v>
      </c>
      <c r="AN953" s="336">
        <v>10140</v>
      </c>
      <c r="AO953" s="334">
        <v>266.17700000000002</v>
      </c>
      <c r="AP953" s="336">
        <v>10130</v>
      </c>
      <c r="AQ953" s="334">
        <v>266.13600000000002</v>
      </c>
      <c r="AR953" s="336">
        <v>10140</v>
      </c>
      <c r="AS953" s="334">
        <v>265.42500000000001</v>
      </c>
      <c r="AT953" s="336">
        <v>10140</v>
      </c>
      <c r="AU953" s="334">
        <v>263.85500000000002</v>
      </c>
      <c r="AV953" s="336">
        <v>10140</v>
      </c>
      <c r="AW953" s="334">
        <v>264.31599999999997</v>
      </c>
      <c r="AX953" s="336">
        <v>10130</v>
      </c>
      <c r="AY953" s="334">
        <v>202.93199999999999</v>
      </c>
      <c r="AZ953" s="336">
        <v>10140</v>
      </c>
      <c r="BA953" s="337">
        <v>202.28200000000001</v>
      </c>
      <c r="BB953" s="336">
        <v>10120</v>
      </c>
      <c r="BC953" s="334">
        <v>43.468000000000004</v>
      </c>
      <c r="BD953" s="336">
        <v>10120</v>
      </c>
      <c r="BE953" s="334">
        <v>46.563000000000002</v>
      </c>
    </row>
    <row r="954" spans="22:57">
      <c r="V954" s="346">
        <v>10150</v>
      </c>
      <c r="W954" s="333">
        <v>97.403999999999996</v>
      </c>
      <c r="X954" s="346">
        <v>10160</v>
      </c>
      <c r="Y954" s="334">
        <v>96.316999999999993</v>
      </c>
      <c r="Z954" s="335">
        <v>10150</v>
      </c>
      <c r="AA954" s="334">
        <v>269.85399999999998</v>
      </c>
      <c r="AB954" s="336">
        <v>10150</v>
      </c>
      <c r="AC954" s="334">
        <v>269.84399999999999</v>
      </c>
      <c r="AD954" s="336">
        <v>10150</v>
      </c>
      <c r="AE954" s="334">
        <v>263.81900000000002</v>
      </c>
      <c r="AF954" s="336">
        <v>10150</v>
      </c>
      <c r="AG954" s="334">
        <v>262.78500000000003</v>
      </c>
      <c r="AH954" s="336">
        <v>10150</v>
      </c>
      <c r="AI954" s="334">
        <v>263.61700000000002</v>
      </c>
      <c r="AJ954" s="336">
        <v>10130</v>
      </c>
      <c r="AK954" s="334">
        <v>264.63799999999998</v>
      </c>
      <c r="AL954" s="336">
        <v>10150</v>
      </c>
      <c r="AM954" s="334">
        <v>264.33600000000001</v>
      </c>
      <c r="AN954" s="336">
        <v>10150</v>
      </c>
      <c r="AO954" s="334">
        <v>264.96499999999997</v>
      </c>
      <c r="AP954" s="336">
        <v>10140</v>
      </c>
      <c r="AQ954" s="334">
        <v>264.92500000000001</v>
      </c>
      <c r="AR954" s="336">
        <v>10150</v>
      </c>
      <c r="AS954" s="334">
        <v>264.214</v>
      </c>
      <c r="AT954" s="336">
        <v>10150</v>
      </c>
      <c r="AU954" s="334">
        <v>262.64400000000001</v>
      </c>
      <c r="AV954" s="336">
        <v>10150</v>
      </c>
      <c r="AW954" s="334">
        <v>263.10599999999999</v>
      </c>
      <c r="AX954" s="336">
        <v>10140</v>
      </c>
      <c r="AY954" s="334">
        <v>201.88</v>
      </c>
      <c r="AZ954" s="336">
        <v>10150</v>
      </c>
      <c r="BA954" s="337">
        <v>201.21899999999999</v>
      </c>
      <c r="BB954" s="336">
        <v>10130</v>
      </c>
      <c r="BC954" s="334">
        <v>43.218000000000004</v>
      </c>
      <c r="BD954" s="336">
        <v>10130</v>
      </c>
      <c r="BE954" s="334">
        <v>46.298000000000002</v>
      </c>
    </row>
    <row r="955" spans="22:57">
      <c r="V955" s="346">
        <v>10160</v>
      </c>
      <c r="W955" s="333">
        <v>96.828999999999994</v>
      </c>
      <c r="X955" s="346">
        <v>10170</v>
      </c>
      <c r="Y955" s="334">
        <v>95.747</v>
      </c>
      <c r="Z955" s="335">
        <v>10160</v>
      </c>
      <c r="AA955" s="334">
        <v>268.45499999999998</v>
      </c>
      <c r="AB955" s="336">
        <v>10160</v>
      </c>
      <c r="AC955" s="334">
        <v>268.44600000000003</v>
      </c>
      <c r="AD955" s="336">
        <v>10160</v>
      </c>
      <c r="AE955" s="334">
        <v>262.608</v>
      </c>
      <c r="AF955" s="336">
        <v>10160</v>
      </c>
      <c r="AG955" s="334">
        <v>261.572</v>
      </c>
      <c r="AH955" s="336">
        <v>10160</v>
      </c>
      <c r="AI955" s="334">
        <v>262.40499999999997</v>
      </c>
      <c r="AJ955" s="336">
        <v>10140</v>
      </c>
      <c r="AK955" s="334">
        <v>263.42599999999999</v>
      </c>
      <c r="AL955" s="336">
        <v>10160</v>
      </c>
      <c r="AM955" s="334">
        <v>263.12400000000002</v>
      </c>
      <c r="AN955" s="336">
        <v>10160</v>
      </c>
      <c r="AO955" s="334">
        <v>263.75299999999999</v>
      </c>
      <c r="AP955" s="336">
        <v>10150</v>
      </c>
      <c r="AQ955" s="334">
        <v>263.71499999999997</v>
      </c>
      <c r="AR955" s="336">
        <v>10160</v>
      </c>
      <c r="AS955" s="334">
        <v>263.00299999999999</v>
      </c>
      <c r="AT955" s="336">
        <v>10160</v>
      </c>
      <c r="AU955" s="334">
        <v>261.43299999999999</v>
      </c>
      <c r="AV955" s="336">
        <v>10160</v>
      </c>
      <c r="AW955" s="334">
        <v>261.89600000000002</v>
      </c>
      <c r="AX955" s="336">
        <v>10150</v>
      </c>
      <c r="AY955" s="334">
        <v>200.827</v>
      </c>
      <c r="AZ955" s="336">
        <v>10160</v>
      </c>
      <c r="BA955" s="337">
        <v>200.15700000000001</v>
      </c>
      <c r="BB955" s="336">
        <v>10140</v>
      </c>
      <c r="BC955" s="334">
        <v>42.968000000000004</v>
      </c>
      <c r="BD955" s="336">
        <v>10140</v>
      </c>
      <c r="BE955" s="334">
        <v>46.033999999999999</v>
      </c>
    </row>
    <row r="956" spans="22:57">
      <c r="V956" s="346">
        <v>10170</v>
      </c>
      <c r="W956" s="333">
        <v>96.256</v>
      </c>
      <c r="X956" s="346">
        <v>10180</v>
      </c>
      <c r="Y956" s="334">
        <v>95.179000000000002</v>
      </c>
      <c r="Z956" s="335">
        <v>10170</v>
      </c>
      <c r="AA956" s="334">
        <v>267.05599999999998</v>
      </c>
      <c r="AB956" s="336">
        <v>10170</v>
      </c>
      <c r="AC956" s="334">
        <v>267.04899999999998</v>
      </c>
      <c r="AD956" s="336">
        <v>10170</v>
      </c>
      <c r="AE956" s="334">
        <v>261.39699999999999</v>
      </c>
      <c r="AF956" s="336">
        <v>10170</v>
      </c>
      <c r="AG956" s="334">
        <v>260.358</v>
      </c>
      <c r="AH956" s="336">
        <v>10170</v>
      </c>
      <c r="AI956" s="334">
        <v>261.19400000000002</v>
      </c>
      <c r="AJ956" s="336">
        <v>10150</v>
      </c>
      <c r="AK956" s="334">
        <v>262.21499999999997</v>
      </c>
      <c r="AL956" s="336">
        <v>10170</v>
      </c>
      <c r="AM956" s="334">
        <v>261.91300000000001</v>
      </c>
      <c r="AN956" s="336">
        <v>10170</v>
      </c>
      <c r="AO956" s="334">
        <v>262.54199999999997</v>
      </c>
      <c r="AP956" s="336">
        <v>10160</v>
      </c>
      <c r="AQ956" s="334">
        <v>262.505</v>
      </c>
      <c r="AR956" s="336">
        <v>10170</v>
      </c>
      <c r="AS956" s="334">
        <v>261.79199999999997</v>
      </c>
      <c r="AT956" s="336">
        <v>10170</v>
      </c>
      <c r="AU956" s="334">
        <v>260.22300000000001</v>
      </c>
      <c r="AV956" s="336">
        <v>10170</v>
      </c>
      <c r="AW956" s="334">
        <v>260.68599999999998</v>
      </c>
      <c r="AX956" s="336">
        <v>10160</v>
      </c>
      <c r="AY956" s="334">
        <v>199.774</v>
      </c>
      <c r="AZ956" s="336">
        <v>10170</v>
      </c>
      <c r="BA956" s="337">
        <v>199.09700000000001</v>
      </c>
      <c r="BB956" s="336">
        <v>10150</v>
      </c>
      <c r="BC956" s="334">
        <v>42.718000000000004</v>
      </c>
      <c r="BD956" s="336">
        <v>10150</v>
      </c>
      <c r="BE956" s="334">
        <v>45.77</v>
      </c>
    </row>
    <row r="957" spans="22:57">
      <c r="V957" s="346">
        <v>10180</v>
      </c>
      <c r="W957" s="333">
        <v>95.683000000000007</v>
      </c>
      <c r="X957" s="346">
        <v>10190</v>
      </c>
      <c r="Y957" s="334">
        <v>94.611000000000004</v>
      </c>
      <c r="Z957" s="335">
        <v>10180</v>
      </c>
      <c r="AA957" s="334">
        <v>265.65899999999999</v>
      </c>
      <c r="AB957" s="336">
        <v>10180</v>
      </c>
      <c r="AC957" s="334">
        <v>265.654</v>
      </c>
      <c r="AD957" s="336">
        <v>10180</v>
      </c>
      <c r="AE957" s="334">
        <v>260.185</v>
      </c>
      <c r="AF957" s="336">
        <v>10180</v>
      </c>
      <c r="AG957" s="334">
        <v>259.14499999999998</v>
      </c>
      <c r="AH957" s="336">
        <v>10180</v>
      </c>
      <c r="AI957" s="334">
        <v>259.98200000000003</v>
      </c>
      <c r="AJ957" s="336">
        <v>10160</v>
      </c>
      <c r="AK957" s="334">
        <v>261.00299999999999</v>
      </c>
      <c r="AL957" s="336">
        <v>10180</v>
      </c>
      <c r="AM957" s="334">
        <v>260.70100000000002</v>
      </c>
      <c r="AN957" s="336">
        <v>10180</v>
      </c>
      <c r="AO957" s="334">
        <v>261.33</v>
      </c>
      <c r="AP957" s="336">
        <v>10170</v>
      </c>
      <c r="AQ957" s="334">
        <v>261.29399999999998</v>
      </c>
      <c r="AR957" s="336">
        <v>10180</v>
      </c>
      <c r="AS957" s="334">
        <v>260.58</v>
      </c>
      <c r="AT957" s="336">
        <v>10180</v>
      </c>
      <c r="AU957" s="334">
        <v>259.012</v>
      </c>
      <c r="AV957" s="336">
        <v>10180</v>
      </c>
      <c r="AW957" s="334">
        <v>259.476</v>
      </c>
      <c r="AX957" s="336">
        <v>10170</v>
      </c>
      <c r="AY957" s="334">
        <v>198.72200000000001</v>
      </c>
      <c r="AZ957" s="336">
        <v>10180</v>
      </c>
      <c r="BA957" s="337">
        <v>198.03700000000001</v>
      </c>
      <c r="BB957" s="336">
        <v>10160</v>
      </c>
      <c r="BC957" s="334">
        <v>42.469000000000001</v>
      </c>
      <c r="BD957" s="336">
        <v>10160</v>
      </c>
      <c r="BE957" s="334">
        <v>45.506999999999998</v>
      </c>
    </row>
    <row r="958" spans="22:57">
      <c r="V958" s="346">
        <v>10190</v>
      </c>
      <c r="W958" s="333">
        <v>95.111999999999995</v>
      </c>
      <c r="X958" s="346">
        <v>10200</v>
      </c>
      <c r="Y958" s="334">
        <v>94.045000000000002</v>
      </c>
      <c r="Z958" s="335">
        <v>10190</v>
      </c>
      <c r="AA958" s="334">
        <v>264.26299999999998</v>
      </c>
      <c r="AB958" s="336">
        <v>10190</v>
      </c>
      <c r="AC958" s="334">
        <v>264.25900000000001</v>
      </c>
      <c r="AD958" s="336">
        <v>10190</v>
      </c>
      <c r="AE958" s="334">
        <v>258.97399999999999</v>
      </c>
      <c r="AF958" s="336">
        <v>10190</v>
      </c>
      <c r="AG958" s="334">
        <v>257.93200000000002</v>
      </c>
      <c r="AH958" s="336">
        <v>10190</v>
      </c>
      <c r="AI958" s="334">
        <v>258.77</v>
      </c>
      <c r="AJ958" s="336">
        <v>10170</v>
      </c>
      <c r="AK958" s="334">
        <v>259.791</v>
      </c>
      <c r="AL958" s="336">
        <v>10190</v>
      </c>
      <c r="AM958" s="334">
        <v>259.49</v>
      </c>
      <c r="AN958" s="336">
        <v>10190</v>
      </c>
      <c r="AO958" s="334">
        <v>260.11799999999999</v>
      </c>
      <c r="AP958" s="336">
        <v>10180</v>
      </c>
      <c r="AQ958" s="334">
        <v>260.084</v>
      </c>
      <c r="AR958" s="336">
        <v>10190</v>
      </c>
      <c r="AS958" s="334">
        <v>259.36900000000003</v>
      </c>
      <c r="AT958" s="336">
        <v>10190</v>
      </c>
      <c r="AU958" s="334">
        <v>257.80099999999999</v>
      </c>
      <c r="AV958" s="336">
        <v>10190</v>
      </c>
      <c r="AW958" s="334">
        <v>258.26600000000002</v>
      </c>
      <c r="AX958" s="336">
        <v>10180</v>
      </c>
      <c r="AY958" s="334">
        <v>197.66900000000001</v>
      </c>
      <c r="AZ958" s="336">
        <v>10190</v>
      </c>
      <c r="BA958" s="337">
        <v>196.97900000000001</v>
      </c>
      <c r="BB958" s="336">
        <v>10170</v>
      </c>
      <c r="BC958" s="334">
        <v>42.220999999999997</v>
      </c>
      <c r="BD958" s="336">
        <v>10170</v>
      </c>
      <c r="BE958" s="334">
        <v>45.244999999999997</v>
      </c>
    </row>
    <row r="959" spans="22:57">
      <c r="V959" s="346">
        <v>10200</v>
      </c>
      <c r="W959" s="333">
        <v>94.543000000000006</v>
      </c>
      <c r="X959" s="346">
        <v>10210</v>
      </c>
      <c r="Y959" s="334">
        <v>93.48</v>
      </c>
      <c r="Z959" s="335">
        <v>10200</v>
      </c>
      <c r="AA959" s="334">
        <v>262.86799999999999</v>
      </c>
      <c r="AB959" s="336">
        <v>10200</v>
      </c>
      <c r="AC959" s="334">
        <v>262.86599999999999</v>
      </c>
      <c r="AD959" s="336">
        <v>10200</v>
      </c>
      <c r="AE959" s="334">
        <v>257.76299999999998</v>
      </c>
      <c r="AF959" s="336">
        <v>10200</v>
      </c>
      <c r="AG959" s="334">
        <v>256.71899999999999</v>
      </c>
      <c r="AH959" s="336">
        <v>10200</v>
      </c>
      <c r="AI959" s="334">
        <v>257.55900000000003</v>
      </c>
      <c r="AJ959" s="336">
        <v>10180</v>
      </c>
      <c r="AK959" s="334">
        <v>258.57900000000001</v>
      </c>
      <c r="AL959" s="336">
        <v>10200</v>
      </c>
      <c r="AM959" s="334">
        <v>258.27800000000002</v>
      </c>
      <c r="AN959" s="336">
        <v>10200</v>
      </c>
      <c r="AO959" s="334">
        <v>258.90600000000001</v>
      </c>
      <c r="AP959" s="336">
        <v>10190</v>
      </c>
      <c r="AQ959" s="334">
        <v>258.87299999999999</v>
      </c>
      <c r="AR959" s="336">
        <v>10200</v>
      </c>
      <c r="AS959" s="334">
        <v>258.15800000000002</v>
      </c>
      <c r="AT959" s="336">
        <v>10200</v>
      </c>
      <c r="AU959" s="334">
        <v>256.59100000000001</v>
      </c>
      <c r="AV959" s="336">
        <v>10200</v>
      </c>
      <c r="AW959" s="334">
        <v>257.05599999999998</v>
      </c>
      <c r="AX959" s="336">
        <v>10190</v>
      </c>
      <c r="AY959" s="334">
        <v>196.61600000000001</v>
      </c>
      <c r="AZ959" s="336">
        <v>10200</v>
      </c>
      <c r="BA959" s="337">
        <v>195.92099999999999</v>
      </c>
      <c r="BB959" s="336">
        <v>10180</v>
      </c>
      <c r="BC959" s="334">
        <v>41.972999999999999</v>
      </c>
      <c r="BD959" s="336">
        <v>10180</v>
      </c>
      <c r="BE959" s="334">
        <v>44.981999999999999</v>
      </c>
    </row>
    <row r="960" spans="22:57">
      <c r="V960" s="346">
        <v>10210</v>
      </c>
      <c r="W960" s="333">
        <v>93.974000000000004</v>
      </c>
      <c r="X960" s="346">
        <v>10220</v>
      </c>
      <c r="Y960" s="334">
        <v>92.917000000000002</v>
      </c>
      <c r="Z960" s="335">
        <v>10210</v>
      </c>
      <c r="AA960" s="334">
        <v>261.47500000000002</v>
      </c>
      <c r="AB960" s="336">
        <v>10210</v>
      </c>
      <c r="AC960" s="334">
        <v>261.47399999999999</v>
      </c>
      <c r="AD960" s="336">
        <v>10210</v>
      </c>
      <c r="AE960" s="334">
        <v>256.55200000000002</v>
      </c>
      <c r="AF960" s="336">
        <v>10210</v>
      </c>
      <c r="AG960" s="334">
        <v>255.505</v>
      </c>
      <c r="AH960" s="336">
        <v>10210</v>
      </c>
      <c r="AI960" s="334">
        <v>256.34699999999998</v>
      </c>
      <c r="AJ960" s="336">
        <v>10190</v>
      </c>
      <c r="AK960" s="334">
        <v>257.36700000000002</v>
      </c>
      <c r="AL960" s="336">
        <v>10210</v>
      </c>
      <c r="AM960" s="334">
        <v>257.06700000000001</v>
      </c>
      <c r="AN960" s="336">
        <v>10210</v>
      </c>
      <c r="AO960" s="334">
        <v>257.69400000000002</v>
      </c>
      <c r="AP960" s="336">
        <v>10200</v>
      </c>
      <c r="AQ960" s="334">
        <v>257.66300000000001</v>
      </c>
      <c r="AR960" s="336">
        <v>10210</v>
      </c>
      <c r="AS960" s="334">
        <v>256.947</v>
      </c>
      <c r="AT960" s="336">
        <v>10210</v>
      </c>
      <c r="AU960" s="334">
        <v>255.38</v>
      </c>
      <c r="AV960" s="336">
        <v>10210</v>
      </c>
      <c r="AW960" s="334">
        <v>255.846</v>
      </c>
      <c r="AX960" s="336">
        <v>10200</v>
      </c>
      <c r="AY960" s="334">
        <v>195.56399999999999</v>
      </c>
      <c r="AZ960" s="336">
        <v>10210</v>
      </c>
      <c r="BA960" s="337">
        <v>194.86500000000001</v>
      </c>
      <c r="BB960" s="336">
        <v>10190</v>
      </c>
      <c r="BC960" s="334">
        <v>41.725000000000001</v>
      </c>
      <c r="BD960" s="336">
        <v>10190</v>
      </c>
      <c r="BE960" s="334">
        <v>44.720999999999997</v>
      </c>
    </row>
    <row r="961" spans="22:57">
      <c r="V961" s="346">
        <v>10220</v>
      </c>
      <c r="W961" s="333">
        <v>93.406999999999996</v>
      </c>
      <c r="X961" s="346">
        <v>10230</v>
      </c>
      <c r="Y961" s="334">
        <v>92.353999999999999</v>
      </c>
      <c r="Z961" s="335">
        <v>10220</v>
      </c>
      <c r="AA961" s="334">
        <v>260.08199999999999</v>
      </c>
      <c r="AB961" s="336">
        <v>10220</v>
      </c>
      <c r="AC961" s="334">
        <v>260.08300000000003</v>
      </c>
      <c r="AD961" s="336">
        <v>10220</v>
      </c>
      <c r="AE961" s="334">
        <v>255.34100000000001</v>
      </c>
      <c r="AF961" s="336">
        <v>10220</v>
      </c>
      <c r="AG961" s="334">
        <v>254.292</v>
      </c>
      <c r="AH961" s="336">
        <v>10220</v>
      </c>
      <c r="AI961" s="334">
        <v>255.136</v>
      </c>
      <c r="AJ961" s="336">
        <v>10200</v>
      </c>
      <c r="AK961" s="334">
        <v>256.15600000000001</v>
      </c>
      <c r="AL961" s="336">
        <v>10220</v>
      </c>
      <c r="AM961" s="334">
        <v>255.85499999999999</v>
      </c>
      <c r="AN961" s="336">
        <v>10220</v>
      </c>
      <c r="AO961" s="334">
        <v>256.48200000000003</v>
      </c>
      <c r="AP961" s="336">
        <v>10210</v>
      </c>
      <c r="AQ961" s="334">
        <v>256.452</v>
      </c>
      <c r="AR961" s="336">
        <v>10220</v>
      </c>
      <c r="AS961" s="334">
        <v>255.73599999999999</v>
      </c>
      <c r="AT961" s="336">
        <v>10220</v>
      </c>
      <c r="AU961" s="334">
        <v>254.16900000000001</v>
      </c>
      <c r="AV961" s="336">
        <v>10220</v>
      </c>
      <c r="AW961" s="334">
        <v>254.636</v>
      </c>
      <c r="AX961" s="336">
        <v>10210</v>
      </c>
      <c r="AY961" s="334">
        <v>194.511</v>
      </c>
      <c r="AZ961" s="336">
        <v>10220</v>
      </c>
      <c r="BA961" s="337">
        <v>193.809</v>
      </c>
      <c r="BB961" s="336">
        <v>10200</v>
      </c>
      <c r="BC961" s="334">
        <v>41.478999999999999</v>
      </c>
      <c r="BD961" s="336">
        <v>10200</v>
      </c>
      <c r="BE961" s="334">
        <v>44.46</v>
      </c>
    </row>
    <row r="962" spans="22:57">
      <c r="V962" s="346">
        <v>10230</v>
      </c>
      <c r="W962" s="333">
        <v>92.840999999999994</v>
      </c>
      <c r="X962" s="346">
        <v>10240</v>
      </c>
      <c r="Y962" s="334">
        <v>91.793000000000006</v>
      </c>
      <c r="Z962" s="335">
        <v>10230</v>
      </c>
      <c r="AA962" s="334">
        <v>258.69099999999997</v>
      </c>
      <c r="AB962" s="336">
        <v>10230</v>
      </c>
      <c r="AC962" s="334">
        <v>258.69299999999998</v>
      </c>
      <c r="AD962" s="336">
        <v>10230</v>
      </c>
      <c r="AE962" s="334">
        <v>254.12899999999999</v>
      </c>
      <c r="AF962" s="336">
        <v>10230</v>
      </c>
      <c r="AG962" s="334">
        <v>253.07900000000001</v>
      </c>
      <c r="AH962" s="336">
        <v>10230</v>
      </c>
      <c r="AI962" s="334">
        <v>253.92400000000001</v>
      </c>
      <c r="AJ962" s="336">
        <v>10210</v>
      </c>
      <c r="AK962" s="334">
        <v>254.94399999999999</v>
      </c>
      <c r="AL962" s="336">
        <v>10230</v>
      </c>
      <c r="AM962" s="334">
        <v>254.64400000000001</v>
      </c>
      <c r="AN962" s="336">
        <v>10230</v>
      </c>
      <c r="AO962" s="334">
        <v>255.27</v>
      </c>
      <c r="AP962" s="336">
        <v>10220</v>
      </c>
      <c r="AQ962" s="334">
        <v>255.24199999999999</v>
      </c>
      <c r="AR962" s="336">
        <v>10230</v>
      </c>
      <c r="AS962" s="334">
        <v>254.52500000000001</v>
      </c>
      <c r="AT962" s="336">
        <v>10230</v>
      </c>
      <c r="AU962" s="334">
        <v>252.959</v>
      </c>
      <c r="AV962" s="336">
        <v>10230</v>
      </c>
      <c r="AW962" s="334">
        <v>253.42599999999999</v>
      </c>
      <c r="AX962" s="336">
        <v>10220</v>
      </c>
      <c r="AY962" s="334">
        <v>193.458</v>
      </c>
      <c r="AZ962" s="336">
        <v>10230</v>
      </c>
      <c r="BA962" s="337">
        <v>192.755</v>
      </c>
      <c r="BB962" s="336">
        <v>10210</v>
      </c>
      <c r="BC962" s="334">
        <v>41.231999999999999</v>
      </c>
      <c r="BD962" s="336">
        <v>10210</v>
      </c>
      <c r="BE962" s="334">
        <v>44.198999999999998</v>
      </c>
    </row>
    <row r="963" spans="22:57">
      <c r="V963" s="346">
        <v>10240</v>
      </c>
      <c r="W963" s="333">
        <v>92.275999999999996</v>
      </c>
      <c r="X963" s="346">
        <v>10250</v>
      </c>
      <c r="Y963" s="334">
        <v>91.231999999999999</v>
      </c>
      <c r="Z963" s="335">
        <v>10240</v>
      </c>
      <c r="AA963" s="334">
        <v>257.3</v>
      </c>
      <c r="AB963" s="336">
        <v>10240</v>
      </c>
      <c r="AC963" s="334">
        <v>257.30399999999997</v>
      </c>
      <c r="AD963" s="336">
        <v>10240</v>
      </c>
      <c r="AE963" s="334">
        <v>252.91800000000001</v>
      </c>
      <c r="AF963" s="336">
        <v>10240</v>
      </c>
      <c r="AG963" s="334">
        <v>251.86500000000001</v>
      </c>
      <c r="AH963" s="336">
        <v>10240</v>
      </c>
      <c r="AI963" s="334">
        <v>252.71299999999999</v>
      </c>
      <c r="AJ963" s="336">
        <v>10220</v>
      </c>
      <c r="AK963" s="334">
        <v>253.732</v>
      </c>
      <c r="AL963" s="336">
        <v>10240</v>
      </c>
      <c r="AM963" s="334">
        <v>253.43199999999999</v>
      </c>
      <c r="AN963" s="336">
        <v>10240</v>
      </c>
      <c r="AO963" s="334">
        <v>254.05799999999999</v>
      </c>
      <c r="AP963" s="336">
        <v>10230</v>
      </c>
      <c r="AQ963" s="334">
        <v>254.03100000000001</v>
      </c>
      <c r="AR963" s="336">
        <v>10240</v>
      </c>
      <c r="AS963" s="334">
        <v>253.31399999999999</v>
      </c>
      <c r="AT963" s="336">
        <v>10240</v>
      </c>
      <c r="AU963" s="334">
        <v>251.74799999999999</v>
      </c>
      <c r="AV963" s="336">
        <v>10240</v>
      </c>
      <c r="AW963" s="334">
        <v>252.21600000000001</v>
      </c>
      <c r="AX963" s="336">
        <v>10230</v>
      </c>
      <c r="AY963" s="334">
        <v>192.40600000000001</v>
      </c>
      <c r="AZ963" s="336">
        <v>10240</v>
      </c>
      <c r="BA963" s="337">
        <v>191.702</v>
      </c>
      <c r="BB963" s="336">
        <v>10220</v>
      </c>
      <c r="BC963" s="334">
        <v>40.985999999999997</v>
      </c>
      <c r="BD963" s="336">
        <v>10220</v>
      </c>
      <c r="BE963" s="334">
        <v>43.939</v>
      </c>
    </row>
    <row r="964" spans="22:57">
      <c r="V964" s="346">
        <v>10250</v>
      </c>
      <c r="W964" s="333">
        <v>91.712000000000003</v>
      </c>
      <c r="X964" s="346">
        <v>10260</v>
      </c>
      <c r="Y964" s="334">
        <v>90.673000000000002</v>
      </c>
      <c r="Z964" s="335">
        <v>10250</v>
      </c>
      <c r="AA964" s="334">
        <v>255.911</v>
      </c>
      <c r="AB964" s="336">
        <v>10250</v>
      </c>
      <c r="AC964" s="334">
        <v>255.917</v>
      </c>
      <c r="AD964" s="336">
        <v>10250</v>
      </c>
      <c r="AE964" s="334">
        <v>251.70699999999999</v>
      </c>
      <c r="AF964" s="336">
        <v>10250</v>
      </c>
      <c r="AG964" s="334">
        <v>250.65199999999999</v>
      </c>
      <c r="AH964" s="336">
        <v>10250</v>
      </c>
      <c r="AI964" s="334">
        <v>251.501</v>
      </c>
      <c r="AJ964" s="336">
        <v>10230</v>
      </c>
      <c r="AK964" s="334">
        <v>252.52</v>
      </c>
      <c r="AL964" s="336">
        <v>10250</v>
      </c>
      <c r="AM964" s="334">
        <v>252.221</v>
      </c>
      <c r="AN964" s="336">
        <v>10250</v>
      </c>
      <c r="AO964" s="334">
        <v>252.846</v>
      </c>
      <c r="AP964" s="336">
        <v>10240</v>
      </c>
      <c r="AQ964" s="334">
        <v>252.821</v>
      </c>
      <c r="AR964" s="336">
        <v>10250</v>
      </c>
      <c r="AS964" s="334">
        <v>252.102</v>
      </c>
      <c r="AT964" s="336">
        <v>10250</v>
      </c>
      <c r="AU964" s="334">
        <v>250.53800000000001</v>
      </c>
      <c r="AV964" s="336">
        <v>10250</v>
      </c>
      <c r="AW964" s="334">
        <v>251.006</v>
      </c>
      <c r="AX964" s="336">
        <v>10240</v>
      </c>
      <c r="AY964" s="334">
        <v>191.35300000000001</v>
      </c>
      <c r="AZ964" s="336">
        <v>10250</v>
      </c>
      <c r="BA964" s="337">
        <v>190.65</v>
      </c>
      <c r="BB964" s="336">
        <v>10230</v>
      </c>
      <c r="BC964" s="334">
        <v>40.741</v>
      </c>
      <c r="BD964" s="336">
        <v>10230</v>
      </c>
      <c r="BE964" s="334">
        <v>43.68</v>
      </c>
    </row>
    <row r="965" spans="22:57">
      <c r="V965" s="346">
        <v>10260</v>
      </c>
      <c r="W965" s="333">
        <v>91.15</v>
      </c>
      <c r="X965" s="346">
        <v>10270</v>
      </c>
      <c r="Y965" s="334">
        <v>90.114999999999995</v>
      </c>
      <c r="Z965" s="335">
        <v>10260</v>
      </c>
      <c r="AA965" s="334">
        <v>254.524</v>
      </c>
      <c r="AB965" s="336">
        <v>10260</v>
      </c>
      <c r="AC965" s="334">
        <v>254.53100000000001</v>
      </c>
      <c r="AD965" s="336">
        <v>10260</v>
      </c>
      <c r="AE965" s="334">
        <v>250.49600000000001</v>
      </c>
      <c r="AF965" s="336">
        <v>10260</v>
      </c>
      <c r="AG965" s="334">
        <v>249.43899999999999</v>
      </c>
      <c r="AH965" s="336">
        <v>10260</v>
      </c>
      <c r="AI965" s="334">
        <v>250.29</v>
      </c>
      <c r="AJ965" s="336">
        <v>10240</v>
      </c>
      <c r="AK965" s="334">
        <v>251.309</v>
      </c>
      <c r="AL965" s="336">
        <v>10260</v>
      </c>
      <c r="AM965" s="334">
        <v>251.00899999999999</v>
      </c>
      <c r="AN965" s="336">
        <v>10260</v>
      </c>
      <c r="AO965" s="334">
        <v>251.63399999999999</v>
      </c>
      <c r="AP965" s="336">
        <v>10250</v>
      </c>
      <c r="AQ965" s="334">
        <v>251.61</v>
      </c>
      <c r="AR965" s="336">
        <v>10260</v>
      </c>
      <c r="AS965" s="334">
        <v>250.89099999999999</v>
      </c>
      <c r="AT965" s="336">
        <v>10260</v>
      </c>
      <c r="AU965" s="334">
        <v>249.327</v>
      </c>
      <c r="AV965" s="336">
        <v>10260</v>
      </c>
      <c r="AW965" s="334">
        <v>249.79599999999999</v>
      </c>
      <c r="AX965" s="336">
        <v>10250</v>
      </c>
      <c r="AY965" s="334">
        <v>190.3</v>
      </c>
      <c r="AZ965" s="336">
        <v>10260</v>
      </c>
      <c r="BA965" s="337">
        <v>189.59800000000001</v>
      </c>
      <c r="BB965" s="336">
        <v>10240</v>
      </c>
      <c r="BC965" s="334">
        <v>40.496000000000002</v>
      </c>
      <c r="BD965" s="336">
        <v>10240</v>
      </c>
      <c r="BE965" s="334">
        <v>43.420999999999999</v>
      </c>
    </row>
    <row r="966" spans="22:57">
      <c r="V966" s="346">
        <v>10270</v>
      </c>
      <c r="W966" s="333">
        <v>90.587999999999994</v>
      </c>
      <c r="X966" s="346">
        <v>10280</v>
      </c>
      <c r="Y966" s="334">
        <v>89.558999999999997</v>
      </c>
      <c r="Z966" s="335">
        <v>10270</v>
      </c>
      <c r="AA966" s="334">
        <v>253.137</v>
      </c>
      <c r="AB966" s="336">
        <v>10270</v>
      </c>
      <c r="AC966" s="334">
        <v>253.14599999999999</v>
      </c>
      <c r="AD966" s="336">
        <v>10270</v>
      </c>
      <c r="AE966" s="334">
        <v>249.285</v>
      </c>
      <c r="AF966" s="336">
        <v>10270</v>
      </c>
      <c r="AG966" s="334">
        <v>248.22499999999999</v>
      </c>
      <c r="AH966" s="336">
        <v>10270</v>
      </c>
      <c r="AI966" s="334">
        <v>249.078</v>
      </c>
      <c r="AJ966" s="336">
        <v>10250</v>
      </c>
      <c r="AK966" s="334">
        <v>250.09700000000001</v>
      </c>
      <c r="AL966" s="336">
        <v>10270</v>
      </c>
      <c r="AM966" s="334">
        <v>249.798</v>
      </c>
      <c r="AN966" s="336">
        <v>10270</v>
      </c>
      <c r="AO966" s="334">
        <v>250.422</v>
      </c>
      <c r="AP966" s="336">
        <v>10260</v>
      </c>
      <c r="AQ966" s="334">
        <v>250.4</v>
      </c>
      <c r="AR966" s="336">
        <v>10270</v>
      </c>
      <c r="AS966" s="334">
        <v>249.68</v>
      </c>
      <c r="AT966" s="336">
        <v>10270</v>
      </c>
      <c r="AU966" s="334">
        <v>248.11600000000001</v>
      </c>
      <c r="AV966" s="336">
        <v>10270</v>
      </c>
      <c r="AW966" s="334">
        <v>248.58600000000001</v>
      </c>
      <c r="AX966" s="336">
        <v>10260</v>
      </c>
      <c r="AY966" s="334">
        <v>189.24799999999999</v>
      </c>
      <c r="AZ966" s="336">
        <v>10270</v>
      </c>
      <c r="BA966" s="337">
        <v>188.54900000000001</v>
      </c>
      <c r="BB966" s="336">
        <v>10250</v>
      </c>
      <c r="BC966" s="334">
        <v>40.252000000000002</v>
      </c>
      <c r="BD966" s="336">
        <v>10250</v>
      </c>
      <c r="BE966" s="334">
        <v>43.162999999999997</v>
      </c>
    </row>
    <row r="967" spans="22:57">
      <c r="V967" s="346">
        <v>10280</v>
      </c>
      <c r="W967" s="333">
        <v>90.028000000000006</v>
      </c>
      <c r="X967" s="346">
        <v>10290</v>
      </c>
      <c r="Y967" s="334">
        <v>89.003</v>
      </c>
      <c r="Z967" s="335">
        <v>10280</v>
      </c>
      <c r="AA967" s="334">
        <v>251.75200000000001</v>
      </c>
      <c r="AB967" s="336">
        <v>10280</v>
      </c>
      <c r="AC967" s="334">
        <v>251.762</v>
      </c>
      <c r="AD967" s="336">
        <v>10280</v>
      </c>
      <c r="AE967" s="334">
        <v>248.07400000000001</v>
      </c>
      <c r="AF967" s="336">
        <v>10280</v>
      </c>
      <c r="AG967" s="334">
        <v>247.012</v>
      </c>
      <c r="AH967" s="336">
        <v>10280</v>
      </c>
      <c r="AI967" s="334">
        <v>247.86699999999999</v>
      </c>
      <c r="AJ967" s="336">
        <v>10260</v>
      </c>
      <c r="AK967" s="334">
        <v>248.88499999999999</v>
      </c>
      <c r="AL967" s="336">
        <v>10280</v>
      </c>
      <c r="AM967" s="334">
        <v>248.58600000000001</v>
      </c>
      <c r="AN967" s="336">
        <v>10280</v>
      </c>
      <c r="AO967" s="334">
        <v>249.21</v>
      </c>
      <c r="AP967" s="336">
        <v>10270</v>
      </c>
      <c r="AQ967" s="334">
        <v>249.18899999999999</v>
      </c>
      <c r="AR967" s="336">
        <v>10280</v>
      </c>
      <c r="AS967" s="334">
        <v>248.46899999999999</v>
      </c>
      <c r="AT967" s="336">
        <v>10280</v>
      </c>
      <c r="AU967" s="334">
        <v>246.90600000000001</v>
      </c>
      <c r="AV967" s="336">
        <v>10280</v>
      </c>
      <c r="AW967" s="334">
        <v>247.376</v>
      </c>
      <c r="AX967" s="336">
        <v>10270</v>
      </c>
      <c r="AY967" s="334">
        <v>188.19499999999999</v>
      </c>
      <c r="AZ967" s="336">
        <v>10280</v>
      </c>
      <c r="BA967" s="337">
        <v>187.5</v>
      </c>
      <c r="BB967" s="336">
        <v>10260</v>
      </c>
      <c r="BC967" s="334">
        <v>40.009</v>
      </c>
      <c r="BD967" s="336">
        <v>10260</v>
      </c>
      <c r="BE967" s="334">
        <v>42.905000000000001</v>
      </c>
    </row>
    <row r="968" spans="22:57">
      <c r="V968" s="346">
        <v>10290</v>
      </c>
      <c r="W968" s="333">
        <v>89.468999999999994</v>
      </c>
      <c r="X968" s="346">
        <v>10300</v>
      </c>
      <c r="Y968" s="334">
        <v>88.447999999999993</v>
      </c>
      <c r="Z968" s="335">
        <v>10290</v>
      </c>
      <c r="AA968" s="334">
        <v>250.36799999999999</v>
      </c>
      <c r="AB968" s="336">
        <v>10290</v>
      </c>
      <c r="AC968" s="334">
        <v>250.37899999999999</v>
      </c>
      <c r="AD968" s="336">
        <v>10290</v>
      </c>
      <c r="AE968" s="334">
        <v>246.86199999999999</v>
      </c>
      <c r="AF968" s="336">
        <v>10290</v>
      </c>
      <c r="AG968" s="334">
        <v>245.79900000000001</v>
      </c>
      <c r="AH968" s="336">
        <v>10290</v>
      </c>
      <c r="AI968" s="334">
        <v>246.655</v>
      </c>
      <c r="AJ968" s="336">
        <v>10270</v>
      </c>
      <c r="AK968" s="334">
        <v>247.673</v>
      </c>
      <c r="AL968" s="336">
        <v>10290</v>
      </c>
      <c r="AM968" s="334">
        <v>247.375</v>
      </c>
      <c r="AN968" s="336">
        <v>10290</v>
      </c>
      <c r="AO968" s="334">
        <v>247.99799999999999</v>
      </c>
      <c r="AP968" s="336">
        <v>10280</v>
      </c>
      <c r="AQ968" s="334">
        <v>247.97900000000001</v>
      </c>
      <c r="AR968" s="336">
        <v>10290</v>
      </c>
      <c r="AS968" s="334">
        <v>247.25800000000001</v>
      </c>
      <c r="AT968" s="336">
        <v>10290</v>
      </c>
      <c r="AU968" s="334">
        <v>245.69499999999999</v>
      </c>
      <c r="AV968" s="336">
        <v>10290</v>
      </c>
      <c r="AW968" s="334">
        <v>246.166</v>
      </c>
      <c r="AX968" s="336">
        <v>10280</v>
      </c>
      <c r="AY968" s="334">
        <v>187.142</v>
      </c>
      <c r="AZ968" s="336">
        <v>10290</v>
      </c>
      <c r="BA968" s="337">
        <v>186.452</v>
      </c>
      <c r="BB968" s="336">
        <v>10270</v>
      </c>
      <c r="BC968" s="334">
        <v>39.765000000000001</v>
      </c>
      <c r="BD968" s="336">
        <v>10270</v>
      </c>
      <c r="BE968" s="334">
        <v>42.646999999999998</v>
      </c>
    </row>
    <row r="969" spans="22:57">
      <c r="V969" s="346">
        <v>10300</v>
      </c>
      <c r="W969" s="333">
        <v>88.911000000000001</v>
      </c>
      <c r="X969" s="346">
        <v>10310</v>
      </c>
      <c r="Y969" s="334">
        <v>87.894999999999996</v>
      </c>
      <c r="Z969" s="335">
        <v>10300</v>
      </c>
      <c r="AA969" s="334">
        <v>248.98500000000001</v>
      </c>
      <c r="AB969" s="336">
        <v>10300</v>
      </c>
      <c r="AC969" s="334">
        <v>248.99799999999999</v>
      </c>
      <c r="AD969" s="336">
        <v>10300</v>
      </c>
      <c r="AE969" s="334">
        <v>245.65100000000001</v>
      </c>
      <c r="AF969" s="336">
        <v>10300</v>
      </c>
      <c r="AG969" s="334">
        <v>244.58500000000001</v>
      </c>
      <c r="AH969" s="336">
        <v>10300</v>
      </c>
      <c r="AI969" s="334">
        <v>245.44399999999999</v>
      </c>
      <c r="AJ969" s="336">
        <v>10280</v>
      </c>
      <c r="AK969" s="334">
        <v>246.46199999999999</v>
      </c>
      <c r="AL969" s="336">
        <v>10300</v>
      </c>
      <c r="AM969" s="334">
        <v>246.16300000000001</v>
      </c>
      <c r="AN969" s="336">
        <v>10300</v>
      </c>
      <c r="AO969" s="334">
        <v>246.786</v>
      </c>
      <c r="AP969" s="336">
        <v>10290</v>
      </c>
      <c r="AQ969" s="334">
        <v>246.768</v>
      </c>
      <c r="AR969" s="336">
        <v>10300</v>
      </c>
      <c r="AS969" s="334">
        <v>246.047</v>
      </c>
      <c r="AT969" s="336">
        <v>10300</v>
      </c>
      <c r="AU969" s="334">
        <v>244.48400000000001</v>
      </c>
      <c r="AV969" s="336">
        <v>10300</v>
      </c>
      <c r="AW969" s="334">
        <v>244.95599999999999</v>
      </c>
      <c r="AX969" s="336">
        <v>10290</v>
      </c>
      <c r="AY969" s="334">
        <v>186.09</v>
      </c>
      <c r="AZ969" s="336">
        <v>10300</v>
      </c>
      <c r="BA969" s="337">
        <v>185.405</v>
      </c>
      <c r="BB969" s="336">
        <v>10280</v>
      </c>
      <c r="BC969" s="334">
        <v>39.523000000000003</v>
      </c>
      <c r="BD969" s="336">
        <v>10280</v>
      </c>
      <c r="BE969" s="334">
        <v>42.390999999999998</v>
      </c>
    </row>
    <row r="970" spans="22:57">
      <c r="V970" s="346">
        <v>10310</v>
      </c>
      <c r="W970" s="333">
        <v>88.353999999999999</v>
      </c>
      <c r="X970" s="346">
        <v>10320</v>
      </c>
      <c r="Y970" s="334">
        <v>87.343000000000004</v>
      </c>
      <c r="Z970" s="335">
        <v>10310</v>
      </c>
      <c r="AA970" s="334">
        <v>247.60300000000001</v>
      </c>
      <c r="AB970" s="336">
        <v>10310</v>
      </c>
      <c r="AC970" s="334">
        <v>247.61799999999999</v>
      </c>
      <c r="AD970" s="336">
        <v>10310</v>
      </c>
      <c r="AE970" s="334">
        <v>244.44</v>
      </c>
      <c r="AF970" s="336">
        <v>10310</v>
      </c>
      <c r="AG970" s="334">
        <v>243.37200000000001</v>
      </c>
      <c r="AH970" s="336">
        <v>10310</v>
      </c>
      <c r="AI970" s="334">
        <v>244.232</v>
      </c>
      <c r="AJ970" s="336">
        <v>10290</v>
      </c>
      <c r="AK970" s="334">
        <v>245.25</v>
      </c>
      <c r="AL970" s="336">
        <v>10310</v>
      </c>
      <c r="AM970" s="334">
        <v>244.952</v>
      </c>
      <c r="AN970" s="336">
        <v>10310</v>
      </c>
      <c r="AO970" s="334">
        <v>245.57400000000001</v>
      </c>
      <c r="AP970" s="336">
        <v>10300</v>
      </c>
      <c r="AQ970" s="334">
        <v>245.55799999999999</v>
      </c>
      <c r="AR970" s="336">
        <v>10310</v>
      </c>
      <c r="AS970" s="334">
        <v>244.83500000000001</v>
      </c>
      <c r="AT970" s="336">
        <v>10310</v>
      </c>
      <c r="AU970" s="334">
        <v>243.274</v>
      </c>
      <c r="AV970" s="336">
        <v>10310</v>
      </c>
      <c r="AW970" s="334">
        <v>243.74600000000001</v>
      </c>
      <c r="AX970" s="336">
        <v>10300</v>
      </c>
      <c r="AY970" s="334">
        <v>185.03700000000001</v>
      </c>
      <c r="AZ970" s="336">
        <v>10310</v>
      </c>
      <c r="BA970" s="337">
        <v>184.36</v>
      </c>
      <c r="BB970" s="336">
        <v>10290</v>
      </c>
      <c r="BC970" s="334">
        <v>39.280999999999999</v>
      </c>
      <c r="BD970" s="336">
        <v>10290</v>
      </c>
      <c r="BE970" s="334">
        <v>42.134</v>
      </c>
    </row>
    <row r="971" spans="22:57">
      <c r="V971" s="346">
        <v>10320</v>
      </c>
      <c r="W971" s="333">
        <v>87.799000000000007</v>
      </c>
      <c r="X971" s="346">
        <v>10330</v>
      </c>
      <c r="Y971" s="334">
        <v>86.792000000000002</v>
      </c>
      <c r="Z971" s="335">
        <v>10320</v>
      </c>
      <c r="AA971" s="334">
        <v>246.22300000000001</v>
      </c>
      <c r="AB971" s="336">
        <v>10320</v>
      </c>
      <c r="AC971" s="334">
        <v>246.24</v>
      </c>
      <c r="AD971" s="336">
        <v>10320</v>
      </c>
      <c r="AE971" s="334">
        <v>243.22900000000001</v>
      </c>
      <c r="AF971" s="336">
        <v>10320</v>
      </c>
      <c r="AG971" s="334">
        <v>242.15899999999999</v>
      </c>
      <c r="AH971" s="336">
        <v>10320</v>
      </c>
      <c r="AI971" s="334">
        <v>243.02099999999999</v>
      </c>
      <c r="AJ971" s="336">
        <v>10300</v>
      </c>
      <c r="AK971" s="334">
        <v>244.03800000000001</v>
      </c>
      <c r="AL971" s="336">
        <v>10320</v>
      </c>
      <c r="AM971" s="334">
        <v>243.74</v>
      </c>
      <c r="AN971" s="336">
        <v>10320</v>
      </c>
      <c r="AO971" s="334">
        <v>244.36199999999999</v>
      </c>
      <c r="AP971" s="336">
        <v>10310</v>
      </c>
      <c r="AQ971" s="334">
        <v>244.34700000000001</v>
      </c>
      <c r="AR971" s="336">
        <v>10320</v>
      </c>
      <c r="AS971" s="334">
        <v>243.624</v>
      </c>
      <c r="AT971" s="336">
        <v>10320</v>
      </c>
      <c r="AU971" s="334">
        <v>242.06299999999999</v>
      </c>
      <c r="AV971" s="336">
        <v>10320</v>
      </c>
      <c r="AW971" s="334">
        <v>242.536</v>
      </c>
      <c r="AX971" s="336">
        <v>10310</v>
      </c>
      <c r="AY971" s="334">
        <v>183.98400000000001</v>
      </c>
      <c r="AZ971" s="336">
        <v>10320</v>
      </c>
      <c r="BA971" s="337">
        <v>183.315</v>
      </c>
      <c r="BB971" s="336">
        <v>10300</v>
      </c>
      <c r="BC971" s="334">
        <v>39.039000000000001</v>
      </c>
      <c r="BD971" s="336">
        <v>10300</v>
      </c>
      <c r="BE971" s="334">
        <v>41.878999999999998</v>
      </c>
    </row>
    <row r="972" spans="22:57">
      <c r="V972" s="346">
        <v>10330</v>
      </c>
      <c r="W972" s="333">
        <v>87.244</v>
      </c>
      <c r="X972" s="346">
        <v>10340</v>
      </c>
      <c r="Y972" s="334">
        <v>86.242000000000004</v>
      </c>
      <c r="Z972" s="335">
        <v>10330</v>
      </c>
      <c r="AA972" s="334">
        <v>244.84399999999999</v>
      </c>
      <c r="AB972" s="336">
        <v>10330</v>
      </c>
      <c r="AC972" s="334">
        <v>244.86199999999999</v>
      </c>
      <c r="AD972" s="336">
        <v>10330</v>
      </c>
      <c r="AE972" s="334">
        <v>242.018</v>
      </c>
      <c r="AF972" s="336">
        <v>10330</v>
      </c>
      <c r="AG972" s="334">
        <v>240.94499999999999</v>
      </c>
      <c r="AH972" s="336">
        <v>10330</v>
      </c>
      <c r="AI972" s="334">
        <v>241.809</v>
      </c>
      <c r="AJ972" s="336">
        <v>10310</v>
      </c>
      <c r="AK972" s="334">
        <v>242.82599999999999</v>
      </c>
      <c r="AL972" s="336">
        <v>10330</v>
      </c>
      <c r="AM972" s="334">
        <v>242.529</v>
      </c>
      <c r="AN972" s="336">
        <v>10330</v>
      </c>
      <c r="AO972" s="334">
        <v>243.15</v>
      </c>
      <c r="AP972" s="336">
        <v>10320</v>
      </c>
      <c r="AQ972" s="334">
        <v>243.137</v>
      </c>
      <c r="AR972" s="336">
        <v>10330</v>
      </c>
      <c r="AS972" s="334">
        <v>242.41300000000001</v>
      </c>
      <c r="AT972" s="336">
        <v>10330</v>
      </c>
      <c r="AU972" s="334">
        <v>240.852</v>
      </c>
      <c r="AV972" s="336">
        <v>10330</v>
      </c>
      <c r="AW972" s="334">
        <v>241.32599999999999</v>
      </c>
      <c r="AX972" s="336">
        <v>10320</v>
      </c>
      <c r="AY972" s="334">
        <v>182.93199999999999</v>
      </c>
      <c r="AZ972" s="336">
        <v>10330</v>
      </c>
      <c r="BA972" s="337">
        <v>182.27199999999999</v>
      </c>
      <c r="BB972" s="336">
        <v>10310</v>
      </c>
      <c r="BC972" s="334">
        <v>38.798000000000002</v>
      </c>
      <c r="BD972" s="336">
        <v>10310</v>
      </c>
      <c r="BE972" s="334">
        <v>41.622999999999998</v>
      </c>
    </row>
    <row r="973" spans="22:57">
      <c r="V973" s="346">
        <v>10340</v>
      </c>
      <c r="W973" s="333">
        <v>86.691000000000003</v>
      </c>
      <c r="X973" s="346">
        <v>10350</v>
      </c>
      <c r="Y973" s="334">
        <v>85.692999999999998</v>
      </c>
      <c r="Z973" s="335">
        <v>10340</v>
      </c>
      <c r="AA973" s="334">
        <v>243.46600000000001</v>
      </c>
      <c r="AB973" s="336">
        <v>10340</v>
      </c>
      <c r="AC973" s="334">
        <v>243.48599999999999</v>
      </c>
      <c r="AD973" s="336">
        <v>10340</v>
      </c>
      <c r="AE973" s="334">
        <v>240.80600000000001</v>
      </c>
      <c r="AF973" s="336">
        <v>10340</v>
      </c>
      <c r="AG973" s="334">
        <v>239.732</v>
      </c>
      <c r="AH973" s="336">
        <v>10340</v>
      </c>
      <c r="AI973" s="334">
        <v>240.59800000000001</v>
      </c>
      <c r="AJ973" s="336">
        <v>10320</v>
      </c>
      <c r="AK973" s="334">
        <v>241.61500000000001</v>
      </c>
      <c r="AL973" s="336">
        <v>10340</v>
      </c>
      <c r="AM973" s="334">
        <v>241.31700000000001</v>
      </c>
      <c r="AN973" s="336">
        <v>10340</v>
      </c>
      <c r="AO973" s="334">
        <v>241.93799999999999</v>
      </c>
      <c r="AP973" s="336">
        <v>10330</v>
      </c>
      <c r="AQ973" s="334">
        <v>241.92599999999999</v>
      </c>
      <c r="AR973" s="336">
        <v>10340</v>
      </c>
      <c r="AS973" s="334">
        <v>241.202</v>
      </c>
      <c r="AT973" s="336">
        <v>10340</v>
      </c>
      <c r="AU973" s="334">
        <v>239.642</v>
      </c>
      <c r="AV973" s="336">
        <v>10340</v>
      </c>
      <c r="AW973" s="334">
        <v>240.11500000000001</v>
      </c>
      <c r="AX973" s="336">
        <v>10330</v>
      </c>
      <c r="AY973" s="334">
        <v>181.87899999999999</v>
      </c>
      <c r="AZ973" s="336">
        <v>10340</v>
      </c>
      <c r="BA973" s="337">
        <v>181.22900000000001</v>
      </c>
      <c r="BB973" s="336">
        <v>10320</v>
      </c>
      <c r="BC973" s="334">
        <v>38.558</v>
      </c>
      <c r="BD973" s="336">
        <v>10320</v>
      </c>
      <c r="BE973" s="334">
        <v>41.369</v>
      </c>
    </row>
    <row r="974" spans="22:57">
      <c r="V974" s="346">
        <v>10350</v>
      </c>
      <c r="W974" s="333">
        <v>86.138999999999996</v>
      </c>
      <c r="X974" s="346">
        <v>10360</v>
      </c>
      <c r="Y974" s="334">
        <v>85.146000000000001</v>
      </c>
      <c r="Z974" s="335">
        <v>10350</v>
      </c>
      <c r="AA974" s="334">
        <v>242.09</v>
      </c>
      <c r="AB974" s="336">
        <v>10350</v>
      </c>
      <c r="AC974" s="334">
        <v>242.11099999999999</v>
      </c>
      <c r="AD974" s="336">
        <v>10350</v>
      </c>
      <c r="AE974" s="334">
        <v>239.595</v>
      </c>
      <c r="AF974" s="336">
        <v>10350</v>
      </c>
      <c r="AG974" s="334">
        <v>238.51900000000001</v>
      </c>
      <c r="AH974" s="336">
        <v>10350</v>
      </c>
      <c r="AI974" s="334">
        <v>239.386</v>
      </c>
      <c r="AJ974" s="336">
        <v>10330</v>
      </c>
      <c r="AK974" s="334">
        <v>240.40299999999999</v>
      </c>
      <c r="AL974" s="336">
        <v>10350</v>
      </c>
      <c r="AM974" s="334">
        <v>240.10599999999999</v>
      </c>
      <c r="AN974" s="336">
        <v>10350</v>
      </c>
      <c r="AO974" s="334">
        <v>240.726</v>
      </c>
      <c r="AP974" s="336">
        <v>10340</v>
      </c>
      <c r="AQ974" s="334">
        <v>240.71600000000001</v>
      </c>
      <c r="AR974" s="336">
        <v>10350</v>
      </c>
      <c r="AS974" s="334">
        <v>239.99100000000001</v>
      </c>
      <c r="AT974" s="336">
        <v>10350</v>
      </c>
      <c r="AU974" s="334">
        <v>238.43100000000001</v>
      </c>
      <c r="AV974" s="336">
        <v>10350</v>
      </c>
      <c r="AW974" s="334">
        <v>238.905</v>
      </c>
      <c r="AX974" s="336">
        <v>10340</v>
      </c>
      <c r="AY974" s="334">
        <v>180.82599999999999</v>
      </c>
      <c r="AZ974" s="336">
        <v>10350</v>
      </c>
      <c r="BA974" s="337">
        <v>180.18799999999999</v>
      </c>
      <c r="BB974" s="336">
        <v>10330</v>
      </c>
      <c r="BC974" s="334">
        <v>38.317999999999998</v>
      </c>
      <c r="BD974" s="336">
        <v>10330</v>
      </c>
      <c r="BE974" s="334">
        <v>41.115000000000002</v>
      </c>
    </row>
    <row r="975" spans="22:57">
      <c r="V975" s="346">
        <v>10360</v>
      </c>
      <c r="W975" s="333">
        <v>85.587999999999994</v>
      </c>
      <c r="X975" s="346">
        <v>10370</v>
      </c>
      <c r="Y975" s="334">
        <v>84.599000000000004</v>
      </c>
      <c r="Z975" s="335">
        <v>10360</v>
      </c>
      <c r="AA975" s="334">
        <v>240.715</v>
      </c>
      <c r="AB975" s="336">
        <v>10360</v>
      </c>
      <c r="AC975" s="334">
        <v>240.738</v>
      </c>
      <c r="AD975" s="336">
        <v>10360</v>
      </c>
      <c r="AE975" s="334">
        <v>238.38399999999999</v>
      </c>
      <c r="AF975" s="336">
        <v>10360</v>
      </c>
      <c r="AG975" s="334">
        <v>237.30500000000001</v>
      </c>
      <c r="AH975" s="336">
        <v>10360</v>
      </c>
      <c r="AI975" s="334">
        <v>238.17500000000001</v>
      </c>
      <c r="AJ975" s="336">
        <v>10340</v>
      </c>
      <c r="AK975" s="334">
        <v>239.191</v>
      </c>
      <c r="AL975" s="336">
        <v>10360</v>
      </c>
      <c r="AM975" s="334">
        <v>238.89500000000001</v>
      </c>
      <c r="AN975" s="336">
        <v>10360</v>
      </c>
      <c r="AO975" s="334">
        <v>239.51400000000001</v>
      </c>
      <c r="AP975" s="336">
        <v>10350</v>
      </c>
      <c r="AQ975" s="334">
        <v>239.505</v>
      </c>
      <c r="AR975" s="336">
        <v>10360</v>
      </c>
      <c r="AS975" s="334">
        <v>238.78</v>
      </c>
      <c r="AT975" s="336">
        <v>10360</v>
      </c>
      <c r="AU975" s="334">
        <v>237.22</v>
      </c>
      <c r="AV975" s="336">
        <v>10360</v>
      </c>
      <c r="AW975" s="334">
        <v>237.69499999999999</v>
      </c>
      <c r="AX975" s="336">
        <v>10350</v>
      </c>
      <c r="AY975" s="334">
        <v>179.774</v>
      </c>
      <c r="AZ975" s="336">
        <v>10360</v>
      </c>
      <c r="BA975" s="337">
        <v>179.148</v>
      </c>
      <c r="BB975" s="336">
        <v>10340</v>
      </c>
      <c r="BC975" s="334">
        <v>38.078000000000003</v>
      </c>
      <c r="BD975" s="336">
        <v>10340</v>
      </c>
      <c r="BE975" s="334">
        <v>40.860999999999997</v>
      </c>
    </row>
    <row r="976" spans="22:57">
      <c r="V976" s="346">
        <v>10370</v>
      </c>
      <c r="W976" s="333">
        <v>85.037999999999997</v>
      </c>
      <c r="X976" s="346">
        <v>10380</v>
      </c>
      <c r="Y976" s="334">
        <v>84.054000000000002</v>
      </c>
      <c r="Z976" s="335">
        <v>10370</v>
      </c>
      <c r="AA976" s="334">
        <v>239.34100000000001</v>
      </c>
      <c r="AB976" s="336">
        <v>10370</v>
      </c>
      <c r="AC976" s="334">
        <v>239.36600000000001</v>
      </c>
      <c r="AD976" s="336">
        <v>10370</v>
      </c>
      <c r="AE976" s="334">
        <v>237.173</v>
      </c>
      <c r="AF976" s="336">
        <v>10370</v>
      </c>
      <c r="AG976" s="334">
        <v>236.09200000000001</v>
      </c>
      <c r="AH976" s="336">
        <v>10370</v>
      </c>
      <c r="AI976" s="334">
        <v>236.96299999999999</v>
      </c>
      <c r="AJ976" s="336">
        <v>10350</v>
      </c>
      <c r="AK976" s="334">
        <v>237.98</v>
      </c>
      <c r="AL976" s="336">
        <v>10370</v>
      </c>
      <c r="AM976" s="334">
        <v>237.68299999999999</v>
      </c>
      <c r="AN976" s="336">
        <v>10370</v>
      </c>
      <c r="AO976" s="334">
        <v>238.30199999999999</v>
      </c>
      <c r="AP976" s="336">
        <v>10360</v>
      </c>
      <c r="AQ976" s="334">
        <v>238.29499999999999</v>
      </c>
      <c r="AR976" s="336">
        <v>10370</v>
      </c>
      <c r="AS976" s="334">
        <v>237.56800000000001</v>
      </c>
      <c r="AT976" s="336">
        <v>10370</v>
      </c>
      <c r="AU976" s="334">
        <v>236.01</v>
      </c>
      <c r="AV976" s="336">
        <v>10370</v>
      </c>
      <c r="AW976" s="334">
        <v>236.48500000000001</v>
      </c>
      <c r="AX976" s="336">
        <v>10360</v>
      </c>
      <c r="AY976" s="334">
        <v>178.721</v>
      </c>
      <c r="AZ976" s="336">
        <v>10370</v>
      </c>
      <c r="BA976" s="337">
        <v>178.10900000000001</v>
      </c>
      <c r="BB976" s="336">
        <v>10350</v>
      </c>
      <c r="BC976" s="334">
        <v>37.838999999999999</v>
      </c>
      <c r="BD976" s="336">
        <v>10350</v>
      </c>
      <c r="BE976" s="334">
        <v>40.607999999999997</v>
      </c>
    </row>
    <row r="977" spans="22:57">
      <c r="V977" s="346">
        <v>10380</v>
      </c>
      <c r="W977" s="333">
        <v>84.49</v>
      </c>
      <c r="X977" s="346">
        <v>10390</v>
      </c>
      <c r="Y977" s="334">
        <v>83.51</v>
      </c>
      <c r="Z977" s="335">
        <v>10380</v>
      </c>
      <c r="AA977" s="334">
        <v>237.96899999999999</v>
      </c>
      <c r="AB977" s="336">
        <v>10380</v>
      </c>
      <c r="AC977" s="334">
        <v>237.995</v>
      </c>
      <c r="AD977" s="336">
        <v>10380</v>
      </c>
      <c r="AE977" s="334">
        <v>235.96199999999999</v>
      </c>
      <c r="AF977" s="336">
        <v>10380</v>
      </c>
      <c r="AG977" s="334">
        <v>234.87899999999999</v>
      </c>
      <c r="AH977" s="336">
        <v>10380</v>
      </c>
      <c r="AI977" s="334">
        <v>235.75200000000001</v>
      </c>
      <c r="AJ977" s="336">
        <v>10360</v>
      </c>
      <c r="AK977" s="334">
        <v>236.768</v>
      </c>
      <c r="AL977" s="336">
        <v>10380</v>
      </c>
      <c r="AM977" s="334">
        <v>236.47200000000001</v>
      </c>
      <c r="AN977" s="336">
        <v>10380</v>
      </c>
      <c r="AO977" s="334">
        <v>237.09</v>
      </c>
      <c r="AP977" s="336">
        <v>10370</v>
      </c>
      <c r="AQ977" s="334">
        <v>237.084</v>
      </c>
      <c r="AR977" s="336">
        <v>10380</v>
      </c>
      <c r="AS977" s="334">
        <v>236.357</v>
      </c>
      <c r="AT977" s="336">
        <v>10380</v>
      </c>
      <c r="AU977" s="334">
        <v>234.79900000000001</v>
      </c>
      <c r="AV977" s="336">
        <v>10380</v>
      </c>
      <c r="AW977" s="334">
        <v>235.27500000000001</v>
      </c>
      <c r="AX977" s="336">
        <v>10370</v>
      </c>
      <c r="AY977" s="334">
        <v>177.66800000000001</v>
      </c>
      <c r="AZ977" s="336">
        <v>10380</v>
      </c>
      <c r="BA977" s="337">
        <v>177.071</v>
      </c>
      <c r="BB977" s="336">
        <v>10360</v>
      </c>
      <c r="BC977" s="334">
        <v>37.600999999999999</v>
      </c>
      <c r="BD977" s="336">
        <v>10360</v>
      </c>
      <c r="BE977" s="334">
        <v>40.354999999999997</v>
      </c>
    </row>
    <row r="978" spans="22:57">
      <c r="V978" s="346">
        <v>10390</v>
      </c>
      <c r="W978" s="333">
        <v>83.941999999999993</v>
      </c>
      <c r="X978" s="346">
        <v>10400</v>
      </c>
      <c r="Y978" s="334">
        <v>82.966999999999999</v>
      </c>
      <c r="Z978" s="335">
        <v>10390</v>
      </c>
      <c r="AA978" s="334">
        <v>236.59700000000001</v>
      </c>
      <c r="AB978" s="336">
        <v>10390</v>
      </c>
      <c r="AC978" s="334">
        <v>236.625</v>
      </c>
      <c r="AD978" s="336">
        <v>10390</v>
      </c>
      <c r="AE978" s="334">
        <v>234.751</v>
      </c>
      <c r="AF978" s="336">
        <v>10390</v>
      </c>
      <c r="AG978" s="334">
        <v>233.666</v>
      </c>
      <c r="AH978" s="336">
        <v>10390</v>
      </c>
      <c r="AI978" s="334">
        <v>234.54</v>
      </c>
      <c r="AJ978" s="336">
        <v>10370</v>
      </c>
      <c r="AK978" s="334">
        <v>235.55600000000001</v>
      </c>
      <c r="AL978" s="336">
        <v>10390</v>
      </c>
      <c r="AM978" s="334">
        <v>235.26</v>
      </c>
      <c r="AN978" s="336">
        <v>10390</v>
      </c>
      <c r="AO978" s="334">
        <v>235.87799999999999</v>
      </c>
      <c r="AP978" s="336">
        <v>10380</v>
      </c>
      <c r="AQ978" s="334">
        <v>235.874</v>
      </c>
      <c r="AR978" s="336">
        <v>10390</v>
      </c>
      <c r="AS978" s="334">
        <v>235.14599999999999</v>
      </c>
      <c r="AT978" s="336">
        <v>10390</v>
      </c>
      <c r="AU978" s="334">
        <v>233.58799999999999</v>
      </c>
      <c r="AV978" s="336">
        <v>10390</v>
      </c>
      <c r="AW978" s="334">
        <v>234.065</v>
      </c>
      <c r="AX978" s="336">
        <v>10380</v>
      </c>
      <c r="AY978" s="334">
        <v>176.61600000000001</v>
      </c>
      <c r="AZ978" s="336">
        <v>10390</v>
      </c>
      <c r="BA978" s="337">
        <v>176.035</v>
      </c>
      <c r="BB978" s="336">
        <v>10370</v>
      </c>
      <c r="BC978" s="334">
        <v>37.363</v>
      </c>
      <c r="BD978" s="336">
        <v>10370</v>
      </c>
      <c r="BE978" s="334">
        <v>40.103000000000002</v>
      </c>
    </row>
    <row r="979" spans="22:57">
      <c r="V979" s="346">
        <v>10400</v>
      </c>
      <c r="W979" s="333">
        <v>83.396000000000001</v>
      </c>
      <c r="X979" s="346">
        <v>10410</v>
      </c>
      <c r="Y979" s="334">
        <v>82.424999999999997</v>
      </c>
      <c r="Z979" s="335">
        <v>10400</v>
      </c>
      <c r="AA979" s="334">
        <v>235.22800000000001</v>
      </c>
      <c r="AB979" s="336">
        <v>10400</v>
      </c>
      <c r="AC979" s="334">
        <v>235.25700000000001</v>
      </c>
      <c r="AD979" s="336">
        <v>10400</v>
      </c>
      <c r="AE979" s="334">
        <v>233.54</v>
      </c>
      <c r="AF979" s="336">
        <v>10400</v>
      </c>
      <c r="AG979" s="334">
        <v>232.452</v>
      </c>
      <c r="AH979" s="336">
        <v>10400</v>
      </c>
      <c r="AI979" s="334">
        <v>233.32900000000001</v>
      </c>
      <c r="AJ979" s="336">
        <v>10380</v>
      </c>
      <c r="AK979" s="334">
        <v>234.34399999999999</v>
      </c>
      <c r="AL979" s="336">
        <v>10400</v>
      </c>
      <c r="AM979" s="334">
        <v>234.04900000000001</v>
      </c>
      <c r="AN979" s="336">
        <v>10400</v>
      </c>
      <c r="AO979" s="334">
        <v>234.667</v>
      </c>
      <c r="AP979" s="336">
        <v>10390</v>
      </c>
      <c r="AQ979" s="334">
        <v>234.66300000000001</v>
      </c>
      <c r="AR979" s="336">
        <v>10400</v>
      </c>
      <c r="AS979" s="334">
        <v>233.935</v>
      </c>
      <c r="AT979" s="336">
        <v>10400</v>
      </c>
      <c r="AU979" s="334">
        <v>232.37799999999999</v>
      </c>
      <c r="AV979" s="336">
        <v>10400</v>
      </c>
      <c r="AW979" s="334">
        <v>232.85499999999999</v>
      </c>
      <c r="AX979" s="336">
        <v>10390</v>
      </c>
      <c r="AY979" s="334">
        <v>175.56299999999999</v>
      </c>
      <c r="AZ979" s="336">
        <v>10400</v>
      </c>
      <c r="BA979" s="337">
        <v>174.999</v>
      </c>
      <c r="BB979" s="336">
        <v>10380</v>
      </c>
      <c r="BC979" s="334">
        <v>37.125</v>
      </c>
      <c r="BD979" s="336">
        <v>10380</v>
      </c>
      <c r="BE979" s="334">
        <v>39.851999999999997</v>
      </c>
    </row>
    <row r="980" spans="22:57">
      <c r="V980" s="346">
        <v>10410</v>
      </c>
      <c r="W980" s="333">
        <v>82.850999999999999</v>
      </c>
      <c r="X980" s="346">
        <v>10420</v>
      </c>
      <c r="Y980" s="334">
        <v>81.884</v>
      </c>
      <c r="Z980" s="335">
        <v>10410</v>
      </c>
      <c r="AA980" s="334">
        <v>233.85900000000001</v>
      </c>
      <c r="AB980" s="336">
        <v>10410</v>
      </c>
      <c r="AC980" s="334">
        <v>233.89</v>
      </c>
      <c r="AD980" s="336">
        <v>10410</v>
      </c>
      <c r="AE980" s="334">
        <v>232.32900000000001</v>
      </c>
      <c r="AF980" s="336">
        <v>10410</v>
      </c>
      <c r="AG980" s="334">
        <v>231.239</v>
      </c>
      <c r="AH980" s="336">
        <v>10410</v>
      </c>
      <c r="AI980" s="334">
        <v>232.11699999999999</v>
      </c>
      <c r="AJ980" s="336">
        <v>10390</v>
      </c>
      <c r="AK980" s="334">
        <v>233.13300000000001</v>
      </c>
      <c r="AL980" s="336">
        <v>10410</v>
      </c>
      <c r="AM980" s="334">
        <v>232.83699999999999</v>
      </c>
      <c r="AN980" s="336">
        <v>10410</v>
      </c>
      <c r="AO980" s="334">
        <v>233.45500000000001</v>
      </c>
      <c r="AP980" s="336">
        <v>10400</v>
      </c>
      <c r="AQ980" s="334">
        <v>233.453</v>
      </c>
      <c r="AR980" s="336">
        <v>10410</v>
      </c>
      <c r="AS980" s="334">
        <v>232.72399999999999</v>
      </c>
      <c r="AT980" s="336">
        <v>10410</v>
      </c>
      <c r="AU980" s="334">
        <v>231.167</v>
      </c>
      <c r="AV980" s="336">
        <v>10410</v>
      </c>
      <c r="AW980" s="334">
        <v>231.64500000000001</v>
      </c>
      <c r="AX980" s="336">
        <v>10400</v>
      </c>
      <c r="AY980" s="334">
        <v>174.51</v>
      </c>
      <c r="AZ980" s="336">
        <v>10410</v>
      </c>
      <c r="BA980" s="337">
        <v>173.965</v>
      </c>
      <c r="BB980" s="336">
        <v>10390</v>
      </c>
      <c r="BC980" s="334">
        <v>36.889000000000003</v>
      </c>
      <c r="BD980" s="336">
        <v>10390</v>
      </c>
      <c r="BE980" s="334">
        <v>39.600999999999999</v>
      </c>
    </row>
    <row r="981" spans="22:57">
      <c r="V981" s="346">
        <v>10420</v>
      </c>
      <c r="W981" s="333">
        <v>82.307000000000002</v>
      </c>
      <c r="X981" s="346">
        <v>10430</v>
      </c>
      <c r="Y981" s="334">
        <v>81.344999999999999</v>
      </c>
      <c r="Z981" s="335">
        <v>10420</v>
      </c>
      <c r="AA981" s="334">
        <v>232.49199999999999</v>
      </c>
      <c r="AB981" s="336">
        <v>10420</v>
      </c>
      <c r="AC981" s="334">
        <v>232.524</v>
      </c>
      <c r="AD981" s="336">
        <v>10420</v>
      </c>
      <c r="AE981" s="334">
        <v>231.11699999999999</v>
      </c>
      <c r="AF981" s="336">
        <v>10420</v>
      </c>
      <c r="AG981" s="334">
        <v>230.02600000000001</v>
      </c>
      <c r="AH981" s="336">
        <v>10420</v>
      </c>
      <c r="AI981" s="334">
        <v>230.90600000000001</v>
      </c>
      <c r="AJ981" s="336">
        <v>10400</v>
      </c>
      <c r="AK981" s="334">
        <v>231.92099999999999</v>
      </c>
      <c r="AL981" s="336">
        <v>10420</v>
      </c>
      <c r="AM981" s="334">
        <v>231.626</v>
      </c>
      <c r="AN981" s="336">
        <v>10420</v>
      </c>
      <c r="AO981" s="334">
        <v>232.24299999999999</v>
      </c>
      <c r="AP981" s="336">
        <v>10410</v>
      </c>
      <c r="AQ981" s="334">
        <v>232.24299999999999</v>
      </c>
      <c r="AR981" s="336">
        <v>10420</v>
      </c>
      <c r="AS981" s="334">
        <v>231.51300000000001</v>
      </c>
      <c r="AT981" s="336">
        <v>10420</v>
      </c>
      <c r="AU981" s="334">
        <v>229.95599999999999</v>
      </c>
      <c r="AV981" s="336">
        <v>10420</v>
      </c>
      <c r="AW981" s="334">
        <v>230.435</v>
      </c>
      <c r="AX981" s="336">
        <v>10410</v>
      </c>
      <c r="AY981" s="334">
        <v>173.458</v>
      </c>
      <c r="AZ981" s="336">
        <v>10420</v>
      </c>
      <c r="BA981" s="337">
        <v>172.93100000000001</v>
      </c>
      <c r="BB981" s="336">
        <v>10400</v>
      </c>
      <c r="BC981" s="334">
        <v>36.652000000000001</v>
      </c>
      <c r="BD981" s="336">
        <v>10400</v>
      </c>
      <c r="BE981" s="334">
        <v>39.350999999999999</v>
      </c>
    </row>
    <row r="982" spans="22:57">
      <c r="V982" s="346">
        <v>10430</v>
      </c>
      <c r="W982" s="333">
        <v>81.763999999999996</v>
      </c>
      <c r="X982" s="346">
        <v>10440</v>
      </c>
      <c r="Y982" s="334">
        <v>80.805999999999997</v>
      </c>
      <c r="Z982" s="335">
        <v>10430</v>
      </c>
      <c r="AA982" s="334">
        <v>231.126</v>
      </c>
      <c r="AB982" s="336">
        <v>10430</v>
      </c>
      <c r="AC982" s="334">
        <v>231.16</v>
      </c>
      <c r="AD982" s="336">
        <v>10430</v>
      </c>
      <c r="AE982" s="334">
        <v>229.90600000000001</v>
      </c>
      <c r="AF982" s="336">
        <v>10430</v>
      </c>
      <c r="AG982" s="334">
        <v>228.81200000000001</v>
      </c>
      <c r="AH982" s="336">
        <v>10430</v>
      </c>
      <c r="AI982" s="334">
        <v>229.69499999999999</v>
      </c>
      <c r="AJ982" s="336">
        <v>10410</v>
      </c>
      <c r="AK982" s="334">
        <v>230.709</v>
      </c>
      <c r="AL982" s="336">
        <v>10430</v>
      </c>
      <c r="AM982" s="334">
        <v>230.41399999999999</v>
      </c>
      <c r="AN982" s="336">
        <v>10430</v>
      </c>
      <c r="AO982" s="334">
        <v>231.03100000000001</v>
      </c>
      <c r="AP982" s="336">
        <v>10420</v>
      </c>
      <c r="AQ982" s="334">
        <v>231.03200000000001</v>
      </c>
      <c r="AR982" s="336">
        <v>10430</v>
      </c>
      <c r="AS982" s="334">
        <v>230.30099999999999</v>
      </c>
      <c r="AT982" s="336">
        <v>10430</v>
      </c>
      <c r="AU982" s="334">
        <v>228.74600000000001</v>
      </c>
      <c r="AV982" s="336">
        <v>10430</v>
      </c>
      <c r="AW982" s="334">
        <v>229.22499999999999</v>
      </c>
      <c r="AX982" s="336">
        <v>10420</v>
      </c>
      <c r="AY982" s="334">
        <v>172.405</v>
      </c>
      <c r="AZ982" s="336">
        <v>10430</v>
      </c>
      <c r="BA982" s="337">
        <v>171.899</v>
      </c>
      <c r="BB982" s="336">
        <v>10410</v>
      </c>
      <c r="BC982" s="334">
        <v>36.417000000000002</v>
      </c>
      <c r="BD982" s="336">
        <v>10410</v>
      </c>
      <c r="BE982" s="334">
        <v>39.100999999999999</v>
      </c>
    </row>
    <row r="983" spans="22:57">
      <c r="V983" s="346">
        <v>10440</v>
      </c>
      <c r="W983" s="333">
        <v>81.221999999999994</v>
      </c>
      <c r="X983" s="346">
        <v>10450</v>
      </c>
      <c r="Y983" s="334">
        <v>80.269000000000005</v>
      </c>
      <c r="Z983" s="335">
        <v>10440</v>
      </c>
      <c r="AA983" s="334">
        <v>229.761</v>
      </c>
      <c r="AB983" s="336">
        <v>10440</v>
      </c>
      <c r="AC983" s="334">
        <v>229.797</v>
      </c>
      <c r="AD983" s="336">
        <v>10440</v>
      </c>
      <c r="AE983" s="334">
        <v>228.69499999999999</v>
      </c>
      <c r="AF983" s="336">
        <v>10440</v>
      </c>
      <c r="AG983" s="334">
        <v>227.59899999999999</v>
      </c>
      <c r="AH983" s="336">
        <v>10440</v>
      </c>
      <c r="AI983" s="334">
        <v>228.483</v>
      </c>
      <c r="AJ983" s="336">
        <v>10420</v>
      </c>
      <c r="AK983" s="334">
        <v>229.49700000000001</v>
      </c>
      <c r="AL983" s="336">
        <v>10440</v>
      </c>
      <c r="AM983" s="334">
        <v>229.203</v>
      </c>
      <c r="AN983" s="336">
        <v>10440</v>
      </c>
      <c r="AO983" s="334">
        <v>229.81899999999999</v>
      </c>
      <c r="AP983" s="336">
        <v>10430</v>
      </c>
      <c r="AQ983" s="334">
        <v>229.821</v>
      </c>
      <c r="AR983" s="336">
        <v>10440</v>
      </c>
      <c r="AS983" s="334">
        <v>229.09</v>
      </c>
      <c r="AT983" s="336">
        <v>10440</v>
      </c>
      <c r="AU983" s="334">
        <v>227.535</v>
      </c>
      <c r="AV983" s="336">
        <v>10440</v>
      </c>
      <c r="AW983" s="334">
        <v>228.01499999999999</v>
      </c>
      <c r="AX983" s="336">
        <v>10430</v>
      </c>
      <c r="AY983" s="334">
        <v>171.352</v>
      </c>
      <c r="AZ983" s="336">
        <v>10440</v>
      </c>
      <c r="BA983" s="337">
        <v>170.86799999999999</v>
      </c>
      <c r="BB983" s="336">
        <v>10420</v>
      </c>
      <c r="BC983" s="334">
        <v>36.180999999999997</v>
      </c>
      <c r="BD983" s="336">
        <v>10420</v>
      </c>
      <c r="BE983" s="334">
        <v>38.850999999999999</v>
      </c>
    </row>
    <row r="984" spans="22:57">
      <c r="V984" s="346">
        <v>10450</v>
      </c>
      <c r="W984" s="333">
        <v>80.680999999999997</v>
      </c>
      <c r="X984" s="346">
        <v>10460</v>
      </c>
      <c r="Y984" s="334">
        <v>79.733000000000004</v>
      </c>
      <c r="Z984" s="335">
        <v>10450</v>
      </c>
      <c r="AA984" s="334">
        <v>228.398</v>
      </c>
      <c r="AB984" s="336">
        <v>10450</v>
      </c>
      <c r="AC984" s="334">
        <v>228.435</v>
      </c>
      <c r="AD984" s="336">
        <v>10450</v>
      </c>
      <c r="AE984" s="334">
        <v>227.48400000000001</v>
      </c>
      <c r="AF984" s="336">
        <v>10450</v>
      </c>
      <c r="AG984" s="334">
        <v>226.386</v>
      </c>
      <c r="AH984" s="336">
        <v>10450</v>
      </c>
      <c r="AI984" s="334">
        <v>227.27199999999999</v>
      </c>
      <c r="AJ984" s="336">
        <v>10430</v>
      </c>
      <c r="AK984" s="334">
        <v>228.286</v>
      </c>
      <c r="AL984" s="336">
        <v>10450</v>
      </c>
      <c r="AM984" s="334">
        <v>227.99100000000001</v>
      </c>
      <c r="AN984" s="336">
        <v>10450</v>
      </c>
      <c r="AO984" s="334">
        <v>228.607</v>
      </c>
      <c r="AP984" s="336">
        <v>10440</v>
      </c>
      <c r="AQ984" s="352">
        <v>228.61099999999999</v>
      </c>
      <c r="AR984" s="336">
        <v>10450</v>
      </c>
      <c r="AS984" s="334">
        <v>227.87899999999999</v>
      </c>
      <c r="AT984" s="336">
        <v>10450</v>
      </c>
      <c r="AU984" s="334">
        <v>226.32499999999999</v>
      </c>
      <c r="AV984" s="336">
        <v>10450</v>
      </c>
      <c r="AW984" s="334">
        <v>226.80500000000001</v>
      </c>
      <c r="AX984" s="336">
        <v>10440</v>
      </c>
      <c r="AY984" s="334">
        <v>170.3</v>
      </c>
      <c r="AZ984" s="336">
        <v>10450</v>
      </c>
      <c r="BA984" s="337">
        <v>169.83799999999999</v>
      </c>
      <c r="BB984" s="336">
        <v>10430</v>
      </c>
      <c r="BC984" s="334">
        <v>35.947000000000003</v>
      </c>
      <c r="BD984" s="336">
        <v>10430</v>
      </c>
      <c r="BE984" s="334">
        <v>38.601999999999997</v>
      </c>
    </row>
    <row r="985" spans="22:57">
      <c r="V985" s="346">
        <v>10460</v>
      </c>
      <c r="W985" s="333">
        <v>80.141999999999996</v>
      </c>
      <c r="X985" s="346">
        <v>10470</v>
      </c>
      <c r="Y985" s="334">
        <v>79.197999999999993</v>
      </c>
      <c r="Z985" s="335">
        <v>10460</v>
      </c>
      <c r="AA985" s="334">
        <v>227.036</v>
      </c>
      <c r="AB985" s="336">
        <v>10460</v>
      </c>
      <c r="AC985" s="334">
        <v>227.07499999999999</v>
      </c>
      <c r="AD985" s="336">
        <v>10460</v>
      </c>
      <c r="AE985" s="334">
        <v>226.273</v>
      </c>
      <c r="AF985" s="336">
        <v>10460</v>
      </c>
      <c r="AG985" s="334">
        <v>225.172</v>
      </c>
      <c r="AH985" s="336">
        <v>10460</v>
      </c>
      <c r="AI985" s="334">
        <v>226.06</v>
      </c>
      <c r="AJ985" s="336">
        <v>10440</v>
      </c>
      <c r="AK985" s="334">
        <v>227.07400000000001</v>
      </c>
      <c r="AL985" s="336">
        <v>10460</v>
      </c>
      <c r="AM985" s="334">
        <v>226.78</v>
      </c>
      <c r="AN985" s="336">
        <v>10460</v>
      </c>
      <c r="AO985" s="334">
        <v>227.39500000000001</v>
      </c>
      <c r="AP985" s="336">
        <v>10450</v>
      </c>
      <c r="AQ985" s="352">
        <v>227.4</v>
      </c>
      <c r="AR985" s="336">
        <v>10460</v>
      </c>
      <c r="AS985" s="334">
        <v>226.66800000000001</v>
      </c>
      <c r="AT985" s="336">
        <v>10460</v>
      </c>
      <c r="AU985" s="334">
        <v>225.114</v>
      </c>
      <c r="AV985" s="336">
        <v>10460</v>
      </c>
      <c r="AW985" s="334">
        <v>225.595</v>
      </c>
      <c r="AX985" s="336">
        <v>10450</v>
      </c>
      <c r="AY985" s="334">
        <v>169.24700000000001</v>
      </c>
      <c r="AZ985" s="336">
        <v>10460</v>
      </c>
      <c r="BA985" s="337">
        <v>168.81</v>
      </c>
      <c r="BB985" s="336">
        <v>10440</v>
      </c>
      <c r="BC985" s="334">
        <v>35.713000000000001</v>
      </c>
      <c r="BD985" s="336">
        <v>10440</v>
      </c>
      <c r="BE985" s="334">
        <v>38.353999999999999</v>
      </c>
    </row>
    <row r="986" spans="22:57">
      <c r="V986" s="346">
        <v>10470</v>
      </c>
      <c r="W986" s="333">
        <v>79.603999999999999</v>
      </c>
      <c r="X986" s="346">
        <v>10480</v>
      </c>
      <c r="Y986" s="334">
        <v>78.664000000000001</v>
      </c>
      <c r="Z986" s="335">
        <v>10470</v>
      </c>
      <c r="AA986" s="334">
        <v>225.67599999999999</v>
      </c>
      <c r="AB986" s="336">
        <v>10470</v>
      </c>
      <c r="AC986" s="334">
        <v>225.71600000000001</v>
      </c>
      <c r="AD986" s="336">
        <v>10470</v>
      </c>
      <c r="AE986" s="334">
        <v>225.06200000000001</v>
      </c>
      <c r="AF986" s="336">
        <v>10470</v>
      </c>
      <c r="AG986" s="334">
        <v>223.959</v>
      </c>
      <c r="AH986" s="336">
        <v>10470</v>
      </c>
      <c r="AI986" s="334">
        <v>224.84899999999999</v>
      </c>
      <c r="AJ986" s="336">
        <v>10450</v>
      </c>
      <c r="AK986" s="334">
        <v>225.86199999999999</v>
      </c>
      <c r="AL986" s="336">
        <v>10470</v>
      </c>
      <c r="AM986" s="334">
        <v>225.56800000000001</v>
      </c>
      <c r="AN986" s="336">
        <v>10470</v>
      </c>
      <c r="AO986" s="334">
        <v>226.18299999999999</v>
      </c>
      <c r="AP986" s="336">
        <v>10460</v>
      </c>
      <c r="AQ986" s="334">
        <v>226.19</v>
      </c>
      <c r="AR986" s="336">
        <v>10470</v>
      </c>
      <c r="AS986" s="334">
        <v>225.45699999999999</v>
      </c>
      <c r="AT986" s="336">
        <v>10470</v>
      </c>
      <c r="AU986" s="334">
        <v>223.90299999999999</v>
      </c>
      <c r="AV986" s="336">
        <v>10470</v>
      </c>
      <c r="AW986" s="334">
        <v>224.38499999999999</v>
      </c>
      <c r="AX986" s="336">
        <v>10460</v>
      </c>
      <c r="AY986" s="334">
        <v>168.19399999999999</v>
      </c>
      <c r="AZ986" s="336">
        <v>10470</v>
      </c>
      <c r="BA986" s="337">
        <v>167.78200000000001</v>
      </c>
      <c r="BB986" s="336">
        <v>10450</v>
      </c>
      <c r="BC986" s="334">
        <v>35.478999999999999</v>
      </c>
      <c r="BD986" s="336">
        <v>10450</v>
      </c>
      <c r="BE986" s="334">
        <v>38.106000000000002</v>
      </c>
    </row>
    <row r="987" spans="22:57">
      <c r="V987" s="346">
        <v>10480</v>
      </c>
      <c r="W987" s="333">
        <v>79.066000000000003</v>
      </c>
      <c r="X987" s="346">
        <v>10490</v>
      </c>
      <c r="Y987" s="370">
        <v>78.132000000000005</v>
      </c>
      <c r="Z987" s="335">
        <v>10480</v>
      </c>
      <c r="AA987" s="334">
        <v>224.31700000000001</v>
      </c>
      <c r="AB987" s="336">
        <v>10480</v>
      </c>
      <c r="AC987" s="334">
        <v>224.358</v>
      </c>
      <c r="AD987" s="336">
        <v>10480</v>
      </c>
      <c r="AE987" s="334">
        <v>223.851</v>
      </c>
      <c r="AF987" s="336">
        <v>10480</v>
      </c>
      <c r="AG987" s="334">
        <v>222.74600000000001</v>
      </c>
      <c r="AH987" s="336">
        <v>10480</v>
      </c>
      <c r="AI987" s="334">
        <v>223.637</v>
      </c>
      <c r="AJ987" s="336">
        <v>10460</v>
      </c>
      <c r="AK987" s="334">
        <v>224.65100000000001</v>
      </c>
      <c r="AL987" s="336">
        <v>10480</v>
      </c>
      <c r="AM987" s="334">
        <v>224.357</v>
      </c>
      <c r="AN987" s="336">
        <v>10480</v>
      </c>
      <c r="AO987" s="334">
        <v>224.971</v>
      </c>
      <c r="AP987" s="336">
        <v>10470</v>
      </c>
      <c r="AQ987" s="334">
        <v>224.97900000000001</v>
      </c>
      <c r="AR987" s="336">
        <v>10480</v>
      </c>
      <c r="AS987" s="334">
        <v>224.24600000000001</v>
      </c>
      <c r="AT987" s="336">
        <v>10480</v>
      </c>
      <c r="AU987" s="334">
        <v>222.69300000000001</v>
      </c>
      <c r="AV987" s="336">
        <v>10480</v>
      </c>
      <c r="AW987" s="334">
        <v>223.17500000000001</v>
      </c>
      <c r="AX987" s="336">
        <v>10470</v>
      </c>
      <c r="AY987" s="334">
        <v>167.14099999999999</v>
      </c>
      <c r="AZ987" s="336">
        <v>10480</v>
      </c>
      <c r="BA987" s="337">
        <v>166.756</v>
      </c>
      <c r="BB987" s="336">
        <v>10460</v>
      </c>
      <c r="BC987" s="334">
        <v>35.246000000000002</v>
      </c>
      <c r="BD987" s="336">
        <v>10460</v>
      </c>
      <c r="BE987" s="334">
        <v>37.859000000000002</v>
      </c>
    </row>
    <row r="988" spans="22:57">
      <c r="V988" s="346">
        <v>10490</v>
      </c>
      <c r="W988" s="333">
        <v>78.531000000000006</v>
      </c>
      <c r="X988" s="346">
        <v>10500</v>
      </c>
      <c r="Y988" s="334">
        <v>77.599999999999994</v>
      </c>
      <c r="Z988" s="335">
        <v>10490</v>
      </c>
      <c r="AA988" s="334">
        <v>222.959</v>
      </c>
      <c r="AB988" s="336">
        <v>10490</v>
      </c>
      <c r="AC988" s="334">
        <v>223.00200000000001</v>
      </c>
      <c r="AD988" s="336">
        <v>10490</v>
      </c>
      <c r="AE988" s="334">
        <v>222.64</v>
      </c>
      <c r="AF988" s="336">
        <v>10490</v>
      </c>
      <c r="AG988" s="334">
        <v>221.53200000000001</v>
      </c>
      <c r="AH988" s="336">
        <v>10490</v>
      </c>
      <c r="AI988" s="334">
        <v>222.42599999999999</v>
      </c>
      <c r="AJ988" s="336">
        <v>10470</v>
      </c>
      <c r="AK988" s="334">
        <v>223.43899999999999</v>
      </c>
      <c r="AL988" s="336">
        <v>10490</v>
      </c>
      <c r="AM988" s="334">
        <v>223.14599999999999</v>
      </c>
      <c r="AN988" s="336">
        <v>10490</v>
      </c>
      <c r="AO988" s="334">
        <v>223.75899999999999</v>
      </c>
      <c r="AP988" s="336">
        <v>10480</v>
      </c>
      <c r="AQ988" s="334">
        <v>223.76900000000001</v>
      </c>
      <c r="AR988" s="336">
        <v>10490</v>
      </c>
      <c r="AS988" s="334">
        <v>223.03399999999999</v>
      </c>
      <c r="AT988" s="336">
        <v>10490</v>
      </c>
      <c r="AU988" s="334">
        <v>221.482</v>
      </c>
      <c r="AV988" s="336">
        <v>10490</v>
      </c>
      <c r="AW988" s="334">
        <v>221.965</v>
      </c>
      <c r="AX988" s="336">
        <v>10480</v>
      </c>
      <c r="AY988" s="334">
        <v>166.089</v>
      </c>
      <c r="AZ988" s="336">
        <v>10490</v>
      </c>
      <c r="BA988" s="337">
        <v>165.73099999999999</v>
      </c>
      <c r="BB988" s="336">
        <v>10470</v>
      </c>
      <c r="BC988" s="334">
        <v>35.012999999999998</v>
      </c>
      <c r="BD988" s="336">
        <v>10470</v>
      </c>
      <c r="BE988" s="334">
        <v>37.612000000000002</v>
      </c>
    </row>
    <row r="989" spans="22:57">
      <c r="V989" s="346">
        <v>10500</v>
      </c>
      <c r="W989" s="333">
        <v>77.995999999999995</v>
      </c>
      <c r="X989" s="346">
        <v>10510</v>
      </c>
      <c r="Y989" s="334">
        <v>77.069999999999993</v>
      </c>
      <c r="Z989" s="335">
        <v>10500</v>
      </c>
      <c r="AA989" s="334">
        <v>221.602</v>
      </c>
      <c r="AB989" s="336">
        <v>10500</v>
      </c>
      <c r="AC989" s="334">
        <v>221.64699999999999</v>
      </c>
      <c r="AD989" s="336">
        <v>10500</v>
      </c>
      <c r="AE989" s="334">
        <v>221.429</v>
      </c>
      <c r="AF989" s="336">
        <v>10500</v>
      </c>
      <c r="AG989" s="334">
        <v>220.31899999999999</v>
      </c>
      <c r="AH989" s="336">
        <v>10500</v>
      </c>
      <c r="AI989" s="334">
        <v>221.214</v>
      </c>
      <c r="AJ989" s="336">
        <v>10480</v>
      </c>
      <c r="AK989" s="334">
        <v>222.227</v>
      </c>
      <c r="AL989" s="336">
        <v>10500</v>
      </c>
      <c r="AM989" s="334">
        <v>221.934</v>
      </c>
      <c r="AN989" s="336">
        <v>10500</v>
      </c>
      <c r="AO989" s="334">
        <v>222.547</v>
      </c>
      <c r="AP989" s="336">
        <v>10490</v>
      </c>
      <c r="AQ989" s="334">
        <v>222.55799999999999</v>
      </c>
      <c r="AR989" s="336">
        <v>10500</v>
      </c>
      <c r="AS989" s="334">
        <v>221.82300000000001</v>
      </c>
      <c r="AT989" s="336">
        <v>10500</v>
      </c>
      <c r="AU989" s="334">
        <v>220.27099999999999</v>
      </c>
      <c r="AV989" s="336">
        <v>10500</v>
      </c>
      <c r="AW989" s="334">
        <v>220.755</v>
      </c>
      <c r="AX989" s="336">
        <v>10490</v>
      </c>
      <c r="AY989" s="334">
        <v>165.036</v>
      </c>
      <c r="AZ989" s="336">
        <v>10500</v>
      </c>
      <c r="BA989" s="337">
        <v>164.70699999999999</v>
      </c>
      <c r="BB989" s="336">
        <v>10480</v>
      </c>
      <c r="BC989" s="334">
        <v>34.780999999999999</v>
      </c>
      <c r="BD989" s="336">
        <v>10480</v>
      </c>
      <c r="BE989" s="334">
        <v>37.366</v>
      </c>
    </row>
    <row r="990" spans="22:57">
      <c r="V990" s="346">
        <v>10510</v>
      </c>
      <c r="W990" s="333">
        <v>77.462000000000003</v>
      </c>
      <c r="X990" s="346">
        <v>10520</v>
      </c>
      <c r="Y990" s="334">
        <v>76.540000000000006</v>
      </c>
      <c r="Z990" s="335">
        <v>10510</v>
      </c>
      <c r="AA990" s="334">
        <v>220.24700000000001</v>
      </c>
      <c r="AB990" s="336">
        <v>10510</v>
      </c>
      <c r="AC990" s="334">
        <v>220.29300000000001</v>
      </c>
      <c r="AD990" s="336">
        <v>10510</v>
      </c>
      <c r="AE990" s="334">
        <v>220.21700000000001</v>
      </c>
      <c r="AF990" s="336">
        <v>10510</v>
      </c>
      <c r="AG990" s="334">
        <v>219.10599999999999</v>
      </c>
      <c r="AH990" s="336">
        <v>10510</v>
      </c>
      <c r="AI990" s="334">
        <v>220.00299999999999</v>
      </c>
      <c r="AJ990" s="336">
        <v>10490</v>
      </c>
      <c r="AK990" s="334">
        <v>221.01499999999999</v>
      </c>
      <c r="AL990" s="336">
        <v>10510</v>
      </c>
      <c r="AM990" s="334">
        <v>220.72300000000001</v>
      </c>
      <c r="AN990" s="336">
        <v>10510</v>
      </c>
      <c r="AO990" s="334">
        <v>221.33500000000001</v>
      </c>
      <c r="AP990" s="336">
        <v>10500</v>
      </c>
      <c r="AQ990" s="334">
        <v>221.34800000000001</v>
      </c>
      <c r="AR990" s="336">
        <v>10510</v>
      </c>
      <c r="AS990" s="334">
        <v>220.61199999999999</v>
      </c>
      <c r="AT990" s="336">
        <v>10510</v>
      </c>
      <c r="AU990" s="334">
        <v>219.06100000000001</v>
      </c>
      <c r="AV990" s="336">
        <v>10510</v>
      </c>
      <c r="AW990" s="334">
        <v>219.54499999999999</v>
      </c>
      <c r="AX990" s="336">
        <v>10500</v>
      </c>
      <c r="AY990" s="334">
        <v>163.983</v>
      </c>
      <c r="AZ990" s="336">
        <v>10510</v>
      </c>
      <c r="BA990" s="337">
        <v>163.684</v>
      </c>
      <c r="BB990" s="336">
        <v>10490</v>
      </c>
      <c r="BC990" s="334">
        <v>34.549999999999997</v>
      </c>
      <c r="BD990" s="336">
        <v>10490</v>
      </c>
      <c r="BE990" s="334">
        <v>37.121000000000002</v>
      </c>
    </row>
    <row r="991" spans="22:57">
      <c r="V991" s="346">
        <v>10520</v>
      </c>
      <c r="W991" s="333">
        <v>76.930000000000007</v>
      </c>
      <c r="X991" s="346">
        <v>10530</v>
      </c>
      <c r="Y991" s="334">
        <v>76.012</v>
      </c>
      <c r="Z991" s="335">
        <v>10520</v>
      </c>
      <c r="AA991" s="334">
        <v>218.89400000000001</v>
      </c>
      <c r="AB991" s="336">
        <v>10520</v>
      </c>
      <c r="AC991" s="334">
        <v>218.941</v>
      </c>
      <c r="AD991" s="336">
        <v>10520</v>
      </c>
      <c r="AE991" s="334">
        <v>219.006</v>
      </c>
      <c r="AF991" s="336">
        <v>10520</v>
      </c>
      <c r="AG991" s="334">
        <v>217.893</v>
      </c>
      <c r="AH991" s="336">
        <v>10520</v>
      </c>
      <c r="AI991" s="334">
        <v>218.791</v>
      </c>
      <c r="AJ991" s="336">
        <v>10500</v>
      </c>
      <c r="AK991" s="334">
        <v>219.804</v>
      </c>
      <c r="AL991" s="336">
        <v>10520</v>
      </c>
      <c r="AM991" s="334">
        <v>219.511</v>
      </c>
      <c r="AN991" s="336">
        <v>10520</v>
      </c>
      <c r="AO991" s="334">
        <v>220.12299999999999</v>
      </c>
      <c r="AP991" s="336">
        <v>10510</v>
      </c>
      <c r="AQ991" s="334">
        <v>220.137</v>
      </c>
      <c r="AR991" s="336">
        <v>10520</v>
      </c>
      <c r="AS991" s="334">
        <v>219.40100000000001</v>
      </c>
      <c r="AT991" s="336">
        <v>10520</v>
      </c>
      <c r="AU991" s="334">
        <v>217.85</v>
      </c>
      <c r="AV991" s="336">
        <v>10520</v>
      </c>
      <c r="AW991" s="334">
        <v>218.334</v>
      </c>
      <c r="AX991" s="336">
        <v>10510</v>
      </c>
      <c r="AY991" s="334">
        <v>162.93100000000001</v>
      </c>
      <c r="AZ991" s="336">
        <v>10520</v>
      </c>
      <c r="BA991" s="337">
        <v>162.66200000000001</v>
      </c>
      <c r="BB991" s="336">
        <v>10500</v>
      </c>
      <c r="BC991" s="334">
        <v>34.319000000000003</v>
      </c>
      <c r="BD991" s="336">
        <v>10500</v>
      </c>
      <c r="BE991" s="334">
        <v>36.875</v>
      </c>
    </row>
    <row r="992" spans="22:57">
      <c r="V992" s="346">
        <v>10530</v>
      </c>
      <c r="W992" s="333">
        <v>76.397999999999996</v>
      </c>
      <c r="X992" s="346">
        <v>10540</v>
      </c>
      <c r="Y992" s="334">
        <v>75.484999999999999</v>
      </c>
      <c r="Z992" s="335">
        <v>10530</v>
      </c>
      <c r="AA992" s="334">
        <v>217.541</v>
      </c>
      <c r="AB992" s="336">
        <v>10530</v>
      </c>
      <c r="AC992" s="334">
        <v>217.59</v>
      </c>
      <c r="AD992" s="336">
        <v>10530</v>
      </c>
      <c r="AE992" s="334">
        <v>217.79499999999999</v>
      </c>
      <c r="AF992" s="336">
        <v>10530</v>
      </c>
      <c r="AG992" s="334">
        <v>216.679</v>
      </c>
      <c r="AH992" s="336">
        <v>10530</v>
      </c>
      <c r="AI992" s="334">
        <v>217.58</v>
      </c>
      <c r="AJ992" s="336">
        <v>10510</v>
      </c>
      <c r="AK992" s="334">
        <v>218.59200000000001</v>
      </c>
      <c r="AL992" s="336">
        <v>10530</v>
      </c>
      <c r="AM992" s="334">
        <v>218.3</v>
      </c>
      <c r="AN992" s="336">
        <v>10530</v>
      </c>
      <c r="AO992" s="334">
        <v>218.911</v>
      </c>
      <c r="AP992" s="336">
        <v>10520</v>
      </c>
      <c r="AQ992" s="334">
        <v>218.92699999999999</v>
      </c>
      <c r="AR992" s="336">
        <v>10530</v>
      </c>
      <c r="AS992" s="334">
        <v>218.19</v>
      </c>
      <c r="AT992" s="336">
        <v>10530</v>
      </c>
      <c r="AU992" s="334">
        <v>216.64</v>
      </c>
      <c r="AV992" s="336">
        <v>10530</v>
      </c>
      <c r="AW992" s="334">
        <v>217.124</v>
      </c>
      <c r="AX992" s="336">
        <v>10520</v>
      </c>
      <c r="AY992" s="334">
        <v>161.87799999999999</v>
      </c>
      <c r="AZ992" s="336">
        <v>10530</v>
      </c>
      <c r="BA992" s="337">
        <v>161.65</v>
      </c>
      <c r="BB992" s="336">
        <v>10510</v>
      </c>
      <c r="BC992" s="334">
        <v>34.088000000000001</v>
      </c>
      <c r="BD992" s="336">
        <v>10510</v>
      </c>
      <c r="BE992" s="334">
        <v>36.631</v>
      </c>
    </row>
    <row r="993" spans="22:57">
      <c r="V993" s="346">
        <v>10540</v>
      </c>
      <c r="W993" s="333">
        <v>75.867999999999995</v>
      </c>
      <c r="X993" s="346">
        <v>10550</v>
      </c>
      <c r="Y993" s="334">
        <v>74.959999999999994</v>
      </c>
      <c r="Z993" s="335">
        <v>10540</v>
      </c>
      <c r="AA993" s="334">
        <v>216.191</v>
      </c>
      <c r="AB993" s="336">
        <v>10540</v>
      </c>
      <c r="AC993" s="334">
        <v>216.24100000000001</v>
      </c>
      <c r="AD993" s="336">
        <v>10540</v>
      </c>
      <c r="AE993" s="334">
        <v>216.584</v>
      </c>
      <c r="AF993" s="336">
        <v>10540</v>
      </c>
      <c r="AG993" s="334">
        <v>215.46600000000001</v>
      </c>
      <c r="AH993" s="336">
        <v>10540</v>
      </c>
      <c r="AI993" s="334">
        <v>216.369</v>
      </c>
      <c r="AJ993" s="336">
        <v>10520</v>
      </c>
      <c r="AK993" s="334">
        <v>217.38</v>
      </c>
      <c r="AL993" s="336">
        <v>10540</v>
      </c>
      <c r="AM993" s="334">
        <v>217.08799999999999</v>
      </c>
      <c r="AN993" s="336">
        <v>10540</v>
      </c>
      <c r="AO993" s="334">
        <v>217.69900000000001</v>
      </c>
      <c r="AP993" s="336">
        <v>10530</v>
      </c>
      <c r="AQ993" s="334">
        <v>217.71600000000001</v>
      </c>
      <c r="AR993" s="336">
        <v>10540</v>
      </c>
      <c r="AS993" s="334">
        <v>216.97800000000001</v>
      </c>
      <c r="AT993" s="336">
        <v>10540</v>
      </c>
      <c r="AU993" s="334">
        <v>215.429</v>
      </c>
      <c r="AV993" s="336">
        <v>10540</v>
      </c>
      <c r="AW993" s="334">
        <v>215.91399999999999</v>
      </c>
      <c r="AX993" s="336">
        <v>10530</v>
      </c>
      <c r="AY993" s="334">
        <v>160.82499999999999</v>
      </c>
      <c r="AZ993" s="336">
        <v>10540</v>
      </c>
      <c r="BA993" s="337">
        <v>160.66</v>
      </c>
      <c r="BB993" s="336">
        <v>10520</v>
      </c>
      <c r="BC993" s="334">
        <v>33.857999999999997</v>
      </c>
      <c r="BD993" s="336">
        <v>10520</v>
      </c>
      <c r="BE993" s="334">
        <v>36.387</v>
      </c>
    </row>
    <row r="994" spans="22:57">
      <c r="V994" s="346">
        <v>10550</v>
      </c>
      <c r="W994" s="333">
        <v>75.338999999999999</v>
      </c>
      <c r="X994" s="346">
        <v>10560</v>
      </c>
      <c r="Y994" s="334">
        <v>74.435000000000002</v>
      </c>
      <c r="Z994" s="335">
        <v>10550</v>
      </c>
      <c r="AA994" s="334">
        <v>214.84100000000001</v>
      </c>
      <c r="AB994" s="336">
        <v>10550</v>
      </c>
      <c r="AC994" s="334">
        <v>214.893</v>
      </c>
      <c r="AD994" s="336">
        <v>10550</v>
      </c>
      <c r="AE994" s="334">
        <v>215.37299999999999</v>
      </c>
      <c r="AF994" s="336">
        <v>10550</v>
      </c>
      <c r="AG994" s="334">
        <v>214.25299999999999</v>
      </c>
      <c r="AH994" s="336">
        <v>10550</v>
      </c>
      <c r="AI994" s="334">
        <v>215.15700000000001</v>
      </c>
      <c r="AJ994" s="336">
        <v>10530</v>
      </c>
      <c r="AK994" s="334">
        <v>216.16900000000001</v>
      </c>
      <c r="AL994" s="336">
        <v>10550</v>
      </c>
      <c r="AM994" s="334">
        <v>215.87700000000001</v>
      </c>
      <c r="AN994" s="336">
        <v>10550</v>
      </c>
      <c r="AO994" s="334">
        <v>216.48699999999999</v>
      </c>
      <c r="AP994" s="336">
        <v>10540</v>
      </c>
      <c r="AQ994" s="334">
        <v>216.506</v>
      </c>
      <c r="AR994" s="336">
        <v>10550</v>
      </c>
      <c r="AS994" s="334">
        <v>215.767</v>
      </c>
      <c r="AT994" s="336">
        <v>10550</v>
      </c>
      <c r="AU994" s="334">
        <v>214.21799999999999</v>
      </c>
      <c r="AV994" s="336">
        <v>10550</v>
      </c>
      <c r="AW994" s="334">
        <v>214.70400000000001</v>
      </c>
      <c r="AX994" s="336">
        <v>10540</v>
      </c>
      <c r="AY994" s="334">
        <v>159.773</v>
      </c>
      <c r="AZ994" s="336">
        <v>10550</v>
      </c>
      <c r="BA994" s="337">
        <v>159.66900000000001</v>
      </c>
      <c r="BB994" s="336">
        <v>10530</v>
      </c>
      <c r="BC994" s="334">
        <v>33.628999999999998</v>
      </c>
      <c r="BD994" s="336">
        <v>10530</v>
      </c>
      <c r="BE994" s="334">
        <v>36.143000000000001</v>
      </c>
    </row>
    <row r="995" spans="22:57">
      <c r="V995" s="346">
        <v>10560</v>
      </c>
      <c r="W995" s="333">
        <v>74.811000000000007</v>
      </c>
      <c r="X995" s="346">
        <v>10570</v>
      </c>
      <c r="Y995" s="334">
        <v>73.912000000000006</v>
      </c>
      <c r="Z995" s="335">
        <v>10560</v>
      </c>
      <c r="AA995" s="334">
        <v>213.49299999999999</v>
      </c>
      <c r="AB995" s="336">
        <v>10560</v>
      </c>
      <c r="AC995" s="334">
        <v>213.54599999999999</v>
      </c>
      <c r="AD995" s="336">
        <v>10560</v>
      </c>
      <c r="AE995" s="334">
        <v>214.16200000000001</v>
      </c>
      <c r="AF995" s="336">
        <v>10560</v>
      </c>
      <c r="AG995" s="334">
        <v>213.03899999999999</v>
      </c>
      <c r="AH995" s="336">
        <v>10560</v>
      </c>
      <c r="AI995" s="334">
        <v>213.946</v>
      </c>
      <c r="AJ995" s="336">
        <v>10540</v>
      </c>
      <c r="AK995" s="334">
        <v>214.95699999999999</v>
      </c>
      <c r="AL995" s="336">
        <v>10560</v>
      </c>
      <c r="AM995" s="334">
        <v>214.666</v>
      </c>
      <c r="AN995" s="336">
        <v>10560</v>
      </c>
      <c r="AO995" s="334">
        <v>215.27500000000001</v>
      </c>
      <c r="AP995" s="336">
        <v>10550</v>
      </c>
      <c r="AQ995" s="334">
        <v>215.29499999999999</v>
      </c>
      <c r="AR995" s="336">
        <v>10560</v>
      </c>
      <c r="AS995" s="334">
        <v>214.55600000000001</v>
      </c>
      <c r="AT995" s="336">
        <v>10560</v>
      </c>
      <c r="AU995" s="334">
        <v>213.00800000000001</v>
      </c>
      <c r="AV995" s="336">
        <v>10560</v>
      </c>
      <c r="AW995" s="334">
        <v>213.494</v>
      </c>
      <c r="AX995" s="336">
        <v>10550</v>
      </c>
      <c r="AY995" s="334">
        <v>158.72</v>
      </c>
      <c r="AZ995" s="336">
        <v>10560</v>
      </c>
      <c r="BA995" s="337">
        <v>158.679</v>
      </c>
      <c r="BB995" s="336">
        <v>10540</v>
      </c>
      <c r="BC995" s="334">
        <v>33.4</v>
      </c>
      <c r="BD995" s="336">
        <v>10540</v>
      </c>
      <c r="BE995" s="334">
        <v>35.9</v>
      </c>
    </row>
    <row r="996" spans="22:57">
      <c r="V996" s="346">
        <v>10570</v>
      </c>
      <c r="W996" s="333">
        <v>74.284000000000006</v>
      </c>
      <c r="X996" s="346">
        <v>10580</v>
      </c>
      <c r="Y996" s="334">
        <v>73.388999999999996</v>
      </c>
      <c r="Z996" s="335">
        <v>10570</v>
      </c>
      <c r="AA996" s="334">
        <v>212.14599999999999</v>
      </c>
      <c r="AB996" s="336">
        <v>10570</v>
      </c>
      <c r="AC996" s="334">
        <v>212.20099999999999</v>
      </c>
      <c r="AD996" s="336">
        <v>10570</v>
      </c>
      <c r="AE996" s="334">
        <v>212.95099999999999</v>
      </c>
      <c r="AF996" s="336">
        <v>10570</v>
      </c>
      <c r="AG996" s="334">
        <v>211.82599999999999</v>
      </c>
      <c r="AH996" s="336">
        <v>10570</v>
      </c>
      <c r="AI996" s="334">
        <v>212.73400000000001</v>
      </c>
      <c r="AJ996" s="336">
        <v>10550</v>
      </c>
      <c r="AK996" s="334">
        <v>213.745</v>
      </c>
      <c r="AL996" s="336">
        <v>10570</v>
      </c>
      <c r="AM996" s="334">
        <v>213.45400000000001</v>
      </c>
      <c r="AN996" s="336">
        <v>10570</v>
      </c>
      <c r="AO996" s="334">
        <v>214.06299999999999</v>
      </c>
      <c r="AP996" s="336">
        <v>10560</v>
      </c>
      <c r="AQ996" s="334">
        <v>214.08500000000001</v>
      </c>
      <c r="AR996" s="336">
        <v>10570</v>
      </c>
      <c r="AS996" s="334">
        <v>213.345</v>
      </c>
      <c r="AT996" s="336">
        <v>10570</v>
      </c>
      <c r="AU996" s="334">
        <v>211.797</v>
      </c>
      <c r="AV996" s="336">
        <v>10570</v>
      </c>
      <c r="AW996" s="334">
        <v>212.28399999999999</v>
      </c>
      <c r="AX996" s="336">
        <v>10560</v>
      </c>
      <c r="AY996" s="334">
        <v>157.667</v>
      </c>
      <c r="AZ996" s="336">
        <v>10570</v>
      </c>
      <c r="BA996" s="337">
        <v>157.68799999999999</v>
      </c>
      <c r="BB996" s="336">
        <v>10550</v>
      </c>
      <c r="BC996" s="334">
        <v>33.170999999999999</v>
      </c>
      <c r="BD996" s="336">
        <v>10550</v>
      </c>
      <c r="BE996" s="334">
        <v>35.658000000000001</v>
      </c>
    </row>
    <row r="997" spans="22:57">
      <c r="V997" s="346">
        <v>10580</v>
      </c>
      <c r="W997" s="333">
        <v>73.759</v>
      </c>
      <c r="X997" s="346">
        <v>10590</v>
      </c>
      <c r="Y997" s="334">
        <v>72.867999999999995</v>
      </c>
      <c r="Z997" s="335">
        <v>10580</v>
      </c>
      <c r="AA997" s="334">
        <v>210.80099999999999</v>
      </c>
      <c r="AB997" s="336">
        <v>10580</v>
      </c>
      <c r="AC997" s="334">
        <v>210.857</v>
      </c>
      <c r="AD997" s="336">
        <v>10580</v>
      </c>
      <c r="AE997" s="334">
        <v>211.74</v>
      </c>
      <c r="AF997" s="336">
        <v>10580</v>
      </c>
      <c r="AG997" s="334">
        <v>210.613</v>
      </c>
      <c r="AH997" s="336">
        <v>10580</v>
      </c>
      <c r="AI997" s="334">
        <v>211.523</v>
      </c>
      <c r="AJ997" s="336">
        <v>10560</v>
      </c>
      <c r="AK997" s="334">
        <v>212.53399999999999</v>
      </c>
      <c r="AL997" s="336">
        <v>10580</v>
      </c>
      <c r="AM997" s="334">
        <v>212.24299999999999</v>
      </c>
      <c r="AN997" s="336">
        <v>10580</v>
      </c>
      <c r="AO997" s="334">
        <v>212.851</v>
      </c>
      <c r="AP997" s="336">
        <v>10570</v>
      </c>
      <c r="AQ997" s="334">
        <v>212.874</v>
      </c>
      <c r="AR997" s="336">
        <v>10580</v>
      </c>
      <c r="AS997" s="334">
        <v>212.13399999999999</v>
      </c>
      <c r="AT997" s="336">
        <v>10580</v>
      </c>
      <c r="AU997" s="334">
        <v>210.58600000000001</v>
      </c>
      <c r="AV997" s="336">
        <v>10580</v>
      </c>
      <c r="AW997" s="334">
        <v>211.07400000000001</v>
      </c>
      <c r="AX997" s="336">
        <v>10570</v>
      </c>
      <c r="AY997" s="334">
        <v>156.61500000000001</v>
      </c>
      <c r="AZ997" s="336">
        <v>10580</v>
      </c>
      <c r="BA997" s="337">
        <v>156.69800000000001</v>
      </c>
      <c r="BB997" s="336">
        <v>10560</v>
      </c>
      <c r="BC997" s="334">
        <v>32.944000000000003</v>
      </c>
      <c r="BD997" s="336">
        <v>10560</v>
      </c>
      <c r="BE997" s="334">
        <v>35.415999999999997</v>
      </c>
    </row>
    <row r="998" spans="22:57">
      <c r="V998" s="346">
        <v>10590</v>
      </c>
      <c r="W998" s="333">
        <v>73.233999999999995</v>
      </c>
      <c r="X998" s="346">
        <v>10600</v>
      </c>
      <c r="Y998" s="334">
        <v>72.347999999999999</v>
      </c>
      <c r="Z998" s="335">
        <v>10590</v>
      </c>
      <c r="AA998" s="334">
        <v>209.45699999999999</v>
      </c>
      <c r="AB998" s="336">
        <v>10590</v>
      </c>
      <c r="AC998" s="334">
        <v>209.51499999999999</v>
      </c>
      <c r="AD998" s="336">
        <v>10590</v>
      </c>
      <c r="AE998" s="334">
        <v>210.529</v>
      </c>
      <c r="AF998" s="336">
        <v>10590</v>
      </c>
      <c r="AG998" s="334">
        <v>209.399</v>
      </c>
      <c r="AH998" s="336">
        <v>10590</v>
      </c>
      <c r="AI998" s="334">
        <v>210.31100000000001</v>
      </c>
      <c r="AJ998" s="336">
        <v>10570</v>
      </c>
      <c r="AK998" s="334">
        <v>211.322</v>
      </c>
      <c r="AL998" s="336">
        <v>10590</v>
      </c>
      <c r="AM998" s="334">
        <v>211.03100000000001</v>
      </c>
      <c r="AN998" s="336">
        <v>10590</v>
      </c>
      <c r="AO998" s="334">
        <v>211.63900000000001</v>
      </c>
      <c r="AP998" s="336">
        <v>10580</v>
      </c>
      <c r="AQ998" s="334">
        <v>211.66399999999999</v>
      </c>
      <c r="AR998" s="336">
        <v>10590</v>
      </c>
      <c r="AS998" s="334">
        <v>210.923</v>
      </c>
      <c r="AT998" s="336">
        <v>10590</v>
      </c>
      <c r="AU998" s="334">
        <v>209.376</v>
      </c>
      <c r="AV998" s="336">
        <v>10590</v>
      </c>
      <c r="AW998" s="334">
        <v>209.864</v>
      </c>
      <c r="AX998" s="336">
        <v>10580</v>
      </c>
      <c r="AY998" s="334">
        <v>155.56200000000001</v>
      </c>
      <c r="AZ998" s="336">
        <v>10590</v>
      </c>
      <c r="BA998" s="337">
        <v>155.708</v>
      </c>
      <c r="BB998" s="336">
        <v>10570</v>
      </c>
      <c r="BC998" s="334">
        <v>32.716000000000001</v>
      </c>
      <c r="BD998" s="336">
        <v>10570</v>
      </c>
      <c r="BE998" s="334">
        <v>35.173999999999999</v>
      </c>
    </row>
    <row r="999" spans="22:57">
      <c r="V999" s="346">
        <v>10600</v>
      </c>
      <c r="W999" s="333">
        <v>72.710999999999999</v>
      </c>
      <c r="X999" s="346">
        <v>10610</v>
      </c>
      <c r="Y999" s="334">
        <v>71.828999999999994</v>
      </c>
      <c r="Z999" s="335">
        <v>10600</v>
      </c>
      <c r="AA999" s="334">
        <v>208.11500000000001</v>
      </c>
      <c r="AB999" s="336">
        <v>10600</v>
      </c>
      <c r="AC999" s="334">
        <v>208.17400000000001</v>
      </c>
      <c r="AD999" s="336">
        <v>10600</v>
      </c>
      <c r="AE999" s="334">
        <v>209.31800000000001</v>
      </c>
      <c r="AF999" s="336">
        <v>10600</v>
      </c>
      <c r="AG999" s="334">
        <v>208.18600000000001</v>
      </c>
      <c r="AH999" s="336">
        <v>10600</v>
      </c>
      <c r="AI999" s="334">
        <v>209.1</v>
      </c>
      <c r="AJ999" s="336">
        <v>10580</v>
      </c>
      <c r="AK999" s="334">
        <v>210.11</v>
      </c>
      <c r="AL999" s="336">
        <v>10600</v>
      </c>
      <c r="AM999" s="334">
        <v>209.82</v>
      </c>
      <c r="AN999" s="336">
        <v>10600</v>
      </c>
      <c r="AO999" s="334">
        <v>210.428</v>
      </c>
      <c r="AP999" s="336">
        <v>10590</v>
      </c>
      <c r="AQ999" s="334">
        <v>210.453</v>
      </c>
      <c r="AR999" s="336">
        <v>10600</v>
      </c>
      <c r="AS999" s="334">
        <v>209.71100000000001</v>
      </c>
      <c r="AT999" s="336">
        <v>10600</v>
      </c>
      <c r="AU999" s="334">
        <v>208.16499999999999</v>
      </c>
      <c r="AV999" s="336">
        <v>10600</v>
      </c>
      <c r="AW999" s="334">
        <v>208.654</v>
      </c>
      <c r="AX999" s="336">
        <v>10590</v>
      </c>
      <c r="AY999" s="334">
        <v>154.50899999999999</v>
      </c>
      <c r="AZ999" s="336">
        <v>10600</v>
      </c>
      <c r="BA999" s="337">
        <v>154.71700000000001</v>
      </c>
      <c r="BB999" s="336">
        <v>10580</v>
      </c>
      <c r="BC999" s="334">
        <v>32.49</v>
      </c>
      <c r="BD999" s="336">
        <v>10580</v>
      </c>
      <c r="BE999" s="334">
        <v>34.933</v>
      </c>
    </row>
    <row r="1000" spans="22:57">
      <c r="V1000" s="346">
        <v>10610</v>
      </c>
      <c r="W1000" s="333">
        <v>72.188999999999993</v>
      </c>
      <c r="X1000" s="346">
        <v>10620</v>
      </c>
      <c r="Y1000" s="334">
        <v>71.311000000000007</v>
      </c>
      <c r="Z1000" s="335">
        <v>10610</v>
      </c>
      <c r="AA1000" s="334">
        <v>206.774</v>
      </c>
      <c r="AB1000" s="336">
        <v>10610</v>
      </c>
      <c r="AC1000" s="334">
        <v>206.834</v>
      </c>
      <c r="AD1000" s="336">
        <v>10610</v>
      </c>
      <c r="AE1000" s="334">
        <v>208.107</v>
      </c>
      <c r="AF1000" s="336">
        <v>10610</v>
      </c>
      <c r="AG1000" s="334">
        <v>206.97300000000001</v>
      </c>
      <c r="AH1000" s="336">
        <v>10610</v>
      </c>
      <c r="AI1000" s="334">
        <v>207.88800000000001</v>
      </c>
      <c r="AJ1000" s="336">
        <v>10590</v>
      </c>
      <c r="AK1000" s="334">
        <v>208.899</v>
      </c>
      <c r="AL1000" s="336">
        <v>10610</v>
      </c>
      <c r="AM1000" s="334">
        <v>208.60900000000001</v>
      </c>
      <c r="AN1000" s="336">
        <v>10610</v>
      </c>
      <c r="AO1000" s="334">
        <v>209.21600000000001</v>
      </c>
      <c r="AP1000" s="336">
        <v>10600</v>
      </c>
      <c r="AQ1000" s="334">
        <v>209.24299999999999</v>
      </c>
      <c r="AR1000" s="336">
        <v>10610</v>
      </c>
      <c r="AS1000" s="334">
        <v>208.5</v>
      </c>
      <c r="AT1000" s="336">
        <v>10610</v>
      </c>
      <c r="AU1000" s="334">
        <v>206.95500000000001</v>
      </c>
      <c r="AV1000" s="336">
        <v>10610</v>
      </c>
      <c r="AW1000" s="334">
        <v>207.44399999999999</v>
      </c>
      <c r="AX1000" s="336">
        <v>10600</v>
      </c>
      <c r="AY1000" s="334">
        <v>153.45699999999999</v>
      </c>
      <c r="AZ1000" s="336">
        <v>10610</v>
      </c>
      <c r="BA1000" s="337">
        <v>153.727</v>
      </c>
      <c r="BB1000" s="336">
        <v>10590</v>
      </c>
      <c r="BC1000" s="334">
        <v>32.262999999999998</v>
      </c>
      <c r="BD1000" s="336">
        <v>10590</v>
      </c>
      <c r="BE1000" s="334">
        <v>34.692999999999998</v>
      </c>
    </row>
    <row r="1001" spans="22:57">
      <c r="V1001" s="346">
        <v>10620</v>
      </c>
      <c r="W1001" s="333">
        <v>71.668000000000006</v>
      </c>
      <c r="X1001" s="346">
        <v>10630</v>
      </c>
      <c r="Y1001" s="334">
        <v>70.795000000000002</v>
      </c>
      <c r="Z1001" s="335">
        <v>10620</v>
      </c>
      <c r="AA1001" s="334">
        <v>205.434</v>
      </c>
      <c r="AB1001" s="336">
        <v>10620</v>
      </c>
      <c r="AC1001" s="334">
        <v>205.49600000000001</v>
      </c>
      <c r="AD1001" s="336">
        <v>10620</v>
      </c>
      <c r="AE1001" s="334">
        <v>206.89599999999999</v>
      </c>
      <c r="AF1001" s="336">
        <v>10620</v>
      </c>
      <c r="AG1001" s="334">
        <v>205.76</v>
      </c>
      <c r="AH1001" s="336">
        <v>10620</v>
      </c>
      <c r="AI1001" s="334">
        <v>206.67699999999999</v>
      </c>
      <c r="AJ1001" s="336">
        <v>10600</v>
      </c>
      <c r="AK1001" s="334">
        <v>207.68700000000001</v>
      </c>
      <c r="AL1001" s="336">
        <v>10620</v>
      </c>
      <c r="AM1001" s="334">
        <v>207.39699999999999</v>
      </c>
      <c r="AN1001" s="336">
        <v>10620</v>
      </c>
      <c r="AO1001" s="334">
        <v>208.00399999999999</v>
      </c>
      <c r="AP1001" s="336">
        <v>10610</v>
      </c>
      <c r="AQ1001" s="334">
        <v>208.03200000000001</v>
      </c>
      <c r="AR1001" s="336">
        <v>10620</v>
      </c>
      <c r="AS1001" s="334">
        <v>207.28899999999999</v>
      </c>
      <c r="AT1001" s="336">
        <v>10620</v>
      </c>
      <c r="AU1001" s="334">
        <v>205.744</v>
      </c>
      <c r="AV1001" s="336">
        <v>10620</v>
      </c>
      <c r="AW1001" s="334">
        <v>206.23400000000001</v>
      </c>
      <c r="AX1001" s="336">
        <v>10610</v>
      </c>
      <c r="AY1001" s="334">
        <v>152.404</v>
      </c>
      <c r="AZ1001" s="336">
        <v>10620</v>
      </c>
      <c r="BA1001" s="337">
        <v>152.73699999999999</v>
      </c>
      <c r="BB1001" s="336">
        <v>10600</v>
      </c>
      <c r="BC1001" s="334">
        <v>32.037999999999997</v>
      </c>
      <c r="BD1001" s="336">
        <v>10600</v>
      </c>
      <c r="BE1001" s="334">
        <v>34.453000000000003</v>
      </c>
    </row>
    <row r="1002" spans="22:57">
      <c r="V1002" s="346">
        <v>10630</v>
      </c>
      <c r="W1002" s="333">
        <v>71.147999999999996</v>
      </c>
      <c r="X1002" s="346">
        <v>10640</v>
      </c>
      <c r="Y1002" s="334">
        <v>70.278999999999996</v>
      </c>
      <c r="Z1002" s="335">
        <v>10630</v>
      </c>
      <c r="AA1002" s="334">
        <v>204.096</v>
      </c>
      <c r="AB1002" s="336">
        <v>10630</v>
      </c>
      <c r="AC1002" s="334">
        <v>204.15899999999999</v>
      </c>
      <c r="AD1002" s="336">
        <v>10630</v>
      </c>
      <c r="AE1002" s="334">
        <v>205.685</v>
      </c>
      <c r="AF1002" s="336">
        <v>10630</v>
      </c>
      <c r="AG1002" s="334">
        <v>204.54599999999999</v>
      </c>
      <c r="AH1002" s="336">
        <v>10630</v>
      </c>
      <c r="AI1002" s="334">
        <v>205.46600000000001</v>
      </c>
      <c r="AJ1002" s="336">
        <v>10610</v>
      </c>
      <c r="AK1002" s="334">
        <v>206.47499999999999</v>
      </c>
      <c r="AL1002" s="336">
        <v>10630</v>
      </c>
      <c r="AM1002" s="334">
        <v>206.18600000000001</v>
      </c>
      <c r="AN1002" s="336">
        <v>10630</v>
      </c>
      <c r="AO1002" s="334">
        <v>206.792</v>
      </c>
      <c r="AP1002" s="336">
        <v>10620</v>
      </c>
      <c r="AQ1002" s="334">
        <v>206.822</v>
      </c>
      <c r="AR1002" s="336">
        <v>10630</v>
      </c>
      <c r="AS1002" s="334">
        <v>206.078</v>
      </c>
      <c r="AT1002" s="336">
        <v>10630</v>
      </c>
      <c r="AU1002" s="334">
        <v>204.53299999999999</v>
      </c>
      <c r="AV1002" s="336">
        <v>10630</v>
      </c>
      <c r="AW1002" s="334">
        <v>205.024</v>
      </c>
      <c r="AX1002" s="336">
        <v>10620</v>
      </c>
      <c r="AY1002" s="334">
        <v>151.351</v>
      </c>
      <c r="AZ1002" s="336">
        <v>10630</v>
      </c>
      <c r="BA1002" s="337">
        <v>151.74600000000001</v>
      </c>
      <c r="BB1002" s="336">
        <v>10610</v>
      </c>
      <c r="BC1002" s="334">
        <v>31.812000000000001</v>
      </c>
      <c r="BD1002" s="336">
        <v>10610</v>
      </c>
      <c r="BE1002" s="334">
        <v>34.213999999999999</v>
      </c>
    </row>
    <row r="1003" spans="22:57">
      <c r="V1003" s="346">
        <v>10640</v>
      </c>
      <c r="W1003" s="333">
        <v>70.63</v>
      </c>
      <c r="X1003" s="346">
        <v>10650</v>
      </c>
      <c r="Y1003" s="334">
        <v>69.765000000000001</v>
      </c>
      <c r="Z1003" s="335">
        <v>10640</v>
      </c>
      <c r="AA1003" s="334">
        <v>202.76</v>
      </c>
      <c r="AB1003" s="336">
        <v>10640</v>
      </c>
      <c r="AC1003" s="334">
        <v>202.82400000000001</v>
      </c>
      <c r="AD1003" s="336">
        <v>10640</v>
      </c>
      <c r="AE1003" s="334">
        <v>204.47300000000001</v>
      </c>
      <c r="AF1003" s="336">
        <v>10640</v>
      </c>
      <c r="AG1003" s="334">
        <v>203.333</v>
      </c>
      <c r="AH1003" s="336">
        <v>10640</v>
      </c>
      <c r="AI1003" s="334">
        <v>204.25399999999999</v>
      </c>
      <c r="AJ1003" s="336">
        <v>10620</v>
      </c>
      <c r="AK1003" s="334">
        <v>205.26400000000001</v>
      </c>
      <c r="AL1003" s="336">
        <v>10640</v>
      </c>
      <c r="AM1003" s="334">
        <v>204.97399999999999</v>
      </c>
      <c r="AN1003" s="336">
        <v>10640</v>
      </c>
      <c r="AO1003" s="334">
        <v>205.58</v>
      </c>
      <c r="AP1003" s="336">
        <v>10630</v>
      </c>
      <c r="AQ1003" s="334">
        <v>205.61099999999999</v>
      </c>
      <c r="AR1003" s="336">
        <v>10640</v>
      </c>
      <c r="AS1003" s="334">
        <v>204.86699999999999</v>
      </c>
      <c r="AT1003" s="336">
        <v>10640</v>
      </c>
      <c r="AU1003" s="334">
        <v>203.32300000000001</v>
      </c>
      <c r="AV1003" s="336">
        <v>10640</v>
      </c>
      <c r="AW1003" s="334">
        <v>203.81399999999999</v>
      </c>
      <c r="AX1003" s="336">
        <v>10630</v>
      </c>
      <c r="AY1003" s="334">
        <v>150.29900000000001</v>
      </c>
      <c r="AZ1003" s="336">
        <v>10640</v>
      </c>
      <c r="BA1003" s="337">
        <v>150.756</v>
      </c>
      <c r="BB1003" s="336">
        <v>10620</v>
      </c>
      <c r="BC1003" s="334">
        <v>31.588000000000001</v>
      </c>
      <c r="BD1003" s="336">
        <v>10620</v>
      </c>
      <c r="BE1003" s="334">
        <v>33.975000000000001</v>
      </c>
    </row>
    <row r="1004" spans="22:57">
      <c r="V1004" s="346">
        <v>10650</v>
      </c>
      <c r="W1004" s="333">
        <v>70.111999999999995</v>
      </c>
      <c r="X1004" s="346">
        <v>10660</v>
      </c>
      <c r="Y1004" s="334">
        <v>69.251999999999995</v>
      </c>
      <c r="Z1004" s="335">
        <v>10650</v>
      </c>
      <c r="AA1004" s="334">
        <v>201.42500000000001</v>
      </c>
      <c r="AB1004" s="336">
        <v>10650</v>
      </c>
      <c r="AC1004" s="334">
        <v>201.49</v>
      </c>
      <c r="AD1004" s="336">
        <v>10650</v>
      </c>
      <c r="AE1004" s="334">
        <v>203.262</v>
      </c>
      <c r="AF1004" s="336">
        <v>10650</v>
      </c>
      <c r="AG1004" s="334">
        <v>202.12</v>
      </c>
      <c r="AH1004" s="336">
        <v>10650</v>
      </c>
      <c r="AI1004" s="334">
        <v>203.04300000000001</v>
      </c>
      <c r="AJ1004" s="336">
        <v>10630</v>
      </c>
      <c r="AK1004" s="334">
        <v>204.05199999999999</v>
      </c>
      <c r="AL1004" s="336">
        <v>10650</v>
      </c>
      <c r="AM1004" s="334">
        <v>203.76300000000001</v>
      </c>
      <c r="AN1004" s="336">
        <v>10650</v>
      </c>
      <c r="AO1004" s="334">
        <v>204.36799999999999</v>
      </c>
      <c r="AP1004" s="336">
        <v>10640</v>
      </c>
      <c r="AQ1004" s="334">
        <v>204.40100000000001</v>
      </c>
      <c r="AR1004" s="336">
        <v>10650</v>
      </c>
      <c r="AS1004" s="334">
        <v>203.655</v>
      </c>
      <c r="AT1004" s="336">
        <v>10650</v>
      </c>
      <c r="AU1004" s="334">
        <v>202.11199999999999</v>
      </c>
      <c r="AV1004" s="336">
        <v>10650</v>
      </c>
      <c r="AW1004" s="334">
        <v>202.60400000000001</v>
      </c>
      <c r="AX1004" s="336">
        <v>10640</v>
      </c>
      <c r="AY1004" s="334">
        <v>149.24600000000001</v>
      </c>
      <c r="AZ1004" s="336">
        <v>10650</v>
      </c>
      <c r="BA1004" s="337">
        <v>149.76499999999999</v>
      </c>
      <c r="BB1004" s="336">
        <v>10630</v>
      </c>
      <c r="BC1004" s="334">
        <v>31.364000000000001</v>
      </c>
      <c r="BD1004" s="336">
        <v>10630</v>
      </c>
      <c r="BE1004" s="334">
        <v>33.737000000000002</v>
      </c>
    </row>
    <row r="1005" spans="22:57">
      <c r="V1005" s="346">
        <v>10660</v>
      </c>
      <c r="W1005" s="333">
        <v>69.596000000000004</v>
      </c>
      <c r="X1005" s="346">
        <v>10670</v>
      </c>
      <c r="Y1005" s="334">
        <v>68.739999999999995</v>
      </c>
      <c r="Z1005" s="335">
        <v>10660</v>
      </c>
      <c r="AA1005" s="334">
        <v>200.09100000000001</v>
      </c>
      <c r="AB1005" s="336">
        <v>10660</v>
      </c>
      <c r="AC1005" s="334">
        <v>200.15799999999999</v>
      </c>
      <c r="AD1005" s="336">
        <v>10660</v>
      </c>
      <c r="AE1005" s="334">
        <v>202.05099999999999</v>
      </c>
      <c r="AF1005" s="336">
        <v>10660</v>
      </c>
      <c r="AG1005" s="334">
        <v>200.90600000000001</v>
      </c>
      <c r="AH1005" s="336">
        <v>10660</v>
      </c>
      <c r="AI1005" s="334">
        <v>201.83099999999999</v>
      </c>
      <c r="AJ1005" s="336">
        <v>10640</v>
      </c>
      <c r="AK1005" s="334">
        <v>202.84</v>
      </c>
      <c r="AL1005" s="336">
        <v>10660</v>
      </c>
      <c r="AM1005" s="334">
        <v>202.55199999999999</v>
      </c>
      <c r="AN1005" s="336">
        <v>10660</v>
      </c>
      <c r="AO1005" s="334">
        <v>203.15600000000001</v>
      </c>
      <c r="AP1005" s="336">
        <v>10650</v>
      </c>
      <c r="AQ1005" s="334">
        <v>203.19</v>
      </c>
      <c r="AR1005" s="336">
        <v>10660</v>
      </c>
      <c r="AS1005" s="334">
        <v>202.44399999999999</v>
      </c>
      <c r="AT1005" s="336">
        <v>10660</v>
      </c>
      <c r="AU1005" s="334">
        <v>200.90199999999999</v>
      </c>
      <c r="AV1005" s="336">
        <v>10660</v>
      </c>
      <c r="AW1005" s="334">
        <v>201.39400000000001</v>
      </c>
      <c r="AX1005" s="336">
        <v>10650</v>
      </c>
      <c r="AY1005" s="334">
        <v>148.19300000000001</v>
      </c>
      <c r="AZ1005" s="336">
        <v>10660</v>
      </c>
      <c r="BA1005" s="337">
        <v>148.77500000000001</v>
      </c>
      <c r="BB1005" s="336">
        <v>10640</v>
      </c>
      <c r="BC1005" s="334">
        <v>31.14</v>
      </c>
      <c r="BD1005" s="336">
        <v>10640</v>
      </c>
      <c r="BE1005" s="334">
        <v>33.499000000000002</v>
      </c>
    </row>
    <row r="1006" spans="22:57">
      <c r="V1006" s="346">
        <v>10670</v>
      </c>
      <c r="W1006" s="333">
        <v>69.081000000000003</v>
      </c>
      <c r="X1006" s="346">
        <v>10680</v>
      </c>
      <c r="Y1006" s="334">
        <v>68.228999999999999</v>
      </c>
      <c r="Z1006" s="335">
        <v>10670</v>
      </c>
      <c r="AA1006" s="334">
        <v>198.75899999999999</v>
      </c>
      <c r="AB1006" s="336">
        <v>10670</v>
      </c>
      <c r="AC1006" s="334">
        <v>198.827</v>
      </c>
      <c r="AD1006" s="336">
        <v>10670</v>
      </c>
      <c r="AE1006" s="334">
        <v>200.84</v>
      </c>
      <c r="AF1006" s="336">
        <v>10670</v>
      </c>
      <c r="AG1006" s="334">
        <v>199.69300000000001</v>
      </c>
      <c r="AH1006" s="336">
        <v>10670</v>
      </c>
      <c r="AI1006" s="334">
        <v>200.62</v>
      </c>
      <c r="AJ1006" s="336">
        <v>10650</v>
      </c>
      <c r="AK1006" s="334">
        <v>201.62899999999999</v>
      </c>
      <c r="AL1006" s="336">
        <v>10670</v>
      </c>
      <c r="AM1006" s="334">
        <v>201.34</v>
      </c>
      <c r="AN1006" s="336">
        <v>10670</v>
      </c>
      <c r="AO1006" s="334">
        <v>201.94399999999999</v>
      </c>
      <c r="AP1006" s="336">
        <v>10660</v>
      </c>
      <c r="AQ1006" s="334">
        <v>201.98</v>
      </c>
      <c r="AR1006" s="336">
        <v>10670</v>
      </c>
      <c r="AS1006" s="334">
        <v>201.233</v>
      </c>
      <c r="AT1006" s="336">
        <v>10670</v>
      </c>
      <c r="AU1006" s="334">
        <v>199.691</v>
      </c>
      <c r="AV1006" s="336">
        <v>10670</v>
      </c>
      <c r="AW1006" s="334">
        <v>200.184</v>
      </c>
      <c r="AX1006" s="336">
        <v>10660</v>
      </c>
      <c r="AY1006" s="334">
        <v>147.14099999999999</v>
      </c>
      <c r="AZ1006" s="336">
        <v>10670</v>
      </c>
      <c r="BA1006" s="337">
        <v>147.785</v>
      </c>
      <c r="BB1006" s="336">
        <v>10650</v>
      </c>
      <c r="BC1006" s="334">
        <v>30.917000000000002</v>
      </c>
      <c r="BD1006" s="336">
        <v>10650</v>
      </c>
      <c r="BE1006" s="334">
        <v>33.262</v>
      </c>
    </row>
    <row r="1007" spans="22:57">
      <c r="V1007" s="346">
        <v>10680</v>
      </c>
      <c r="W1007" s="333">
        <v>68.566999999999993</v>
      </c>
      <c r="X1007" s="346">
        <v>10690</v>
      </c>
      <c r="Y1007" s="334">
        <v>67.72</v>
      </c>
      <c r="Z1007" s="335">
        <v>10680</v>
      </c>
      <c r="AA1007" s="334">
        <v>197.428</v>
      </c>
      <c r="AB1007" s="336">
        <v>10680</v>
      </c>
      <c r="AC1007" s="334">
        <v>197.49799999999999</v>
      </c>
      <c r="AD1007" s="336">
        <v>10680</v>
      </c>
      <c r="AE1007" s="334">
        <v>199.62899999999999</v>
      </c>
      <c r="AF1007" s="336">
        <v>10680</v>
      </c>
      <c r="AG1007" s="334">
        <v>198.48</v>
      </c>
      <c r="AH1007" s="336">
        <v>10680</v>
      </c>
      <c r="AI1007" s="334">
        <v>199.40899999999999</v>
      </c>
      <c r="AJ1007" s="336">
        <v>10660</v>
      </c>
      <c r="AK1007" s="334">
        <v>200.417</v>
      </c>
      <c r="AL1007" s="336">
        <v>10680</v>
      </c>
      <c r="AM1007" s="334">
        <v>200.12899999999999</v>
      </c>
      <c r="AN1007" s="336">
        <v>10680</v>
      </c>
      <c r="AO1007" s="334">
        <v>200.732</v>
      </c>
      <c r="AP1007" s="336">
        <v>10670</v>
      </c>
      <c r="AQ1007" s="334">
        <v>200.76900000000001</v>
      </c>
      <c r="AR1007" s="336">
        <v>10680</v>
      </c>
      <c r="AS1007" s="334">
        <v>200.02199999999999</v>
      </c>
      <c r="AT1007" s="336">
        <v>10680</v>
      </c>
      <c r="AU1007" s="334">
        <v>198.48</v>
      </c>
      <c r="AV1007" s="336">
        <v>10680</v>
      </c>
      <c r="AW1007" s="334">
        <v>198.97300000000001</v>
      </c>
      <c r="AX1007" s="336">
        <v>10670</v>
      </c>
      <c r="AY1007" s="334">
        <v>146.08799999999999</v>
      </c>
      <c r="AZ1007" s="336">
        <v>10680</v>
      </c>
      <c r="BA1007" s="337">
        <v>146.79400000000001</v>
      </c>
      <c r="BB1007" s="336">
        <v>10660</v>
      </c>
      <c r="BC1007" s="334">
        <v>30.693999999999999</v>
      </c>
      <c r="BD1007" s="336">
        <v>10660</v>
      </c>
      <c r="BE1007" s="334">
        <v>33.024999999999999</v>
      </c>
    </row>
    <row r="1008" spans="22:57">
      <c r="V1008" s="346">
        <v>10690</v>
      </c>
      <c r="W1008" s="333">
        <v>68.054000000000002</v>
      </c>
      <c r="X1008" s="346">
        <v>10700</v>
      </c>
      <c r="Y1008" s="334">
        <v>67.210999999999999</v>
      </c>
      <c r="Z1008" s="335">
        <v>10690</v>
      </c>
      <c r="AA1008" s="334">
        <v>196.09800000000001</v>
      </c>
      <c r="AB1008" s="336">
        <v>10690</v>
      </c>
      <c r="AC1008" s="334">
        <v>196.17</v>
      </c>
      <c r="AD1008" s="336">
        <v>10690</v>
      </c>
      <c r="AE1008" s="334">
        <v>198.41800000000001</v>
      </c>
      <c r="AF1008" s="336">
        <v>10690</v>
      </c>
      <c r="AG1008" s="334">
        <v>197.267</v>
      </c>
      <c r="AH1008" s="336">
        <v>10690</v>
      </c>
      <c r="AI1008" s="334">
        <v>198.197</v>
      </c>
      <c r="AJ1008" s="336">
        <v>10670</v>
      </c>
      <c r="AK1008" s="334">
        <v>199.20500000000001</v>
      </c>
      <c r="AL1008" s="336">
        <v>10690</v>
      </c>
      <c r="AM1008" s="334">
        <v>198.917</v>
      </c>
      <c r="AN1008" s="336">
        <v>10690</v>
      </c>
      <c r="AO1008" s="334">
        <v>199.52</v>
      </c>
      <c r="AP1008" s="336">
        <v>10680</v>
      </c>
      <c r="AQ1008" s="334">
        <v>199.55799999999999</v>
      </c>
      <c r="AR1008" s="336">
        <v>10690</v>
      </c>
      <c r="AS1008" s="334">
        <v>198.81100000000001</v>
      </c>
      <c r="AT1008" s="336">
        <v>10690</v>
      </c>
      <c r="AU1008" s="334">
        <v>197.27</v>
      </c>
      <c r="AV1008" s="336">
        <v>10690</v>
      </c>
      <c r="AW1008" s="334">
        <v>197.76300000000001</v>
      </c>
      <c r="AX1008" s="336">
        <v>10680</v>
      </c>
      <c r="AY1008" s="334">
        <v>145.035</v>
      </c>
      <c r="AZ1008" s="336">
        <v>10690</v>
      </c>
      <c r="BA1008" s="337">
        <v>145.804</v>
      </c>
      <c r="BB1008" s="336">
        <v>10670</v>
      </c>
      <c r="BC1008" s="334">
        <v>30.472000000000001</v>
      </c>
      <c r="BD1008" s="336">
        <v>10670</v>
      </c>
      <c r="BE1008" s="334">
        <v>32.789000000000001</v>
      </c>
    </row>
    <row r="1009" spans="22:57">
      <c r="V1009" s="346">
        <v>10700</v>
      </c>
      <c r="W1009" s="333">
        <v>67.542000000000002</v>
      </c>
      <c r="X1009" s="346">
        <v>10710</v>
      </c>
      <c r="Y1009" s="334">
        <v>66.703999999999994</v>
      </c>
      <c r="Z1009" s="335">
        <v>10700</v>
      </c>
      <c r="AA1009" s="334">
        <v>194.77099999999999</v>
      </c>
      <c r="AB1009" s="336">
        <v>10700</v>
      </c>
      <c r="AC1009" s="334">
        <v>194.84299999999999</v>
      </c>
      <c r="AD1009" s="336">
        <v>10700</v>
      </c>
      <c r="AE1009" s="334">
        <v>197.20699999999999</v>
      </c>
      <c r="AF1009" s="336">
        <v>10700</v>
      </c>
      <c r="AG1009" s="334">
        <v>196.053</v>
      </c>
      <c r="AH1009" s="336">
        <v>10700</v>
      </c>
      <c r="AI1009" s="334">
        <v>196.98599999999999</v>
      </c>
      <c r="AJ1009" s="336">
        <v>10680</v>
      </c>
      <c r="AK1009" s="334">
        <v>197.994</v>
      </c>
      <c r="AL1009" s="336">
        <v>10700</v>
      </c>
      <c r="AM1009" s="334">
        <v>197.70599999999999</v>
      </c>
      <c r="AN1009" s="336">
        <v>10700</v>
      </c>
      <c r="AO1009" s="334">
        <v>198.30799999999999</v>
      </c>
      <c r="AP1009" s="336">
        <v>10690</v>
      </c>
      <c r="AQ1009" s="334">
        <v>198.34800000000001</v>
      </c>
      <c r="AR1009" s="336">
        <v>10700</v>
      </c>
      <c r="AS1009" s="334">
        <v>197.6</v>
      </c>
      <c r="AT1009" s="336">
        <v>10700</v>
      </c>
      <c r="AU1009" s="334">
        <v>196.059</v>
      </c>
      <c r="AV1009" s="336">
        <v>10700</v>
      </c>
      <c r="AW1009" s="334">
        <v>196.553</v>
      </c>
      <c r="AX1009" s="336">
        <v>10690</v>
      </c>
      <c r="AY1009" s="334">
        <v>143.983</v>
      </c>
      <c r="AZ1009" s="336">
        <v>10700</v>
      </c>
      <c r="BA1009" s="337">
        <v>144.81399999999999</v>
      </c>
      <c r="BB1009" s="336">
        <v>10680</v>
      </c>
      <c r="BC1009" s="334">
        <v>30.251000000000001</v>
      </c>
      <c r="BD1009" s="336">
        <v>10680</v>
      </c>
      <c r="BE1009" s="334">
        <v>32.554000000000002</v>
      </c>
    </row>
    <row r="1010" spans="22:57">
      <c r="V1010" s="346">
        <v>10710</v>
      </c>
      <c r="W1010" s="333">
        <v>67.031000000000006</v>
      </c>
      <c r="X1010" s="346">
        <v>10720</v>
      </c>
      <c r="Y1010" s="334">
        <v>66.197000000000003</v>
      </c>
      <c r="Z1010" s="335">
        <v>10710</v>
      </c>
      <c r="AA1010" s="334">
        <v>193.44399999999999</v>
      </c>
      <c r="AB1010" s="336">
        <v>10710</v>
      </c>
      <c r="AC1010" s="334">
        <v>193.518</v>
      </c>
      <c r="AD1010" s="336">
        <v>10710</v>
      </c>
      <c r="AE1010" s="334">
        <v>195.99600000000001</v>
      </c>
      <c r="AF1010" s="336">
        <v>10710</v>
      </c>
      <c r="AG1010" s="334">
        <v>194.84</v>
      </c>
      <c r="AH1010" s="336">
        <v>10710</v>
      </c>
      <c r="AI1010" s="334">
        <v>195.774</v>
      </c>
      <c r="AJ1010" s="336">
        <v>10690</v>
      </c>
      <c r="AK1010" s="334">
        <v>196.78200000000001</v>
      </c>
      <c r="AL1010" s="336">
        <v>10710</v>
      </c>
      <c r="AM1010" s="334">
        <v>196.495</v>
      </c>
      <c r="AN1010" s="336">
        <v>10710</v>
      </c>
      <c r="AO1010" s="334">
        <v>197.096</v>
      </c>
      <c r="AP1010" s="336">
        <v>10700</v>
      </c>
      <c r="AQ1010" s="334">
        <v>197.137</v>
      </c>
      <c r="AR1010" s="336">
        <v>10710</v>
      </c>
      <c r="AS1010" s="334">
        <v>196.38800000000001</v>
      </c>
      <c r="AT1010" s="336">
        <v>10710</v>
      </c>
      <c r="AU1010" s="334">
        <v>194.84899999999999</v>
      </c>
      <c r="AV1010" s="336">
        <v>10710</v>
      </c>
      <c r="AW1010" s="334">
        <v>195.34299999999999</v>
      </c>
      <c r="AX1010" s="336">
        <v>10700</v>
      </c>
      <c r="AY1010" s="334">
        <v>142.93</v>
      </c>
      <c r="AZ1010" s="336">
        <v>10710</v>
      </c>
      <c r="BA1010" s="337">
        <v>143.82300000000001</v>
      </c>
      <c r="BB1010" s="336">
        <v>10690</v>
      </c>
      <c r="BC1010" s="334">
        <v>30.03</v>
      </c>
      <c r="BD1010" s="336">
        <v>10690</v>
      </c>
      <c r="BE1010" s="334">
        <v>32.319000000000003</v>
      </c>
    </row>
    <row r="1011" spans="22:57">
      <c r="V1011" s="346">
        <v>10720</v>
      </c>
      <c r="W1011" s="333">
        <v>66.522000000000006</v>
      </c>
      <c r="X1011" s="346">
        <v>10730</v>
      </c>
      <c r="Y1011" s="334">
        <v>65.691999999999993</v>
      </c>
      <c r="Z1011" s="335">
        <v>10720</v>
      </c>
      <c r="AA1011" s="334">
        <v>192.119</v>
      </c>
      <c r="AB1011" s="336">
        <v>10720</v>
      </c>
      <c r="AC1011" s="334">
        <v>192.19499999999999</v>
      </c>
      <c r="AD1011" s="336">
        <v>10720</v>
      </c>
      <c r="AE1011" s="334">
        <v>194.785</v>
      </c>
      <c r="AF1011" s="336">
        <v>10720</v>
      </c>
      <c r="AG1011" s="334">
        <v>193.62700000000001</v>
      </c>
      <c r="AH1011" s="336">
        <v>10720</v>
      </c>
      <c r="AI1011" s="334">
        <v>194.56299999999999</v>
      </c>
      <c r="AJ1011" s="336">
        <v>10700</v>
      </c>
      <c r="AK1011" s="334">
        <v>195.57</v>
      </c>
      <c r="AL1011" s="336">
        <v>10720</v>
      </c>
      <c r="AM1011" s="334">
        <v>195.28299999999999</v>
      </c>
      <c r="AN1011" s="336">
        <v>10720</v>
      </c>
      <c r="AO1011" s="334">
        <v>195.88399999999999</v>
      </c>
      <c r="AP1011" s="336">
        <v>10710</v>
      </c>
      <c r="AQ1011" s="334">
        <v>195.92699999999999</v>
      </c>
      <c r="AR1011" s="336">
        <v>10720</v>
      </c>
      <c r="AS1011" s="334">
        <v>195.17699999999999</v>
      </c>
      <c r="AT1011" s="336">
        <v>10720</v>
      </c>
      <c r="AU1011" s="334">
        <v>193.63800000000001</v>
      </c>
      <c r="AV1011" s="336">
        <v>10720</v>
      </c>
      <c r="AW1011" s="334">
        <v>194.13300000000001</v>
      </c>
      <c r="AX1011" s="336">
        <v>10710</v>
      </c>
      <c r="AY1011" s="334">
        <v>141.87700000000001</v>
      </c>
      <c r="AZ1011" s="336">
        <v>10720</v>
      </c>
      <c r="BA1011" s="337">
        <v>142.833</v>
      </c>
      <c r="BB1011" s="336">
        <v>10700</v>
      </c>
      <c r="BC1011" s="334">
        <v>29.809000000000001</v>
      </c>
      <c r="BD1011" s="336">
        <v>10700</v>
      </c>
      <c r="BE1011" s="334">
        <v>32.084000000000003</v>
      </c>
    </row>
    <row r="1012" spans="22:57">
      <c r="V1012" s="346">
        <v>10730</v>
      </c>
      <c r="W1012" s="333">
        <v>66.013999999999996</v>
      </c>
      <c r="X1012" s="346">
        <v>10740</v>
      </c>
      <c r="Y1012" s="334">
        <v>65.188000000000002</v>
      </c>
      <c r="Z1012" s="335">
        <v>10730</v>
      </c>
      <c r="AA1012" s="334">
        <v>190.79599999999999</v>
      </c>
      <c r="AB1012" s="336">
        <v>10730</v>
      </c>
      <c r="AC1012" s="334">
        <v>190.87299999999999</v>
      </c>
      <c r="AD1012" s="336">
        <v>10730</v>
      </c>
      <c r="AE1012" s="334">
        <v>193.57400000000001</v>
      </c>
      <c r="AF1012" s="336">
        <v>10730</v>
      </c>
      <c r="AG1012" s="334">
        <v>192.41300000000001</v>
      </c>
      <c r="AH1012" s="336">
        <v>10730</v>
      </c>
      <c r="AI1012" s="334">
        <v>193.352</v>
      </c>
      <c r="AJ1012" s="336">
        <v>10710</v>
      </c>
      <c r="AK1012" s="334">
        <v>194.35900000000001</v>
      </c>
      <c r="AL1012" s="336">
        <v>10730</v>
      </c>
      <c r="AM1012" s="334">
        <v>194.072</v>
      </c>
      <c r="AN1012" s="336">
        <v>10730</v>
      </c>
      <c r="AO1012" s="334">
        <v>194.672</v>
      </c>
      <c r="AP1012" s="336">
        <v>10720</v>
      </c>
      <c r="AQ1012" s="334">
        <v>194.71600000000001</v>
      </c>
      <c r="AR1012" s="336">
        <v>10730</v>
      </c>
      <c r="AS1012" s="334">
        <v>193.96600000000001</v>
      </c>
      <c r="AT1012" s="336">
        <v>10730</v>
      </c>
      <c r="AU1012" s="334">
        <v>192.42699999999999</v>
      </c>
      <c r="AV1012" s="336">
        <v>10730</v>
      </c>
      <c r="AW1012" s="334">
        <v>192.923</v>
      </c>
      <c r="AX1012" s="336">
        <v>10720</v>
      </c>
      <c r="AY1012" s="334">
        <v>140.82499999999999</v>
      </c>
      <c r="AZ1012" s="336">
        <v>10730</v>
      </c>
      <c r="BA1012" s="337">
        <v>141.84299999999999</v>
      </c>
      <c r="BB1012" s="336">
        <v>10710</v>
      </c>
      <c r="BC1012" s="334">
        <v>29.59</v>
      </c>
      <c r="BD1012" s="336">
        <v>10710</v>
      </c>
      <c r="BE1012" s="334">
        <v>31.85</v>
      </c>
    </row>
    <row r="1013" spans="22:57">
      <c r="V1013" s="346">
        <v>10740</v>
      </c>
      <c r="W1013" s="333">
        <v>65.506</v>
      </c>
      <c r="X1013" s="346">
        <v>10750</v>
      </c>
      <c r="Y1013" s="334">
        <v>64.686000000000007</v>
      </c>
      <c r="Z1013" s="335">
        <v>10740</v>
      </c>
      <c r="AA1013" s="334">
        <v>189.47399999999999</v>
      </c>
      <c r="AB1013" s="336">
        <v>10740</v>
      </c>
      <c r="AC1013" s="334">
        <v>189.55199999999999</v>
      </c>
      <c r="AD1013" s="336">
        <v>10740</v>
      </c>
      <c r="AE1013" s="334">
        <v>192.363</v>
      </c>
      <c r="AF1013" s="336">
        <v>10740</v>
      </c>
      <c r="AG1013" s="334">
        <v>191.2</v>
      </c>
      <c r="AH1013" s="336">
        <v>10740</v>
      </c>
      <c r="AI1013" s="334">
        <v>192.14</v>
      </c>
      <c r="AJ1013" s="336">
        <v>10720</v>
      </c>
      <c r="AK1013" s="334">
        <v>193.14699999999999</v>
      </c>
      <c r="AL1013" s="336">
        <v>10740</v>
      </c>
      <c r="AM1013" s="334">
        <v>192.86</v>
      </c>
      <c r="AN1013" s="336">
        <v>10740</v>
      </c>
      <c r="AO1013" s="334">
        <v>193.46</v>
      </c>
      <c r="AP1013" s="336">
        <v>10730</v>
      </c>
      <c r="AQ1013" s="334">
        <v>193.506</v>
      </c>
      <c r="AR1013" s="336">
        <v>10740</v>
      </c>
      <c r="AS1013" s="334">
        <v>192.755</v>
      </c>
      <c r="AT1013" s="336">
        <v>10740</v>
      </c>
      <c r="AU1013" s="334">
        <v>191.21700000000001</v>
      </c>
      <c r="AV1013" s="336">
        <v>10740</v>
      </c>
      <c r="AW1013" s="334">
        <v>191.71299999999999</v>
      </c>
      <c r="AX1013" s="336">
        <v>10730</v>
      </c>
      <c r="AY1013" s="334">
        <v>139.77199999999999</v>
      </c>
      <c r="AZ1013" s="336">
        <v>10740</v>
      </c>
      <c r="BA1013" s="337">
        <v>140.852</v>
      </c>
      <c r="BB1013" s="336">
        <v>10720</v>
      </c>
      <c r="BC1013" s="334">
        <v>29.37</v>
      </c>
      <c r="BD1013" s="336">
        <v>10720</v>
      </c>
      <c r="BE1013" s="334">
        <v>31.617000000000001</v>
      </c>
    </row>
    <row r="1014" spans="22:57">
      <c r="V1014" s="346">
        <v>10750</v>
      </c>
      <c r="W1014" s="333">
        <v>65.001000000000005</v>
      </c>
      <c r="X1014" s="346">
        <v>10760</v>
      </c>
      <c r="Y1014" s="334">
        <v>64.183999999999997</v>
      </c>
      <c r="Z1014" s="335">
        <v>10750</v>
      </c>
      <c r="AA1014" s="334">
        <v>188.154</v>
      </c>
      <c r="AB1014" s="336">
        <v>10750</v>
      </c>
      <c r="AC1014" s="334">
        <v>188.233</v>
      </c>
      <c r="AD1014" s="336">
        <v>10750</v>
      </c>
      <c r="AE1014" s="334">
        <v>191.15199999999999</v>
      </c>
      <c r="AF1014" s="336">
        <v>10750</v>
      </c>
      <c r="AG1014" s="334">
        <v>189.98699999999999</v>
      </c>
      <c r="AH1014" s="336">
        <v>10750</v>
      </c>
      <c r="AI1014" s="334">
        <v>190.929</v>
      </c>
      <c r="AJ1014" s="336">
        <v>10730</v>
      </c>
      <c r="AK1014" s="334">
        <v>191.935</v>
      </c>
      <c r="AL1014" s="336">
        <v>10750</v>
      </c>
      <c r="AM1014" s="334">
        <v>191.649</v>
      </c>
      <c r="AN1014" s="336">
        <v>10750</v>
      </c>
      <c r="AO1014" s="334">
        <v>192.24799999999999</v>
      </c>
      <c r="AP1014" s="336">
        <v>10740</v>
      </c>
      <c r="AQ1014" s="334">
        <v>192.29499999999999</v>
      </c>
      <c r="AR1014" s="336">
        <v>10750</v>
      </c>
      <c r="AS1014" s="334">
        <v>191.54400000000001</v>
      </c>
      <c r="AT1014" s="336">
        <v>10750</v>
      </c>
      <c r="AU1014" s="334">
        <v>190.006</v>
      </c>
      <c r="AV1014" s="336">
        <v>10750</v>
      </c>
      <c r="AW1014" s="334">
        <v>190.50299999999999</v>
      </c>
      <c r="AX1014" s="336">
        <v>10740</v>
      </c>
      <c r="AY1014" s="334">
        <v>138.71899999999999</v>
      </c>
      <c r="AZ1014" s="336">
        <v>10750</v>
      </c>
      <c r="BA1014" s="337">
        <v>139.86199999999999</v>
      </c>
      <c r="BB1014" s="336">
        <v>10730</v>
      </c>
      <c r="BC1014" s="334">
        <v>29.151</v>
      </c>
      <c r="BD1014" s="336">
        <v>10730</v>
      </c>
      <c r="BE1014" s="334">
        <v>31.384</v>
      </c>
    </row>
    <row r="1015" spans="22:57">
      <c r="V1015" s="346">
        <v>10760</v>
      </c>
      <c r="W1015" s="333">
        <v>64.495999999999995</v>
      </c>
      <c r="X1015" s="346">
        <v>10770</v>
      </c>
      <c r="Y1015" s="334">
        <v>63.683999999999997</v>
      </c>
      <c r="Z1015" s="335">
        <v>10760</v>
      </c>
      <c r="AA1015" s="334">
        <v>186.83500000000001</v>
      </c>
      <c r="AB1015" s="336">
        <v>10760</v>
      </c>
      <c r="AC1015" s="334">
        <v>186.916</v>
      </c>
      <c r="AD1015" s="336">
        <v>10760</v>
      </c>
      <c r="AE1015" s="334">
        <v>189.941</v>
      </c>
      <c r="AF1015" s="336">
        <v>10760</v>
      </c>
      <c r="AG1015" s="334">
        <v>188.773</v>
      </c>
      <c r="AH1015" s="336">
        <v>10760</v>
      </c>
      <c r="AI1015" s="334">
        <v>189.71700000000001</v>
      </c>
      <c r="AJ1015" s="336">
        <v>10740</v>
      </c>
      <c r="AK1015" s="334">
        <v>190.72399999999999</v>
      </c>
      <c r="AL1015" s="336">
        <v>10760</v>
      </c>
      <c r="AM1015" s="334">
        <v>190.43799999999999</v>
      </c>
      <c r="AN1015" s="336">
        <v>10760</v>
      </c>
      <c r="AO1015" s="334">
        <v>191.03700000000001</v>
      </c>
      <c r="AP1015" s="336">
        <v>10750</v>
      </c>
      <c r="AQ1015" s="334">
        <v>191.08500000000001</v>
      </c>
      <c r="AR1015" s="336">
        <v>10760</v>
      </c>
      <c r="AS1015" s="334">
        <v>190.33199999999999</v>
      </c>
      <c r="AT1015" s="336">
        <v>10760</v>
      </c>
      <c r="AU1015" s="334">
        <v>188.79599999999999</v>
      </c>
      <c r="AV1015" s="336">
        <v>10760</v>
      </c>
      <c r="AW1015" s="334">
        <v>189.29300000000001</v>
      </c>
      <c r="AX1015" s="336">
        <v>10750</v>
      </c>
      <c r="AY1015" s="334">
        <v>137.667</v>
      </c>
      <c r="AZ1015" s="336">
        <v>10760</v>
      </c>
      <c r="BA1015" s="337">
        <v>138.87100000000001</v>
      </c>
      <c r="BB1015" s="336">
        <v>10740</v>
      </c>
      <c r="BC1015" s="334">
        <v>28.933</v>
      </c>
      <c r="BD1015" s="336">
        <v>10740</v>
      </c>
      <c r="BE1015" s="334">
        <v>31.151</v>
      </c>
    </row>
    <row r="1016" spans="22:57">
      <c r="V1016" s="346">
        <v>10770</v>
      </c>
      <c r="W1016" s="333">
        <v>63.991999999999997</v>
      </c>
      <c r="X1016" s="346">
        <v>10780</v>
      </c>
      <c r="Y1016" s="334">
        <v>63.183999999999997</v>
      </c>
      <c r="Z1016" s="335">
        <v>10770</v>
      </c>
      <c r="AA1016" s="334">
        <v>185.518</v>
      </c>
      <c r="AB1016" s="336">
        <v>10770</v>
      </c>
      <c r="AC1016" s="334">
        <v>185.6</v>
      </c>
      <c r="AD1016" s="336">
        <v>10770</v>
      </c>
      <c r="AE1016" s="334">
        <v>188.73</v>
      </c>
      <c r="AF1016" s="336">
        <v>10770</v>
      </c>
      <c r="AG1016" s="334">
        <v>187.56</v>
      </c>
      <c r="AH1016" s="336">
        <v>10770</v>
      </c>
      <c r="AI1016" s="334">
        <v>188.506</v>
      </c>
      <c r="AJ1016" s="336">
        <v>10750</v>
      </c>
      <c r="AK1016" s="334">
        <v>189.512</v>
      </c>
      <c r="AL1016" s="336">
        <v>10770</v>
      </c>
      <c r="AM1016" s="334">
        <v>189.226</v>
      </c>
      <c r="AN1016" s="336">
        <v>10770</v>
      </c>
      <c r="AO1016" s="334">
        <v>189.82499999999999</v>
      </c>
      <c r="AP1016" s="336">
        <v>10760</v>
      </c>
      <c r="AQ1016" s="334">
        <v>189.874</v>
      </c>
      <c r="AR1016" s="336">
        <v>10770</v>
      </c>
      <c r="AS1016" s="334">
        <v>189.12100000000001</v>
      </c>
      <c r="AT1016" s="336">
        <v>10770</v>
      </c>
      <c r="AU1016" s="334">
        <v>187.58500000000001</v>
      </c>
      <c r="AV1016" s="336">
        <v>10770</v>
      </c>
      <c r="AW1016" s="334">
        <v>188.083</v>
      </c>
      <c r="AX1016" s="336">
        <v>10760</v>
      </c>
      <c r="AY1016" s="334">
        <v>136.614</v>
      </c>
      <c r="AZ1016" s="336">
        <v>10770</v>
      </c>
      <c r="BA1016" s="337">
        <v>137.881</v>
      </c>
      <c r="BB1016" s="336">
        <v>10750</v>
      </c>
      <c r="BC1016" s="334">
        <v>28.715</v>
      </c>
      <c r="BD1016" s="336">
        <v>10750</v>
      </c>
      <c r="BE1016" s="334">
        <v>30.919</v>
      </c>
    </row>
    <row r="1017" spans="22:57">
      <c r="V1017" s="346">
        <v>10780</v>
      </c>
      <c r="W1017" s="333">
        <v>63.49</v>
      </c>
      <c r="X1017" s="346">
        <v>10790</v>
      </c>
      <c r="Y1017" s="334">
        <v>62.686</v>
      </c>
      <c r="Z1017" s="335">
        <v>10780</v>
      </c>
      <c r="AA1017" s="334">
        <v>184.202</v>
      </c>
      <c r="AB1017" s="336">
        <v>10780</v>
      </c>
      <c r="AC1017" s="334">
        <v>184.285</v>
      </c>
      <c r="AD1017" s="336">
        <v>10780</v>
      </c>
      <c r="AE1017" s="334">
        <v>187.51900000000001</v>
      </c>
      <c r="AF1017" s="336">
        <v>10780</v>
      </c>
      <c r="AG1017" s="334">
        <v>186.34700000000001</v>
      </c>
      <c r="AH1017" s="336">
        <v>10780</v>
      </c>
      <c r="AI1017" s="334">
        <v>187.29499999999999</v>
      </c>
      <c r="AJ1017" s="336">
        <v>10760</v>
      </c>
      <c r="AK1017" s="334">
        <v>188.30099999999999</v>
      </c>
      <c r="AL1017" s="336">
        <v>10780</v>
      </c>
      <c r="AM1017" s="334">
        <v>188.01499999999999</v>
      </c>
      <c r="AN1017" s="336">
        <v>10780</v>
      </c>
      <c r="AO1017" s="334">
        <v>188.613</v>
      </c>
      <c r="AP1017" s="336">
        <v>10770</v>
      </c>
      <c r="AQ1017" s="334">
        <v>188.66300000000001</v>
      </c>
      <c r="AR1017" s="336">
        <v>10780</v>
      </c>
      <c r="AS1017" s="334">
        <v>187.91</v>
      </c>
      <c r="AT1017" s="336">
        <v>10780</v>
      </c>
      <c r="AU1017" s="334">
        <v>186.374</v>
      </c>
      <c r="AV1017" s="336">
        <v>10780</v>
      </c>
      <c r="AW1017" s="334">
        <v>186.87299999999999</v>
      </c>
      <c r="AX1017" s="336">
        <v>10770</v>
      </c>
      <c r="AY1017" s="334">
        <v>135.56100000000001</v>
      </c>
      <c r="AZ1017" s="336">
        <v>10780</v>
      </c>
      <c r="BA1017" s="337">
        <v>136.89099999999999</v>
      </c>
      <c r="BB1017" s="336">
        <v>10760</v>
      </c>
      <c r="BC1017" s="334">
        <v>28.498000000000001</v>
      </c>
      <c r="BD1017" s="336">
        <v>10760</v>
      </c>
      <c r="BE1017" s="334">
        <v>30.687999999999999</v>
      </c>
    </row>
    <row r="1018" spans="22:57">
      <c r="V1018" s="346">
        <v>10790</v>
      </c>
      <c r="W1018" s="333">
        <v>62.988</v>
      </c>
      <c r="X1018" s="346">
        <v>10800</v>
      </c>
      <c r="Y1018" s="334">
        <v>62.189</v>
      </c>
      <c r="Z1018" s="335">
        <v>10790</v>
      </c>
      <c r="AA1018" s="334">
        <v>182.88800000000001</v>
      </c>
      <c r="AB1018" s="336">
        <v>10790</v>
      </c>
      <c r="AC1018" s="334">
        <v>182.97300000000001</v>
      </c>
      <c r="AD1018" s="336">
        <v>10790</v>
      </c>
      <c r="AE1018" s="334">
        <v>186.30799999999999</v>
      </c>
      <c r="AF1018" s="336">
        <v>10790</v>
      </c>
      <c r="AG1018" s="334">
        <v>185.13399999999999</v>
      </c>
      <c r="AH1018" s="336">
        <v>10790</v>
      </c>
      <c r="AI1018" s="334">
        <v>186.083</v>
      </c>
      <c r="AJ1018" s="336">
        <v>10770</v>
      </c>
      <c r="AK1018" s="334">
        <v>187.089</v>
      </c>
      <c r="AL1018" s="336">
        <v>10790</v>
      </c>
      <c r="AM1018" s="334">
        <v>186.804</v>
      </c>
      <c r="AN1018" s="336">
        <v>10790</v>
      </c>
      <c r="AO1018" s="334">
        <v>187.40100000000001</v>
      </c>
      <c r="AP1018" s="336">
        <v>10780</v>
      </c>
      <c r="AQ1018" s="334">
        <v>187.453</v>
      </c>
      <c r="AR1018" s="336">
        <v>10790</v>
      </c>
      <c r="AS1018" s="334">
        <v>186.69900000000001</v>
      </c>
      <c r="AT1018" s="336">
        <v>10790</v>
      </c>
      <c r="AU1018" s="334">
        <v>185.16399999999999</v>
      </c>
      <c r="AV1018" s="336">
        <v>10790</v>
      </c>
      <c r="AW1018" s="334">
        <v>185.66300000000001</v>
      </c>
      <c r="AX1018" s="336">
        <v>10780</v>
      </c>
      <c r="AY1018" s="334">
        <v>134.50899999999999</v>
      </c>
      <c r="AZ1018" s="336">
        <v>10790</v>
      </c>
      <c r="BA1018" s="337">
        <v>135.9</v>
      </c>
      <c r="BB1018" s="336">
        <v>10770</v>
      </c>
      <c r="BC1018" s="334">
        <v>28.280999999999999</v>
      </c>
      <c r="BD1018" s="336">
        <v>10770</v>
      </c>
      <c r="BE1018" s="334">
        <v>30.457000000000001</v>
      </c>
    </row>
    <row r="1019" spans="22:57">
      <c r="V1019" s="346">
        <v>10800</v>
      </c>
      <c r="W1019" s="333">
        <v>62.488</v>
      </c>
      <c r="X1019" s="346">
        <v>10810</v>
      </c>
      <c r="Y1019" s="334">
        <v>61.692999999999998</v>
      </c>
      <c r="Z1019" s="335">
        <v>10800</v>
      </c>
      <c r="AA1019" s="334">
        <v>181.57499999999999</v>
      </c>
      <c r="AB1019" s="336">
        <v>10800</v>
      </c>
      <c r="AC1019" s="334">
        <v>181.661</v>
      </c>
      <c r="AD1019" s="336">
        <v>10800</v>
      </c>
      <c r="AE1019" s="334">
        <v>185.09700000000001</v>
      </c>
      <c r="AF1019" s="336">
        <v>10800</v>
      </c>
      <c r="AG1019" s="334">
        <v>183.92</v>
      </c>
      <c r="AH1019" s="336">
        <v>10800</v>
      </c>
      <c r="AI1019" s="334">
        <v>184.87200000000001</v>
      </c>
      <c r="AJ1019" s="336">
        <v>10780</v>
      </c>
      <c r="AK1019" s="334">
        <v>185.87700000000001</v>
      </c>
      <c r="AL1019" s="336">
        <v>10800</v>
      </c>
      <c r="AM1019" s="334">
        <v>185.59200000000001</v>
      </c>
      <c r="AN1019" s="336">
        <v>10800</v>
      </c>
      <c r="AO1019" s="334">
        <v>186.18899999999999</v>
      </c>
      <c r="AP1019" s="336">
        <v>10790</v>
      </c>
      <c r="AQ1019" s="334">
        <v>186.24199999999999</v>
      </c>
      <c r="AR1019" s="336">
        <v>10800</v>
      </c>
      <c r="AS1019" s="334">
        <v>185.488</v>
      </c>
      <c r="AT1019" s="336">
        <v>10800</v>
      </c>
      <c r="AU1019" s="334">
        <v>183.953</v>
      </c>
      <c r="AV1019" s="336">
        <v>10800</v>
      </c>
      <c r="AW1019" s="334">
        <v>184.453</v>
      </c>
      <c r="AX1019" s="336">
        <v>10790</v>
      </c>
      <c r="AY1019" s="334">
        <v>133.45599999999999</v>
      </c>
      <c r="AZ1019" s="336">
        <v>10800</v>
      </c>
      <c r="BA1019" s="337">
        <v>134.91</v>
      </c>
      <c r="BB1019" s="336">
        <v>10780</v>
      </c>
      <c r="BC1019" s="334">
        <v>28.065000000000001</v>
      </c>
      <c r="BD1019" s="336">
        <v>10780</v>
      </c>
      <c r="BE1019" s="334">
        <v>30.227</v>
      </c>
    </row>
    <row r="1020" spans="22:57">
      <c r="V1020" s="346">
        <v>10810</v>
      </c>
      <c r="W1020" s="333">
        <v>61.988999999999997</v>
      </c>
      <c r="X1020" s="346">
        <v>10820</v>
      </c>
      <c r="Y1020" s="334">
        <v>61.198</v>
      </c>
      <c r="Z1020" s="335">
        <v>10810</v>
      </c>
      <c r="AA1020" s="334">
        <v>180.26400000000001</v>
      </c>
      <c r="AB1020" s="336">
        <v>10810</v>
      </c>
      <c r="AC1020" s="334">
        <v>180.351</v>
      </c>
      <c r="AD1020" s="336">
        <v>10810</v>
      </c>
      <c r="AE1020" s="334">
        <v>183.886</v>
      </c>
      <c r="AF1020" s="336">
        <v>10810</v>
      </c>
      <c r="AG1020" s="334">
        <v>182.70699999999999</v>
      </c>
      <c r="AH1020" s="336">
        <v>10810</v>
      </c>
      <c r="AI1020" s="334">
        <v>183.66</v>
      </c>
      <c r="AJ1020" s="336">
        <v>10790</v>
      </c>
      <c r="AK1020" s="334">
        <v>184.666</v>
      </c>
      <c r="AL1020" s="336">
        <v>10810</v>
      </c>
      <c r="AM1020" s="334">
        <v>184.381</v>
      </c>
      <c r="AN1020" s="336">
        <v>10810</v>
      </c>
      <c r="AO1020" s="334">
        <v>184.977</v>
      </c>
      <c r="AP1020" s="336">
        <v>10800</v>
      </c>
      <c r="AQ1020" s="334">
        <v>185.03200000000001</v>
      </c>
      <c r="AR1020" s="336">
        <v>10810</v>
      </c>
      <c r="AS1020" s="334">
        <v>184.27600000000001</v>
      </c>
      <c r="AT1020" s="336">
        <v>10810</v>
      </c>
      <c r="AU1020" s="334">
        <v>182.74299999999999</v>
      </c>
      <c r="AV1020" s="336">
        <v>10810</v>
      </c>
      <c r="AW1020" s="334">
        <v>183.24299999999999</v>
      </c>
      <c r="AX1020" s="336">
        <v>10800</v>
      </c>
      <c r="AY1020" s="334">
        <v>132.40299999999999</v>
      </c>
      <c r="AZ1020" s="336">
        <v>10810</v>
      </c>
      <c r="BA1020" s="337">
        <v>133.91999999999999</v>
      </c>
      <c r="BB1020" s="336">
        <v>10790</v>
      </c>
      <c r="BC1020" s="334">
        <v>27.849</v>
      </c>
      <c r="BD1020" s="336">
        <v>10790</v>
      </c>
      <c r="BE1020" s="334">
        <v>29.997</v>
      </c>
    </row>
    <row r="1021" spans="22:57">
      <c r="V1021" s="346">
        <v>10820</v>
      </c>
      <c r="W1021" s="333">
        <v>61.491</v>
      </c>
      <c r="X1021" s="346">
        <v>10830</v>
      </c>
      <c r="Y1021" s="334">
        <v>60.704999999999998</v>
      </c>
      <c r="Z1021" s="335">
        <v>10820</v>
      </c>
      <c r="AA1021" s="334">
        <v>178.95400000000001</v>
      </c>
      <c r="AB1021" s="336">
        <v>10820</v>
      </c>
      <c r="AC1021" s="334">
        <v>179.04300000000001</v>
      </c>
      <c r="AD1021" s="336">
        <v>10820</v>
      </c>
      <c r="AE1021" s="334">
        <v>182.67500000000001</v>
      </c>
      <c r="AF1021" s="336">
        <v>10820</v>
      </c>
      <c r="AG1021" s="334">
        <v>181.494</v>
      </c>
      <c r="AH1021" s="336">
        <v>10820</v>
      </c>
      <c r="AI1021" s="334">
        <v>182.44900000000001</v>
      </c>
      <c r="AJ1021" s="336">
        <v>10800</v>
      </c>
      <c r="AK1021" s="334">
        <v>183.45400000000001</v>
      </c>
      <c r="AL1021" s="336">
        <v>10820</v>
      </c>
      <c r="AM1021" s="334">
        <v>183.16900000000001</v>
      </c>
      <c r="AN1021" s="336">
        <v>10820</v>
      </c>
      <c r="AO1021" s="334">
        <v>183.76499999999999</v>
      </c>
      <c r="AP1021" s="336">
        <v>10810</v>
      </c>
      <c r="AQ1021" s="334">
        <v>183.821</v>
      </c>
      <c r="AR1021" s="336">
        <v>10820</v>
      </c>
      <c r="AS1021" s="334">
        <v>183.065</v>
      </c>
      <c r="AT1021" s="336">
        <v>10820</v>
      </c>
      <c r="AU1021" s="334">
        <v>181.53200000000001</v>
      </c>
      <c r="AV1021" s="336">
        <v>10820</v>
      </c>
      <c r="AW1021" s="334">
        <v>182.03299999999999</v>
      </c>
      <c r="AX1021" s="336">
        <v>10810</v>
      </c>
      <c r="AY1021" s="334">
        <v>131.351</v>
      </c>
      <c r="AZ1021" s="336">
        <v>10820</v>
      </c>
      <c r="BA1021" s="337">
        <v>132.929</v>
      </c>
      <c r="BB1021" s="336">
        <v>10800</v>
      </c>
      <c r="BC1021" s="334">
        <v>27.634</v>
      </c>
      <c r="BD1021" s="336">
        <v>10800</v>
      </c>
      <c r="BE1021" s="334">
        <v>29.768000000000001</v>
      </c>
    </row>
    <row r="1022" spans="22:57">
      <c r="V1022" s="346">
        <v>10830</v>
      </c>
      <c r="W1022" s="334">
        <v>60.994</v>
      </c>
      <c r="X1022" s="346">
        <v>10840</v>
      </c>
      <c r="Y1022" s="334">
        <v>60.212000000000003</v>
      </c>
      <c r="Z1022" s="335">
        <v>10830</v>
      </c>
      <c r="AA1022" s="334">
        <v>177.64599999999999</v>
      </c>
      <c r="AB1022" s="336">
        <v>10830</v>
      </c>
      <c r="AC1022" s="334">
        <v>177.73599999999999</v>
      </c>
      <c r="AD1022" s="336">
        <v>10830</v>
      </c>
      <c r="AE1022" s="334">
        <v>181.464</v>
      </c>
      <c r="AF1022" s="336">
        <v>10830</v>
      </c>
      <c r="AG1022" s="334">
        <v>180.28</v>
      </c>
      <c r="AH1022" s="336">
        <v>10830</v>
      </c>
      <c r="AI1022" s="334">
        <v>181.238</v>
      </c>
      <c r="AJ1022" s="336">
        <v>10810</v>
      </c>
      <c r="AK1022" s="334">
        <v>182.24199999999999</v>
      </c>
      <c r="AL1022" s="336">
        <v>10830</v>
      </c>
      <c r="AM1022" s="334">
        <v>181.958</v>
      </c>
      <c r="AN1022" s="336">
        <v>10830</v>
      </c>
      <c r="AO1022" s="334">
        <v>182.553</v>
      </c>
      <c r="AP1022" s="336">
        <v>10820</v>
      </c>
      <c r="AQ1022" s="334">
        <v>182.61099999999999</v>
      </c>
      <c r="AR1022" s="336">
        <v>10830</v>
      </c>
      <c r="AS1022" s="334">
        <v>181.85400000000001</v>
      </c>
      <c r="AT1022" s="336">
        <v>10830</v>
      </c>
      <c r="AU1022" s="334">
        <v>180.321</v>
      </c>
      <c r="AV1022" s="336">
        <v>10830</v>
      </c>
      <c r="AW1022" s="334">
        <v>180.822</v>
      </c>
      <c r="AX1022" s="336">
        <v>10820</v>
      </c>
      <c r="AY1022" s="334">
        <v>130.298</v>
      </c>
      <c r="AZ1022" s="336">
        <v>10830</v>
      </c>
      <c r="BA1022" s="337">
        <v>131.93899999999999</v>
      </c>
      <c r="BB1022" s="336">
        <v>10810</v>
      </c>
      <c r="BC1022" s="334">
        <v>27.42</v>
      </c>
      <c r="BD1022" s="336">
        <v>10810</v>
      </c>
      <c r="BE1022" s="334">
        <v>29.539000000000001</v>
      </c>
    </row>
    <row r="1023" spans="22:57">
      <c r="V1023" s="346">
        <v>10840</v>
      </c>
      <c r="W1023" s="334">
        <v>60.499000000000002</v>
      </c>
      <c r="X1023" s="346">
        <v>10850</v>
      </c>
      <c r="Y1023" s="334">
        <v>59.720999999999997</v>
      </c>
      <c r="Z1023" s="335">
        <v>10840</v>
      </c>
      <c r="AA1023" s="334">
        <v>176.34</v>
      </c>
      <c r="AB1023" s="336">
        <v>10840</v>
      </c>
      <c r="AC1023" s="334">
        <v>176.43100000000001</v>
      </c>
      <c r="AD1023" s="336">
        <v>10840</v>
      </c>
      <c r="AE1023" s="334">
        <v>180.25299999999999</v>
      </c>
      <c r="AF1023" s="336">
        <v>10840</v>
      </c>
      <c r="AG1023" s="334">
        <v>179.06700000000001</v>
      </c>
      <c r="AH1023" s="336">
        <v>10840</v>
      </c>
      <c r="AI1023" s="334">
        <v>180.02600000000001</v>
      </c>
      <c r="AJ1023" s="336">
        <v>10820</v>
      </c>
      <c r="AK1023" s="334">
        <v>181.03100000000001</v>
      </c>
      <c r="AL1023" s="336">
        <v>10840</v>
      </c>
      <c r="AM1023" s="334">
        <v>180.74700000000001</v>
      </c>
      <c r="AN1023" s="336">
        <v>10840</v>
      </c>
      <c r="AO1023" s="334">
        <v>181.34100000000001</v>
      </c>
      <c r="AP1023" s="336">
        <v>10830</v>
      </c>
      <c r="AQ1023" s="334">
        <v>181.4</v>
      </c>
      <c r="AR1023" s="336">
        <v>10840</v>
      </c>
      <c r="AS1023" s="334">
        <v>180.643</v>
      </c>
      <c r="AT1023" s="336">
        <v>10840</v>
      </c>
      <c r="AU1023" s="334">
        <v>179.11099999999999</v>
      </c>
      <c r="AV1023" s="336">
        <v>10840</v>
      </c>
      <c r="AW1023" s="334">
        <v>179.61199999999999</v>
      </c>
      <c r="AX1023" s="336">
        <v>10830</v>
      </c>
      <c r="AY1023" s="334">
        <v>129.245</v>
      </c>
      <c r="AZ1023" s="336">
        <v>10840</v>
      </c>
      <c r="BA1023" s="337">
        <v>130.94800000000001</v>
      </c>
      <c r="BB1023" s="336">
        <v>10820</v>
      </c>
      <c r="BC1023" s="334">
        <v>27.204999999999998</v>
      </c>
      <c r="BD1023" s="336">
        <v>10820</v>
      </c>
      <c r="BE1023" s="334">
        <v>29.311</v>
      </c>
    </row>
    <row r="1024" spans="22:57">
      <c r="V1024" s="346">
        <v>10850</v>
      </c>
      <c r="W1024" s="334">
        <v>60.003999999999998</v>
      </c>
      <c r="X1024" s="346">
        <v>10860</v>
      </c>
      <c r="Y1024" s="334">
        <v>59.231000000000002</v>
      </c>
      <c r="Z1024" s="335">
        <v>10850</v>
      </c>
      <c r="AA1024" s="334">
        <v>175.035</v>
      </c>
      <c r="AB1024" s="336">
        <v>10850</v>
      </c>
      <c r="AC1024" s="334">
        <v>175.12700000000001</v>
      </c>
      <c r="AD1024" s="336">
        <v>10850</v>
      </c>
      <c r="AE1024" s="334">
        <v>179.042</v>
      </c>
      <c r="AF1024" s="336">
        <v>10850</v>
      </c>
      <c r="AG1024" s="334">
        <v>177.85400000000001</v>
      </c>
      <c r="AH1024" s="336">
        <v>10850</v>
      </c>
      <c r="AI1024" s="334">
        <v>178.815</v>
      </c>
      <c r="AJ1024" s="336">
        <v>10830</v>
      </c>
      <c r="AK1024" s="334">
        <v>179.81899999999999</v>
      </c>
      <c r="AL1024" s="336">
        <v>10850</v>
      </c>
      <c r="AM1024" s="334">
        <v>179.535</v>
      </c>
      <c r="AN1024" s="336">
        <v>10850</v>
      </c>
      <c r="AO1024" s="334">
        <v>180.12899999999999</v>
      </c>
      <c r="AP1024" s="336">
        <v>10840</v>
      </c>
      <c r="AQ1024" s="334">
        <v>180.19</v>
      </c>
      <c r="AR1024" s="336">
        <v>10850</v>
      </c>
      <c r="AS1024" s="334">
        <v>179.43199999999999</v>
      </c>
      <c r="AT1024" s="336">
        <v>10850</v>
      </c>
      <c r="AU1024" s="334">
        <v>177.9</v>
      </c>
      <c r="AV1024" s="336">
        <v>10850</v>
      </c>
      <c r="AW1024" s="334">
        <v>178.40199999999999</v>
      </c>
      <c r="AX1024" s="336">
        <v>10840</v>
      </c>
      <c r="AY1024" s="334">
        <v>128.19300000000001</v>
      </c>
      <c r="AZ1024" s="336">
        <v>10850</v>
      </c>
      <c r="BA1024" s="337">
        <v>129.958</v>
      </c>
      <c r="BB1024" s="336">
        <v>10830</v>
      </c>
      <c r="BC1024" s="334">
        <v>26.992000000000001</v>
      </c>
      <c r="BD1024" s="336">
        <v>10830</v>
      </c>
      <c r="BE1024" s="334">
        <v>29.084</v>
      </c>
    </row>
    <row r="1025" spans="22:57">
      <c r="V1025" s="346">
        <v>10860</v>
      </c>
      <c r="W1025" s="334">
        <v>59.511000000000003</v>
      </c>
      <c r="X1025" s="346">
        <v>10870</v>
      </c>
      <c r="Y1025" s="334">
        <v>58.741999999999997</v>
      </c>
      <c r="Z1025" s="335">
        <v>10860</v>
      </c>
      <c r="AA1025" s="334">
        <v>173.73099999999999</v>
      </c>
      <c r="AB1025" s="336">
        <v>10860</v>
      </c>
      <c r="AC1025" s="334">
        <v>173.82499999999999</v>
      </c>
      <c r="AD1025" s="336">
        <v>10860</v>
      </c>
      <c r="AE1025" s="334">
        <v>177.83099999999999</v>
      </c>
      <c r="AF1025" s="336">
        <v>10860</v>
      </c>
      <c r="AG1025" s="334">
        <v>176.64099999999999</v>
      </c>
      <c r="AH1025" s="336">
        <v>10860</v>
      </c>
      <c r="AI1025" s="334">
        <v>177.60400000000001</v>
      </c>
      <c r="AJ1025" s="336">
        <v>10840</v>
      </c>
      <c r="AK1025" s="334">
        <v>178.608</v>
      </c>
      <c r="AL1025" s="336">
        <v>10860</v>
      </c>
      <c r="AM1025" s="334">
        <v>178.32400000000001</v>
      </c>
      <c r="AN1025" s="336">
        <v>10860</v>
      </c>
      <c r="AO1025" s="334">
        <v>178.917</v>
      </c>
      <c r="AP1025" s="336">
        <v>10850</v>
      </c>
      <c r="AQ1025" s="334">
        <v>178.97900000000001</v>
      </c>
      <c r="AR1025" s="336">
        <v>10860</v>
      </c>
      <c r="AS1025" s="334">
        <v>178.22</v>
      </c>
      <c r="AT1025" s="336">
        <v>10860</v>
      </c>
      <c r="AU1025" s="334">
        <v>176.69</v>
      </c>
      <c r="AV1025" s="336">
        <v>10860</v>
      </c>
      <c r="AW1025" s="334">
        <v>177.19200000000001</v>
      </c>
      <c r="AX1025" s="336">
        <v>10850</v>
      </c>
      <c r="AY1025" s="334">
        <v>127.199</v>
      </c>
      <c r="AZ1025" s="336">
        <v>10860</v>
      </c>
      <c r="BA1025" s="337">
        <v>128.96799999999999</v>
      </c>
      <c r="BB1025" s="336">
        <v>10840</v>
      </c>
      <c r="BC1025" s="334">
        <v>26.779</v>
      </c>
      <c r="BD1025" s="336">
        <v>10840</v>
      </c>
      <c r="BE1025" s="334">
        <v>28.856000000000002</v>
      </c>
    </row>
    <row r="1026" spans="22:57">
      <c r="V1026" s="346">
        <v>10870</v>
      </c>
      <c r="W1026" s="334">
        <v>59.018999999999998</v>
      </c>
      <c r="X1026" s="346">
        <v>10880</v>
      </c>
      <c r="Y1026" s="334">
        <v>58.253999999999998</v>
      </c>
      <c r="Z1026" s="335">
        <v>10870</v>
      </c>
      <c r="AA1026" s="334">
        <v>172.429</v>
      </c>
      <c r="AB1026" s="336">
        <v>10870</v>
      </c>
      <c r="AC1026" s="334">
        <v>172.52500000000001</v>
      </c>
      <c r="AD1026" s="336">
        <v>10870</v>
      </c>
      <c r="AE1026" s="334">
        <v>176.62</v>
      </c>
      <c r="AF1026" s="336">
        <v>10870</v>
      </c>
      <c r="AG1026" s="334">
        <v>175.42699999999999</v>
      </c>
      <c r="AH1026" s="336">
        <v>10870</v>
      </c>
      <c r="AI1026" s="334">
        <v>176.392</v>
      </c>
      <c r="AJ1026" s="336">
        <v>10850</v>
      </c>
      <c r="AK1026" s="334">
        <v>177.39599999999999</v>
      </c>
      <c r="AL1026" s="336">
        <v>10870</v>
      </c>
      <c r="AM1026" s="334">
        <v>177.113</v>
      </c>
      <c r="AN1026" s="336">
        <v>10870</v>
      </c>
      <c r="AO1026" s="334">
        <v>177.70500000000001</v>
      </c>
      <c r="AP1026" s="336">
        <v>10860</v>
      </c>
      <c r="AQ1026" s="334">
        <v>177.768</v>
      </c>
      <c r="AR1026" s="336">
        <v>10870</v>
      </c>
      <c r="AS1026" s="334">
        <v>177.00899999999999</v>
      </c>
      <c r="AT1026" s="336">
        <v>10870</v>
      </c>
      <c r="AU1026" s="334">
        <v>175.47900000000001</v>
      </c>
      <c r="AV1026" s="336">
        <v>10870</v>
      </c>
      <c r="AW1026" s="334">
        <v>175.982</v>
      </c>
      <c r="AX1026" s="336">
        <v>10860</v>
      </c>
      <c r="AY1026" s="334">
        <v>126.223</v>
      </c>
      <c r="AZ1026" s="336">
        <v>10870</v>
      </c>
      <c r="BA1026" s="337">
        <v>127.977</v>
      </c>
      <c r="BB1026" s="336">
        <v>10850</v>
      </c>
      <c r="BC1026" s="334">
        <v>26.565999999999999</v>
      </c>
      <c r="BD1026" s="336">
        <v>10850</v>
      </c>
      <c r="BE1026" s="334">
        <v>28.63</v>
      </c>
    </row>
    <row r="1027" spans="22:57">
      <c r="V1027" s="346">
        <v>10880</v>
      </c>
      <c r="W1027" s="334">
        <v>58.527999999999999</v>
      </c>
      <c r="X1027" s="346">
        <v>10890</v>
      </c>
      <c r="Y1027" s="334">
        <v>57.767000000000003</v>
      </c>
      <c r="Z1027" s="335">
        <v>10880</v>
      </c>
      <c r="AA1027" s="334">
        <v>171.12899999999999</v>
      </c>
      <c r="AB1027" s="336">
        <v>10880</v>
      </c>
      <c r="AC1027" s="334">
        <v>171.226</v>
      </c>
      <c r="AD1027" s="336">
        <v>10880</v>
      </c>
      <c r="AE1027" s="334">
        <v>175.40899999999999</v>
      </c>
      <c r="AF1027" s="336">
        <v>10880</v>
      </c>
      <c r="AG1027" s="334">
        <v>174.214</v>
      </c>
      <c r="AH1027" s="336">
        <v>10880</v>
      </c>
      <c r="AI1027" s="334">
        <v>175.18100000000001</v>
      </c>
      <c r="AJ1027" s="336">
        <v>10860</v>
      </c>
      <c r="AK1027" s="334">
        <v>176.184</v>
      </c>
      <c r="AL1027" s="336">
        <v>10880</v>
      </c>
      <c r="AM1027" s="334">
        <v>175.90100000000001</v>
      </c>
      <c r="AN1027" s="336">
        <v>10880</v>
      </c>
      <c r="AO1027" s="334">
        <v>176.49299999999999</v>
      </c>
      <c r="AP1027" s="336">
        <v>10870</v>
      </c>
      <c r="AQ1027" s="334">
        <v>176.55799999999999</v>
      </c>
      <c r="AR1027" s="336">
        <v>10880</v>
      </c>
      <c r="AS1027" s="334">
        <v>175.798</v>
      </c>
      <c r="AT1027" s="336">
        <v>10880</v>
      </c>
      <c r="AU1027" s="334">
        <v>174.26900000000001</v>
      </c>
      <c r="AV1027" s="336">
        <v>10880</v>
      </c>
      <c r="AW1027" s="334">
        <v>174.77199999999999</v>
      </c>
      <c r="AX1027" s="336">
        <v>10870</v>
      </c>
      <c r="AY1027" s="334">
        <v>125.248</v>
      </c>
      <c r="AZ1027" s="336">
        <v>10880</v>
      </c>
      <c r="BA1027" s="337">
        <v>126.98699999999999</v>
      </c>
      <c r="BB1027" s="336">
        <v>10860</v>
      </c>
      <c r="BC1027" s="334">
        <v>26.353999999999999</v>
      </c>
      <c r="BD1027" s="336">
        <v>10860</v>
      </c>
      <c r="BE1027" s="334">
        <v>28.404</v>
      </c>
    </row>
    <row r="1028" spans="22:57">
      <c r="V1028" s="346">
        <v>10890</v>
      </c>
      <c r="W1028" s="334">
        <v>58.037999999999997</v>
      </c>
      <c r="X1028" s="346">
        <v>10900</v>
      </c>
      <c r="Y1028" s="334">
        <v>57.281999999999996</v>
      </c>
      <c r="Z1028" s="335">
        <v>10890</v>
      </c>
      <c r="AA1028" s="334">
        <v>169.83</v>
      </c>
      <c r="AB1028" s="336">
        <v>10890</v>
      </c>
      <c r="AC1028" s="334">
        <v>169.928</v>
      </c>
      <c r="AD1028" s="336">
        <v>10890</v>
      </c>
      <c r="AE1028" s="334">
        <v>174.19800000000001</v>
      </c>
      <c r="AF1028" s="336">
        <v>10890</v>
      </c>
      <c r="AG1028" s="334">
        <v>173.001</v>
      </c>
      <c r="AH1028" s="336">
        <v>10890</v>
      </c>
      <c r="AI1028" s="334">
        <v>173.96899999999999</v>
      </c>
      <c r="AJ1028" s="336">
        <v>10870</v>
      </c>
      <c r="AK1028" s="334">
        <v>174.97300000000001</v>
      </c>
      <c r="AL1028" s="336">
        <v>10890</v>
      </c>
      <c r="AM1028" s="334">
        <v>174.69</v>
      </c>
      <c r="AN1028" s="336">
        <v>10890</v>
      </c>
      <c r="AO1028" s="334">
        <v>175.28100000000001</v>
      </c>
      <c r="AP1028" s="336">
        <v>10880</v>
      </c>
      <c r="AQ1028" s="334">
        <v>175.34700000000001</v>
      </c>
      <c r="AR1028" s="336">
        <v>10890</v>
      </c>
      <c r="AS1028" s="334">
        <v>174.58699999999999</v>
      </c>
      <c r="AT1028" s="336">
        <v>10890</v>
      </c>
      <c r="AU1028" s="334">
        <v>173.05799999999999</v>
      </c>
      <c r="AV1028" s="336">
        <v>10890</v>
      </c>
      <c r="AW1028" s="334">
        <v>173.56200000000001</v>
      </c>
      <c r="AX1028" s="336">
        <v>10880</v>
      </c>
      <c r="AY1028" s="334">
        <v>124.274</v>
      </c>
      <c r="AZ1028" s="336">
        <v>10890</v>
      </c>
      <c r="BA1028" s="337">
        <v>125.997</v>
      </c>
      <c r="BB1028" s="336">
        <v>10870</v>
      </c>
      <c r="BC1028" s="334">
        <v>26.143000000000001</v>
      </c>
      <c r="BD1028" s="336">
        <v>10870</v>
      </c>
      <c r="BE1028" s="334">
        <v>28.178000000000001</v>
      </c>
    </row>
    <row r="1029" spans="22:57">
      <c r="V1029" s="346">
        <v>10900</v>
      </c>
      <c r="W1029" s="334">
        <v>57.55</v>
      </c>
      <c r="X1029" s="346">
        <v>10910</v>
      </c>
      <c r="Y1029" s="334">
        <v>56.796999999999997</v>
      </c>
      <c r="Z1029" s="335">
        <v>10900</v>
      </c>
      <c r="AA1029" s="334">
        <v>168.53299999999999</v>
      </c>
      <c r="AB1029" s="336">
        <v>10900</v>
      </c>
      <c r="AC1029" s="334">
        <v>168.63300000000001</v>
      </c>
      <c r="AD1029" s="336">
        <v>10900</v>
      </c>
      <c r="AE1029" s="334">
        <v>172.98699999999999</v>
      </c>
      <c r="AF1029" s="336">
        <v>10900</v>
      </c>
      <c r="AG1029" s="334">
        <v>171.78700000000001</v>
      </c>
      <c r="AH1029" s="336">
        <v>10900</v>
      </c>
      <c r="AI1029" s="334">
        <v>172.75800000000001</v>
      </c>
      <c r="AJ1029" s="336">
        <v>10880</v>
      </c>
      <c r="AK1029" s="334">
        <v>173.761</v>
      </c>
      <c r="AL1029" s="336">
        <v>10900</v>
      </c>
      <c r="AM1029" s="334">
        <v>173.47900000000001</v>
      </c>
      <c r="AN1029" s="336">
        <v>10900</v>
      </c>
      <c r="AO1029" s="334">
        <v>174.06899999999999</v>
      </c>
      <c r="AP1029" s="336">
        <v>10890</v>
      </c>
      <c r="AQ1029" s="334">
        <v>174.137</v>
      </c>
      <c r="AR1029" s="336">
        <v>10900</v>
      </c>
      <c r="AS1029" s="334">
        <v>173.375</v>
      </c>
      <c r="AT1029" s="336">
        <v>10900</v>
      </c>
      <c r="AU1029" s="334">
        <v>171.84700000000001</v>
      </c>
      <c r="AV1029" s="336">
        <v>10900</v>
      </c>
      <c r="AW1029" s="334">
        <v>172.352</v>
      </c>
      <c r="AX1029" s="336">
        <v>10890</v>
      </c>
      <c r="AY1029" s="334">
        <v>123.301</v>
      </c>
      <c r="AZ1029" s="336">
        <v>10900</v>
      </c>
      <c r="BA1029" s="337">
        <v>125.006</v>
      </c>
      <c r="BB1029" s="336">
        <v>10880</v>
      </c>
      <c r="BC1029" s="334">
        <v>25.931999999999999</v>
      </c>
      <c r="BD1029" s="336">
        <v>10880</v>
      </c>
      <c r="BE1029" s="334">
        <v>27.952999999999999</v>
      </c>
    </row>
    <row r="1030" spans="22:57">
      <c r="V1030" s="346">
        <v>10910</v>
      </c>
      <c r="W1030" s="334">
        <v>57.061999999999998</v>
      </c>
      <c r="X1030" s="346">
        <v>10920</v>
      </c>
      <c r="Y1030" s="334">
        <v>56.314</v>
      </c>
      <c r="Z1030" s="335">
        <v>10910</v>
      </c>
      <c r="AA1030" s="334">
        <v>167.238</v>
      </c>
      <c r="AB1030" s="336">
        <v>10910</v>
      </c>
      <c r="AC1030" s="334">
        <v>167.33799999999999</v>
      </c>
      <c r="AD1030" s="336">
        <v>10910</v>
      </c>
      <c r="AE1030" s="334">
        <v>171.77600000000001</v>
      </c>
      <c r="AF1030" s="336">
        <v>10910</v>
      </c>
      <c r="AG1030" s="334">
        <v>170.57400000000001</v>
      </c>
      <c r="AH1030" s="336">
        <v>10910</v>
      </c>
      <c r="AI1030" s="334">
        <v>171.547</v>
      </c>
      <c r="AJ1030" s="336">
        <v>10890</v>
      </c>
      <c r="AK1030" s="334">
        <v>172.55</v>
      </c>
      <c r="AL1030" s="336">
        <v>10910</v>
      </c>
      <c r="AM1030" s="334">
        <v>172.267</v>
      </c>
      <c r="AN1030" s="336">
        <v>10910</v>
      </c>
      <c r="AO1030" s="334">
        <v>172.858</v>
      </c>
      <c r="AP1030" s="336">
        <v>10900</v>
      </c>
      <c r="AQ1030" s="334">
        <v>172.92599999999999</v>
      </c>
      <c r="AR1030" s="336">
        <v>10910</v>
      </c>
      <c r="AS1030" s="334">
        <v>172.16399999999999</v>
      </c>
      <c r="AT1030" s="336">
        <v>10910</v>
      </c>
      <c r="AU1030" s="334">
        <v>170.637</v>
      </c>
      <c r="AV1030" s="336">
        <v>10910</v>
      </c>
      <c r="AW1030" s="334">
        <v>171.142</v>
      </c>
      <c r="AX1030" s="336">
        <v>10900</v>
      </c>
      <c r="AY1030" s="334">
        <v>122.33</v>
      </c>
      <c r="AZ1030" s="336">
        <v>10910</v>
      </c>
      <c r="BA1030" s="337">
        <v>124.01600000000001</v>
      </c>
      <c r="BB1030" s="336">
        <v>10890</v>
      </c>
      <c r="BC1030" s="334">
        <v>25.722000000000001</v>
      </c>
      <c r="BD1030" s="336">
        <v>10890</v>
      </c>
      <c r="BE1030" s="334">
        <v>27.728999999999999</v>
      </c>
    </row>
    <row r="1031" spans="22:57">
      <c r="V1031" s="346">
        <v>10920</v>
      </c>
      <c r="W1031" s="334">
        <v>56.576000000000001</v>
      </c>
      <c r="X1031" s="346">
        <v>10930</v>
      </c>
      <c r="Y1031" s="334">
        <v>55.832000000000001</v>
      </c>
      <c r="Z1031" s="335">
        <v>10920</v>
      </c>
      <c r="AA1031" s="334">
        <v>165.94399999999999</v>
      </c>
      <c r="AB1031" s="336">
        <v>10920</v>
      </c>
      <c r="AC1031" s="334">
        <v>166.04599999999999</v>
      </c>
      <c r="AD1031" s="336">
        <v>10920</v>
      </c>
      <c r="AE1031" s="334">
        <v>170.565</v>
      </c>
      <c r="AF1031" s="336">
        <v>10920</v>
      </c>
      <c r="AG1031" s="334">
        <v>169.36099999999999</v>
      </c>
      <c r="AH1031" s="336">
        <v>10920</v>
      </c>
      <c r="AI1031" s="334">
        <v>170.33500000000001</v>
      </c>
      <c r="AJ1031" s="336">
        <v>10900</v>
      </c>
      <c r="AK1031" s="334">
        <v>171.33799999999999</v>
      </c>
      <c r="AL1031" s="336">
        <v>10920</v>
      </c>
      <c r="AM1031" s="334">
        <v>171.05600000000001</v>
      </c>
      <c r="AN1031" s="336">
        <v>10920</v>
      </c>
      <c r="AO1031" s="334">
        <v>171.64599999999999</v>
      </c>
      <c r="AP1031" s="336">
        <v>10910</v>
      </c>
      <c r="AQ1031" s="334">
        <v>171.71600000000001</v>
      </c>
      <c r="AR1031" s="336">
        <v>10920</v>
      </c>
      <c r="AS1031" s="334">
        <v>170.953</v>
      </c>
      <c r="AT1031" s="336">
        <v>10920</v>
      </c>
      <c r="AU1031" s="334">
        <v>169.42599999999999</v>
      </c>
      <c r="AV1031" s="336">
        <v>10920</v>
      </c>
      <c r="AW1031" s="334">
        <v>169.93199999999999</v>
      </c>
      <c r="AX1031" s="336">
        <v>10910</v>
      </c>
      <c r="AY1031" s="334">
        <v>121.36</v>
      </c>
      <c r="AZ1031" s="336">
        <v>10920</v>
      </c>
      <c r="BA1031" s="337">
        <v>123.02500000000001</v>
      </c>
      <c r="BB1031" s="336">
        <v>10900</v>
      </c>
      <c r="BC1031" s="334">
        <v>25.512</v>
      </c>
      <c r="BD1031" s="336">
        <v>10900</v>
      </c>
      <c r="BE1031" s="334">
        <v>27.504999999999999</v>
      </c>
    </row>
    <row r="1032" spans="22:57">
      <c r="V1032" s="346">
        <v>10930</v>
      </c>
      <c r="W1032" s="334">
        <v>56.09</v>
      </c>
      <c r="X1032" s="346">
        <v>10940</v>
      </c>
      <c r="Y1032" s="334">
        <v>55.350999999999999</v>
      </c>
      <c r="Z1032" s="335">
        <v>10930</v>
      </c>
      <c r="AA1032" s="334">
        <v>164.65199999999999</v>
      </c>
      <c r="AB1032" s="336">
        <v>10930</v>
      </c>
      <c r="AC1032" s="334">
        <v>164.755</v>
      </c>
      <c r="AD1032" s="336">
        <v>10930</v>
      </c>
      <c r="AE1032" s="334">
        <v>169.35400000000001</v>
      </c>
      <c r="AF1032" s="336">
        <v>10930</v>
      </c>
      <c r="AG1032" s="334">
        <v>168.148</v>
      </c>
      <c r="AH1032" s="336">
        <v>10930</v>
      </c>
      <c r="AI1032" s="334">
        <v>169.124</v>
      </c>
      <c r="AJ1032" s="336">
        <v>10910</v>
      </c>
      <c r="AK1032" s="334">
        <v>170.126</v>
      </c>
      <c r="AL1032" s="336">
        <v>10930</v>
      </c>
      <c r="AM1032" s="334">
        <v>169.845</v>
      </c>
      <c r="AN1032" s="336">
        <v>10930</v>
      </c>
      <c r="AO1032" s="334">
        <v>170.434</v>
      </c>
      <c r="AP1032" s="336">
        <v>10920</v>
      </c>
      <c r="AQ1032" s="334">
        <v>170.505</v>
      </c>
      <c r="AR1032" s="336">
        <v>10930</v>
      </c>
      <c r="AS1032" s="334">
        <v>169.74199999999999</v>
      </c>
      <c r="AT1032" s="336">
        <v>10930</v>
      </c>
      <c r="AU1032" s="334">
        <v>168.21600000000001</v>
      </c>
      <c r="AV1032" s="336">
        <v>10930</v>
      </c>
      <c r="AW1032" s="334">
        <v>168.72200000000001</v>
      </c>
      <c r="AX1032" s="336">
        <v>10920</v>
      </c>
      <c r="AY1032" s="334">
        <v>120.392</v>
      </c>
      <c r="AZ1032" s="336">
        <v>10930</v>
      </c>
      <c r="BA1032" s="337">
        <v>122.035</v>
      </c>
      <c r="BB1032" s="336">
        <v>10910</v>
      </c>
      <c r="BC1032" s="334">
        <v>25.302</v>
      </c>
      <c r="BD1032" s="336">
        <v>10910</v>
      </c>
      <c r="BE1032" s="334">
        <v>27.280999999999999</v>
      </c>
    </row>
    <row r="1033" spans="22:57">
      <c r="V1033" s="346">
        <v>10940</v>
      </c>
      <c r="W1033" s="334">
        <v>55.606000000000002</v>
      </c>
      <c r="X1033" s="346">
        <v>10950</v>
      </c>
      <c r="Y1033" s="334">
        <v>54.871000000000002</v>
      </c>
      <c r="Z1033" s="335">
        <v>10940</v>
      </c>
      <c r="AA1033" s="334">
        <v>163.36099999999999</v>
      </c>
      <c r="AB1033" s="336">
        <v>10940</v>
      </c>
      <c r="AC1033" s="334">
        <v>163.465</v>
      </c>
      <c r="AD1033" s="336">
        <v>10940</v>
      </c>
      <c r="AE1033" s="334">
        <v>168.143</v>
      </c>
      <c r="AF1033" s="336">
        <v>10940</v>
      </c>
      <c r="AG1033" s="334">
        <v>166.934</v>
      </c>
      <c r="AH1033" s="336">
        <v>10940</v>
      </c>
      <c r="AI1033" s="334">
        <v>167.91300000000001</v>
      </c>
      <c r="AJ1033" s="336">
        <v>10920</v>
      </c>
      <c r="AK1033" s="334">
        <v>168.91499999999999</v>
      </c>
      <c r="AL1033" s="336">
        <v>10940</v>
      </c>
      <c r="AM1033" s="334">
        <v>168.63300000000001</v>
      </c>
      <c r="AN1033" s="336">
        <v>10940</v>
      </c>
      <c r="AO1033" s="334">
        <v>169.22200000000001</v>
      </c>
      <c r="AP1033" s="336">
        <v>10930</v>
      </c>
      <c r="AQ1033" s="334">
        <v>169.29400000000001</v>
      </c>
      <c r="AR1033" s="336">
        <v>10940</v>
      </c>
      <c r="AS1033" s="334">
        <v>168.53100000000001</v>
      </c>
      <c r="AT1033" s="336">
        <v>10940</v>
      </c>
      <c r="AU1033" s="334">
        <v>167.005</v>
      </c>
      <c r="AV1033" s="336">
        <v>10940</v>
      </c>
      <c r="AW1033" s="334">
        <v>167.512</v>
      </c>
      <c r="AX1033" s="336">
        <v>10930</v>
      </c>
      <c r="AY1033" s="334">
        <v>119.42400000000001</v>
      </c>
      <c r="AZ1033" s="336">
        <v>10940</v>
      </c>
      <c r="BA1033" s="337">
        <v>121.045</v>
      </c>
      <c r="BB1033" s="336">
        <v>10920</v>
      </c>
      <c r="BC1033" s="334">
        <v>25.094000000000001</v>
      </c>
      <c r="BD1033" s="336">
        <v>10920</v>
      </c>
      <c r="BE1033" s="334">
        <v>27.059000000000001</v>
      </c>
    </row>
    <row r="1034" spans="22:57">
      <c r="V1034" s="346">
        <v>10950</v>
      </c>
      <c r="W1034" s="334">
        <v>55.124000000000002</v>
      </c>
      <c r="X1034" s="346">
        <v>10960</v>
      </c>
      <c r="Y1034" s="334">
        <v>54.392000000000003</v>
      </c>
      <c r="Z1034" s="335">
        <v>10950</v>
      </c>
      <c r="AA1034" s="334">
        <v>162.072</v>
      </c>
      <c r="AB1034" s="336">
        <v>10950</v>
      </c>
      <c r="AC1034" s="334">
        <v>162.178</v>
      </c>
      <c r="AD1034" s="336">
        <v>10950</v>
      </c>
      <c r="AE1034" s="334">
        <v>166.93199999999999</v>
      </c>
      <c r="AF1034" s="336">
        <v>10950</v>
      </c>
      <c r="AG1034" s="334">
        <v>165.721</v>
      </c>
      <c r="AH1034" s="336">
        <v>10950</v>
      </c>
      <c r="AI1034" s="334">
        <v>166.70099999999999</v>
      </c>
      <c r="AJ1034" s="336">
        <v>10930</v>
      </c>
      <c r="AK1034" s="334">
        <v>167.703</v>
      </c>
      <c r="AL1034" s="336">
        <v>10950</v>
      </c>
      <c r="AM1034" s="334">
        <v>167.422</v>
      </c>
      <c r="AN1034" s="336">
        <v>10950</v>
      </c>
      <c r="AO1034" s="334">
        <v>168.01</v>
      </c>
      <c r="AP1034" s="336">
        <v>10940</v>
      </c>
      <c r="AQ1034" s="334">
        <v>168.084</v>
      </c>
      <c r="AR1034" s="336">
        <v>10950</v>
      </c>
      <c r="AS1034" s="334">
        <v>167.31899999999999</v>
      </c>
      <c r="AT1034" s="336">
        <v>10950</v>
      </c>
      <c r="AU1034" s="334">
        <v>165.79499999999999</v>
      </c>
      <c r="AV1034" s="336">
        <v>10950</v>
      </c>
      <c r="AW1034" s="334">
        <v>166.30199999999999</v>
      </c>
      <c r="AX1034" s="336">
        <v>10940</v>
      </c>
      <c r="AY1034" s="334">
        <v>118.459</v>
      </c>
      <c r="AZ1034" s="336">
        <v>10950</v>
      </c>
      <c r="BA1034" s="337">
        <v>120.054</v>
      </c>
      <c r="BB1034" s="336">
        <v>10930</v>
      </c>
      <c r="BC1034" s="334">
        <v>24.885000000000002</v>
      </c>
      <c r="BD1034" s="336">
        <v>10930</v>
      </c>
      <c r="BE1034" s="334">
        <v>26.835999999999999</v>
      </c>
    </row>
    <row r="1035" spans="22:57">
      <c r="V1035" s="346">
        <v>10960</v>
      </c>
      <c r="W1035" s="334">
        <v>54.642000000000003</v>
      </c>
      <c r="X1035" s="346">
        <v>10970</v>
      </c>
      <c r="Y1035" s="334">
        <v>53.914999999999999</v>
      </c>
      <c r="Z1035" s="335">
        <v>10960</v>
      </c>
      <c r="AA1035" s="334">
        <v>160.78399999999999</v>
      </c>
      <c r="AB1035" s="336">
        <v>10960</v>
      </c>
      <c r="AC1035" s="334">
        <v>160.89099999999999</v>
      </c>
      <c r="AD1035" s="336">
        <v>10960</v>
      </c>
      <c r="AE1035" s="334">
        <v>165.72200000000001</v>
      </c>
      <c r="AF1035" s="336">
        <v>10960</v>
      </c>
      <c r="AG1035" s="334">
        <v>164.50800000000001</v>
      </c>
      <c r="AH1035" s="336">
        <v>10960</v>
      </c>
      <c r="AI1035" s="334">
        <v>165.49</v>
      </c>
      <c r="AJ1035" s="336">
        <v>10940</v>
      </c>
      <c r="AK1035" s="334">
        <v>166.49199999999999</v>
      </c>
      <c r="AL1035" s="336">
        <v>10960</v>
      </c>
      <c r="AM1035" s="334">
        <v>166.21100000000001</v>
      </c>
      <c r="AN1035" s="336">
        <v>10960</v>
      </c>
      <c r="AO1035" s="334">
        <v>166.798</v>
      </c>
      <c r="AP1035" s="336">
        <v>10950</v>
      </c>
      <c r="AQ1035" s="334">
        <v>166.87299999999999</v>
      </c>
      <c r="AR1035" s="336">
        <v>10960</v>
      </c>
      <c r="AS1035" s="334">
        <v>166.108</v>
      </c>
      <c r="AT1035" s="336">
        <v>10960</v>
      </c>
      <c r="AU1035" s="334">
        <v>164.584</v>
      </c>
      <c r="AV1035" s="336">
        <v>10960</v>
      </c>
      <c r="AW1035" s="334">
        <v>165.09200000000001</v>
      </c>
      <c r="AX1035" s="336">
        <v>10950</v>
      </c>
      <c r="AY1035" s="334">
        <v>117.494</v>
      </c>
      <c r="AZ1035" s="336">
        <v>10960</v>
      </c>
      <c r="BA1035" s="337">
        <v>119.06399999999999</v>
      </c>
      <c r="BB1035" s="336">
        <v>10940</v>
      </c>
      <c r="BC1035" s="334">
        <v>24.678000000000001</v>
      </c>
      <c r="BD1035" s="336">
        <v>10940</v>
      </c>
      <c r="BE1035" s="334">
        <v>26.614000000000001</v>
      </c>
    </row>
    <row r="1036" spans="22:57">
      <c r="V1036" s="346">
        <v>10970</v>
      </c>
      <c r="W1036" s="334">
        <v>54.161000000000001</v>
      </c>
      <c r="X1036" s="346">
        <v>10980</v>
      </c>
      <c r="Y1036" s="334">
        <v>53.439</v>
      </c>
      <c r="Z1036" s="335">
        <v>10970</v>
      </c>
      <c r="AA1036" s="334">
        <v>159.499</v>
      </c>
      <c r="AB1036" s="336">
        <v>10970</v>
      </c>
      <c r="AC1036" s="334">
        <v>159.607</v>
      </c>
      <c r="AD1036" s="336">
        <v>10970</v>
      </c>
      <c r="AE1036" s="334">
        <v>164.511</v>
      </c>
      <c r="AF1036" s="336">
        <v>10970</v>
      </c>
      <c r="AG1036" s="334">
        <v>163.29400000000001</v>
      </c>
      <c r="AH1036" s="336">
        <v>10970</v>
      </c>
      <c r="AI1036" s="334">
        <v>164.279</v>
      </c>
      <c r="AJ1036" s="336">
        <v>10950</v>
      </c>
      <c r="AK1036" s="334">
        <v>165.28</v>
      </c>
      <c r="AL1036" s="336">
        <v>10970</v>
      </c>
      <c r="AM1036" s="334">
        <v>164.999</v>
      </c>
      <c r="AN1036" s="336">
        <v>10970</v>
      </c>
      <c r="AO1036" s="334">
        <v>165.58600000000001</v>
      </c>
      <c r="AP1036" s="336">
        <v>10960</v>
      </c>
      <c r="AQ1036" s="334">
        <v>165.66300000000001</v>
      </c>
      <c r="AR1036" s="336">
        <v>10970</v>
      </c>
      <c r="AS1036" s="334">
        <v>164.89699999999999</v>
      </c>
      <c r="AT1036" s="336">
        <v>10970</v>
      </c>
      <c r="AU1036" s="334">
        <v>163.37299999999999</v>
      </c>
      <c r="AV1036" s="336">
        <v>10970</v>
      </c>
      <c r="AW1036" s="334">
        <v>163.881</v>
      </c>
      <c r="AX1036" s="336">
        <v>10960</v>
      </c>
      <c r="AY1036" s="334">
        <v>116.53100000000001</v>
      </c>
      <c r="AZ1036" s="336">
        <v>10970</v>
      </c>
      <c r="BA1036" s="337">
        <v>118.074</v>
      </c>
      <c r="BB1036" s="336">
        <v>10950</v>
      </c>
      <c r="BC1036" s="334">
        <v>24.47</v>
      </c>
      <c r="BD1036" s="336">
        <v>10950</v>
      </c>
      <c r="BE1036" s="334">
        <v>26.393000000000001</v>
      </c>
    </row>
    <row r="1037" spans="22:57">
      <c r="V1037" s="346">
        <v>10980</v>
      </c>
      <c r="W1037" s="334">
        <v>53.682000000000002</v>
      </c>
      <c r="X1037" s="346">
        <v>10990</v>
      </c>
      <c r="Y1037" s="334">
        <v>52.963000000000001</v>
      </c>
      <c r="Z1037" s="335">
        <v>10980</v>
      </c>
      <c r="AA1037" s="334">
        <v>158.214</v>
      </c>
      <c r="AB1037" s="336">
        <v>10980</v>
      </c>
      <c r="AC1037" s="334">
        <v>158.32400000000001</v>
      </c>
      <c r="AD1037" s="336">
        <v>10980</v>
      </c>
      <c r="AE1037" s="334">
        <v>163.30000000000001</v>
      </c>
      <c r="AF1037" s="336">
        <v>10980</v>
      </c>
      <c r="AG1037" s="334">
        <v>162.08099999999999</v>
      </c>
      <c r="AH1037" s="336">
        <v>10980</v>
      </c>
      <c r="AI1037" s="334">
        <v>163.06700000000001</v>
      </c>
      <c r="AJ1037" s="336">
        <v>10960</v>
      </c>
      <c r="AK1037" s="334">
        <v>164.06800000000001</v>
      </c>
      <c r="AL1037" s="336">
        <v>10980</v>
      </c>
      <c r="AM1037" s="334">
        <v>163.78800000000001</v>
      </c>
      <c r="AN1037" s="336">
        <v>10980</v>
      </c>
      <c r="AO1037" s="334">
        <v>164.374</v>
      </c>
      <c r="AP1037" s="336">
        <v>10970</v>
      </c>
      <c r="AQ1037" s="334">
        <v>164.452</v>
      </c>
      <c r="AR1037" s="336">
        <v>10980</v>
      </c>
      <c r="AS1037" s="334">
        <v>163.68600000000001</v>
      </c>
      <c r="AT1037" s="336">
        <v>10980</v>
      </c>
      <c r="AU1037" s="334">
        <v>162.16300000000001</v>
      </c>
      <c r="AV1037" s="336">
        <v>10980</v>
      </c>
      <c r="AW1037" s="334">
        <v>162.67099999999999</v>
      </c>
      <c r="AX1037" s="336">
        <v>10970</v>
      </c>
      <c r="AY1037" s="334">
        <v>115.569</v>
      </c>
      <c r="AZ1037" s="336">
        <v>10980</v>
      </c>
      <c r="BA1037" s="337">
        <v>117.083</v>
      </c>
      <c r="BB1037" s="336">
        <v>10960</v>
      </c>
      <c r="BC1037" s="334">
        <v>24.263999999999999</v>
      </c>
      <c r="BD1037" s="336">
        <v>10960</v>
      </c>
      <c r="BE1037" s="334">
        <v>26.172000000000001</v>
      </c>
    </row>
    <row r="1038" spans="22:57">
      <c r="V1038" s="346">
        <v>10990</v>
      </c>
      <c r="W1038" s="334">
        <v>53.204000000000001</v>
      </c>
      <c r="X1038" s="346">
        <v>11000</v>
      </c>
      <c r="Y1038" s="334">
        <v>52.488999999999997</v>
      </c>
      <c r="Z1038" s="335">
        <v>10990</v>
      </c>
      <c r="AA1038" s="334">
        <v>156.93199999999999</v>
      </c>
      <c r="AB1038" s="336">
        <v>10990</v>
      </c>
      <c r="AC1038" s="334">
        <v>157.04300000000001</v>
      </c>
      <c r="AD1038" s="336">
        <v>10990</v>
      </c>
      <c r="AE1038" s="334">
        <v>162.089</v>
      </c>
      <c r="AF1038" s="336">
        <v>10990</v>
      </c>
      <c r="AG1038" s="334">
        <v>160.86799999999999</v>
      </c>
      <c r="AH1038" s="336">
        <v>10990</v>
      </c>
      <c r="AI1038" s="334">
        <v>161.85599999999999</v>
      </c>
      <c r="AJ1038" s="336">
        <v>10970</v>
      </c>
      <c r="AK1038" s="334">
        <v>162.857</v>
      </c>
      <c r="AL1038" s="336">
        <v>10990</v>
      </c>
      <c r="AM1038" s="334">
        <v>162.577</v>
      </c>
      <c r="AN1038" s="336">
        <v>10990</v>
      </c>
      <c r="AO1038" s="334">
        <v>163.16200000000001</v>
      </c>
      <c r="AP1038" s="336">
        <v>10980</v>
      </c>
      <c r="AQ1038" s="334">
        <v>163.24199999999999</v>
      </c>
      <c r="AR1038" s="336">
        <v>10990</v>
      </c>
      <c r="AS1038" s="334">
        <v>162.47499999999999</v>
      </c>
      <c r="AT1038" s="336">
        <v>10990</v>
      </c>
      <c r="AU1038" s="334">
        <v>160.952</v>
      </c>
      <c r="AV1038" s="336">
        <v>10990</v>
      </c>
      <c r="AW1038" s="334">
        <v>161.46100000000001</v>
      </c>
      <c r="AX1038" s="336">
        <v>10980</v>
      </c>
      <c r="AY1038" s="334">
        <v>114.60899999999999</v>
      </c>
      <c r="AZ1038" s="336">
        <v>10990</v>
      </c>
      <c r="BA1038" s="337">
        <v>116.093</v>
      </c>
      <c r="BB1038" s="336">
        <v>10970</v>
      </c>
      <c r="BC1038" s="334">
        <v>24.056999999999999</v>
      </c>
      <c r="BD1038" s="336">
        <v>10970</v>
      </c>
      <c r="BE1038" s="334">
        <v>25.952000000000002</v>
      </c>
    </row>
    <row r="1039" spans="22:57">
      <c r="V1039" s="346">
        <v>11000</v>
      </c>
      <c r="W1039" s="334">
        <v>52.725999999999999</v>
      </c>
      <c r="X1039" s="346">
        <v>11010</v>
      </c>
      <c r="Y1039" s="334">
        <v>52.015999999999998</v>
      </c>
      <c r="Z1039" s="335">
        <v>11000</v>
      </c>
      <c r="AA1039" s="334">
        <v>155.65100000000001</v>
      </c>
      <c r="AB1039" s="336">
        <v>11000</v>
      </c>
      <c r="AC1039" s="334">
        <v>155.76300000000001</v>
      </c>
      <c r="AD1039" s="336">
        <v>11000</v>
      </c>
      <c r="AE1039" s="334">
        <v>160.87799999999999</v>
      </c>
      <c r="AF1039" s="336">
        <v>11000</v>
      </c>
      <c r="AG1039" s="334">
        <v>159.655</v>
      </c>
      <c r="AH1039" s="336">
        <v>11000</v>
      </c>
      <c r="AI1039" s="334">
        <v>160.64500000000001</v>
      </c>
      <c r="AJ1039" s="336">
        <v>10980</v>
      </c>
      <c r="AK1039" s="334">
        <v>161.64500000000001</v>
      </c>
      <c r="AL1039" s="336">
        <v>11000</v>
      </c>
      <c r="AM1039" s="334">
        <v>161.36600000000001</v>
      </c>
      <c r="AN1039" s="336">
        <v>11000</v>
      </c>
      <c r="AO1039" s="334">
        <v>161.94999999999999</v>
      </c>
      <c r="AP1039" s="336">
        <v>10990</v>
      </c>
      <c r="AQ1039" s="334">
        <v>162.03100000000001</v>
      </c>
      <c r="AR1039" s="336">
        <v>11000</v>
      </c>
      <c r="AS1039" s="334">
        <v>161.26300000000001</v>
      </c>
      <c r="AT1039" s="336">
        <v>11000</v>
      </c>
      <c r="AU1039" s="334">
        <v>159.74199999999999</v>
      </c>
      <c r="AV1039" s="336">
        <v>11000</v>
      </c>
      <c r="AW1039" s="334">
        <v>160.251</v>
      </c>
      <c r="AX1039" s="336">
        <v>10990</v>
      </c>
      <c r="AY1039" s="334">
        <v>113.65</v>
      </c>
      <c r="AZ1039" s="336">
        <v>11000</v>
      </c>
      <c r="BA1039" s="337">
        <v>115.10299999999999</v>
      </c>
      <c r="BB1039" s="336">
        <v>10980</v>
      </c>
      <c r="BC1039" s="334">
        <v>23.852</v>
      </c>
      <c r="BD1039" s="336">
        <v>10980</v>
      </c>
      <c r="BE1039" s="334">
        <v>25.731999999999999</v>
      </c>
    </row>
    <row r="1040" spans="22:57">
      <c r="V1040" s="346">
        <v>11010</v>
      </c>
      <c r="W1040" s="334">
        <v>52.25</v>
      </c>
      <c r="X1040" s="346">
        <v>11020</v>
      </c>
      <c r="Y1040" s="334">
        <v>51.545000000000002</v>
      </c>
      <c r="Z1040" s="335">
        <v>11010</v>
      </c>
      <c r="AA1040" s="334">
        <v>154.37200000000001</v>
      </c>
      <c r="AB1040" s="336">
        <v>11010</v>
      </c>
      <c r="AC1040" s="334">
        <v>154.48500000000001</v>
      </c>
      <c r="AD1040" s="336">
        <v>11010</v>
      </c>
      <c r="AE1040" s="334">
        <v>159.667</v>
      </c>
      <c r="AF1040" s="336">
        <v>11010</v>
      </c>
      <c r="AG1040" s="334">
        <v>158.441</v>
      </c>
      <c r="AH1040" s="336">
        <v>11010</v>
      </c>
      <c r="AI1040" s="334">
        <v>159.43299999999999</v>
      </c>
      <c r="AJ1040" s="336">
        <v>10990</v>
      </c>
      <c r="AK1040" s="334">
        <v>160.434</v>
      </c>
      <c r="AL1040" s="336">
        <v>11010</v>
      </c>
      <c r="AM1040" s="334">
        <v>160.154</v>
      </c>
      <c r="AN1040" s="336">
        <v>11010</v>
      </c>
      <c r="AO1040" s="334">
        <v>160.738</v>
      </c>
      <c r="AP1040" s="336">
        <v>11000</v>
      </c>
      <c r="AQ1040" s="334">
        <v>160.82</v>
      </c>
      <c r="AR1040" s="336">
        <v>11010</v>
      </c>
      <c r="AS1040" s="334">
        <v>160.05199999999999</v>
      </c>
      <c r="AT1040" s="336">
        <v>11010</v>
      </c>
      <c r="AU1040" s="334">
        <v>158.53100000000001</v>
      </c>
      <c r="AV1040" s="336">
        <v>11010</v>
      </c>
      <c r="AW1040" s="334">
        <v>159.041</v>
      </c>
      <c r="AX1040" s="336">
        <v>11000</v>
      </c>
      <c r="AY1040" s="334">
        <v>112.69199999999999</v>
      </c>
      <c r="AZ1040" s="336">
        <v>11010</v>
      </c>
      <c r="BA1040" s="337">
        <v>114.121</v>
      </c>
      <c r="BB1040" s="336">
        <v>10990</v>
      </c>
      <c r="BC1040" s="334">
        <v>23.646000000000001</v>
      </c>
      <c r="BD1040" s="336">
        <v>10990</v>
      </c>
      <c r="BE1040" s="334">
        <v>25.513000000000002</v>
      </c>
    </row>
    <row r="1041" spans="22:57">
      <c r="V1041" s="346">
        <v>11020</v>
      </c>
      <c r="W1041" s="334">
        <v>51.776000000000003</v>
      </c>
      <c r="X1041" s="346">
        <v>11030</v>
      </c>
      <c r="Y1041" s="334">
        <v>51.073999999999998</v>
      </c>
      <c r="Z1041" s="335">
        <v>11020</v>
      </c>
      <c r="AA1041" s="334">
        <v>153.09399999999999</v>
      </c>
      <c r="AB1041" s="336">
        <v>11020</v>
      </c>
      <c r="AC1041" s="334">
        <v>153.209</v>
      </c>
      <c r="AD1041" s="336">
        <v>11020</v>
      </c>
      <c r="AE1041" s="334">
        <v>158.45599999999999</v>
      </c>
      <c r="AF1041" s="336">
        <v>11020</v>
      </c>
      <c r="AG1041" s="334">
        <v>157.22800000000001</v>
      </c>
      <c r="AH1041" s="336">
        <v>11020</v>
      </c>
      <c r="AI1041" s="334">
        <v>158.22200000000001</v>
      </c>
      <c r="AJ1041" s="336">
        <v>11000</v>
      </c>
      <c r="AK1041" s="334">
        <v>159.22200000000001</v>
      </c>
      <c r="AL1041" s="336">
        <v>11020</v>
      </c>
      <c r="AM1041" s="334">
        <v>158.94300000000001</v>
      </c>
      <c r="AN1041" s="336">
        <v>11020</v>
      </c>
      <c r="AO1041" s="334">
        <v>159.52600000000001</v>
      </c>
      <c r="AP1041" s="336">
        <v>11010</v>
      </c>
      <c r="AQ1041" s="334">
        <v>159.61000000000001</v>
      </c>
      <c r="AR1041" s="336">
        <v>11020</v>
      </c>
      <c r="AS1041" s="334">
        <v>158.84100000000001</v>
      </c>
      <c r="AT1041" s="336">
        <v>11020</v>
      </c>
      <c r="AU1041" s="334">
        <v>157.321</v>
      </c>
      <c r="AV1041" s="336">
        <v>11020</v>
      </c>
      <c r="AW1041" s="334">
        <v>157.83099999999999</v>
      </c>
      <c r="AX1041" s="336">
        <v>11010</v>
      </c>
      <c r="AY1041" s="334">
        <v>111.736</v>
      </c>
      <c r="AZ1041" s="336">
        <v>11020</v>
      </c>
      <c r="BA1041" s="337">
        <v>113.164</v>
      </c>
      <c r="BB1041" s="336">
        <v>11000</v>
      </c>
      <c r="BC1041" s="334">
        <v>23.440999999999999</v>
      </c>
      <c r="BD1041" s="336">
        <v>11000</v>
      </c>
      <c r="BE1041" s="334">
        <v>25.294</v>
      </c>
    </row>
    <row r="1042" spans="22:57">
      <c r="V1042" s="346">
        <v>11030</v>
      </c>
      <c r="W1042" s="334">
        <v>51.302</v>
      </c>
      <c r="X1042" s="346">
        <v>11040</v>
      </c>
      <c r="Y1042" s="334">
        <v>50.603999999999999</v>
      </c>
      <c r="Z1042" s="335">
        <v>11030</v>
      </c>
      <c r="AA1042" s="334">
        <v>151.81800000000001</v>
      </c>
      <c r="AB1042" s="336">
        <v>11030</v>
      </c>
      <c r="AC1042" s="334">
        <v>151.934</v>
      </c>
      <c r="AD1042" s="336">
        <v>11030</v>
      </c>
      <c r="AE1042" s="334">
        <v>157.245</v>
      </c>
      <c r="AF1042" s="336">
        <v>11030</v>
      </c>
      <c r="AG1042" s="334">
        <v>156.01499999999999</v>
      </c>
      <c r="AH1042" s="336">
        <v>11030</v>
      </c>
      <c r="AI1042" s="334">
        <v>157.011</v>
      </c>
      <c r="AJ1042" s="336">
        <v>11010</v>
      </c>
      <c r="AK1042" s="334">
        <v>158.01</v>
      </c>
      <c r="AL1042" s="336">
        <v>11030</v>
      </c>
      <c r="AM1042" s="334">
        <v>157.732</v>
      </c>
      <c r="AN1042" s="336">
        <v>11030</v>
      </c>
      <c r="AO1042" s="334">
        <v>158.31399999999999</v>
      </c>
      <c r="AP1042" s="336">
        <v>11020</v>
      </c>
      <c r="AQ1042" s="334">
        <v>158.399</v>
      </c>
      <c r="AR1042" s="336">
        <v>11030</v>
      </c>
      <c r="AS1042" s="334">
        <v>157.63</v>
      </c>
      <c r="AT1042" s="336">
        <v>11030</v>
      </c>
      <c r="AU1042" s="334">
        <v>156.11000000000001</v>
      </c>
      <c r="AV1042" s="336">
        <v>11030</v>
      </c>
      <c r="AW1042" s="334">
        <v>156.62100000000001</v>
      </c>
      <c r="AX1042" s="336">
        <v>11020</v>
      </c>
      <c r="AY1042" s="334">
        <v>110.78100000000001</v>
      </c>
      <c r="AZ1042" s="336">
        <v>11030</v>
      </c>
      <c r="BA1042" s="337">
        <v>112.20699999999999</v>
      </c>
      <c r="BB1042" s="336">
        <v>11010</v>
      </c>
      <c r="BC1042" s="334">
        <v>23.236999999999998</v>
      </c>
      <c r="BD1042" s="336">
        <v>11010</v>
      </c>
      <c r="BE1042" s="334">
        <v>25.074999999999999</v>
      </c>
    </row>
    <row r="1043" spans="22:57">
      <c r="V1043" s="346">
        <v>11040</v>
      </c>
      <c r="W1043" s="334">
        <v>50.829000000000001</v>
      </c>
      <c r="X1043" s="346">
        <v>11050</v>
      </c>
      <c r="Y1043" s="334">
        <v>50.136000000000003</v>
      </c>
      <c r="Z1043" s="335">
        <v>11040</v>
      </c>
      <c r="AA1043" s="334">
        <v>150.54400000000001</v>
      </c>
      <c r="AB1043" s="336">
        <v>11040</v>
      </c>
      <c r="AC1043" s="334">
        <v>150.661</v>
      </c>
      <c r="AD1043" s="336">
        <v>11040</v>
      </c>
      <c r="AE1043" s="334">
        <v>156.03399999999999</v>
      </c>
      <c r="AF1043" s="336">
        <v>11040</v>
      </c>
      <c r="AG1043" s="334">
        <v>154.80199999999999</v>
      </c>
      <c r="AH1043" s="336">
        <v>11040</v>
      </c>
      <c r="AI1043" s="334">
        <v>155.79900000000001</v>
      </c>
      <c r="AJ1043" s="336">
        <v>11020</v>
      </c>
      <c r="AK1043" s="334">
        <v>156.79900000000001</v>
      </c>
      <c r="AL1043" s="336">
        <v>11040</v>
      </c>
      <c r="AM1043" s="334">
        <v>156.52000000000001</v>
      </c>
      <c r="AN1043" s="336">
        <v>11040</v>
      </c>
      <c r="AO1043" s="334">
        <v>157.10300000000001</v>
      </c>
      <c r="AP1043" s="336">
        <v>11030</v>
      </c>
      <c r="AQ1043" s="334">
        <v>157.18899999999999</v>
      </c>
      <c r="AR1043" s="336">
        <v>11040</v>
      </c>
      <c r="AS1043" s="334">
        <v>156.41800000000001</v>
      </c>
      <c r="AT1043" s="336">
        <v>11040</v>
      </c>
      <c r="AU1043" s="334">
        <v>154.899</v>
      </c>
      <c r="AV1043" s="336">
        <v>11040</v>
      </c>
      <c r="AW1043" s="334">
        <v>155.411</v>
      </c>
      <c r="AX1043" s="336">
        <v>11030</v>
      </c>
      <c r="AY1043" s="334">
        <v>109.828</v>
      </c>
      <c r="AZ1043" s="336">
        <v>11040</v>
      </c>
      <c r="BA1043" s="337">
        <v>111.252</v>
      </c>
      <c r="BB1043" s="336">
        <v>11020</v>
      </c>
      <c r="BC1043" s="334">
        <v>23.033000000000001</v>
      </c>
      <c r="BD1043" s="336">
        <v>11020</v>
      </c>
      <c r="BE1043" s="334">
        <v>24.856999999999999</v>
      </c>
    </row>
    <row r="1044" spans="22:57">
      <c r="V1044" s="346">
        <v>11050</v>
      </c>
      <c r="W1044" s="334">
        <v>50.357999999999997</v>
      </c>
      <c r="X1044" s="346">
        <v>11060</v>
      </c>
      <c r="Y1044" s="334">
        <v>49.668999999999997</v>
      </c>
      <c r="Z1044" s="335">
        <v>11050</v>
      </c>
      <c r="AA1044" s="334">
        <v>149.27199999999999</v>
      </c>
      <c r="AB1044" s="336">
        <v>11050</v>
      </c>
      <c r="AC1044" s="334">
        <v>149.38999999999999</v>
      </c>
      <c r="AD1044" s="336">
        <v>11050</v>
      </c>
      <c r="AE1044" s="334">
        <v>154.82300000000001</v>
      </c>
      <c r="AF1044" s="336">
        <v>11050</v>
      </c>
      <c r="AG1044" s="334">
        <v>153.58799999999999</v>
      </c>
      <c r="AH1044" s="336">
        <v>11050</v>
      </c>
      <c r="AI1044" s="334">
        <v>154.58799999999999</v>
      </c>
      <c r="AJ1044" s="336">
        <v>11030</v>
      </c>
      <c r="AK1044" s="334">
        <v>155.58699999999999</v>
      </c>
      <c r="AL1044" s="336">
        <v>11050</v>
      </c>
      <c r="AM1044" s="334">
        <v>155.309</v>
      </c>
      <c r="AN1044" s="336">
        <v>11050</v>
      </c>
      <c r="AO1044" s="334">
        <v>155.89099999999999</v>
      </c>
      <c r="AP1044" s="336">
        <v>11040</v>
      </c>
      <c r="AQ1044" s="334">
        <v>155.97800000000001</v>
      </c>
      <c r="AR1044" s="336">
        <v>11050</v>
      </c>
      <c r="AS1044" s="334">
        <v>155.20699999999999</v>
      </c>
      <c r="AT1044" s="336">
        <v>11050</v>
      </c>
      <c r="AU1044" s="334">
        <v>153.68899999999999</v>
      </c>
      <c r="AV1044" s="336">
        <v>11050</v>
      </c>
      <c r="AW1044" s="334">
        <v>154.20099999999999</v>
      </c>
      <c r="AX1044" s="336">
        <v>11040</v>
      </c>
      <c r="AY1044" s="334">
        <v>108.876</v>
      </c>
      <c r="AZ1044" s="336">
        <v>11050</v>
      </c>
      <c r="BA1044" s="337">
        <v>110.29900000000001</v>
      </c>
      <c r="BB1044" s="336">
        <v>11030</v>
      </c>
      <c r="BC1044" s="334">
        <v>22.829000000000001</v>
      </c>
      <c r="BD1044" s="336">
        <v>11030</v>
      </c>
      <c r="BE1044" s="334">
        <v>24.638999999999999</v>
      </c>
    </row>
    <row r="1045" spans="22:57">
      <c r="V1045" s="346">
        <v>11060</v>
      </c>
      <c r="W1045" s="334">
        <v>49.887999999999998</v>
      </c>
      <c r="X1045" s="346">
        <v>11070</v>
      </c>
      <c r="Y1045" s="334">
        <v>49.203000000000003</v>
      </c>
      <c r="Z1045" s="335">
        <v>11060</v>
      </c>
      <c r="AA1045" s="334">
        <v>148.001</v>
      </c>
      <c r="AB1045" s="336">
        <v>11060</v>
      </c>
      <c r="AC1045" s="334">
        <v>148.12</v>
      </c>
      <c r="AD1045" s="336">
        <v>11060</v>
      </c>
      <c r="AE1045" s="334">
        <v>153.61199999999999</v>
      </c>
      <c r="AF1045" s="336">
        <v>11060</v>
      </c>
      <c r="AG1045" s="334">
        <v>152.375</v>
      </c>
      <c r="AH1045" s="336">
        <v>11060</v>
      </c>
      <c r="AI1045" s="334">
        <v>153.37700000000001</v>
      </c>
      <c r="AJ1045" s="336">
        <v>11040</v>
      </c>
      <c r="AK1045" s="334">
        <v>154.376</v>
      </c>
      <c r="AL1045" s="336">
        <v>11060</v>
      </c>
      <c r="AM1045" s="334">
        <v>154.09800000000001</v>
      </c>
      <c r="AN1045" s="336">
        <v>11060</v>
      </c>
      <c r="AO1045" s="334">
        <v>154.679</v>
      </c>
      <c r="AP1045" s="336">
        <v>11050</v>
      </c>
      <c r="AQ1045" s="334">
        <v>154.767</v>
      </c>
      <c r="AR1045" s="336">
        <v>11060</v>
      </c>
      <c r="AS1045" s="334">
        <v>153.99600000000001</v>
      </c>
      <c r="AT1045" s="336">
        <v>11060</v>
      </c>
      <c r="AU1045" s="334">
        <v>152.47800000000001</v>
      </c>
      <c r="AV1045" s="336">
        <v>11060</v>
      </c>
      <c r="AW1045" s="334">
        <v>152.99100000000001</v>
      </c>
      <c r="AX1045" s="336">
        <v>11050</v>
      </c>
      <c r="AY1045" s="334">
        <v>107.926</v>
      </c>
      <c r="AZ1045" s="336">
        <v>11060</v>
      </c>
      <c r="BA1045" s="337">
        <v>109.34699999999999</v>
      </c>
      <c r="BB1045" s="336">
        <v>11040</v>
      </c>
      <c r="BC1045" s="334">
        <v>22.626000000000001</v>
      </c>
      <c r="BD1045" s="336">
        <v>11040</v>
      </c>
      <c r="BE1045" s="334">
        <v>24.420999999999999</v>
      </c>
    </row>
    <row r="1046" spans="22:57">
      <c r="V1046" s="346">
        <v>11070</v>
      </c>
      <c r="W1046" s="334">
        <v>49.418999999999997</v>
      </c>
      <c r="X1046" s="346">
        <v>11080</v>
      </c>
      <c r="Y1046" s="334">
        <v>48.738</v>
      </c>
      <c r="Z1046" s="335">
        <v>11070</v>
      </c>
      <c r="AA1046" s="334">
        <v>146.73099999999999</v>
      </c>
      <c r="AB1046" s="336">
        <v>11070</v>
      </c>
      <c r="AC1046" s="334">
        <v>146.852</v>
      </c>
      <c r="AD1046" s="336">
        <v>11070</v>
      </c>
      <c r="AE1046" s="334">
        <v>152.40100000000001</v>
      </c>
      <c r="AF1046" s="336">
        <v>11070</v>
      </c>
      <c r="AG1046" s="334">
        <v>151.16200000000001</v>
      </c>
      <c r="AH1046" s="336">
        <v>11070</v>
      </c>
      <c r="AI1046" s="334">
        <v>152.16499999999999</v>
      </c>
      <c r="AJ1046" s="336">
        <v>11050</v>
      </c>
      <c r="AK1046" s="334">
        <v>153.16399999999999</v>
      </c>
      <c r="AL1046" s="336">
        <v>11070</v>
      </c>
      <c r="AM1046" s="334">
        <v>152.886</v>
      </c>
      <c r="AN1046" s="336">
        <v>11070</v>
      </c>
      <c r="AO1046" s="334">
        <v>153.46700000000001</v>
      </c>
      <c r="AP1046" s="336">
        <v>11060</v>
      </c>
      <c r="AQ1046" s="334">
        <v>153.55699999999999</v>
      </c>
      <c r="AR1046" s="336">
        <v>11070</v>
      </c>
      <c r="AS1046" s="334">
        <v>152.785</v>
      </c>
      <c r="AT1046" s="336">
        <v>11070</v>
      </c>
      <c r="AU1046" s="334">
        <v>151.268</v>
      </c>
      <c r="AV1046" s="336">
        <v>11070</v>
      </c>
      <c r="AW1046" s="334">
        <v>151.78100000000001</v>
      </c>
      <c r="AX1046" s="336">
        <v>11060</v>
      </c>
      <c r="AY1046" s="334">
        <v>106.977</v>
      </c>
      <c r="AZ1046" s="336">
        <v>11070</v>
      </c>
      <c r="BA1046" s="337">
        <v>108.396</v>
      </c>
      <c r="BB1046" s="336">
        <v>11050</v>
      </c>
      <c r="BC1046" s="334">
        <v>22.422999999999998</v>
      </c>
      <c r="BD1046" s="336">
        <v>11050</v>
      </c>
      <c r="BE1046" s="334">
        <v>24.204000000000001</v>
      </c>
    </row>
    <row r="1047" spans="22:57">
      <c r="V1047" s="346">
        <v>11080</v>
      </c>
      <c r="W1047" s="334">
        <v>48.951000000000001</v>
      </c>
      <c r="X1047" s="346">
        <v>11090</v>
      </c>
      <c r="Y1047" s="334">
        <v>48.274000000000001</v>
      </c>
      <c r="Z1047" s="335">
        <v>11080</v>
      </c>
      <c r="AA1047" s="334">
        <v>145.464</v>
      </c>
      <c r="AB1047" s="336">
        <v>11080</v>
      </c>
      <c r="AC1047" s="334">
        <v>145.58600000000001</v>
      </c>
      <c r="AD1047" s="336">
        <v>11080</v>
      </c>
      <c r="AE1047" s="334">
        <v>151.19</v>
      </c>
      <c r="AF1047" s="336">
        <v>11080</v>
      </c>
      <c r="AG1047" s="334">
        <v>149.94800000000001</v>
      </c>
      <c r="AH1047" s="336">
        <v>11080</v>
      </c>
      <c r="AI1047" s="334">
        <v>150.95400000000001</v>
      </c>
      <c r="AJ1047" s="336">
        <v>11060</v>
      </c>
      <c r="AK1047" s="334">
        <v>151.953</v>
      </c>
      <c r="AL1047" s="336">
        <v>11080</v>
      </c>
      <c r="AM1047" s="334">
        <v>151.67500000000001</v>
      </c>
      <c r="AN1047" s="336">
        <v>11080</v>
      </c>
      <c r="AO1047" s="334">
        <v>152.255</v>
      </c>
      <c r="AP1047" s="336">
        <v>11070</v>
      </c>
      <c r="AQ1047" s="334">
        <v>152.346</v>
      </c>
      <c r="AR1047" s="336">
        <v>11080</v>
      </c>
      <c r="AS1047" s="334">
        <v>151.57400000000001</v>
      </c>
      <c r="AT1047" s="336">
        <v>11080</v>
      </c>
      <c r="AU1047" s="334">
        <v>150.05699999999999</v>
      </c>
      <c r="AV1047" s="336">
        <v>11080</v>
      </c>
      <c r="AW1047" s="334">
        <v>150.571</v>
      </c>
      <c r="AX1047" s="336">
        <v>11070</v>
      </c>
      <c r="AY1047" s="334">
        <v>106.03</v>
      </c>
      <c r="AZ1047" s="336">
        <v>11080</v>
      </c>
      <c r="BA1047" s="337">
        <v>107.447</v>
      </c>
      <c r="BB1047" s="336">
        <v>11060</v>
      </c>
      <c r="BC1047" s="334">
        <v>22.221</v>
      </c>
      <c r="BD1047" s="336">
        <v>11060</v>
      </c>
      <c r="BE1047" s="334">
        <v>23.988</v>
      </c>
    </row>
    <row r="1048" spans="22:57">
      <c r="V1048" s="346">
        <v>11090</v>
      </c>
      <c r="W1048" s="334">
        <v>48.484000000000002</v>
      </c>
      <c r="X1048" s="346">
        <v>11100</v>
      </c>
      <c r="Y1048" s="334">
        <v>47.811999999999998</v>
      </c>
      <c r="Z1048" s="335">
        <v>11090</v>
      </c>
      <c r="AA1048" s="334">
        <v>144.19800000000001</v>
      </c>
      <c r="AB1048" s="336">
        <v>11090</v>
      </c>
      <c r="AC1048" s="334">
        <v>144.321</v>
      </c>
      <c r="AD1048" s="336">
        <v>11090</v>
      </c>
      <c r="AE1048" s="334">
        <v>149.97999999999999</v>
      </c>
      <c r="AF1048" s="336">
        <v>11090</v>
      </c>
      <c r="AG1048" s="334">
        <v>148.73500000000001</v>
      </c>
      <c r="AH1048" s="336">
        <v>11090</v>
      </c>
      <c r="AI1048" s="334">
        <v>149.74299999999999</v>
      </c>
      <c r="AJ1048" s="336">
        <v>11070</v>
      </c>
      <c r="AK1048" s="334">
        <v>150.74100000000001</v>
      </c>
      <c r="AL1048" s="336">
        <v>11090</v>
      </c>
      <c r="AM1048" s="334">
        <v>150.464</v>
      </c>
      <c r="AN1048" s="336">
        <v>11090</v>
      </c>
      <c r="AO1048" s="334">
        <v>151.04300000000001</v>
      </c>
      <c r="AP1048" s="336">
        <v>11080</v>
      </c>
      <c r="AQ1048" s="334">
        <v>151.136</v>
      </c>
      <c r="AR1048" s="336">
        <v>11090</v>
      </c>
      <c r="AS1048" s="334">
        <v>150.36199999999999</v>
      </c>
      <c r="AT1048" s="336">
        <v>11090</v>
      </c>
      <c r="AU1048" s="334">
        <v>148.84700000000001</v>
      </c>
      <c r="AV1048" s="336">
        <v>11090</v>
      </c>
      <c r="AW1048" s="334">
        <v>149.36099999999999</v>
      </c>
      <c r="AX1048" s="336">
        <v>11080</v>
      </c>
      <c r="AY1048" s="334">
        <v>105.084</v>
      </c>
      <c r="AZ1048" s="336">
        <v>11090</v>
      </c>
      <c r="BA1048" s="337">
        <v>106.5</v>
      </c>
      <c r="BB1048" s="336">
        <v>11070</v>
      </c>
      <c r="BC1048" s="334">
        <v>22.018999999999998</v>
      </c>
      <c r="BD1048" s="336">
        <v>11070</v>
      </c>
      <c r="BE1048" s="334">
        <v>23.771000000000001</v>
      </c>
    </row>
    <row r="1049" spans="22:57">
      <c r="V1049" s="346">
        <v>11100</v>
      </c>
      <c r="W1049" s="334">
        <v>48.018999999999998</v>
      </c>
      <c r="X1049" s="346">
        <v>11110</v>
      </c>
      <c r="Y1049" s="334">
        <v>47.35</v>
      </c>
      <c r="Z1049" s="335">
        <v>11100</v>
      </c>
      <c r="AA1049" s="334">
        <v>142.934</v>
      </c>
      <c r="AB1049" s="336">
        <v>11100</v>
      </c>
      <c r="AC1049" s="334">
        <v>143.05799999999999</v>
      </c>
      <c r="AD1049" s="336">
        <v>11100</v>
      </c>
      <c r="AE1049" s="334">
        <v>148.76900000000001</v>
      </c>
      <c r="AF1049" s="336">
        <v>11100</v>
      </c>
      <c r="AG1049" s="334">
        <v>147.52199999999999</v>
      </c>
      <c r="AH1049" s="336">
        <v>11100</v>
      </c>
      <c r="AI1049" s="334">
        <v>148.53100000000001</v>
      </c>
      <c r="AJ1049" s="336">
        <v>11080</v>
      </c>
      <c r="AK1049" s="334">
        <v>149.529</v>
      </c>
      <c r="AL1049" s="336">
        <v>11100</v>
      </c>
      <c r="AM1049" s="334">
        <v>149.25299999999999</v>
      </c>
      <c r="AN1049" s="336">
        <v>11100</v>
      </c>
      <c r="AO1049" s="334">
        <v>149.83099999999999</v>
      </c>
      <c r="AP1049" s="336">
        <v>11090</v>
      </c>
      <c r="AQ1049" s="334">
        <v>149.92500000000001</v>
      </c>
      <c r="AR1049" s="336">
        <v>11100</v>
      </c>
      <c r="AS1049" s="334">
        <v>149.15100000000001</v>
      </c>
      <c r="AT1049" s="336">
        <v>11100</v>
      </c>
      <c r="AU1049" s="334">
        <v>147.636</v>
      </c>
      <c r="AV1049" s="336">
        <v>11100</v>
      </c>
      <c r="AW1049" s="334">
        <v>148.15</v>
      </c>
      <c r="AX1049" s="336">
        <v>11090</v>
      </c>
      <c r="AY1049" s="334">
        <v>104.14</v>
      </c>
      <c r="AZ1049" s="336">
        <v>11100</v>
      </c>
      <c r="BA1049" s="337">
        <v>105.554</v>
      </c>
      <c r="BB1049" s="336">
        <v>11080</v>
      </c>
      <c r="BC1049" s="334">
        <v>21.817</v>
      </c>
      <c r="BD1049" s="336">
        <v>11080</v>
      </c>
      <c r="BE1049" s="334">
        <v>23.555</v>
      </c>
    </row>
    <row r="1050" spans="22:57">
      <c r="V1050" s="346">
        <v>11110</v>
      </c>
      <c r="W1050" s="334">
        <v>47.554000000000002</v>
      </c>
      <c r="X1050" s="346">
        <v>11120</v>
      </c>
      <c r="Y1050" s="334">
        <v>46.89</v>
      </c>
      <c r="Z1050" s="335">
        <v>11110</v>
      </c>
      <c r="AA1050" s="334">
        <v>141.67099999999999</v>
      </c>
      <c r="AB1050" s="336">
        <v>11110</v>
      </c>
      <c r="AC1050" s="334">
        <v>141.797</v>
      </c>
      <c r="AD1050" s="336">
        <v>11110</v>
      </c>
      <c r="AE1050" s="334">
        <v>147.55799999999999</v>
      </c>
      <c r="AF1050" s="336">
        <v>11110</v>
      </c>
      <c r="AG1050" s="334">
        <v>146.309</v>
      </c>
      <c r="AH1050" s="336">
        <v>11110</v>
      </c>
      <c r="AI1050" s="334">
        <v>147.32</v>
      </c>
      <c r="AJ1050" s="336">
        <v>11090</v>
      </c>
      <c r="AK1050" s="334">
        <v>148.31800000000001</v>
      </c>
      <c r="AL1050" s="336">
        <v>11110</v>
      </c>
      <c r="AM1050" s="334">
        <v>148.041</v>
      </c>
      <c r="AN1050" s="336">
        <v>11110</v>
      </c>
      <c r="AO1050" s="334">
        <v>148.619</v>
      </c>
      <c r="AP1050" s="336">
        <v>11100</v>
      </c>
      <c r="AQ1050" s="334">
        <v>148.714</v>
      </c>
      <c r="AR1050" s="336">
        <v>11110</v>
      </c>
      <c r="AS1050" s="334">
        <v>147.94</v>
      </c>
      <c r="AT1050" s="336">
        <v>11110</v>
      </c>
      <c r="AU1050" s="334">
        <v>146.42599999999999</v>
      </c>
      <c r="AV1050" s="336">
        <v>11110</v>
      </c>
      <c r="AW1050" s="334">
        <v>146.94</v>
      </c>
      <c r="AX1050" s="336">
        <v>11100</v>
      </c>
      <c r="AY1050" s="334">
        <v>103.197</v>
      </c>
      <c r="AZ1050" s="336">
        <v>11110</v>
      </c>
      <c r="BA1050" s="337">
        <v>104.61</v>
      </c>
      <c r="BB1050" s="336">
        <v>11090</v>
      </c>
      <c r="BC1050" s="334">
        <v>21.616</v>
      </c>
      <c r="BD1050" s="336">
        <v>11090</v>
      </c>
      <c r="BE1050" s="334">
        <v>23.34</v>
      </c>
    </row>
    <row r="1051" spans="22:57">
      <c r="V1051" s="346">
        <v>11120</v>
      </c>
      <c r="W1051" s="334">
        <v>47.091000000000001</v>
      </c>
      <c r="X1051" s="346">
        <v>11130</v>
      </c>
      <c r="Y1051" s="334">
        <v>46.430999999999997</v>
      </c>
      <c r="Z1051" s="335">
        <v>11120</v>
      </c>
      <c r="AA1051" s="334">
        <v>140.411</v>
      </c>
      <c r="AB1051" s="336">
        <v>11120</v>
      </c>
      <c r="AC1051" s="334">
        <v>140.53700000000001</v>
      </c>
      <c r="AD1051" s="336">
        <v>11120</v>
      </c>
      <c r="AE1051" s="334">
        <v>146.34700000000001</v>
      </c>
      <c r="AF1051" s="336">
        <v>11120</v>
      </c>
      <c r="AG1051" s="334">
        <v>145.095</v>
      </c>
      <c r="AH1051" s="336">
        <v>11120</v>
      </c>
      <c r="AI1051" s="334">
        <v>146.10900000000001</v>
      </c>
      <c r="AJ1051" s="336">
        <v>11100</v>
      </c>
      <c r="AK1051" s="334">
        <v>147.10599999999999</v>
      </c>
      <c r="AL1051" s="336">
        <v>11120</v>
      </c>
      <c r="AM1051" s="334">
        <v>146.83000000000001</v>
      </c>
      <c r="AN1051" s="336">
        <v>11120</v>
      </c>
      <c r="AO1051" s="334">
        <v>147.40700000000001</v>
      </c>
      <c r="AP1051" s="336">
        <v>11110</v>
      </c>
      <c r="AQ1051" s="334">
        <v>147.50399999999999</v>
      </c>
      <c r="AR1051" s="336">
        <v>11120</v>
      </c>
      <c r="AS1051" s="334">
        <v>146.72900000000001</v>
      </c>
      <c r="AT1051" s="336">
        <v>11120</v>
      </c>
      <c r="AU1051" s="334">
        <v>145.215</v>
      </c>
      <c r="AV1051" s="336">
        <v>11120</v>
      </c>
      <c r="AW1051" s="334">
        <v>145.72999999999999</v>
      </c>
      <c r="AX1051" s="336">
        <v>11110</v>
      </c>
      <c r="AY1051" s="334">
        <v>102.256</v>
      </c>
      <c r="AZ1051" s="336">
        <v>11120</v>
      </c>
      <c r="BA1051" s="337">
        <v>103.667</v>
      </c>
      <c r="BB1051" s="336">
        <v>11100</v>
      </c>
      <c r="BC1051" s="334">
        <v>21.414999999999999</v>
      </c>
      <c r="BD1051" s="336">
        <v>11100</v>
      </c>
      <c r="BE1051" s="334">
        <v>23.125</v>
      </c>
    </row>
    <row r="1052" spans="22:57">
      <c r="V1052" s="346">
        <v>11130</v>
      </c>
      <c r="W1052" s="334">
        <v>46.628999999999998</v>
      </c>
      <c r="X1052" s="346">
        <v>11140</v>
      </c>
      <c r="Y1052" s="334">
        <v>45.972999999999999</v>
      </c>
      <c r="Z1052" s="335">
        <v>11130</v>
      </c>
      <c r="AA1052" s="334">
        <v>139.15199999999999</v>
      </c>
      <c r="AB1052" s="336">
        <v>11130</v>
      </c>
      <c r="AC1052" s="334">
        <v>139.28</v>
      </c>
      <c r="AD1052" s="336">
        <v>11130</v>
      </c>
      <c r="AE1052" s="334">
        <v>145.136</v>
      </c>
      <c r="AF1052" s="336">
        <v>11130</v>
      </c>
      <c r="AG1052" s="334">
        <v>143.88200000000001</v>
      </c>
      <c r="AH1052" s="336">
        <v>11130</v>
      </c>
      <c r="AI1052" s="334">
        <v>144.89699999999999</v>
      </c>
      <c r="AJ1052" s="336">
        <v>11110</v>
      </c>
      <c r="AK1052" s="334">
        <v>145.89500000000001</v>
      </c>
      <c r="AL1052" s="336">
        <v>11130</v>
      </c>
      <c r="AM1052" s="334">
        <v>145.619</v>
      </c>
      <c r="AN1052" s="336">
        <v>11130</v>
      </c>
      <c r="AO1052" s="334">
        <v>146.19499999999999</v>
      </c>
      <c r="AP1052" s="336">
        <v>11120</v>
      </c>
      <c r="AQ1052" s="334">
        <v>146.29300000000001</v>
      </c>
      <c r="AR1052" s="336">
        <v>11130</v>
      </c>
      <c r="AS1052" s="334">
        <v>145.517</v>
      </c>
      <c r="AT1052" s="336">
        <v>11130</v>
      </c>
      <c r="AU1052" s="334">
        <v>144.005</v>
      </c>
      <c r="AV1052" s="336">
        <v>11130</v>
      </c>
      <c r="AW1052" s="334">
        <v>144.52000000000001</v>
      </c>
      <c r="AX1052" s="336">
        <v>11120</v>
      </c>
      <c r="AY1052" s="334">
        <v>101.316</v>
      </c>
      <c r="AZ1052" s="336">
        <v>11130</v>
      </c>
      <c r="BA1052" s="337">
        <v>102.726</v>
      </c>
      <c r="BB1052" s="336">
        <v>11110</v>
      </c>
      <c r="BC1052" s="334">
        <v>21.213999999999999</v>
      </c>
      <c r="BD1052" s="336">
        <v>11110</v>
      </c>
      <c r="BE1052" s="334">
        <v>22.91</v>
      </c>
    </row>
    <row r="1053" spans="22:57">
      <c r="V1053" s="346">
        <v>11140</v>
      </c>
      <c r="W1053" s="334">
        <v>46.167999999999999</v>
      </c>
      <c r="X1053" s="346">
        <v>11150</v>
      </c>
      <c r="Y1053" s="334">
        <v>45.515999999999998</v>
      </c>
      <c r="Z1053" s="335">
        <v>11140</v>
      </c>
      <c r="AA1053" s="334">
        <v>137.89400000000001</v>
      </c>
      <c r="AB1053" s="336">
        <v>11140</v>
      </c>
      <c r="AC1053" s="334">
        <v>138.023</v>
      </c>
      <c r="AD1053" s="336">
        <v>11140</v>
      </c>
      <c r="AE1053" s="334">
        <v>143.92500000000001</v>
      </c>
      <c r="AF1053" s="336">
        <v>11140</v>
      </c>
      <c r="AG1053" s="334">
        <v>142.66900000000001</v>
      </c>
      <c r="AH1053" s="336">
        <v>11140</v>
      </c>
      <c r="AI1053" s="334">
        <v>143.68600000000001</v>
      </c>
      <c r="AJ1053" s="336">
        <v>11120</v>
      </c>
      <c r="AK1053" s="334">
        <v>144.68299999999999</v>
      </c>
      <c r="AL1053" s="336">
        <v>11140</v>
      </c>
      <c r="AM1053" s="334">
        <v>144.40700000000001</v>
      </c>
      <c r="AN1053" s="336">
        <v>11140</v>
      </c>
      <c r="AO1053" s="334">
        <v>144.983</v>
      </c>
      <c r="AP1053" s="336">
        <v>11130</v>
      </c>
      <c r="AQ1053" s="334">
        <v>145.083</v>
      </c>
      <c r="AR1053" s="336">
        <v>11140</v>
      </c>
      <c r="AS1053" s="334">
        <v>144.30600000000001</v>
      </c>
      <c r="AT1053" s="336">
        <v>11140</v>
      </c>
      <c r="AU1053" s="334">
        <v>142.79400000000001</v>
      </c>
      <c r="AV1053" s="336">
        <v>11140</v>
      </c>
      <c r="AW1053" s="334">
        <v>143.31</v>
      </c>
      <c r="AX1053" s="336">
        <v>11130</v>
      </c>
      <c r="AY1053" s="334">
        <v>100.378</v>
      </c>
      <c r="AZ1053" s="336">
        <v>11140</v>
      </c>
      <c r="BA1053" s="337">
        <v>101.786</v>
      </c>
      <c r="BB1053" s="336">
        <v>11120</v>
      </c>
      <c r="BC1053" s="334">
        <v>21.013999999999999</v>
      </c>
      <c r="BD1053" s="336">
        <v>11120</v>
      </c>
      <c r="BE1053" s="334">
        <v>22.696000000000002</v>
      </c>
    </row>
    <row r="1054" spans="22:57">
      <c r="V1054" s="346">
        <v>11150</v>
      </c>
      <c r="W1054" s="334">
        <v>45.707999999999998</v>
      </c>
      <c r="X1054" s="346">
        <v>11160</v>
      </c>
      <c r="Y1054" s="334">
        <v>45.06</v>
      </c>
      <c r="Z1054" s="335">
        <v>11150</v>
      </c>
      <c r="AA1054" s="334">
        <v>136.63900000000001</v>
      </c>
      <c r="AB1054" s="336">
        <v>11150</v>
      </c>
      <c r="AC1054" s="334">
        <v>136.76900000000001</v>
      </c>
      <c r="AD1054" s="336">
        <v>11150</v>
      </c>
      <c r="AE1054" s="334">
        <v>142.714</v>
      </c>
      <c r="AF1054" s="336">
        <v>11150</v>
      </c>
      <c r="AG1054" s="334">
        <v>141.45500000000001</v>
      </c>
      <c r="AH1054" s="336">
        <v>11150</v>
      </c>
      <c r="AI1054" s="334">
        <v>142.47499999999999</v>
      </c>
      <c r="AJ1054" s="336">
        <v>11130</v>
      </c>
      <c r="AK1054" s="334">
        <v>143.47200000000001</v>
      </c>
      <c r="AL1054" s="336">
        <v>11150</v>
      </c>
      <c r="AM1054" s="334">
        <v>143.196</v>
      </c>
      <c r="AN1054" s="336">
        <v>11150</v>
      </c>
      <c r="AO1054" s="334">
        <v>143.77099999999999</v>
      </c>
      <c r="AP1054" s="336">
        <v>11140</v>
      </c>
      <c r="AQ1054" s="334">
        <v>143.87200000000001</v>
      </c>
      <c r="AR1054" s="336">
        <v>11150</v>
      </c>
      <c r="AS1054" s="334">
        <v>143.095</v>
      </c>
      <c r="AT1054" s="336">
        <v>11150</v>
      </c>
      <c r="AU1054" s="334">
        <v>141.583</v>
      </c>
      <c r="AV1054" s="336">
        <v>11150</v>
      </c>
      <c r="AW1054" s="334">
        <v>142.1</v>
      </c>
      <c r="AX1054" s="336">
        <v>11140</v>
      </c>
      <c r="AY1054" s="334">
        <v>99.441999999999993</v>
      </c>
      <c r="AZ1054" s="336">
        <v>11150</v>
      </c>
      <c r="BA1054" s="337">
        <v>100.848</v>
      </c>
      <c r="BB1054" s="336">
        <v>11130</v>
      </c>
      <c r="BC1054" s="334">
        <v>20.814</v>
      </c>
      <c r="BD1054" s="336">
        <v>11130</v>
      </c>
      <c r="BE1054" s="334">
        <v>22.481999999999999</v>
      </c>
    </row>
    <row r="1055" spans="22:57">
      <c r="V1055" s="346">
        <v>11160</v>
      </c>
      <c r="W1055" s="334">
        <v>45.249000000000002</v>
      </c>
      <c r="X1055" s="346">
        <v>11170</v>
      </c>
      <c r="Y1055" s="334">
        <v>44.606000000000002</v>
      </c>
      <c r="Z1055" s="335">
        <v>11160</v>
      </c>
      <c r="AA1055" s="334">
        <v>135.38499999999999</v>
      </c>
      <c r="AB1055" s="336">
        <v>11160</v>
      </c>
      <c r="AC1055" s="334">
        <v>135.51599999999999</v>
      </c>
      <c r="AD1055" s="336">
        <v>11160</v>
      </c>
      <c r="AE1055" s="334">
        <v>141.50299999999999</v>
      </c>
      <c r="AF1055" s="336">
        <v>11160</v>
      </c>
      <c r="AG1055" s="334">
        <v>140.24199999999999</v>
      </c>
      <c r="AH1055" s="336">
        <v>11160</v>
      </c>
      <c r="AI1055" s="334">
        <v>141.26300000000001</v>
      </c>
      <c r="AJ1055" s="336">
        <v>11140</v>
      </c>
      <c r="AK1055" s="334">
        <v>142.26</v>
      </c>
      <c r="AL1055" s="336">
        <v>11160</v>
      </c>
      <c r="AM1055" s="334">
        <v>141.98500000000001</v>
      </c>
      <c r="AN1055" s="336">
        <v>11160</v>
      </c>
      <c r="AO1055" s="334">
        <v>142.559</v>
      </c>
      <c r="AP1055" s="336">
        <v>11150</v>
      </c>
      <c r="AQ1055" s="334">
        <v>142.661</v>
      </c>
      <c r="AR1055" s="336">
        <v>11160</v>
      </c>
      <c r="AS1055" s="334">
        <v>141.88399999999999</v>
      </c>
      <c r="AT1055" s="336">
        <v>11160</v>
      </c>
      <c r="AU1055" s="334">
        <v>140.37299999999999</v>
      </c>
      <c r="AV1055" s="336">
        <v>11160</v>
      </c>
      <c r="AW1055" s="334">
        <v>140.88999999999999</v>
      </c>
      <c r="AX1055" s="336">
        <v>11150</v>
      </c>
      <c r="AY1055" s="334">
        <v>98.507000000000005</v>
      </c>
      <c r="AZ1055" s="336">
        <v>11160</v>
      </c>
      <c r="BA1055" s="337">
        <v>99.911000000000001</v>
      </c>
      <c r="BB1055" s="336">
        <v>11140</v>
      </c>
      <c r="BC1055" s="334">
        <v>20.614999999999998</v>
      </c>
      <c r="BD1055" s="336">
        <v>11140</v>
      </c>
      <c r="BE1055" s="334">
        <v>22.268999999999998</v>
      </c>
    </row>
    <row r="1056" spans="22:57">
      <c r="V1056" s="346">
        <v>11170</v>
      </c>
      <c r="W1056" s="334">
        <v>44.792000000000002</v>
      </c>
      <c r="X1056" s="346">
        <v>11180</v>
      </c>
      <c r="Y1056" s="334">
        <v>44.152000000000001</v>
      </c>
      <c r="Z1056" s="335">
        <v>11170</v>
      </c>
      <c r="AA1056" s="334">
        <v>134.13300000000001</v>
      </c>
      <c r="AB1056" s="336">
        <v>11170</v>
      </c>
      <c r="AC1056" s="334">
        <v>134.26599999999999</v>
      </c>
      <c r="AD1056" s="336">
        <v>11170</v>
      </c>
      <c r="AE1056" s="334">
        <v>140.292</v>
      </c>
      <c r="AF1056" s="336">
        <v>11170</v>
      </c>
      <c r="AG1056" s="334">
        <v>139.029</v>
      </c>
      <c r="AH1056" s="336">
        <v>11170</v>
      </c>
      <c r="AI1056" s="334">
        <v>140.05199999999999</v>
      </c>
      <c r="AJ1056" s="336">
        <v>11150</v>
      </c>
      <c r="AK1056" s="334">
        <v>141.04900000000001</v>
      </c>
      <c r="AL1056" s="336">
        <v>11170</v>
      </c>
      <c r="AM1056" s="334">
        <v>140.774</v>
      </c>
      <c r="AN1056" s="336">
        <v>11170</v>
      </c>
      <c r="AO1056" s="334">
        <v>141.34800000000001</v>
      </c>
      <c r="AP1056" s="336">
        <v>11160</v>
      </c>
      <c r="AQ1056" s="334">
        <v>141.45099999999999</v>
      </c>
      <c r="AR1056" s="336">
        <v>11170</v>
      </c>
      <c r="AS1056" s="334">
        <v>140.672</v>
      </c>
      <c r="AT1056" s="336">
        <v>11170</v>
      </c>
      <c r="AU1056" s="334">
        <v>139.16200000000001</v>
      </c>
      <c r="AV1056" s="336">
        <v>11170</v>
      </c>
      <c r="AW1056" s="334">
        <v>139.68</v>
      </c>
      <c r="AX1056" s="336">
        <v>11160</v>
      </c>
      <c r="AY1056" s="334">
        <v>97.572999999999993</v>
      </c>
      <c r="AZ1056" s="336">
        <v>11170</v>
      </c>
      <c r="BA1056" s="337">
        <v>98.975999999999999</v>
      </c>
      <c r="BB1056" s="336">
        <v>11150</v>
      </c>
      <c r="BC1056" s="334">
        <v>20.416</v>
      </c>
      <c r="BD1056" s="336">
        <v>11150</v>
      </c>
      <c r="BE1056" s="334">
        <v>22.056000000000001</v>
      </c>
    </row>
    <row r="1057" spans="22:57">
      <c r="V1057" s="346">
        <v>11180</v>
      </c>
      <c r="W1057" s="334">
        <v>44.335999999999999</v>
      </c>
      <c r="X1057" s="346">
        <v>11190</v>
      </c>
      <c r="Y1057" s="334">
        <v>43.7</v>
      </c>
      <c r="Z1057" s="335">
        <v>11180</v>
      </c>
      <c r="AA1057" s="334">
        <v>132.88300000000001</v>
      </c>
      <c r="AB1057" s="336">
        <v>11180</v>
      </c>
      <c r="AC1057" s="334">
        <v>133.01599999999999</v>
      </c>
      <c r="AD1057" s="336">
        <v>11180</v>
      </c>
      <c r="AE1057" s="334">
        <v>139.08199999999999</v>
      </c>
      <c r="AF1057" s="336">
        <v>11180</v>
      </c>
      <c r="AG1057" s="334">
        <v>137.816</v>
      </c>
      <c r="AH1057" s="336">
        <v>11180</v>
      </c>
      <c r="AI1057" s="334">
        <v>138.84100000000001</v>
      </c>
      <c r="AJ1057" s="336">
        <v>11160</v>
      </c>
      <c r="AK1057" s="334">
        <v>139.83699999999999</v>
      </c>
      <c r="AL1057" s="336">
        <v>11180</v>
      </c>
      <c r="AM1057" s="334">
        <v>139.56200000000001</v>
      </c>
      <c r="AN1057" s="336">
        <v>11180</v>
      </c>
      <c r="AO1057" s="334">
        <v>140.136</v>
      </c>
      <c r="AP1057" s="336">
        <v>11170</v>
      </c>
      <c r="AQ1057" s="334">
        <v>140.24</v>
      </c>
      <c r="AR1057" s="336">
        <v>11180</v>
      </c>
      <c r="AS1057" s="334">
        <v>139.46100000000001</v>
      </c>
      <c r="AT1057" s="336">
        <v>11180</v>
      </c>
      <c r="AU1057" s="334">
        <v>137.952</v>
      </c>
      <c r="AV1057" s="336">
        <v>11180</v>
      </c>
      <c r="AW1057" s="334">
        <v>138.47</v>
      </c>
      <c r="AX1057" s="336">
        <v>11170</v>
      </c>
      <c r="AY1057" s="334">
        <v>96.641999999999996</v>
      </c>
      <c r="AZ1057" s="336">
        <v>11180</v>
      </c>
      <c r="BA1057" s="337">
        <v>98.043000000000006</v>
      </c>
      <c r="BB1057" s="336">
        <v>11160</v>
      </c>
      <c r="BC1057" s="334">
        <v>20.218</v>
      </c>
      <c r="BD1057" s="336">
        <v>11160</v>
      </c>
      <c r="BE1057" s="334">
        <v>21.843</v>
      </c>
    </row>
    <row r="1058" spans="22:57">
      <c r="V1058" s="346">
        <v>11190</v>
      </c>
      <c r="W1058" s="334">
        <v>43.88</v>
      </c>
      <c r="X1058" s="346">
        <v>11200</v>
      </c>
      <c r="Y1058" s="334">
        <v>43.249000000000002</v>
      </c>
      <c r="Z1058" s="335">
        <v>11190</v>
      </c>
      <c r="AA1058" s="334">
        <v>131.63399999999999</v>
      </c>
      <c r="AB1058" s="336">
        <v>11190</v>
      </c>
      <c r="AC1058" s="334">
        <v>131.76900000000001</v>
      </c>
      <c r="AD1058" s="336">
        <v>11190</v>
      </c>
      <c r="AE1058" s="334">
        <v>137.87100000000001</v>
      </c>
      <c r="AF1058" s="336">
        <v>11190</v>
      </c>
      <c r="AG1058" s="334">
        <v>136.602</v>
      </c>
      <c r="AH1058" s="336">
        <v>11190</v>
      </c>
      <c r="AI1058" s="334">
        <v>137.62899999999999</v>
      </c>
      <c r="AJ1058" s="336">
        <v>11170</v>
      </c>
      <c r="AK1058" s="334">
        <v>138.626</v>
      </c>
      <c r="AL1058" s="336">
        <v>11190</v>
      </c>
      <c r="AM1058" s="334">
        <v>138.351</v>
      </c>
      <c r="AN1058" s="336">
        <v>11190</v>
      </c>
      <c r="AO1058" s="334">
        <v>138.92400000000001</v>
      </c>
      <c r="AP1058" s="336">
        <v>11180</v>
      </c>
      <c r="AQ1058" s="334">
        <v>139.029</v>
      </c>
      <c r="AR1058" s="336">
        <v>11190</v>
      </c>
      <c r="AS1058" s="334">
        <v>138.25</v>
      </c>
      <c r="AT1058" s="336">
        <v>11190</v>
      </c>
      <c r="AU1058" s="334">
        <v>136.74100000000001</v>
      </c>
      <c r="AV1058" s="336">
        <v>11190</v>
      </c>
      <c r="AW1058" s="334">
        <v>137.26</v>
      </c>
      <c r="AX1058" s="336">
        <v>11180</v>
      </c>
      <c r="AY1058" s="334">
        <v>95.710999999999999</v>
      </c>
      <c r="AZ1058" s="336">
        <v>11190</v>
      </c>
      <c r="BA1058" s="337">
        <v>97.11</v>
      </c>
      <c r="BB1058" s="336">
        <v>11170</v>
      </c>
      <c r="BC1058" s="334">
        <v>20.02</v>
      </c>
      <c r="BD1058" s="336">
        <v>11170</v>
      </c>
      <c r="BE1058" s="334">
        <v>21.631</v>
      </c>
    </row>
    <row r="1059" spans="22:57">
      <c r="V1059" s="346">
        <v>11200</v>
      </c>
      <c r="W1059" s="334">
        <v>43.426000000000002</v>
      </c>
      <c r="X1059" s="346">
        <v>11210</v>
      </c>
      <c r="Y1059" s="334">
        <v>42.798999999999999</v>
      </c>
      <c r="Z1059" s="335">
        <v>11200</v>
      </c>
      <c r="AA1059" s="334">
        <v>130.387</v>
      </c>
      <c r="AB1059" s="336">
        <v>11200</v>
      </c>
      <c r="AC1059" s="334">
        <v>130.523</v>
      </c>
      <c r="AD1059" s="336">
        <v>11200</v>
      </c>
      <c r="AE1059" s="334">
        <v>136.66</v>
      </c>
      <c r="AF1059" s="336">
        <v>11200</v>
      </c>
      <c r="AG1059" s="334">
        <v>135.38900000000001</v>
      </c>
      <c r="AH1059" s="336">
        <v>11200</v>
      </c>
      <c r="AI1059" s="334">
        <v>136.41800000000001</v>
      </c>
      <c r="AJ1059" s="336">
        <v>11180</v>
      </c>
      <c r="AK1059" s="334">
        <v>137.41399999999999</v>
      </c>
      <c r="AL1059" s="336">
        <v>11200</v>
      </c>
      <c r="AM1059" s="334">
        <v>137.13999999999999</v>
      </c>
      <c r="AN1059" s="336">
        <v>11200</v>
      </c>
      <c r="AO1059" s="334">
        <v>137.71199999999999</v>
      </c>
      <c r="AP1059" s="336">
        <v>11190</v>
      </c>
      <c r="AQ1059" s="334">
        <v>137.81899999999999</v>
      </c>
      <c r="AR1059" s="336">
        <v>11200</v>
      </c>
      <c r="AS1059" s="334">
        <v>137.03899999999999</v>
      </c>
      <c r="AT1059" s="336">
        <v>11200</v>
      </c>
      <c r="AU1059" s="334">
        <v>135.53100000000001</v>
      </c>
      <c r="AV1059" s="336">
        <v>11200</v>
      </c>
      <c r="AW1059" s="334">
        <v>136.05000000000001</v>
      </c>
      <c r="AX1059" s="336">
        <v>11190</v>
      </c>
      <c r="AY1059" s="334">
        <v>94.783000000000001</v>
      </c>
      <c r="AZ1059" s="336">
        <v>11200</v>
      </c>
      <c r="BA1059" s="337">
        <v>96.18</v>
      </c>
      <c r="BB1059" s="336">
        <v>11180</v>
      </c>
      <c r="BC1059" s="334">
        <v>19.821999999999999</v>
      </c>
      <c r="BD1059" s="336">
        <v>11180</v>
      </c>
      <c r="BE1059" s="334">
        <v>21.419</v>
      </c>
    </row>
    <row r="1060" spans="22:57">
      <c r="V1060" s="346">
        <v>11210</v>
      </c>
      <c r="W1060" s="334">
        <v>42.972999999999999</v>
      </c>
      <c r="X1060" s="346">
        <v>11220</v>
      </c>
      <c r="Y1060" s="334">
        <v>42.35</v>
      </c>
      <c r="Z1060" s="335">
        <v>11210</v>
      </c>
      <c r="AA1060" s="334">
        <v>129.142</v>
      </c>
      <c r="AB1060" s="336">
        <v>11210</v>
      </c>
      <c r="AC1060" s="334">
        <v>129.279</v>
      </c>
      <c r="AD1060" s="336">
        <v>11210</v>
      </c>
      <c r="AE1060" s="334">
        <v>135.44900000000001</v>
      </c>
      <c r="AF1060" s="336">
        <v>11210</v>
      </c>
      <c r="AG1060" s="334">
        <v>134.17599999999999</v>
      </c>
      <c r="AH1060" s="336">
        <v>11210</v>
      </c>
      <c r="AI1060" s="334">
        <v>135.20699999999999</v>
      </c>
      <c r="AJ1060" s="336">
        <v>11190</v>
      </c>
      <c r="AK1060" s="334">
        <v>136.203</v>
      </c>
      <c r="AL1060" s="336">
        <v>11210</v>
      </c>
      <c r="AM1060" s="334">
        <v>135.928</v>
      </c>
      <c r="AN1060" s="336">
        <v>11210</v>
      </c>
      <c r="AO1060" s="334">
        <v>136.5</v>
      </c>
      <c r="AP1060" s="336">
        <v>11200</v>
      </c>
      <c r="AQ1060" s="334">
        <v>136.608</v>
      </c>
      <c r="AR1060" s="336">
        <v>11210</v>
      </c>
      <c r="AS1060" s="334">
        <v>135.827</v>
      </c>
      <c r="AT1060" s="336">
        <v>11210</v>
      </c>
      <c r="AU1060" s="334">
        <v>134.32</v>
      </c>
      <c r="AV1060" s="336">
        <v>11210</v>
      </c>
      <c r="AW1060" s="334">
        <v>134.84</v>
      </c>
      <c r="AX1060" s="336">
        <v>11200</v>
      </c>
      <c r="AY1060" s="334">
        <v>93.855000000000004</v>
      </c>
      <c r="AZ1060" s="336">
        <v>11210</v>
      </c>
      <c r="BA1060" s="337">
        <v>95.251000000000005</v>
      </c>
      <c r="BB1060" s="336">
        <v>11190</v>
      </c>
      <c r="BC1060" s="334">
        <v>19.625</v>
      </c>
      <c r="BD1060" s="336">
        <v>11190</v>
      </c>
      <c r="BE1060" s="334">
        <v>21.207000000000001</v>
      </c>
    </row>
    <row r="1061" spans="22:57">
      <c r="V1061" s="346">
        <v>11220</v>
      </c>
      <c r="W1061" s="334">
        <v>42.521999999999998</v>
      </c>
      <c r="X1061" s="346">
        <v>11230</v>
      </c>
      <c r="Y1061" s="334">
        <v>41.902999999999999</v>
      </c>
      <c r="Z1061" s="335">
        <v>11220</v>
      </c>
      <c r="AA1061" s="334">
        <v>127.899</v>
      </c>
      <c r="AB1061" s="336">
        <v>11220</v>
      </c>
      <c r="AC1061" s="334">
        <v>128.03700000000001</v>
      </c>
      <c r="AD1061" s="336">
        <v>11220</v>
      </c>
      <c r="AE1061" s="334">
        <v>134.238</v>
      </c>
      <c r="AF1061" s="336">
        <v>11220</v>
      </c>
      <c r="AG1061" s="334">
        <v>132.96299999999999</v>
      </c>
      <c r="AH1061" s="336">
        <v>11220</v>
      </c>
      <c r="AI1061" s="334">
        <v>133.99600000000001</v>
      </c>
      <c r="AJ1061" s="336">
        <v>11200</v>
      </c>
      <c r="AK1061" s="334">
        <v>134.99100000000001</v>
      </c>
      <c r="AL1061" s="336">
        <v>11220</v>
      </c>
      <c r="AM1061" s="334">
        <v>134.71700000000001</v>
      </c>
      <c r="AN1061" s="336">
        <v>11220</v>
      </c>
      <c r="AO1061" s="334">
        <v>135.28800000000001</v>
      </c>
      <c r="AP1061" s="336">
        <v>11210</v>
      </c>
      <c r="AQ1061" s="334">
        <v>135.398</v>
      </c>
      <c r="AR1061" s="336">
        <v>11220</v>
      </c>
      <c r="AS1061" s="334">
        <v>134.61600000000001</v>
      </c>
      <c r="AT1061" s="336">
        <v>11220</v>
      </c>
      <c r="AU1061" s="334">
        <v>133.11000000000001</v>
      </c>
      <c r="AV1061" s="336">
        <v>11220</v>
      </c>
      <c r="AW1061" s="334">
        <v>133.63</v>
      </c>
      <c r="AX1061" s="336">
        <v>11210</v>
      </c>
      <c r="AY1061" s="334">
        <v>92.93</v>
      </c>
      <c r="AZ1061" s="336">
        <v>11220</v>
      </c>
      <c r="BA1061" s="337">
        <v>94.322999999999993</v>
      </c>
      <c r="BB1061" s="336">
        <v>11200</v>
      </c>
      <c r="BC1061" s="334">
        <v>19.428000000000001</v>
      </c>
      <c r="BD1061" s="336">
        <v>11200</v>
      </c>
      <c r="BE1061" s="334">
        <v>20.995999999999999</v>
      </c>
    </row>
    <row r="1062" spans="22:57">
      <c r="V1062" s="346">
        <v>11230</v>
      </c>
      <c r="W1062" s="334">
        <v>42.070999999999998</v>
      </c>
      <c r="X1062" s="346">
        <v>11240</v>
      </c>
      <c r="Y1062" s="334">
        <v>41.456000000000003</v>
      </c>
      <c r="Z1062" s="335">
        <v>11230</v>
      </c>
      <c r="AA1062" s="334">
        <v>126.657</v>
      </c>
      <c r="AB1062" s="336">
        <v>11230</v>
      </c>
      <c r="AC1062" s="334">
        <v>126.797</v>
      </c>
      <c r="AD1062" s="336">
        <v>11230</v>
      </c>
      <c r="AE1062" s="334">
        <v>133.02699999999999</v>
      </c>
      <c r="AF1062" s="336">
        <v>11230</v>
      </c>
      <c r="AG1062" s="334">
        <v>131.749</v>
      </c>
      <c r="AH1062" s="336">
        <v>11230</v>
      </c>
      <c r="AI1062" s="334">
        <v>132.78399999999999</v>
      </c>
      <c r="AJ1062" s="336">
        <v>11210</v>
      </c>
      <c r="AK1062" s="334">
        <v>133.779</v>
      </c>
      <c r="AL1062" s="336">
        <v>11230</v>
      </c>
      <c r="AM1062" s="334">
        <v>133.506</v>
      </c>
      <c r="AN1062" s="336">
        <v>11230</v>
      </c>
      <c r="AO1062" s="334">
        <v>134.07599999999999</v>
      </c>
      <c r="AP1062" s="336">
        <v>11220</v>
      </c>
      <c r="AQ1062" s="334">
        <v>134.18700000000001</v>
      </c>
      <c r="AR1062" s="336">
        <v>11230</v>
      </c>
      <c r="AS1062" s="334">
        <v>133.405</v>
      </c>
      <c r="AT1062" s="336">
        <v>11230</v>
      </c>
      <c r="AU1062" s="334">
        <v>131.899</v>
      </c>
      <c r="AV1062" s="336">
        <v>11230</v>
      </c>
      <c r="AW1062" s="334">
        <v>132.41999999999999</v>
      </c>
      <c r="AX1062" s="336">
        <v>11220</v>
      </c>
      <c r="AY1062" s="334">
        <v>92.004999999999995</v>
      </c>
      <c r="AZ1062" s="336">
        <v>11230</v>
      </c>
      <c r="BA1062" s="337">
        <v>93.397999999999996</v>
      </c>
      <c r="BB1062" s="336">
        <v>11210</v>
      </c>
      <c r="BC1062" s="334">
        <v>19.231000000000002</v>
      </c>
      <c r="BD1062" s="336">
        <v>11210</v>
      </c>
      <c r="BE1062" s="334">
        <v>20.786000000000001</v>
      </c>
    </row>
    <row r="1063" spans="22:57">
      <c r="V1063" s="346">
        <v>11240</v>
      </c>
      <c r="W1063" s="334">
        <v>41.622</v>
      </c>
      <c r="X1063" s="346">
        <v>11250</v>
      </c>
      <c r="Y1063" s="334">
        <v>41.011000000000003</v>
      </c>
      <c r="Z1063" s="335">
        <v>11240</v>
      </c>
      <c r="AA1063" s="334">
        <v>125.417</v>
      </c>
      <c r="AB1063" s="336">
        <v>11240</v>
      </c>
      <c r="AC1063" s="334">
        <v>125.55800000000001</v>
      </c>
      <c r="AD1063" s="336">
        <v>11240</v>
      </c>
      <c r="AE1063" s="334">
        <v>131.816</v>
      </c>
      <c r="AF1063" s="336">
        <v>11240</v>
      </c>
      <c r="AG1063" s="334">
        <v>130.536</v>
      </c>
      <c r="AH1063" s="336">
        <v>11240</v>
      </c>
      <c r="AI1063" s="334">
        <v>131.57300000000001</v>
      </c>
      <c r="AJ1063" s="336">
        <v>11220</v>
      </c>
      <c r="AK1063" s="334">
        <v>132.56800000000001</v>
      </c>
      <c r="AL1063" s="336">
        <v>11240</v>
      </c>
      <c r="AM1063" s="334">
        <v>132.29499999999999</v>
      </c>
      <c r="AN1063" s="336">
        <v>11240</v>
      </c>
      <c r="AO1063" s="334">
        <v>132.864</v>
      </c>
      <c r="AP1063" s="336">
        <v>11230</v>
      </c>
      <c r="AQ1063" s="334">
        <v>132.976</v>
      </c>
      <c r="AR1063" s="336">
        <v>11240</v>
      </c>
      <c r="AS1063" s="334">
        <v>132.19399999999999</v>
      </c>
      <c r="AT1063" s="336">
        <v>11240</v>
      </c>
      <c r="AU1063" s="334">
        <v>130.68899999999999</v>
      </c>
      <c r="AV1063" s="336">
        <v>11240</v>
      </c>
      <c r="AW1063" s="334">
        <v>131.21</v>
      </c>
      <c r="AX1063" s="336">
        <v>11230</v>
      </c>
      <c r="AY1063" s="334">
        <v>91.082999999999998</v>
      </c>
      <c r="AZ1063" s="336">
        <v>11240</v>
      </c>
      <c r="BA1063" s="337">
        <v>92.472999999999999</v>
      </c>
      <c r="BB1063" s="336">
        <v>11220</v>
      </c>
      <c r="BC1063" s="334">
        <v>19.035</v>
      </c>
      <c r="BD1063" s="336">
        <v>11220</v>
      </c>
      <c r="BE1063" s="334">
        <v>20.574999999999999</v>
      </c>
    </row>
    <row r="1064" spans="22:57">
      <c r="V1064" s="346">
        <v>11250</v>
      </c>
      <c r="W1064" s="334">
        <v>41.173000000000002</v>
      </c>
      <c r="X1064" s="346">
        <v>11260</v>
      </c>
      <c r="Y1064" s="334">
        <v>40.567</v>
      </c>
      <c r="Z1064" s="335">
        <v>11250</v>
      </c>
      <c r="AA1064" s="334">
        <v>124.179</v>
      </c>
      <c r="AB1064" s="336">
        <v>11250</v>
      </c>
      <c r="AC1064" s="334">
        <v>124.321</v>
      </c>
      <c r="AD1064" s="336">
        <v>11250</v>
      </c>
      <c r="AE1064" s="334">
        <v>130.60599999999999</v>
      </c>
      <c r="AF1064" s="336">
        <v>11250</v>
      </c>
      <c r="AG1064" s="334">
        <v>129.32300000000001</v>
      </c>
      <c r="AH1064" s="336">
        <v>11250</v>
      </c>
      <c r="AI1064" s="334">
        <v>130.36199999999999</v>
      </c>
      <c r="AJ1064" s="336">
        <v>11230</v>
      </c>
      <c r="AK1064" s="334">
        <v>131.35599999999999</v>
      </c>
      <c r="AL1064" s="336">
        <v>11250</v>
      </c>
      <c r="AM1064" s="334">
        <v>131.083</v>
      </c>
      <c r="AN1064" s="336">
        <v>11250</v>
      </c>
      <c r="AO1064" s="334">
        <v>131.65199999999999</v>
      </c>
      <c r="AP1064" s="336">
        <v>11240</v>
      </c>
      <c r="AQ1064" s="334">
        <v>131.76599999999999</v>
      </c>
      <c r="AR1064" s="336">
        <v>11250</v>
      </c>
      <c r="AS1064" s="334">
        <v>130.982</v>
      </c>
      <c r="AT1064" s="336">
        <v>11250</v>
      </c>
      <c r="AU1064" s="334">
        <v>129.47800000000001</v>
      </c>
      <c r="AV1064" s="336">
        <v>11250</v>
      </c>
      <c r="AW1064" s="334">
        <v>130</v>
      </c>
      <c r="AX1064" s="336">
        <v>11240</v>
      </c>
      <c r="AY1064" s="334">
        <v>90.162000000000006</v>
      </c>
      <c r="AZ1064" s="336">
        <v>11250</v>
      </c>
      <c r="BA1064" s="337">
        <v>91.55</v>
      </c>
      <c r="BB1064" s="336">
        <v>11230</v>
      </c>
      <c r="BC1064" s="334">
        <v>18.84</v>
      </c>
      <c r="BD1064" s="336">
        <v>11230</v>
      </c>
      <c r="BE1064" s="334">
        <v>20.364999999999998</v>
      </c>
    </row>
    <row r="1065" spans="22:57">
      <c r="V1065" s="346">
        <v>11260</v>
      </c>
      <c r="W1065" s="334">
        <v>40.725999999999999</v>
      </c>
      <c r="X1065" s="346">
        <v>11270</v>
      </c>
      <c r="Y1065" s="334">
        <v>40.124000000000002</v>
      </c>
      <c r="Z1065" s="335">
        <v>11260</v>
      </c>
      <c r="AA1065" s="334">
        <v>122.943</v>
      </c>
      <c r="AB1065" s="336">
        <v>11260</v>
      </c>
      <c r="AC1065" s="334">
        <v>123.086</v>
      </c>
      <c r="AD1065" s="336">
        <v>11260</v>
      </c>
      <c r="AE1065" s="334">
        <v>129.39500000000001</v>
      </c>
      <c r="AF1065" s="336">
        <v>11260</v>
      </c>
      <c r="AG1065" s="334">
        <v>128.11000000000001</v>
      </c>
      <c r="AH1065" s="336">
        <v>11260</v>
      </c>
      <c r="AI1065" s="334">
        <v>129.15</v>
      </c>
      <c r="AJ1065" s="336">
        <v>11240</v>
      </c>
      <c r="AK1065" s="334">
        <v>130.14500000000001</v>
      </c>
      <c r="AL1065" s="336">
        <v>11260</v>
      </c>
      <c r="AM1065" s="334">
        <v>129.87200000000001</v>
      </c>
      <c r="AN1065" s="336">
        <v>11260</v>
      </c>
      <c r="AO1065" s="334">
        <v>130.44</v>
      </c>
      <c r="AP1065" s="336">
        <v>11250</v>
      </c>
      <c r="AQ1065" s="334">
        <v>130.55500000000001</v>
      </c>
      <c r="AR1065" s="336">
        <v>11260</v>
      </c>
      <c r="AS1065" s="334">
        <v>129.77099999999999</v>
      </c>
      <c r="AT1065" s="336">
        <v>11260</v>
      </c>
      <c r="AU1065" s="334">
        <v>128.268</v>
      </c>
      <c r="AV1065" s="336">
        <v>11260</v>
      </c>
      <c r="AW1065" s="334">
        <v>128.79</v>
      </c>
      <c r="AX1065" s="336">
        <v>11250</v>
      </c>
      <c r="AY1065" s="334">
        <v>89.242000000000004</v>
      </c>
      <c r="AZ1065" s="336">
        <v>11260</v>
      </c>
      <c r="BA1065" s="337">
        <v>90.629000000000005</v>
      </c>
      <c r="BB1065" s="336">
        <v>11240</v>
      </c>
      <c r="BC1065" s="334">
        <v>18.643999999999998</v>
      </c>
      <c r="BD1065" s="336">
        <v>11240</v>
      </c>
      <c r="BE1065" s="334">
        <v>20.155999999999999</v>
      </c>
    </row>
    <row r="1066" spans="22:57">
      <c r="V1066" s="346">
        <v>11270</v>
      </c>
      <c r="W1066" s="334">
        <v>40.28</v>
      </c>
      <c r="X1066" s="346">
        <v>11280</v>
      </c>
      <c r="Y1066" s="334">
        <v>39.682000000000002</v>
      </c>
      <c r="Z1066" s="335">
        <v>11270</v>
      </c>
      <c r="AA1066" s="334">
        <v>121.708</v>
      </c>
      <c r="AB1066" s="336">
        <v>11270</v>
      </c>
      <c r="AC1066" s="334">
        <v>121.852</v>
      </c>
      <c r="AD1066" s="336">
        <v>11270</v>
      </c>
      <c r="AE1066" s="334">
        <v>128.184</v>
      </c>
      <c r="AF1066" s="336">
        <v>11270</v>
      </c>
      <c r="AG1066" s="334">
        <v>126.89700000000001</v>
      </c>
      <c r="AH1066" s="336">
        <v>11270</v>
      </c>
      <c r="AI1066" s="334">
        <v>127.93899999999999</v>
      </c>
      <c r="AJ1066" s="336">
        <v>11250</v>
      </c>
      <c r="AK1066" s="334">
        <v>128.93299999999999</v>
      </c>
      <c r="AL1066" s="336">
        <v>11270</v>
      </c>
      <c r="AM1066" s="334">
        <v>128.661</v>
      </c>
      <c r="AN1066" s="336">
        <v>11270</v>
      </c>
      <c r="AO1066" s="334">
        <v>129.22800000000001</v>
      </c>
      <c r="AP1066" s="336">
        <v>11260</v>
      </c>
      <c r="AQ1066" s="334">
        <v>129.345</v>
      </c>
      <c r="AR1066" s="336">
        <v>11270</v>
      </c>
      <c r="AS1066" s="334">
        <v>128.56</v>
      </c>
      <c r="AT1066" s="336">
        <v>11270</v>
      </c>
      <c r="AU1066" s="334">
        <v>127.05800000000001</v>
      </c>
      <c r="AV1066" s="336">
        <v>11270</v>
      </c>
      <c r="AW1066" s="334">
        <v>127.58</v>
      </c>
      <c r="AX1066" s="336">
        <v>11260</v>
      </c>
      <c r="AY1066" s="334">
        <v>88.323999999999998</v>
      </c>
      <c r="AZ1066" s="336">
        <v>11270</v>
      </c>
      <c r="BA1066" s="337">
        <v>89.709000000000003</v>
      </c>
      <c r="BB1066" s="336">
        <v>11250</v>
      </c>
      <c r="BC1066" s="334">
        <v>18.449000000000002</v>
      </c>
      <c r="BD1066" s="336">
        <v>11250</v>
      </c>
      <c r="BE1066" s="334">
        <v>19.946999999999999</v>
      </c>
    </row>
    <row r="1067" spans="22:57">
      <c r="V1067" s="346">
        <v>11280</v>
      </c>
      <c r="W1067" s="334">
        <v>39.835999999999999</v>
      </c>
      <c r="X1067" s="346">
        <v>11290</v>
      </c>
      <c r="Y1067" s="334">
        <v>39.241</v>
      </c>
      <c r="Z1067" s="335">
        <v>11280</v>
      </c>
      <c r="AA1067" s="334">
        <v>120.476</v>
      </c>
      <c r="AB1067" s="336">
        <v>11280</v>
      </c>
      <c r="AC1067" s="334">
        <v>120.62</v>
      </c>
      <c r="AD1067" s="336">
        <v>11280</v>
      </c>
      <c r="AE1067" s="334">
        <v>126.973</v>
      </c>
      <c r="AF1067" s="336">
        <v>11280</v>
      </c>
      <c r="AG1067" s="334">
        <v>125.684</v>
      </c>
      <c r="AH1067" s="336">
        <v>11280</v>
      </c>
      <c r="AI1067" s="334">
        <v>126.72799999999999</v>
      </c>
      <c r="AJ1067" s="336">
        <v>11260</v>
      </c>
      <c r="AK1067" s="334">
        <v>127.72199999999999</v>
      </c>
      <c r="AL1067" s="336">
        <v>11280</v>
      </c>
      <c r="AM1067" s="334">
        <v>127.45</v>
      </c>
      <c r="AN1067" s="336">
        <v>11280</v>
      </c>
      <c r="AO1067" s="334">
        <v>128.01599999999999</v>
      </c>
      <c r="AP1067" s="336">
        <v>11270</v>
      </c>
      <c r="AQ1067" s="334">
        <v>128.13399999999999</v>
      </c>
      <c r="AR1067" s="336">
        <v>11280</v>
      </c>
      <c r="AS1067" s="334">
        <v>127.349</v>
      </c>
      <c r="AT1067" s="336">
        <v>11280</v>
      </c>
      <c r="AU1067" s="334">
        <v>125.84699999999999</v>
      </c>
      <c r="AV1067" s="336">
        <v>11280</v>
      </c>
      <c r="AW1067" s="334">
        <v>126.371</v>
      </c>
      <c r="AX1067" s="336">
        <v>11270</v>
      </c>
      <c r="AY1067" s="334">
        <v>87.408000000000001</v>
      </c>
      <c r="AZ1067" s="336">
        <v>11280</v>
      </c>
      <c r="BA1067" s="337">
        <v>88.790999999999997</v>
      </c>
      <c r="BB1067" s="336">
        <v>11260</v>
      </c>
      <c r="BC1067" s="334">
        <v>18.254999999999999</v>
      </c>
      <c r="BD1067" s="336">
        <v>11260</v>
      </c>
      <c r="BE1067" s="334">
        <v>19.738</v>
      </c>
    </row>
    <row r="1068" spans="22:57">
      <c r="V1068" s="346">
        <v>11290</v>
      </c>
      <c r="W1068" s="334">
        <v>39.392000000000003</v>
      </c>
      <c r="X1068" s="346">
        <v>11300</v>
      </c>
      <c r="Y1068" s="334">
        <v>38.802</v>
      </c>
      <c r="Z1068" s="335">
        <v>11290</v>
      </c>
      <c r="AA1068" s="334">
        <v>119.245</v>
      </c>
      <c r="AB1068" s="336">
        <v>11290</v>
      </c>
      <c r="AC1068" s="334">
        <v>119.39</v>
      </c>
      <c r="AD1068" s="336">
        <v>11290</v>
      </c>
      <c r="AE1068" s="334">
        <v>125.762</v>
      </c>
      <c r="AF1068" s="336">
        <v>11290</v>
      </c>
      <c r="AG1068" s="334">
        <v>124.471</v>
      </c>
      <c r="AH1068" s="336">
        <v>11290</v>
      </c>
      <c r="AI1068" s="334">
        <v>125.517</v>
      </c>
      <c r="AJ1068" s="336">
        <v>11270</v>
      </c>
      <c r="AK1068" s="334">
        <v>126.51</v>
      </c>
      <c r="AL1068" s="336">
        <v>11290</v>
      </c>
      <c r="AM1068" s="334">
        <v>126.239</v>
      </c>
      <c r="AN1068" s="336">
        <v>11290</v>
      </c>
      <c r="AO1068" s="334">
        <v>126.80500000000001</v>
      </c>
      <c r="AP1068" s="336">
        <v>11280</v>
      </c>
      <c r="AQ1068" s="334">
        <v>126.923</v>
      </c>
      <c r="AR1068" s="336">
        <v>11290</v>
      </c>
      <c r="AS1068" s="334">
        <v>126.137</v>
      </c>
      <c r="AT1068" s="336">
        <v>11290</v>
      </c>
      <c r="AU1068" s="334">
        <v>124.637</v>
      </c>
      <c r="AV1068" s="336">
        <v>11290</v>
      </c>
      <c r="AW1068" s="334">
        <v>125.161</v>
      </c>
      <c r="AX1068" s="336">
        <v>11280</v>
      </c>
      <c r="AY1068" s="334">
        <v>86.492999999999995</v>
      </c>
      <c r="AZ1068" s="336">
        <v>11290</v>
      </c>
      <c r="BA1068" s="337">
        <v>87.873999999999995</v>
      </c>
      <c r="BB1068" s="336">
        <v>11270</v>
      </c>
      <c r="BC1068" s="334">
        <v>18.061</v>
      </c>
      <c r="BD1068" s="336">
        <v>11270</v>
      </c>
      <c r="BE1068" s="334">
        <v>19.53</v>
      </c>
    </row>
    <row r="1069" spans="22:57">
      <c r="V1069" s="346">
        <v>11300</v>
      </c>
      <c r="W1069" s="334">
        <v>38.950000000000003</v>
      </c>
      <c r="X1069" s="346">
        <v>11310</v>
      </c>
      <c r="Y1069" s="334">
        <v>38.363</v>
      </c>
      <c r="Z1069" s="335">
        <v>11300</v>
      </c>
      <c r="AA1069" s="334">
        <v>118.015</v>
      </c>
      <c r="AB1069" s="336">
        <v>11300</v>
      </c>
      <c r="AC1069" s="334">
        <v>118.16200000000001</v>
      </c>
      <c r="AD1069" s="336">
        <v>11300</v>
      </c>
      <c r="AE1069" s="334">
        <v>124.55200000000001</v>
      </c>
      <c r="AF1069" s="336">
        <v>11300</v>
      </c>
      <c r="AG1069" s="334">
        <v>123.258</v>
      </c>
      <c r="AH1069" s="336">
        <v>11300</v>
      </c>
      <c r="AI1069" s="334">
        <v>124.30500000000001</v>
      </c>
      <c r="AJ1069" s="336">
        <v>11280</v>
      </c>
      <c r="AK1069" s="334">
        <v>125.29900000000001</v>
      </c>
      <c r="AL1069" s="336">
        <v>11300</v>
      </c>
      <c r="AM1069" s="334">
        <v>125.027</v>
      </c>
      <c r="AN1069" s="336">
        <v>11300</v>
      </c>
      <c r="AO1069" s="334">
        <v>125.593</v>
      </c>
      <c r="AP1069" s="336">
        <v>11290</v>
      </c>
      <c r="AQ1069" s="334">
        <v>125.71299999999999</v>
      </c>
      <c r="AR1069" s="336">
        <v>11300</v>
      </c>
      <c r="AS1069" s="334">
        <v>124.926</v>
      </c>
      <c r="AT1069" s="336">
        <v>11300</v>
      </c>
      <c r="AU1069" s="334">
        <v>123.42700000000001</v>
      </c>
      <c r="AV1069" s="336">
        <v>11300</v>
      </c>
      <c r="AW1069" s="334">
        <v>123.95099999999999</v>
      </c>
      <c r="AX1069" s="336">
        <v>11290</v>
      </c>
      <c r="AY1069" s="334">
        <v>85.58</v>
      </c>
      <c r="AZ1069" s="336">
        <v>11300</v>
      </c>
      <c r="BA1069" s="337">
        <v>86.959000000000003</v>
      </c>
      <c r="BB1069" s="336">
        <v>11280</v>
      </c>
      <c r="BC1069" s="334">
        <v>17.867000000000001</v>
      </c>
      <c r="BD1069" s="336">
        <v>11280</v>
      </c>
      <c r="BE1069" s="334">
        <v>19.321999999999999</v>
      </c>
    </row>
    <row r="1070" spans="22:57">
      <c r="V1070" s="346">
        <v>11310</v>
      </c>
      <c r="W1070" s="334">
        <v>38.508000000000003</v>
      </c>
      <c r="X1070" s="346">
        <v>11320</v>
      </c>
      <c r="Y1070" s="334">
        <v>37.926000000000002</v>
      </c>
      <c r="Z1070" s="335">
        <v>11310</v>
      </c>
      <c r="AA1070" s="334">
        <v>116.788</v>
      </c>
      <c r="AB1070" s="336">
        <v>11310</v>
      </c>
      <c r="AC1070" s="334">
        <v>116.935</v>
      </c>
      <c r="AD1070" s="336">
        <v>11310</v>
      </c>
      <c r="AE1070" s="334">
        <v>123.34099999999999</v>
      </c>
      <c r="AF1070" s="336">
        <v>11310</v>
      </c>
      <c r="AG1070" s="334">
        <v>122.045</v>
      </c>
      <c r="AH1070" s="336">
        <v>11310</v>
      </c>
      <c r="AI1070" s="334">
        <v>123.09399999999999</v>
      </c>
      <c r="AJ1070" s="336">
        <v>11290</v>
      </c>
      <c r="AK1070" s="334">
        <v>124.087</v>
      </c>
      <c r="AL1070" s="336">
        <v>11310</v>
      </c>
      <c r="AM1070" s="334">
        <v>123.816</v>
      </c>
      <c r="AN1070" s="336">
        <v>11310</v>
      </c>
      <c r="AO1070" s="334">
        <v>124.381</v>
      </c>
      <c r="AP1070" s="336">
        <v>11300</v>
      </c>
      <c r="AQ1070" s="334">
        <v>124.502</v>
      </c>
      <c r="AR1070" s="336">
        <v>11310</v>
      </c>
      <c r="AS1070" s="334">
        <v>123.715</v>
      </c>
      <c r="AT1070" s="336">
        <v>11310</v>
      </c>
      <c r="AU1070" s="334">
        <v>122.217</v>
      </c>
      <c r="AV1070" s="336">
        <v>11310</v>
      </c>
      <c r="AW1070" s="334">
        <v>122.742</v>
      </c>
      <c r="AX1070" s="336">
        <v>11300</v>
      </c>
      <c r="AY1070" s="334">
        <v>84.668000000000006</v>
      </c>
      <c r="AZ1070" s="336">
        <v>11310</v>
      </c>
      <c r="BA1070" s="337">
        <v>86.045000000000002</v>
      </c>
      <c r="BB1070" s="336">
        <v>11290</v>
      </c>
      <c r="BC1070" s="334">
        <v>17.673999999999999</v>
      </c>
      <c r="BD1070" s="336">
        <v>11290</v>
      </c>
      <c r="BE1070" s="334">
        <v>19.114999999999998</v>
      </c>
    </row>
    <row r="1071" spans="22:57">
      <c r="V1071" s="346">
        <v>11320</v>
      </c>
      <c r="W1071" s="334">
        <v>38.067999999999998</v>
      </c>
      <c r="X1071" s="346">
        <v>11330</v>
      </c>
      <c r="Y1071" s="334">
        <v>37.49</v>
      </c>
      <c r="Z1071" s="335">
        <v>11320</v>
      </c>
      <c r="AA1071" s="334">
        <v>115.562</v>
      </c>
      <c r="AB1071" s="336">
        <v>11320</v>
      </c>
      <c r="AC1071" s="334">
        <v>115.71</v>
      </c>
      <c r="AD1071" s="336">
        <v>11320</v>
      </c>
      <c r="AE1071" s="334">
        <v>122.13</v>
      </c>
      <c r="AF1071" s="336">
        <v>11320</v>
      </c>
      <c r="AG1071" s="334">
        <v>120.83199999999999</v>
      </c>
      <c r="AH1071" s="336">
        <v>11320</v>
      </c>
      <c r="AI1071" s="334">
        <v>121.883</v>
      </c>
      <c r="AJ1071" s="336">
        <v>11300</v>
      </c>
      <c r="AK1071" s="334">
        <v>122.876</v>
      </c>
      <c r="AL1071" s="336">
        <v>11320</v>
      </c>
      <c r="AM1071" s="334">
        <v>122.605</v>
      </c>
      <c r="AN1071" s="336">
        <v>11320</v>
      </c>
      <c r="AO1071" s="334">
        <v>123.169</v>
      </c>
      <c r="AP1071" s="336">
        <v>11310</v>
      </c>
      <c r="AQ1071" s="334">
        <v>123.291</v>
      </c>
      <c r="AR1071" s="336">
        <v>11320</v>
      </c>
      <c r="AS1071" s="334">
        <v>122.504</v>
      </c>
      <c r="AT1071" s="336">
        <v>11320</v>
      </c>
      <c r="AU1071" s="334">
        <v>121.006</v>
      </c>
      <c r="AV1071" s="336">
        <v>11320</v>
      </c>
      <c r="AW1071" s="334">
        <v>121.532</v>
      </c>
      <c r="AX1071" s="336">
        <v>11310</v>
      </c>
      <c r="AY1071" s="334">
        <v>83.757999999999996</v>
      </c>
      <c r="AZ1071" s="336">
        <v>11320</v>
      </c>
      <c r="BA1071" s="337">
        <v>85.132999999999996</v>
      </c>
      <c r="BB1071" s="336">
        <v>11300</v>
      </c>
      <c r="BC1071" s="334">
        <v>17.481000000000002</v>
      </c>
      <c r="BD1071" s="336">
        <v>11300</v>
      </c>
      <c r="BE1071" s="334">
        <v>18.908000000000001</v>
      </c>
    </row>
    <row r="1072" spans="22:57">
      <c r="V1072" s="346">
        <v>11330</v>
      </c>
      <c r="W1072" s="334">
        <v>37.628999999999998</v>
      </c>
      <c r="X1072" s="346">
        <v>11340</v>
      </c>
      <c r="Y1072" s="334">
        <v>37.055999999999997</v>
      </c>
      <c r="Z1072" s="335">
        <v>11330</v>
      </c>
      <c r="AA1072" s="334">
        <v>114.33799999999999</v>
      </c>
      <c r="AB1072" s="336">
        <v>11330</v>
      </c>
      <c r="AC1072" s="334">
        <v>114.48699999999999</v>
      </c>
      <c r="AD1072" s="336">
        <v>11330</v>
      </c>
      <c r="AE1072" s="334">
        <v>120.92</v>
      </c>
      <c r="AF1072" s="336">
        <v>11330</v>
      </c>
      <c r="AG1072" s="334">
        <v>119.619</v>
      </c>
      <c r="AH1072" s="336">
        <v>11330</v>
      </c>
      <c r="AI1072" s="334">
        <v>120.672</v>
      </c>
      <c r="AJ1072" s="336">
        <v>11310</v>
      </c>
      <c r="AK1072" s="334">
        <v>121.664</v>
      </c>
      <c r="AL1072" s="336">
        <v>11330</v>
      </c>
      <c r="AM1072" s="334">
        <v>121.39400000000001</v>
      </c>
      <c r="AN1072" s="336">
        <v>11330</v>
      </c>
      <c r="AO1072" s="334">
        <v>121.95699999999999</v>
      </c>
      <c r="AP1072" s="336">
        <v>11320</v>
      </c>
      <c r="AQ1072" s="334">
        <v>122.081</v>
      </c>
      <c r="AR1072" s="336">
        <v>11330</v>
      </c>
      <c r="AS1072" s="334">
        <v>121.29300000000001</v>
      </c>
      <c r="AT1072" s="336">
        <v>11330</v>
      </c>
      <c r="AU1072" s="334">
        <v>119.79600000000001</v>
      </c>
      <c r="AV1072" s="336">
        <v>11330</v>
      </c>
      <c r="AW1072" s="334">
        <v>120.32299999999999</v>
      </c>
      <c r="AX1072" s="336">
        <v>11320</v>
      </c>
      <c r="AY1072" s="334">
        <v>82.849000000000004</v>
      </c>
      <c r="AZ1072" s="336">
        <v>11330</v>
      </c>
      <c r="BA1072" s="337">
        <v>84.222999999999999</v>
      </c>
      <c r="BB1072" s="336">
        <v>11310</v>
      </c>
      <c r="BC1072" s="334">
        <v>17.288</v>
      </c>
      <c r="BD1072" s="336">
        <v>11310</v>
      </c>
      <c r="BE1072" s="334">
        <v>18.701000000000001</v>
      </c>
    </row>
    <row r="1073" spans="22:57">
      <c r="V1073" s="346">
        <v>11340</v>
      </c>
      <c r="W1073" s="334">
        <v>37.192</v>
      </c>
      <c r="X1073" s="346">
        <v>11350</v>
      </c>
      <c r="Y1073" s="334">
        <v>36.622</v>
      </c>
      <c r="Z1073" s="335">
        <v>11340</v>
      </c>
      <c r="AA1073" s="334">
        <v>113.116</v>
      </c>
      <c r="AB1073" s="336">
        <v>11340</v>
      </c>
      <c r="AC1073" s="334">
        <v>113.26600000000001</v>
      </c>
      <c r="AD1073" s="336">
        <v>11340</v>
      </c>
      <c r="AE1073" s="334">
        <v>119.709</v>
      </c>
      <c r="AF1073" s="336">
        <v>11340</v>
      </c>
      <c r="AG1073" s="334">
        <v>118.407</v>
      </c>
      <c r="AH1073" s="336">
        <v>11340</v>
      </c>
      <c r="AI1073" s="334">
        <v>119.46</v>
      </c>
      <c r="AJ1073" s="336">
        <v>11320</v>
      </c>
      <c r="AK1073" s="334">
        <v>120.453</v>
      </c>
      <c r="AL1073" s="336">
        <v>11340</v>
      </c>
      <c r="AM1073" s="334">
        <v>120.182</v>
      </c>
      <c r="AN1073" s="336">
        <v>11340</v>
      </c>
      <c r="AO1073" s="334">
        <v>120.745</v>
      </c>
      <c r="AP1073" s="336">
        <v>11330</v>
      </c>
      <c r="AQ1073" s="334">
        <v>120.87</v>
      </c>
      <c r="AR1073" s="336">
        <v>11340</v>
      </c>
      <c r="AS1073" s="334">
        <v>120.081</v>
      </c>
      <c r="AT1073" s="336">
        <v>11340</v>
      </c>
      <c r="AU1073" s="334">
        <v>118.586</v>
      </c>
      <c r="AV1073" s="336">
        <v>11340</v>
      </c>
      <c r="AW1073" s="334">
        <v>119.114</v>
      </c>
      <c r="AX1073" s="336">
        <v>11330</v>
      </c>
      <c r="AY1073" s="334">
        <v>81.941999999999993</v>
      </c>
      <c r="AZ1073" s="336">
        <v>11340</v>
      </c>
      <c r="BA1073" s="337">
        <v>83.313999999999993</v>
      </c>
      <c r="BB1073" s="336">
        <v>11320</v>
      </c>
      <c r="BC1073" s="334">
        <v>17.096</v>
      </c>
      <c r="BD1073" s="336">
        <v>11320</v>
      </c>
      <c r="BE1073" s="334">
        <v>18.495000000000001</v>
      </c>
    </row>
    <row r="1074" spans="22:57">
      <c r="V1074" s="346">
        <v>11350</v>
      </c>
      <c r="W1074" s="334">
        <v>36.755000000000003</v>
      </c>
      <c r="X1074" s="346">
        <v>11360</v>
      </c>
      <c r="Y1074" s="334">
        <v>36.189</v>
      </c>
      <c r="Z1074" s="335">
        <v>11350</v>
      </c>
      <c r="AA1074" s="334">
        <v>111.895</v>
      </c>
      <c r="AB1074" s="336">
        <v>11350</v>
      </c>
      <c r="AC1074" s="334">
        <v>112.04600000000001</v>
      </c>
      <c r="AD1074" s="336">
        <v>11350</v>
      </c>
      <c r="AE1074" s="334">
        <v>118.498</v>
      </c>
      <c r="AF1074" s="336">
        <v>11350</v>
      </c>
      <c r="AG1074" s="334">
        <v>117.194</v>
      </c>
      <c r="AH1074" s="336">
        <v>11350</v>
      </c>
      <c r="AI1074" s="334">
        <v>118.249</v>
      </c>
      <c r="AJ1074" s="336">
        <v>11330</v>
      </c>
      <c r="AK1074" s="334">
        <v>119.241</v>
      </c>
      <c r="AL1074" s="336">
        <v>11350</v>
      </c>
      <c r="AM1074" s="334">
        <v>118.971</v>
      </c>
      <c r="AN1074" s="336">
        <v>11350</v>
      </c>
      <c r="AO1074" s="334">
        <v>119.533</v>
      </c>
      <c r="AP1074" s="336">
        <v>11340</v>
      </c>
      <c r="AQ1074" s="334">
        <v>119.65900000000001</v>
      </c>
      <c r="AR1074" s="336">
        <v>11350</v>
      </c>
      <c r="AS1074" s="334">
        <v>118.87</v>
      </c>
      <c r="AT1074" s="336">
        <v>11350</v>
      </c>
      <c r="AU1074" s="334">
        <v>117.376</v>
      </c>
      <c r="AV1074" s="336">
        <v>11350</v>
      </c>
      <c r="AW1074" s="334">
        <v>117.904</v>
      </c>
      <c r="AX1074" s="336">
        <v>11340</v>
      </c>
      <c r="AY1074" s="334">
        <v>81.036000000000001</v>
      </c>
      <c r="AZ1074" s="336">
        <v>11350</v>
      </c>
      <c r="BA1074" s="337">
        <v>82.406000000000006</v>
      </c>
      <c r="BB1074" s="336">
        <v>11330</v>
      </c>
      <c r="BC1074" s="334">
        <v>16.904</v>
      </c>
      <c r="BD1074" s="336">
        <v>11330</v>
      </c>
      <c r="BE1074" s="334">
        <v>18.289000000000001</v>
      </c>
    </row>
    <row r="1075" spans="22:57">
      <c r="V1075" s="346">
        <v>11360</v>
      </c>
      <c r="W1075" s="334">
        <v>36.32</v>
      </c>
      <c r="X1075" s="346">
        <v>11370</v>
      </c>
      <c r="Y1075" s="334">
        <v>35.758000000000003</v>
      </c>
      <c r="Z1075" s="335">
        <v>11360</v>
      </c>
      <c r="AA1075" s="334">
        <v>110.676</v>
      </c>
      <c r="AB1075" s="336">
        <v>11360</v>
      </c>
      <c r="AC1075" s="334">
        <v>110.828</v>
      </c>
      <c r="AD1075" s="336">
        <v>11360</v>
      </c>
      <c r="AE1075" s="334">
        <v>117.288</v>
      </c>
      <c r="AF1075" s="336">
        <v>11360</v>
      </c>
      <c r="AG1075" s="334">
        <v>115.98099999999999</v>
      </c>
      <c r="AH1075" s="336">
        <v>11360</v>
      </c>
      <c r="AI1075" s="334">
        <v>117.038</v>
      </c>
      <c r="AJ1075" s="336">
        <v>11340</v>
      </c>
      <c r="AK1075" s="334">
        <v>118.03</v>
      </c>
      <c r="AL1075" s="336">
        <v>11360</v>
      </c>
      <c r="AM1075" s="334">
        <v>117.76</v>
      </c>
      <c r="AN1075" s="336">
        <v>11360</v>
      </c>
      <c r="AO1075" s="334">
        <v>118.321</v>
      </c>
      <c r="AP1075" s="336">
        <v>11350</v>
      </c>
      <c r="AQ1075" s="334">
        <v>118.449</v>
      </c>
      <c r="AR1075" s="336">
        <v>11360</v>
      </c>
      <c r="AS1075" s="334">
        <v>117.65900000000001</v>
      </c>
      <c r="AT1075" s="336">
        <v>11360</v>
      </c>
      <c r="AU1075" s="334">
        <v>116.167</v>
      </c>
      <c r="AV1075" s="336">
        <v>11360</v>
      </c>
      <c r="AW1075" s="334">
        <v>116.69499999999999</v>
      </c>
      <c r="AX1075" s="336">
        <v>11350</v>
      </c>
      <c r="AY1075" s="334">
        <v>80.132000000000005</v>
      </c>
      <c r="AZ1075" s="336">
        <v>11360</v>
      </c>
      <c r="BA1075" s="337">
        <v>81.5</v>
      </c>
      <c r="BB1075" s="336">
        <v>11340</v>
      </c>
      <c r="BC1075" s="334">
        <v>16.713000000000001</v>
      </c>
      <c r="BD1075" s="336">
        <v>11340</v>
      </c>
      <c r="BE1075" s="334">
        <v>18.082999999999998</v>
      </c>
    </row>
    <row r="1076" spans="22:57">
      <c r="V1076" s="346">
        <v>11370</v>
      </c>
      <c r="W1076" s="334">
        <v>35.886000000000003</v>
      </c>
      <c r="X1076" s="346">
        <v>11380</v>
      </c>
      <c r="Y1076" s="334">
        <v>35.328000000000003</v>
      </c>
      <c r="Z1076" s="335">
        <v>11370</v>
      </c>
      <c r="AA1076" s="334">
        <v>109.459</v>
      </c>
      <c r="AB1076" s="336">
        <v>11370</v>
      </c>
      <c r="AC1076" s="334">
        <v>109.611</v>
      </c>
      <c r="AD1076" s="336">
        <v>11370</v>
      </c>
      <c r="AE1076" s="334">
        <v>116.078</v>
      </c>
      <c r="AF1076" s="336">
        <v>11370</v>
      </c>
      <c r="AG1076" s="334">
        <v>114.76900000000001</v>
      </c>
      <c r="AH1076" s="336">
        <v>11370</v>
      </c>
      <c r="AI1076" s="334">
        <v>115.827</v>
      </c>
      <c r="AJ1076" s="336">
        <v>11350</v>
      </c>
      <c r="AK1076" s="334">
        <v>116.818</v>
      </c>
      <c r="AL1076" s="336">
        <v>11370</v>
      </c>
      <c r="AM1076" s="334">
        <v>116.54900000000001</v>
      </c>
      <c r="AN1076" s="336">
        <v>11370</v>
      </c>
      <c r="AO1076" s="334">
        <v>117.10899999999999</v>
      </c>
      <c r="AP1076" s="336">
        <v>11360</v>
      </c>
      <c r="AQ1076" s="334">
        <v>117.238</v>
      </c>
      <c r="AR1076" s="336">
        <v>11370</v>
      </c>
      <c r="AS1076" s="334">
        <v>116.447</v>
      </c>
      <c r="AT1076" s="336">
        <v>11370</v>
      </c>
      <c r="AU1076" s="334">
        <v>114.95699999999999</v>
      </c>
      <c r="AV1076" s="336">
        <v>11370</v>
      </c>
      <c r="AW1076" s="334">
        <v>115.486</v>
      </c>
      <c r="AX1076" s="336">
        <v>11360</v>
      </c>
      <c r="AY1076" s="334">
        <v>79.228999999999999</v>
      </c>
      <c r="AZ1076" s="336">
        <v>11370</v>
      </c>
      <c r="BA1076" s="337">
        <v>80.596000000000004</v>
      </c>
      <c r="BB1076" s="336">
        <v>11350</v>
      </c>
      <c r="BC1076" s="334">
        <v>16.521999999999998</v>
      </c>
      <c r="BD1076" s="336">
        <v>11350</v>
      </c>
      <c r="BE1076" s="334">
        <v>17.878</v>
      </c>
    </row>
    <row r="1077" spans="22:57">
      <c r="V1077" s="346">
        <v>11380</v>
      </c>
      <c r="W1077" s="334">
        <v>35.453000000000003</v>
      </c>
      <c r="X1077" s="346">
        <v>11390</v>
      </c>
      <c r="Y1077" s="334">
        <v>34.899000000000001</v>
      </c>
      <c r="Z1077" s="335">
        <v>11380</v>
      </c>
      <c r="AA1077" s="334">
        <v>108.244</v>
      </c>
      <c r="AB1077" s="336">
        <v>11380</v>
      </c>
      <c r="AC1077" s="334">
        <v>108.39700000000001</v>
      </c>
      <c r="AD1077" s="336">
        <v>11380</v>
      </c>
      <c r="AE1077" s="334">
        <v>114.867</v>
      </c>
      <c r="AF1077" s="336">
        <v>11380</v>
      </c>
      <c r="AG1077" s="334">
        <v>113.557</v>
      </c>
      <c r="AH1077" s="336">
        <v>11380</v>
      </c>
      <c r="AI1077" s="334">
        <v>114.61499999999999</v>
      </c>
      <c r="AJ1077" s="336">
        <v>11360</v>
      </c>
      <c r="AK1077" s="334">
        <v>115.607</v>
      </c>
      <c r="AL1077" s="336">
        <v>11380</v>
      </c>
      <c r="AM1077" s="334">
        <v>115.337</v>
      </c>
      <c r="AN1077" s="336">
        <v>11380</v>
      </c>
      <c r="AO1077" s="334">
        <v>115.89700000000001</v>
      </c>
      <c r="AP1077" s="336">
        <v>11370</v>
      </c>
      <c r="AQ1077" s="334">
        <v>116.02800000000001</v>
      </c>
      <c r="AR1077" s="336">
        <v>11380</v>
      </c>
      <c r="AS1077" s="334">
        <v>115.236</v>
      </c>
      <c r="AT1077" s="336">
        <v>11380</v>
      </c>
      <c r="AU1077" s="334">
        <v>113.747</v>
      </c>
      <c r="AV1077" s="336">
        <v>11380</v>
      </c>
      <c r="AW1077" s="334">
        <v>114.277</v>
      </c>
      <c r="AX1077" s="336">
        <v>11370</v>
      </c>
      <c r="AY1077" s="334">
        <v>78.328000000000003</v>
      </c>
      <c r="AZ1077" s="336">
        <v>11380</v>
      </c>
      <c r="BA1077" s="337">
        <v>79.692999999999998</v>
      </c>
      <c r="BB1077" s="336">
        <v>11360</v>
      </c>
      <c r="BC1077" s="334">
        <v>16.332000000000001</v>
      </c>
      <c r="BD1077" s="336">
        <v>11360</v>
      </c>
      <c r="BE1077" s="334">
        <v>17.673999999999999</v>
      </c>
    </row>
    <row r="1078" spans="22:57">
      <c r="V1078" s="346">
        <v>11390</v>
      </c>
      <c r="W1078" s="334">
        <v>35.021000000000001</v>
      </c>
      <c r="X1078" s="346">
        <v>11400</v>
      </c>
      <c r="Y1078" s="334">
        <v>34.472000000000001</v>
      </c>
      <c r="Z1078" s="335">
        <v>11390</v>
      </c>
      <c r="AA1078" s="334">
        <v>107.03</v>
      </c>
      <c r="AB1078" s="336">
        <v>11390</v>
      </c>
      <c r="AC1078" s="334">
        <v>107.184</v>
      </c>
      <c r="AD1078" s="336">
        <v>11390</v>
      </c>
      <c r="AE1078" s="334">
        <v>113.657</v>
      </c>
      <c r="AF1078" s="336">
        <v>11390</v>
      </c>
      <c r="AG1078" s="334">
        <v>112.34399999999999</v>
      </c>
      <c r="AH1078" s="336">
        <v>11390</v>
      </c>
      <c r="AI1078" s="334">
        <v>113.404</v>
      </c>
      <c r="AJ1078" s="336">
        <v>11370</v>
      </c>
      <c r="AK1078" s="334">
        <v>114.395</v>
      </c>
      <c r="AL1078" s="336">
        <v>11390</v>
      </c>
      <c r="AM1078" s="334">
        <v>114.126</v>
      </c>
      <c r="AN1078" s="336">
        <v>11390</v>
      </c>
      <c r="AO1078" s="334">
        <v>114.685</v>
      </c>
      <c r="AP1078" s="336">
        <v>11380</v>
      </c>
      <c r="AQ1078" s="334">
        <v>114.81699999999999</v>
      </c>
      <c r="AR1078" s="336">
        <v>11390</v>
      </c>
      <c r="AS1078" s="334">
        <v>114.02500000000001</v>
      </c>
      <c r="AT1078" s="336">
        <v>11390</v>
      </c>
      <c r="AU1078" s="334">
        <v>112.53700000000001</v>
      </c>
      <c r="AV1078" s="336">
        <v>11390</v>
      </c>
      <c r="AW1078" s="334">
        <v>113.068</v>
      </c>
      <c r="AX1078" s="336">
        <v>11380</v>
      </c>
      <c r="AY1078" s="334">
        <v>77.429000000000002</v>
      </c>
      <c r="AZ1078" s="336">
        <v>11390</v>
      </c>
      <c r="BA1078" s="337">
        <v>78.790999999999997</v>
      </c>
      <c r="BB1078" s="336">
        <v>11370</v>
      </c>
      <c r="BC1078" s="334">
        <v>16.141999999999999</v>
      </c>
      <c r="BD1078" s="336">
        <v>11370</v>
      </c>
      <c r="BE1078" s="334">
        <v>17.469000000000001</v>
      </c>
    </row>
    <row r="1079" spans="22:57">
      <c r="V1079" s="346">
        <v>11400</v>
      </c>
      <c r="W1079" s="334">
        <v>34.590000000000003</v>
      </c>
      <c r="X1079" s="346">
        <v>11410</v>
      </c>
      <c r="Y1079" s="334">
        <v>34.045000000000002</v>
      </c>
      <c r="Z1079" s="335">
        <v>11400</v>
      </c>
      <c r="AA1079" s="334">
        <v>105.818</v>
      </c>
      <c r="AB1079" s="336">
        <v>11400</v>
      </c>
      <c r="AC1079" s="334">
        <v>105.973</v>
      </c>
      <c r="AD1079" s="336">
        <v>11400</v>
      </c>
      <c r="AE1079" s="334">
        <v>112.447</v>
      </c>
      <c r="AF1079" s="336">
        <v>11400</v>
      </c>
      <c r="AG1079" s="334">
        <v>111.13200000000001</v>
      </c>
      <c r="AH1079" s="336">
        <v>11400</v>
      </c>
      <c r="AI1079" s="334">
        <v>112.193</v>
      </c>
      <c r="AJ1079" s="336">
        <v>11380</v>
      </c>
      <c r="AK1079" s="334">
        <v>113.184</v>
      </c>
      <c r="AL1079" s="336">
        <v>11400</v>
      </c>
      <c r="AM1079" s="334">
        <v>112.91500000000001</v>
      </c>
      <c r="AN1079" s="336">
        <v>11400</v>
      </c>
      <c r="AO1079" s="372">
        <v>113.474</v>
      </c>
      <c r="AP1079" s="336">
        <v>11390</v>
      </c>
      <c r="AQ1079" s="334">
        <v>113.60599999999999</v>
      </c>
      <c r="AR1079" s="336">
        <v>11400</v>
      </c>
      <c r="AS1079" s="334">
        <v>112.81399999999999</v>
      </c>
      <c r="AT1079" s="336">
        <v>11400</v>
      </c>
      <c r="AU1079" s="334">
        <v>111.328</v>
      </c>
      <c r="AV1079" s="336">
        <v>11400</v>
      </c>
      <c r="AW1079" s="334">
        <v>111.85899999999999</v>
      </c>
      <c r="AX1079" s="336">
        <v>11390</v>
      </c>
      <c r="AY1079" s="334">
        <v>76.531000000000006</v>
      </c>
      <c r="AZ1079" s="336">
        <v>11400</v>
      </c>
      <c r="BA1079" s="337">
        <v>77.891999999999996</v>
      </c>
      <c r="BB1079" s="336">
        <v>11380</v>
      </c>
      <c r="BC1079" s="334">
        <v>15.952</v>
      </c>
      <c r="BD1079" s="336">
        <v>11380</v>
      </c>
      <c r="BE1079" s="334">
        <v>17.265000000000001</v>
      </c>
    </row>
    <row r="1080" spans="22:57">
      <c r="V1080" s="346">
        <v>11410</v>
      </c>
      <c r="W1080" s="334">
        <v>34.161000000000001</v>
      </c>
      <c r="X1080" s="346">
        <v>11420</v>
      </c>
      <c r="Y1080" s="334">
        <v>33.619999999999997</v>
      </c>
      <c r="Z1080" s="335">
        <v>11410</v>
      </c>
      <c r="AA1080" s="334">
        <v>104.608</v>
      </c>
      <c r="AB1080" s="336">
        <v>11410</v>
      </c>
      <c r="AC1080" s="334">
        <v>104.76300000000001</v>
      </c>
      <c r="AD1080" s="336">
        <v>11410</v>
      </c>
      <c r="AE1080" s="334">
        <v>111.23699999999999</v>
      </c>
      <c r="AF1080" s="336">
        <v>11410</v>
      </c>
      <c r="AG1080" s="334">
        <v>109.92</v>
      </c>
      <c r="AH1080" s="336">
        <v>11410</v>
      </c>
      <c r="AI1080" s="334">
        <v>110.982</v>
      </c>
      <c r="AJ1080" s="336">
        <v>11390</v>
      </c>
      <c r="AK1080" s="334">
        <v>111.97199999999999</v>
      </c>
      <c r="AL1080" s="336">
        <v>11410</v>
      </c>
      <c r="AM1080" s="334">
        <v>111.70399999999999</v>
      </c>
      <c r="AN1080" s="336">
        <v>11410</v>
      </c>
      <c r="AO1080" s="334">
        <v>112.262</v>
      </c>
      <c r="AP1080" s="336">
        <v>11400</v>
      </c>
      <c r="AQ1080" s="334">
        <v>112.396</v>
      </c>
      <c r="AR1080" s="336">
        <v>11410</v>
      </c>
      <c r="AS1080" s="334">
        <v>111.602</v>
      </c>
      <c r="AT1080" s="336">
        <v>11410</v>
      </c>
      <c r="AU1080" s="334">
        <v>110.11799999999999</v>
      </c>
      <c r="AV1080" s="336">
        <v>11410</v>
      </c>
      <c r="AW1080" s="334">
        <v>110.651</v>
      </c>
      <c r="AX1080" s="336">
        <v>11400</v>
      </c>
      <c r="AY1080" s="334">
        <v>75.635000000000005</v>
      </c>
      <c r="AZ1080" s="336">
        <v>11410</v>
      </c>
      <c r="BA1080" s="337">
        <v>76.992999999999995</v>
      </c>
      <c r="BB1080" s="336">
        <v>11390</v>
      </c>
      <c r="BC1080" s="334">
        <v>15.763</v>
      </c>
      <c r="BD1080" s="336">
        <v>11390</v>
      </c>
      <c r="BE1080" s="334">
        <v>17.062000000000001</v>
      </c>
    </row>
    <row r="1081" spans="22:57">
      <c r="V1081" s="346">
        <v>11420</v>
      </c>
      <c r="W1081" s="334">
        <v>33.732999999999997</v>
      </c>
      <c r="X1081" s="346">
        <v>11430</v>
      </c>
      <c r="Y1081" s="334">
        <v>33.195999999999998</v>
      </c>
      <c r="Z1081" s="335">
        <v>11420</v>
      </c>
      <c r="AA1081" s="334">
        <v>103.4</v>
      </c>
      <c r="AB1081" s="336">
        <v>11420</v>
      </c>
      <c r="AC1081" s="334">
        <v>103.55500000000001</v>
      </c>
      <c r="AD1081" s="336">
        <v>11420</v>
      </c>
      <c r="AE1081" s="334">
        <v>110.027</v>
      </c>
      <c r="AF1081" s="336">
        <v>11420</v>
      </c>
      <c r="AG1081" s="334">
        <v>108.708</v>
      </c>
      <c r="AH1081" s="336">
        <v>11420</v>
      </c>
      <c r="AI1081" s="334">
        <v>109.77</v>
      </c>
      <c r="AJ1081" s="336">
        <v>11400</v>
      </c>
      <c r="AK1081" s="334">
        <v>110.761</v>
      </c>
      <c r="AL1081" s="336">
        <v>11420</v>
      </c>
      <c r="AM1081" s="334">
        <v>110.49299999999999</v>
      </c>
      <c r="AN1081" s="336">
        <v>11420</v>
      </c>
      <c r="AO1081" s="334">
        <v>111.05</v>
      </c>
      <c r="AP1081" s="336">
        <v>11410</v>
      </c>
      <c r="AQ1081" s="334">
        <v>111.185</v>
      </c>
      <c r="AR1081" s="336">
        <v>11420</v>
      </c>
      <c r="AS1081" s="334">
        <v>110.39100000000001</v>
      </c>
      <c r="AT1081" s="336">
        <v>11420</v>
      </c>
      <c r="AU1081" s="334">
        <v>108.90900000000001</v>
      </c>
      <c r="AV1081" s="336">
        <v>11420</v>
      </c>
      <c r="AW1081" s="334">
        <v>109.44199999999999</v>
      </c>
      <c r="AX1081" s="336">
        <v>11410</v>
      </c>
      <c r="AY1081" s="334">
        <v>74.739999999999995</v>
      </c>
      <c r="AZ1081" s="336">
        <v>11420</v>
      </c>
      <c r="BA1081" s="337">
        <v>76.096000000000004</v>
      </c>
      <c r="BB1081" s="336">
        <v>11400</v>
      </c>
      <c r="BC1081" s="334">
        <v>15.574</v>
      </c>
      <c r="BD1081" s="336">
        <v>11400</v>
      </c>
      <c r="BE1081" s="334">
        <v>16.859000000000002</v>
      </c>
    </row>
    <row r="1082" spans="22:57">
      <c r="V1082" s="346">
        <v>11430</v>
      </c>
      <c r="W1082" s="334">
        <v>33.305999999999997</v>
      </c>
      <c r="X1082" s="346">
        <v>11440</v>
      </c>
      <c r="Y1082" s="334">
        <v>32.773000000000003</v>
      </c>
      <c r="Z1082" s="335">
        <v>11430</v>
      </c>
      <c r="AA1082" s="334">
        <v>102.193</v>
      </c>
      <c r="AB1082" s="336">
        <v>11430</v>
      </c>
      <c r="AC1082" s="334">
        <v>102.349</v>
      </c>
      <c r="AD1082" s="336">
        <v>11430</v>
      </c>
      <c r="AE1082" s="334">
        <v>108.81699999999999</v>
      </c>
      <c r="AF1082" s="336">
        <v>11430</v>
      </c>
      <c r="AG1082" s="334">
        <v>107.497</v>
      </c>
      <c r="AH1082" s="336">
        <v>11430</v>
      </c>
      <c r="AI1082" s="334">
        <v>108.559</v>
      </c>
      <c r="AJ1082" s="336">
        <v>11410</v>
      </c>
      <c r="AK1082" s="334">
        <v>109.54900000000001</v>
      </c>
      <c r="AL1082" s="336">
        <v>11430</v>
      </c>
      <c r="AM1082" s="334">
        <v>109.28100000000001</v>
      </c>
      <c r="AN1082" s="336">
        <v>11430</v>
      </c>
      <c r="AO1082" s="334">
        <v>109.83799999999999</v>
      </c>
      <c r="AP1082" s="336">
        <v>11420</v>
      </c>
      <c r="AQ1082" s="334">
        <v>109.974</v>
      </c>
      <c r="AR1082" s="336">
        <v>11430</v>
      </c>
      <c r="AS1082" s="334">
        <v>109.18</v>
      </c>
      <c r="AT1082" s="336">
        <v>11430</v>
      </c>
      <c r="AU1082" s="334">
        <v>107.7</v>
      </c>
      <c r="AV1082" s="336">
        <v>11430</v>
      </c>
      <c r="AW1082" s="334">
        <v>108.233</v>
      </c>
      <c r="AX1082" s="336">
        <v>11420</v>
      </c>
      <c r="AY1082" s="334">
        <v>73.846999999999994</v>
      </c>
      <c r="AZ1082" s="336">
        <v>11430</v>
      </c>
      <c r="BA1082" s="337">
        <v>75.200999999999993</v>
      </c>
      <c r="BB1082" s="336">
        <v>11410</v>
      </c>
      <c r="BC1082" s="334">
        <v>15.385</v>
      </c>
      <c r="BD1082" s="336">
        <v>11410</v>
      </c>
      <c r="BE1082" s="334">
        <v>16.655999999999999</v>
      </c>
    </row>
    <row r="1083" spans="22:57">
      <c r="V1083" s="346">
        <v>11440</v>
      </c>
      <c r="W1083" s="334">
        <v>32.880000000000003</v>
      </c>
      <c r="X1083" s="346">
        <v>11450</v>
      </c>
      <c r="Y1083" s="334">
        <v>32.350999999999999</v>
      </c>
      <c r="Z1083" s="335">
        <v>11440</v>
      </c>
      <c r="AA1083" s="334">
        <v>100.988</v>
      </c>
      <c r="AB1083" s="336">
        <v>11440</v>
      </c>
      <c r="AC1083" s="334">
        <v>101.145</v>
      </c>
      <c r="AD1083" s="336">
        <v>11440</v>
      </c>
      <c r="AE1083" s="334">
        <v>107.607</v>
      </c>
      <c r="AF1083" s="336">
        <v>11440</v>
      </c>
      <c r="AG1083" s="334">
        <v>106.285</v>
      </c>
      <c r="AH1083" s="336">
        <v>11440</v>
      </c>
      <c r="AI1083" s="334">
        <v>107.348</v>
      </c>
      <c r="AJ1083" s="336">
        <v>11420</v>
      </c>
      <c r="AK1083" s="334">
        <v>108.33799999999999</v>
      </c>
      <c r="AL1083" s="336">
        <v>11440</v>
      </c>
      <c r="AM1083" s="334">
        <v>108.07</v>
      </c>
      <c r="AN1083" s="336">
        <v>11440</v>
      </c>
      <c r="AO1083" s="334">
        <v>108.626</v>
      </c>
      <c r="AP1083" s="336">
        <v>11430</v>
      </c>
      <c r="AQ1083" s="334">
        <v>108.764</v>
      </c>
      <c r="AR1083" s="336">
        <v>11440</v>
      </c>
      <c r="AS1083" s="334">
        <v>107.96899999999999</v>
      </c>
      <c r="AT1083" s="336">
        <v>11440</v>
      </c>
      <c r="AU1083" s="334">
        <v>106.491</v>
      </c>
      <c r="AV1083" s="336">
        <v>11440</v>
      </c>
      <c r="AW1083" s="334">
        <v>107.02500000000001</v>
      </c>
      <c r="AX1083" s="336">
        <v>11430</v>
      </c>
      <c r="AY1083" s="334">
        <v>72.954999999999998</v>
      </c>
      <c r="AZ1083" s="336">
        <v>11440</v>
      </c>
      <c r="BA1083" s="337">
        <v>74.308000000000007</v>
      </c>
      <c r="BB1083" s="336">
        <v>11420</v>
      </c>
      <c r="BC1083" s="334">
        <v>15.196999999999999</v>
      </c>
      <c r="BD1083" s="336">
        <v>11420</v>
      </c>
      <c r="BE1083" s="334">
        <v>16.454000000000001</v>
      </c>
    </row>
    <row r="1084" spans="22:57">
      <c r="V1084" s="346">
        <v>11450</v>
      </c>
      <c r="W1084" s="334">
        <v>32.454999999999998</v>
      </c>
      <c r="X1084" s="346">
        <v>11460</v>
      </c>
      <c r="Y1084" s="334">
        <v>31.93</v>
      </c>
      <c r="Z1084" s="335">
        <v>11450</v>
      </c>
      <c r="AA1084" s="334">
        <v>99.784999999999997</v>
      </c>
      <c r="AB1084" s="336">
        <v>11450</v>
      </c>
      <c r="AC1084" s="334">
        <v>99.941999999999993</v>
      </c>
      <c r="AD1084" s="336">
        <v>11450</v>
      </c>
      <c r="AE1084" s="334">
        <v>106.398</v>
      </c>
      <c r="AF1084" s="336">
        <v>11450</v>
      </c>
      <c r="AG1084" s="334">
        <v>105.07299999999999</v>
      </c>
      <c r="AH1084" s="336">
        <v>11450</v>
      </c>
      <c r="AI1084" s="334">
        <v>106.137</v>
      </c>
      <c r="AJ1084" s="336">
        <v>11430</v>
      </c>
      <c r="AK1084" s="334">
        <v>107.126</v>
      </c>
      <c r="AL1084" s="336">
        <v>11450</v>
      </c>
      <c r="AM1084" s="334">
        <v>106.85899999999999</v>
      </c>
      <c r="AN1084" s="336">
        <v>11450</v>
      </c>
      <c r="AO1084" s="334">
        <v>107.414</v>
      </c>
      <c r="AP1084" s="336">
        <v>11440</v>
      </c>
      <c r="AQ1084" s="334">
        <v>107.553</v>
      </c>
      <c r="AR1084" s="336">
        <v>11450</v>
      </c>
      <c r="AS1084" s="334">
        <v>106.75700000000001</v>
      </c>
      <c r="AT1084" s="336">
        <v>11450</v>
      </c>
      <c r="AU1084" s="334">
        <v>105.282</v>
      </c>
      <c r="AV1084" s="336">
        <v>11450</v>
      </c>
      <c r="AW1084" s="334">
        <v>105.81699999999999</v>
      </c>
      <c r="AX1084" s="336">
        <v>11440</v>
      </c>
      <c r="AY1084" s="334">
        <v>72.064999999999998</v>
      </c>
      <c r="AZ1084" s="336">
        <v>11450</v>
      </c>
      <c r="BA1084" s="337">
        <v>73.415000000000006</v>
      </c>
      <c r="BB1084" s="336">
        <v>11430</v>
      </c>
      <c r="BC1084" s="334">
        <v>15.009</v>
      </c>
      <c r="BD1084" s="336">
        <v>11430</v>
      </c>
      <c r="BE1084" s="334">
        <v>16.251999999999999</v>
      </c>
    </row>
    <row r="1085" spans="22:57">
      <c r="V1085" s="346">
        <v>11460</v>
      </c>
      <c r="W1085" s="334">
        <v>32.031999999999996</v>
      </c>
      <c r="X1085" s="346">
        <v>11470</v>
      </c>
      <c r="Y1085" s="334">
        <v>31.510999999999999</v>
      </c>
      <c r="Z1085" s="335">
        <v>11460</v>
      </c>
      <c r="AA1085" s="334">
        <v>98.582999999999998</v>
      </c>
      <c r="AB1085" s="336">
        <v>11460</v>
      </c>
      <c r="AC1085" s="334">
        <v>98.741</v>
      </c>
      <c r="AD1085" s="336">
        <v>11460</v>
      </c>
      <c r="AE1085" s="334">
        <v>105.188</v>
      </c>
      <c r="AF1085" s="336">
        <v>11460</v>
      </c>
      <c r="AG1085" s="334">
        <v>103.86199999999999</v>
      </c>
      <c r="AH1085" s="336">
        <v>11460</v>
      </c>
      <c r="AI1085" s="334">
        <v>104.925</v>
      </c>
      <c r="AJ1085" s="336">
        <v>11440</v>
      </c>
      <c r="AK1085" s="334">
        <v>105.91500000000001</v>
      </c>
      <c r="AL1085" s="336">
        <v>11460</v>
      </c>
      <c r="AM1085" s="334">
        <v>105.648</v>
      </c>
      <c r="AN1085" s="336">
        <v>11460</v>
      </c>
      <c r="AO1085" s="334">
        <v>106.202</v>
      </c>
      <c r="AP1085" s="336">
        <v>11450</v>
      </c>
      <c r="AQ1085" s="334">
        <v>106.342</v>
      </c>
      <c r="AR1085" s="336">
        <v>11460</v>
      </c>
      <c r="AS1085" s="334">
        <v>105.54600000000001</v>
      </c>
      <c r="AT1085" s="336">
        <v>11460</v>
      </c>
      <c r="AU1085" s="334">
        <v>104.07299999999999</v>
      </c>
      <c r="AV1085" s="336">
        <v>11460</v>
      </c>
      <c r="AW1085" s="334">
        <v>104.60899999999999</v>
      </c>
      <c r="AX1085" s="336">
        <v>11450</v>
      </c>
      <c r="AY1085" s="334">
        <v>71.376000000000005</v>
      </c>
      <c r="AZ1085" s="336">
        <v>11460</v>
      </c>
      <c r="BA1085" s="337">
        <v>72.525000000000006</v>
      </c>
      <c r="BB1085" s="336">
        <v>11440</v>
      </c>
      <c r="BC1085" s="334">
        <v>14.821999999999999</v>
      </c>
      <c r="BD1085" s="336">
        <v>11440</v>
      </c>
      <c r="BE1085" s="334">
        <v>16.050999999999998</v>
      </c>
    </row>
    <row r="1086" spans="22:57">
      <c r="V1086" s="346">
        <v>11470</v>
      </c>
      <c r="W1086" s="334">
        <v>31.61</v>
      </c>
      <c r="X1086" s="346">
        <v>11480</v>
      </c>
      <c r="Y1086" s="334">
        <v>31.093</v>
      </c>
      <c r="Z1086" s="335">
        <v>11470</v>
      </c>
      <c r="AA1086" s="334">
        <v>97.382999999999996</v>
      </c>
      <c r="AB1086" s="336">
        <v>11470</v>
      </c>
      <c r="AC1086" s="334">
        <v>97.542000000000002</v>
      </c>
      <c r="AD1086" s="336">
        <v>11470</v>
      </c>
      <c r="AE1086" s="334">
        <v>103.979</v>
      </c>
      <c r="AF1086" s="336">
        <v>11470</v>
      </c>
      <c r="AG1086" s="334">
        <v>102.651</v>
      </c>
      <c r="AH1086" s="336">
        <v>11470</v>
      </c>
      <c r="AI1086" s="334">
        <v>103.714</v>
      </c>
      <c r="AJ1086" s="336">
        <v>11450</v>
      </c>
      <c r="AK1086" s="334">
        <v>104.703</v>
      </c>
      <c r="AL1086" s="336">
        <v>11470</v>
      </c>
      <c r="AM1086" s="334">
        <v>104.437</v>
      </c>
      <c r="AN1086" s="336">
        <v>11470</v>
      </c>
      <c r="AO1086" s="334">
        <v>104.99</v>
      </c>
      <c r="AP1086" s="336">
        <v>11460</v>
      </c>
      <c r="AQ1086" s="334">
        <v>105.13200000000001</v>
      </c>
      <c r="AR1086" s="336">
        <v>11470</v>
      </c>
      <c r="AS1086" s="334">
        <v>104.33499999999999</v>
      </c>
      <c r="AT1086" s="336">
        <v>11470</v>
      </c>
      <c r="AU1086" s="334">
        <v>102.864</v>
      </c>
      <c r="AV1086" s="336">
        <v>11470</v>
      </c>
      <c r="AW1086" s="334">
        <v>103.401</v>
      </c>
      <c r="AX1086" s="336">
        <v>11460</v>
      </c>
      <c r="AY1086" s="334">
        <v>70.289000000000001</v>
      </c>
      <c r="AZ1086" s="336">
        <v>11470</v>
      </c>
      <c r="BA1086" s="337">
        <v>71.635999999999996</v>
      </c>
      <c r="BB1086" s="336">
        <v>11450</v>
      </c>
      <c r="BC1086" s="334">
        <v>14.635</v>
      </c>
      <c r="BD1086" s="336">
        <v>11450</v>
      </c>
      <c r="BE1086" s="334">
        <v>15.849</v>
      </c>
    </row>
    <row r="1087" spans="22:57">
      <c r="V1087" s="346">
        <v>11480</v>
      </c>
      <c r="W1087" s="334">
        <v>31.189</v>
      </c>
      <c r="X1087" s="346">
        <v>11490</v>
      </c>
      <c r="Y1087" s="334">
        <v>30.675999999999998</v>
      </c>
      <c r="Z1087" s="335">
        <v>11480</v>
      </c>
      <c r="AA1087" s="334">
        <v>96.185000000000002</v>
      </c>
      <c r="AB1087" s="336">
        <v>11480</v>
      </c>
      <c r="AC1087" s="334">
        <v>96.343999999999994</v>
      </c>
      <c r="AD1087" s="336">
        <v>11480</v>
      </c>
      <c r="AE1087" s="334">
        <v>102.76900000000001</v>
      </c>
      <c r="AF1087" s="336">
        <v>11480</v>
      </c>
      <c r="AG1087" s="334">
        <v>101.44</v>
      </c>
      <c r="AH1087" s="336">
        <v>11480</v>
      </c>
      <c r="AI1087" s="334">
        <v>102.503</v>
      </c>
      <c r="AJ1087" s="336">
        <v>11460</v>
      </c>
      <c r="AK1087" s="334">
        <v>103.492</v>
      </c>
      <c r="AL1087" s="336">
        <v>11480</v>
      </c>
      <c r="AM1087" s="334">
        <v>103.22499999999999</v>
      </c>
      <c r="AN1087" s="336">
        <v>11480</v>
      </c>
      <c r="AO1087" s="334">
        <v>103.77800000000001</v>
      </c>
      <c r="AP1087" s="336">
        <v>11470</v>
      </c>
      <c r="AQ1087" s="334">
        <v>103.92100000000001</v>
      </c>
      <c r="AR1087" s="336">
        <v>11480</v>
      </c>
      <c r="AS1087" s="334">
        <v>103.124</v>
      </c>
      <c r="AT1087" s="336">
        <v>11480</v>
      </c>
      <c r="AU1087" s="334">
        <v>101.655</v>
      </c>
      <c r="AV1087" s="336">
        <v>11480</v>
      </c>
      <c r="AW1087" s="334">
        <v>102.193</v>
      </c>
      <c r="AX1087" s="336">
        <v>11470</v>
      </c>
      <c r="AY1087" s="334">
        <v>69.403000000000006</v>
      </c>
      <c r="AZ1087" s="336">
        <v>11480</v>
      </c>
      <c r="BA1087" s="337">
        <v>70.748000000000005</v>
      </c>
      <c r="BB1087" s="336">
        <v>11460</v>
      </c>
      <c r="BC1087" s="334">
        <v>14.449</v>
      </c>
      <c r="BD1087" s="336">
        <v>11460</v>
      </c>
      <c r="BE1087" s="334">
        <v>15.648999999999999</v>
      </c>
    </row>
    <row r="1088" spans="22:57">
      <c r="V1088" s="346">
        <v>11490</v>
      </c>
      <c r="W1088" s="334">
        <v>30.768999999999998</v>
      </c>
      <c r="X1088" s="346">
        <v>11500</v>
      </c>
      <c r="Y1088" s="334">
        <v>30.26</v>
      </c>
      <c r="Z1088" s="335">
        <v>11490</v>
      </c>
      <c r="AA1088" s="334">
        <v>94.989000000000004</v>
      </c>
      <c r="AB1088" s="336">
        <v>11490</v>
      </c>
      <c r="AC1088" s="334">
        <v>95.147999999999996</v>
      </c>
      <c r="AD1088" s="336">
        <v>11490</v>
      </c>
      <c r="AE1088" s="334">
        <v>101.56</v>
      </c>
      <c r="AF1088" s="336">
        <v>11490</v>
      </c>
      <c r="AG1088" s="334">
        <v>100.229</v>
      </c>
      <c r="AH1088" s="336">
        <v>11490</v>
      </c>
      <c r="AI1088" s="334">
        <v>101.292</v>
      </c>
      <c r="AJ1088" s="336">
        <v>11470</v>
      </c>
      <c r="AK1088" s="334">
        <v>102.28</v>
      </c>
      <c r="AL1088" s="336">
        <v>11490</v>
      </c>
      <c r="AM1088" s="334">
        <v>102.014</v>
      </c>
      <c r="AN1088" s="336">
        <v>11490</v>
      </c>
      <c r="AO1088" s="334">
        <v>102.566</v>
      </c>
      <c r="AP1088" s="336">
        <v>11480</v>
      </c>
      <c r="AQ1088" s="334">
        <v>102.71</v>
      </c>
      <c r="AR1088" s="336">
        <v>11490</v>
      </c>
      <c r="AS1088" s="334">
        <v>101.91200000000001</v>
      </c>
      <c r="AT1088" s="336">
        <v>11490</v>
      </c>
      <c r="AU1088" s="334">
        <v>100.447</v>
      </c>
      <c r="AV1088" s="336">
        <v>11490</v>
      </c>
      <c r="AW1088" s="334">
        <v>100.985</v>
      </c>
      <c r="AX1088" s="336">
        <v>11480</v>
      </c>
      <c r="AY1088" s="334">
        <v>68.519000000000005</v>
      </c>
      <c r="AZ1088" s="336">
        <v>11490</v>
      </c>
      <c r="BA1088" s="337">
        <v>69.861999999999995</v>
      </c>
      <c r="BB1088" s="336">
        <v>11470</v>
      </c>
      <c r="BC1088" s="334">
        <v>14.262</v>
      </c>
      <c r="BD1088" s="336">
        <v>11470</v>
      </c>
      <c r="BE1088" s="334">
        <v>15.449</v>
      </c>
    </row>
    <row r="1089" spans="22:57">
      <c r="V1089" s="346">
        <v>11500</v>
      </c>
      <c r="W1089" s="334">
        <v>30.350999999999999</v>
      </c>
      <c r="X1089" s="346">
        <v>11510</v>
      </c>
      <c r="Y1089" s="334">
        <v>29.846</v>
      </c>
      <c r="Z1089" s="335">
        <v>11500</v>
      </c>
      <c r="AA1089" s="334">
        <v>93.793999999999997</v>
      </c>
      <c r="AB1089" s="336">
        <v>11500</v>
      </c>
      <c r="AC1089" s="334">
        <v>93.953999999999994</v>
      </c>
      <c r="AD1089" s="336">
        <v>11500</v>
      </c>
      <c r="AE1089" s="334">
        <v>100.351</v>
      </c>
      <c r="AF1089" s="336">
        <v>11500</v>
      </c>
      <c r="AG1089" s="334">
        <v>99.018000000000001</v>
      </c>
      <c r="AH1089" s="336">
        <v>11500</v>
      </c>
      <c r="AI1089" s="334">
        <v>100.08</v>
      </c>
      <c r="AJ1089" s="336">
        <v>11480</v>
      </c>
      <c r="AK1089" s="334">
        <v>101.069</v>
      </c>
      <c r="AL1089" s="336">
        <v>11500</v>
      </c>
      <c r="AM1089" s="334">
        <v>100.803</v>
      </c>
      <c r="AN1089" s="336">
        <v>11500</v>
      </c>
      <c r="AO1089" s="334">
        <v>101.354</v>
      </c>
      <c r="AP1089" s="336">
        <v>11490</v>
      </c>
      <c r="AQ1089" s="334">
        <v>101.5</v>
      </c>
      <c r="AR1089" s="336">
        <v>11500</v>
      </c>
      <c r="AS1089" s="334">
        <v>100.70099999999999</v>
      </c>
      <c r="AT1089" s="336">
        <v>11500</v>
      </c>
      <c r="AU1089" s="334">
        <v>99.238</v>
      </c>
      <c r="AV1089" s="336">
        <v>11500</v>
      </c>
      <c r="AW1089" s="334">
        <v>99.778000000000006</v>
      </c>
      <c r="AX1089" s="336">
        <v>11490</v>
      </c>
      <c r="AY1089" s="334">
        <v>67.637</v>
      </c>
      <c r="AZ1089" s="336">
        <v>11500</v>
      </c>
      <c r="BA1089" s="337">
        <v>68.977000000000004</v>
      </c>
      <c r="BB1089" s="336">
        <v>11480</v>
      </c>
      <c r="BC1089" s="334">
        <v>14.077</v>
      </c>
      <c r="BD1089" s="336">
        <v>11480</v>
      </c>
      <c r="BE1089" s="334">
        <v>15.249000000000001</v>
      </c>
    </row>
    <row r="1090" spans="22:57">
      <c r="V1090" s="346">
        <v>11510</v>
      </c>
      <c r="W1090" s="334">
        <v>29.933</v>
      </c>
      <c r="X1090" s="346">
        <v>11520</v>
      </c>
      <c r="Y1090" s="334">
        <v>29.433</v>
      </c>
      <c r="Z1090" s="335">
        <v>11510</v>
      </c>
      <c r="AA1090" s="334">
        <v>92.600999999999999</v>
      </c>
      <c r="AB1090" s="336">
        <v>11510</v>
      </c>
      <c r="AC1090" s="334">
        <v>92.760999999999996</v>
      </c>
      <c r="AD1090" s="336">
        <v>11510</v>
      </c>
      <c r="AE1090" s="334">
        <v>99.141999999999996</v>
      </c>
      <c r="AF1090" s="336">
        <v>11510</v>
      </c>
      <c r="AG1090" s="334">
        <v>97.807000000000002</v>
      </c>
      <c r="AH1090" s="336">
        <v>11510</v>
      </c>
      <c r="AI1090" s="334">
        <v>98.869</v>
      </c>
      <c r="AJ1090" s="336">
        <v>11490</v>
      </c>
      <c r="AK1090" s="334">
        <v>99.858000000000004</v>
      </c>
      <c r="AL1090" s="336">
        <v>11510</v>
      </c>
      <c r="AM1090" s="334">
        <v>99.591999999999999</v>
      </c>
      <c r="AN1090" s="336">
        <v>11510</v>
      </c>
      <c r="AO1090" s="334">
        <v>100.143</v>
      </c>
      <c r="AP1090" s="336">
        <v>11500</v>
      </c>
      <c r="AQ1090" s="334">
        <v>100.289</v>
      </c>
      <c r="AR1090" s="336">
        <v>11510</v>
      </c>
      <c r="AS1090" s="334">
        <v>99.49</v>
      </c>
      <c r="AT1090" s="336">
        <v>11510</v>
      </c>
      <c r="AU1090" s="334">
        <v>98.03</v>
      </c>
      <c r="AV1090" s="336">
        <v>11510</v>
      </c>
      <c r="AW1090" s="334">
        <v>98.57</v>
      </c>
      <c r="AX1090" s="336">
        <v>11500</v>
      </c>
      <c r="AY1090" s="334">
        <v>66.756</v>
      </c>
      <c r="AZ1090" s="336">
        <v>11510</v>
      </c>
      <c r="BA1090" s="337">
        <v>68.094999999999999</v>
      </c>
      <c r="BB1090" s="336">
        <v>11490</v>
      </c>
      <c r="BC1090" s="334">
        <v>13.891</v>
      </c>
      <c r="BD1090" s="336">
        <v>11490</v>
      </c>
      <c r="BE1090" s="334">
        <v>15.048999999999999</v>
      </c>
    </row>
    <row r="1091" spans="22:57">
      <c r="V1091" s="346">
        <v>11520</v>
      </c>
      <c r="W1091" s="334">
        <v>29.516999999999999</v>
      </c>
      <c r="X1091" s="346">
        <v>11530</v>
      </c>
      <c r="Y1091" s="334">
        <v>29.021000000000001</v>
      </c>
      <c r="Z1091" s="335">
        <v>11520</v>
      </c>
      <c r="AA1091" s="334">
        <v>91.41</v>
      </c>
      <c r="AB1091" s="336">
        <v>11520</v>
      </c>
      <c r="AC1091" s="334">
        <v>91.57</v>
      </c>
      <c r="AD1091" s="336">
        <v>11520</v>
      </c>
      <c r="AE1091" s="334">
        <v>97.933000000000007</v>
      </c>
      <c r="AF1091" s="336">
        <v>11520</v>
      </c>
      <c r="AG1091" s="334">
        <v>96.596999999999994</v>
      </c>
      <c r="AH1091" s="336">
        <v>11520</v>
      </c>
      <c r="AI1091" s="334">
        <v>97.658000000000001</v>
      </c>
      <c r="AJ1091" s="336">
        <v>11500</v>
      </c>
      <c r="AK1091" s="334">
        <v>98.646000000000001</v>
      </c>
      <c r="AL1091" s="336">
        <v>11520</v>
      </c>
      <c r="AM1091" s="334">
        <v>98.381</v>
      </c>
      <c r="AN1091" s="336">
        <v>11520</v>
      </c>
      <c r="AO1091" s="334">
        <v>98.930999999999997</v>
      </c>
      <c r="AP1091" s="336">
        <v>11510</v>
      </c>
      <c r="AQ1091" s="334">
        <v>99.078000000000003</v>
      </c>
      <c r="AR1091" s="336">
        <v>11520</v>
      </c>
      <c r="AS1091" s="334">
        <v>98.278999999999996</v>
      </c>
      <c r="AT1091" s="336">
        <v>11520</v>
      </c>
      <c r="AU1091" s="334">
        <v>96.822000000000003</v>
      </c>
      <c r="AV1091" s="336">
        <v>11520</v>
      </c>
      <c r="AW1091" s="334">
        <v>97.363</v>
      </c>
      <c r="AX1091" s="336">
        <v>11510</v>
      </c>
      <c r="AY1091" s="334">
        <v>65.876999999999995</v>
      </c>
      <c r="AZ1091" s="336">
        <v>11520</v>
      </c>
      <c r="BA1091" s="337">
        <v>67.212999999999994</v>
      </c>
      <c r="BB1091" s="336">
        <v>11500</v>
      </c>
      <c r="BC1091" s="334">
        <v>13.706</v>
      </c>
      <c r="BD1091" s="336">
        <v>11500</v>
      </c>
      <c r="BE1091" s="334">
        <v>14.85</v>
      </c>
    </row>
    <row r="1092" spans="22:57">
      <c r="V1092" s="346">
        <v>11530</v>
      </c>
      <c r="W1092" s="334">
        <v>29.102</v>
      </c>
      <c r="X1092" s="346">
        <v>11540</v>
      </c>
      <c r="Y1092" s="334">
        <v>28.61</v>
      </c>
      <c r="Z1092" s="335">
        <v>11530</v>
      </c>
      <c r="AA1092" s="334">
        <v>90.22</v>
      </c>
      <c r="AB1092" s="336">
        <v>11530</v>
      </c>
      <c r="AC1092" s="334">
        <v>90.381</v>
      </c>
      <c r="AD1092" s="336">
        <v>11530</v>
      </c>
      <c r="AE1092" s="334">
        <v>96.724999999999994</v>
      </c>
      <c r="AF1092" s="336">
        <v>11530</v>
      </c>
      <c r="AG1092" s="334">
        <v>95.387</v>
      </c>
      <c r="AH1092" s="336">
        <v>11530</v>
      </c>
      <c r="AI1092" s="334">
        <v>96.447000000000003</v>
      </c>
      <c r="AJ1092" s="336">
        <v>11510</v>
      </c>
      <c r="AK1092" s="334">
        <v>97.435000000000002</v>
      </c>
      <c r="AL1092" s="336">
        <v>11530</v>
      </c>
      <c r="AM1092" s="334">
        <v>97.17</v>
      </c>
      <c r="AN1092" s="336">
        <v>11530</v>
      </c>
      <c r="AO1092" s="334">
        <v>97.718999999999994</v>
      </c>
      <c r="AP1092" s="336">
        <v>11520</v>
      </c>
      <c r="AQ1092" s="334">
        <v>97.867999999999995</v>
      </c>
      <c r="AR1092" s="336">
        <v>11530</v>
      </c>
      <c r="AS1092" s="334">
        <v>97.066999999999993</v>
      </c>
      <c r="AT1092" s="336">
        <v>11530</v>
      </c>
      <c r="AU1092" s="334">
        <v>95.614000000000004</v>
      </c>
      <c r="AV1092" s="336">
        <v>11530</v>
      </c>
      <c r="AW1092" s="334">
        <v>96.156000000000006</v>
      </c>
      <c r="AX1092" s="336">
        <v>11520</v>
      </c>
      <c r="AY1092" s="334">
        <v>64.998999999999995</v>
      </c>
      <c r="AZ1092" s="336">
        <v>11530</v>
      </c>
      <c r="BA1092" s="337">
        <v>66.332999999999998</v>
      </c>
      <c r="BB1092" s="336">
        <v>11510</v>
      </c>
      <c r="BC1092" s="334">
        <v>13.522</v>
      </c>
      <c r="BD1092" s="336">
        <v>11510</v>
      </c>
      <c r="BE1092" s="334">
        <v>14.651</v>
      </c>
    </row>
    <row r="1093" spans="22:57">
      <c r="V1093" s="346">
        <v>11540</v>
      </c>
      <c r="W1093" s="334">
        <v>28.689</v>
      </c>
      <c r="X1093" s="346">
        <v>11550</v>
      </c>
      <c r="Y1093" s="334">
        <v>28.2</v>
      </c>
      <c r="Z1093" s="335">
        <v>11540</v>
      </c>
      <c r="AA1093" s="334">
        <v>89.031999999999996</v>
      </c>
      <c r="AB1093" s="336">
        <v>11540</v>
      </c>
      <c r="AC1093" s="334">
        <v>89.192999999999998</v>
      </c>
      <c r="AD1093" s="336">
        <v>11540</v>
      </c>
      <c r="AE1093" s="334">
        <v>95.516000000000005</v>
      </c>
      <c r="AF1093" s="336">
        <v>11540</v>
      </c>
      <c r="AG1093" s="334">
        <v>94.177000000000007</v>
      </c>
      <c r="AH1093" s="336">
        <v>11540</v>
      </c>
      <c r="AI1093" s="334">
        <v>95.234999999999999</v>
      </c>
      <c r="AJ1093" s="336">
        <v>11520</v>
      </c>
      <c r="AK1093" s="334">
        <v>96.222999999999999</v>
      </c>
      <c r="AL1093" s="336">
        <v>11540</v>
      </c>
      <c r="AM1093" s="334">
        <v>95.957999999999998</v>
      </c>
      <c r="AN1093" s="336">
        <v>11540</v>
      </c>
      <c r="AO1093" s="334">
        <v>96.507000000000005</v>
      </c>
      <c r="AP1093" s="336">
        <v>11530</v>
      </c>
      <c r="AQ1093" s="334">
        <v>96.656999999999996</v>
      </c>
      <c r="AR1093" s="336">
        <v>11540</v>
      </c>
      <c r="AS1093" s="334">
        <v>95.855999999999995</v>
      </c>
      <c r="AT1093" s="336">
        <v>11540</v>
      </c>
      <c r="AU1093" s="334">
        <v>94.406000000000006</v>
      </c>
      <c r="AV1093" s="336">
        <v>11540</v>
      </c>
      <c r="AW1093" s="334">
        <v>94.95</v>
      </c>
      <c r="AX1093" s="336">
        <v>11530</v>
      </c>
      <c r="AY1093" s="334">
        <v>64.122</v>
      </c>
      <c r="AZ1093" s="336">
        <v>11540</v>
      </c>
      <c r="BA1093" s="337">
        <v>65.454999999999998</v>
      </c>
      <c r="BB1093" s="336">
        <v>11520</v>
      </c>
      <c r="BC1093" s="334">
        <v>13.337999999999999</v>
      </c>
      <c r="BD1093" s="336">
        <v>11520</v>
      </c>
      <c r="BE1093" s="334">
        <v>14.452999999999999</v>
      </c>
    </row>
    <row r="1094" spans="22:57">
      <c r="V1094" s="346">
        <v>11550</v>
      </c>
      <c r="W1094" s="334">
        <v>28.276</v>
      </c>
      <c r="X1094" s="346">
        <v>11560</v>
      </c>
      <c r="Y1094" s="334">
        <v>27.792000000000002</v>
      </c>
      <c r="Z1094" s="335">
        <v>11550</v>
      </c>
      <c r="AA1094" s="334">
        <v>87.846000000000004</v>
      </c>
      <c r="AB1094" s="336">
        <v>11550</v>
      </c>
      <c r="AC1094" s="334">
        <v>88.007000000000005</v>
      </c>
      <c r="AD1094" s="336">
        <v>11550</v>
      </c>
      <c r="AE1094" s="334">
        <v>94.308000000000007</v>
      </c>
      <c r="AF1094" s="336">
        <v>11550</v>
      </c>
      <c r="AG1094" s="334">
        <v>92.966999999999999</v>
      </c>
      <c r="AH1094" s="336">
        <v>11550</v>
      </c>
      <c r="AI1094" s="334">
        <v>94.024000000000001</v>
      </c>
      <c r="AJ1094" s="336">
        <v>11530</v>
      </c>
      <c r="AK1094" s="334">
        <v>95.012</v>
      </c>
      <c r="AL1094" s="336">
        <v>11550</v>
      </c>
      <c r="AM1094" s="334">
        <v>94.747</v>
      </c>
      <c r="AN1094" s="336">
        <v>11550</v>
      </c>
      <c r="AO1094" s="334">
        <v>95.295000000000002</v>
      </c>
      <c r="AP1094" s="336">
        <v>11540</v>
      </c>
      <c r="AQ1094" s="334">
        <v>95.445999999999998</v>
      </c>
      <c r="AR1094" s="336">
        <v>11550</v>
      </c>
      <c r="AS1094" s="334">
        <v>94.644999999999996</v>
      </c>
      <c r="AT1094" s="336">
        <v>11550</v>
      </c>
      <c r="AU1094" s="334">
        <v>93.198999999999998</v>
      </c>
      <c r="AV1094" s="336">
        <v>11550</v>
      </c>
      <c r="AW1094" s="334">
        <v>93.742999999999995</v>
      </c>
      <c r="AX1094" s="336">
        <v>11540</v>
      </c>
      <c r="AY1094" s="334">
        <v>63.247999999999998</v>
      </c>
      <c r="AZ1094" s="336">
        <v>11550</v>
      </c>
      <c r="BA1094" s="337">
        <v>64.578000000000003</v>
      </c>
      <c r="BB1094" s="336">
        <v>11530</v>
      </c>
      <c r="BC1094" s="334">
        <v>13.154</v>
      </c>
      <c r="BD1094" s="336">
        <v>11530</v>
      </c>
      <c r="BE1094" s="334">
        <v>14.255000000000001</v>
      </c>
    </row>
    <row r="1095" spans="22:57">
      <c r="V1095" s="346">
        <v>11560</v>
      </c>
      <c r="W1095" s="334">
        <v>27.864999999999998</v>
      </c>
      <c r="X1095" s="346">
        <v>11570</v>
      </c>
      <c r="Y1095" s="334">
        <v>27.385000000000002</v>
      </c>
      <c r="Z1095" s="335">
        <v>11560</v>
      </c>
      <c r="AA1095" s="334">
        <v>86.662000000000006</v>
      </c>
      <c r="AB1095" s="336">
        <v>11560</v>
      </c>
      <c r="AC1095" s="334">
        <v>86.822999999999993</v>
      </c>
      <c r="AD1095" s="336">
        <v>11560</v>
      </c>
      <c r="AE1095" s="334">
        <v>93.1</v>
      </c>
      <c r="AF1095" s="336">
        <v>11560</v>
      </c>
      <c r="AG1095" s="334">
        <v>91.757000000000005</v>
      </c>
      <c r="AH1095" s="336">
        <v>11560</v>
      </c>
      <c r="AI1095" s="334">
        <v>92.813000000000002</v>
      </c>
      <c r="AJ1095" s="336">
        <v>11540</v>
      </c>
      <c r="AK1095" s="334">
        <v>93.8</v>
      </c>
      <c r="AL1095" s="336">
        <v>11560</v>
      </c>
      <c r="AM1095" s="334">
        <v>93.536000000000001</v>
      </c>
      <c r="AN1095" s="336">
        <v>11560</v>
      </c>
      <c r="AO1095" s="334">
        <v>94.082999999999998</v>
      </c>
      <c r="AP1095" s="336">
        <v>11550</v>
      </c>
      <c r="AQ1095" s="334">
        <v>94.236000000000004</v>
      </c>
      <c r="AR1095" s="336">
        <v>11560</v>
      </c>
      <c r="AS1095" s="334">
        <v>93.433000000000007</v>
      </c>
      <c r="AT1095" s="336">
        <v>11560</v>
      </c>
      <c r="AU1095" s="334">
        <v>91.991</v>
      </c>
      <c r="AV1095" s="336">
        <v>11560</v>
      </c>
      <c r="AW1095" s="334">
        <v>92.537000000000006</v>
      </c>
      <c r="AX1095" s="336">
        <v>11550</v>
      </c>
      <c r="AY1095" s="334">
        <v>62.374000000000002</v>
      </c>
      <c r="AZ1095" s="336">
        <v>11560</v>
      </c>
      <c r="BA1095" s="337">
        <v>63.703000000000003</v>
      </c>
      <c r="BB1095" s="336">
        <v>11540</v>
      </c>
      <c r="BC1095" s="334">
        <v>12.971</v>
      </c>
      <c r="BD1095" s="336">
        <v>11540</v>
      </c>
      <c r="BE1095" s="334">
        <v>14.058</v>
      </c>
    </row>
    <row r="1096" spans="22:57">
      <c r="V1096" s="346">
        <v>11570</v>
      </c>
      <c r="W1096" s="334">
        <v>27.454999999999998</v>
      </c>
      <c r="X1096" s="346">
        <v>11580</v>
      </c>
      <c r="Y1096" s="334">
        <v>26.978999999999999</v>
      </c>
      <c r="Z1096" s="335">
        <v>11570</v>
      </c>
      <c r="AA1096" s="334">
        <v>85.478999999999999</v>
      </c>
      <c r="AB1096" s="336">
        <v>11570</v>
      </c>
      <c r="AC1096" s="334">
        <v>85.64</v>
      </c>
      <c r="AD1096" s="336">
        <v>11570</v>
      </c>
      <c r="AE1096" s="334">
        <v>91.891999999999996</v>
      </c>
      <c r="AF1096" s="336">
        <v>11570</v>
      </c>
      <c r="AG1096" s="334">
        <v>90.546999999999997</v>
      </c>
      <c r="AH1096" s="336">
        <v>11570</v>
      </c>
      <c r="AI1096" s="334">
        <v>91.602000000000004</v>
      </c>
      <c r="AJ1096" s="336">
        <v>11550</v>
      </c>
      <c r="AK1096" s="334">
        <v>92.588999999999999</v>
      </c>
      <c r="AL1096" s="336">
        <v>11570</v>
      </c>
      <c r="AM1096" s="334">
        <v>92.325000000000003</v>
      </c>
      <c r="AN1096" s="336">
        <v>11570</v>
      </c>
      <c r="AO1096" s="334">
        <v>92.870999999999995</v>
      </c>
      <c r="AP1096" s="336">
        <v>11560</v>
      </c>
      <c r="AQ1096" s="334">
        <v>93.025000000000006</v>
      </c>
      <c r="AR1096" s="336">
        <v>11570</v>
      </c>
      <c r="AS1096" s="334">
        <v>92.221999999999994</v>
      </c>
      <c r="AT1096" s="336">
        <v>11570</v>
      </c>
      <c r="AU1096" s="334">
        <v>90.784000000000006</v>
      </c>
      <c r="AV1096" s="336">
        <v>11570</v>
      </c>
      <c r="AW1096" s="334">
        <v>91.33</v>
      </c>
      <c r="AX1096" s="336">
        <v>11560</v>
      </c>
      <c r="AY1096" s="334">
        <v>61.503</v>
      </c>
      <c r="AZ1096" s="336">
        <v>11570</v>
      </c>
      <c r="BA1096" s="337">
        <v>62.829000000000001</v>
      </c>
      <c r="BB1096" s="336">
        <v>11550</v>
      </c>
      <c r="BC1096" s="334">
        <v>12.788</v>
      </c>
      <c r="BD1096" s="336">
        <v>11550</v>
      </c>
      <c r="BE1096" s="334">
        <v>13.861000000000001</v>
      </c>
    </row>
    <row r="1097" spans="22:57">
      <c r="V1097" s="346">
        <v>11580</v>
      </c>
      <c r="W1097" s="334">
        <v>27.045999999999999</v>
      </c>
      <c r="X1097" s="346">
        <v>11590</v>
      </c>
      <c r="Y1097" s="334">
        <v>26.574000000000002</v>
      </c>
      <c r="Z1097" s="335">
        <v>11580</v>
      </c>
      <c r="AA1097" s="334">
        <v>84.298000000000002</v>
      </c>
      <c r="AB1097" s="336">
        <v>11580</v>
      </c>
      <c r="AC1097" s="334">
        <v>84.459000000000003</v>
      </c>
      <c r="AD1097" s="336">
        <v>11580</v>
      </c>
      <c r="AE1097" s="334">
        <v>90.683999999999997</v>
      </c>
      <c r="AF1097" s="336">
        <v>11580</v>
      </c>
      <c r="AG1097" s="334">
        <v>89.337999999999994</v>
      </c>
      <c r="AH1097" s="336">
        <v>11580</v>
      </c>
      <c r="AI1097" s="334">
        <v>90.391000000000005</v>
      </c>
      <c r="AJ1097" s="336">
        <v>11560</v>
      </c>
      <c r="AK1097" s="334">
        <v>91.376999999999995</v>
      </c>
      <c r="AL1097" s="336">
        <v>11580</v>
      </c>
      <c r="AM1097" s="334">
        <v>91.114000000000004</v>
      </c>
      <c r="AN1097" s="336">
        <v>11580</v>
      </c>
      <c r="AO1097" s="334">
        <v>91.659000000000006</v>
      </c>
      <c r="AP1097" s="336">
        <v>11570</v>
      </c>
      <c r="AQ1097" s="334">
        <v>91.813999999999993</v>
      </c>
      <c r="AR1097" s="336">
        <v>11580</v>
      </c>
      <c r="AS1097" s="334">
        <v>91.010999999999996</v>
      </c>
      <c r="AT1097" s="336">
        <v>11580</v>
      </c>
      <c r="AU1097" s="334">
        <v>89.576999999999998</v>
      </c>
      <c r="AV1097" s="336">
        <v>11580</v>
      </c>
      <c r="AW1097" s="334">
        <v>90.123999999999995</v>
      </c>
      <c r="AX1097" s="336">
        <v>11570</v>
      </c>
      <c r="AY1097" s="334">
        <v>60.633000000000003</v>
      </c>
      <c r="AZ1097" s="336">
        <v>11580</v>
      </c>
      <c r="BA1097" s="337">
        <v>61.957000000000001</v>
      </c>
      <c r="BB1097" s="336">
        <v>11560</v>
      </c>
      <c r="BC1097" s="334">
        <v>12.605</v>
      </c>
      <c r="BD1097" s="336">
        <v>11560</v>
      </c>
      <c r="BE1097" s="334">
        <v>13.664</v>
      </c>
    </row>
    <row r="1098" spans="22:57">
      <c r="V1098" s="346">
        <v>11590</v>
      </c>
      <c r="W1098" s="334">
        <v>26.638999999999999</v>
      </c>
      <c r="X1098" s="346">
        <v>11600</v>
      </c>
      <c r="Y1098" s="334">
        <v>26.170999999999999</v>
      </c>
      <c r="Z1098" s="335">
        <v>11590</v>
      </c>
      <c r="AA1098" s="334">
        <v>83.117999999999995</v>
      </c>
      <c r="AB1098" s="336">
        <v>11590</v>
      </c>
      <c r="AC1098" s="334">
        <v>83.28</v>
      </c>
      <c r="AD1098" s="336">
        <v>11590</v>
      </c>
      <c r="AE1098" s="334">
        <v>89.477000000000004</v>
      </c>
      <c r="AF1098" s="336">
        <v>11590</v>
      </c>
      <c r="AG1098" s="334">
        <v>88.129000000000005</v>
      </c>
      <c r="AH1098" s="336">
        <v>11590</v>
      </c>
      <c r="AI1098" s="334">
        <v>89.179000000000002</v>
      </c>
      <c r="AJ1098" s="336">
        <v>11570</v>
      </c>
      <c r="AK1098" s="334">
        <v>90.165999999999997</v>
      </c>
      <c r="AL1098" s="336">
        <v>11590</v>
      </c>
      <c r="AM1098" s="334">
        <v>89.902000000000001</v>
      </c>
      <c r="AN1098" s="336">
        <v>11590</v>
      </c>
      <c r="AO1098" s="334">
        <v>90.447000000000003</v>
      </c>
      <c r="AP1098" s="336">
        <v>11580</v>
      </c>
      <c r="AQ1098" s="334">
        <v>90.603999999999999</v>
      </c>
      <c r="AR1098" s="336">
        <v>11590</v>
      </c>
      <c r="AS1098" s="334">
        <v>89.8</v>
      </c>
      <c r="AT1098" s="336">
        <v>11590</v>
      </c>
      <c r="AU1098" s="334">
        <v>88.370999999999995</v>
      </c>
      <c r="AV1098" s="336">
        <v>11590</v>
      </c>
      <c r="AW1098" s="334">
        <v>88.918999999999997</v>
      </c>
      <c r="AX1098" s="336">
        <v>11580</v>
      </c>
      <c r="AY1098" s="334">
        <v>59.764000000000003</v>
      </c>
      <c r="AZ1098" s="336">
        <v>11590</v>
      </c>
      <c r="BA1098" s="337">
        <v>61.085999999999999</v>
      </c>
      <c r="BB1098" s="336">
        <v>11570</v>
      </c>
      <c r="BC1098" s="334">
        <v>12.423</v>
      </c>
      <c r="BD1098" s="336">
        <v>11570</v>
      </c>
      <c r="BE1098" s="334">
        <v>13.468</v>
      </c>
    </row>
    <row r="1099" spans="22:57">
      <c r="V1099" s="346">
        <v>11600</v>
      </c>
      <c r="W1099" s="334">
        <v>26.233000000000001</v>
      </c>
      <c r="X1099" s="346">
        <v>11610</v>
      </c>
      <c r="Y1099" s="334">
        <v>25.768000000000001</v>
      </c>
      <c r="Z1099" s="335">
        <v>11600</v>
      </c>
      <c r="AA1099" s="334">
        <v>81.941000000000003</v>
      </c>
      <c r="AB1099" s="336">
        <v>11600</v>
      </c>
      <c r="AC1099" s="334">
        <v>82.102999999999994</v>
      </c>
      <c r="AD1099" s="336">
        <v>11600</v>
      </c>
      <c r="AE1099" s="334">
        <v>88.269000000000005</v>
      </c>
      <c r="AF1099" s="336">
        <v>11600</v>
      </c>
      <c r="AG1099" s="334">
        <v>86.92</v>
      </c>
      <c r="AH1099" s="336">
        <v>11600</v>
      </c>
      <c r="AI1099" s="334">
        <v>87.968000000000004</v>
      </c>
      <c r="AJ1099" s="336">
        <v>11580</v>
      </c>
      <c r="AK1099" s="334">
        <v>88.953999999999994</v>
      </c>
      <c r="AL1099" s="336">
        <v>11600</v>
      </c>
      <c r="AM1099" s="334">
        <v>88.691000000000003</v>
      </c>
      <c r="AN1099" s="336">
        <v>11600</v>
      </c>
      <c r="AO1099" s="334">
        <v>89.234999999999999</v>
      </c>
      <c r="AP1099" s="336">
        <v>11590</v>
      </c>
      <c r="AQ1099" s="334">
        <v>89.393000000000001</v>
      </c>
      <c r="AR1099" s="336">
        <v>11600</v>
      </c>
      <c r="AS1099" s="334">
        <v>88.587999999999994</v>
      </c>
      <c r="AT1099" s="336">
        <v>11600</v>
      </c>
      <c r="AU1099" s="334">
        <v>87.164000000000001</v>
      </c>
      <c r="AV1099" s="336">
        <v>11600</v>
      </c>
      <c r="AW1099" s="334">
        <v>87.712999999999994</v>
      </c>
      <c r="AX1099" s="336">
        <v>11590</v>
      </c>
      <c r="AY1099" s="334">
        <v>58.896999999999998</v>
      </c>
      <c r="AZ1099" s="336">
        <v>11600</v>
      </c>
      <c r="BA1099" s="337">
        <v>60.216999999999999</v>
      </c>
      <c r="BB1099" s="336">
        <v>11580</v>
      </c>
      <c r="BC1099" s="334">
        <v>12.241</v>
      </c>
      <c r="BD1099" s="336">
        <v>11580</v>
      </c>
      <c r="BE1099" s="334">
        <v>13.272</v>
      </c>
    </row>
    <row r="1100" spans="22:57">
      <c r="V1100" s="346">
        <v>11610</v>
      </c>
      <c r="W1100" s="334">
        <v>25.827999999999999</v>
      </c>
      <c r="X1100" s="346">
        <v>11620</v>
      </c>
      <c r="Y1100" s="334">
        <v>25.367000000000001</v>
      </c>
      <c r="Z1100" s="335">
        <v>11610</v>
      </c>
      <c r="AA1100" s="334">
        <v>80.765000000000001</v>
      </c>
      <c r="AB1100" s="336">
        <v>11610</v>
      </c>
      <c r="AC1100" s="334">
        <v>80.927000000000007</v>
      </c>
      <c r="AD1100" s="336">
        <v>11610</v>
      </c>
      <c r="AE1100" s="334">
        <v>87.061999999999998</v>
      </c>
      <c r="AF1100" s="336">
        <v>11610</v>
      </c>
      <c r="AG1100" s="334">
        <v>85.712000000000003</v>
      </c>
      <c r="AH1100" s="336">
        <v>11610</v>
      </c>
      <c r="AI1100" s="334">
        <v>86.757000000000005</v>
      </c>
      <c r="AJ1100" s="336">
        <v>11590</v>
      </c>
      <c r="AK1100" s="334">
        <v>87.742999999999995</v>
      </c>
      <c r="AL1100" s="336">
        <v>11610</v>
      </c>
      <c r="AM1100" s="334">
        <v>87.48</v>
      </c>
      <c r="AN1100" s="336">
        <v>11610</v>
      </c>
      <c r="AO1100" s="334">
        <v>88.024000000000001</v>
      </c>
      <c r="AP1100" s="336">
        <v>11600</v>
      </c>
      <c r="AQ1100" s="334">
        <v>88.182000000000002</v>
      </c>
      <c r="AR1100" s="336">
        <v>11610</v>
      </c>
      <c r="AS1100" s="334">
        <v>87.376999999999995</v>
      </c>
      <c r="AT1100" s="336">
        <v>11610</v>
      </c>
      <c r="AU1100" s="334">
        <v>85.957999999999998</v>
      </c>
      <c r="AV1100" s="336">
        <v>11610</v>
      </c>
      <c r="AW1100" s="334">
        <v>86.507999999999996</v>
      </c>
      <c r="AX1100" s="336">
        <v>11600</v>
      </c>
      <c r="AY1100" s="334">
        <v>58.031999999999996</v>
      </c>
      <c r="AZ1100" s="336">
        <v>11610</v>
      </c>
      <c r="BA1100" s="337">
        <v>59.348999999999997</v>
      </c>
      <c r="BB1100" s="336">
        <v>11590</v>
      </c>
      <c r="BC1100" s="334">
        <v>12.06</v>
      </c>
      <c r="BD1100" s="336">
        <v>11590</v>
      </c>
      <c r="BE1100" s="334">
        <v>13.076000000000001</v>
      </c>
    </row>
    <row r="1101" spans="22:57">
      <c r="V1101" s="346">
        <v>11620</v>
      </c>
      <c r="W1101" s="334">
        <v>25.423999999999999</v>
      </c>
      <c r="X1101" s="346">
        <v>11630</v>
      </c>
      <c r="Y1101" s="334">
        <v>24.968</v>
      </c>
      <c r="Z1101" s="335">
        <v>11620</v>
      </c>
      <c r="AA1101" s="334">
        <v>79.59</v>
      </c>
      <c r="AB1101" s="336">
        <v>11620</v>
      </c>
      <c r="AC1101" s="334">
        <v>79.751999999999995</v>
      </c>
      <c r="AD1101" s="336">
        <v>11620</v>
      </c>
      <c r="AE1101" s="334">
        <v>85.855000000000004</v>
      </c>
      <c r="AF1101" s="336">
        <v>11620</v>
      </c>
      <c r="AG1101" s="334">
        <v>84.503</v>
      </c>
      <c r="AH1101" s="336">
        <v>11620</v>
      </c>
      <c r="AI1101" s="334">
        <v>85.546000000000006</v>
      </c>
      <c r="AJ1101" s="336">
        <v>11600</v>
      </c>
      <c r="AK1101" s="334">
        <v>86.531999999999996</v>
      </c>
      <c r="AL1101" s="336">
        <v>11620</v>
      </c>
      <c r="AM1101" s="334">
        <v>86.269000000000005</v>
      </c>
      <c r="AN1101" s="336">
        <v>11620</v>
      </c>
      <c r="AO1101" s="334">
        <v>86.811999999999998</v>
      </c>
      <c r="AP1101" s="336">
        <v>11610</v>
      </c>
      <c r="AQ1101" s="334">
        <v>86.971999999999994</v>
      </c>
      <c r="AR1101" s="336">
        <v>11620</v>
      </c>
      <c r="AS1101" s="334">
        <v>86.165999999999997</v>
      </c>
      <c r="AT1101" s="336">
        <v>11620</v>
      </c>
      <c r="AU1101" s="334">
        <v>84.751999999999995</v>
      </c>
      <c r="AV1101" s="336">
        <v>11620</v>
      </c>
      <c r="AW1101" s="334">
        <v>85.302999999999997</v>
      </c>
      <c r="AX1101" s="336">
        <v>11610</v>
      </c>
      <c r="AY1101" s="334">
        <v>57.167999999999999</v>
      </c>
      <c r="AZ1101" s="336">
        <v>11620</v>
      </c>
      <c r="BA1101" s="337">
        <v>58.482999999999997</v>
      </c>
      <c r="BB1101" s="336">
        <v>11600</v>
      </c>
      <c r="BC1101" s="334">
        <v>11.879</v>
      </c>
      <c r="BD1101" s="336">
        <v>11600</v>
      </c>
      <c r="BE1101" s="334">
        <v>12.881</v>
      </c>
    </row>
    <row r="1102" spans="22:57">
      <c r="V1102" s="346">
        <v>11630</v>
      </c>
      <c r="W1102" s="334">
        <v>25.021000000000001</v>
      </c>
      <c r="X1102" s="346">
        <v>11640</v>
      </c>
      <c r="Y1102" s="334">
        <v>24.568999999999999</v>
      </c>
      <c r="Z1102" s="335">
        <v>11630</v>
      </c>
      <c r="AA1102" s="334">
        <v>78.418000000000006</v>
      </c>
      <c r="AB1102" s="336">
        <v>11630</v>
      </c>
      <c r="AC1102" s="334">
        <v>78.58</v>
      </c>
      <c r="AD1102" s="336">
        <v>11630</v>
      </c>
      <c r="AE1102" s="334">
        <v>84.649000000000001</v>
      </c>
      <c r="AF1102" s="336">
        <v>11630</v>
      </c>
      <c r="AG1102" s="334">
        <v>83.295000000000002</v>
      </c>
      <c r="AH1102" s="336">
        <v>11630</v>
      </c>
      <c r="AI1102" s="334">
        <v>84.334999999999994</v>
      </c>
      <c r="AJ1102" s="336">
        <v>11610</v>
      </c>
      <c r="AK1102" s="334">
        <v>85.32</v>
      </c>
      <c r="AL1102" s="336">
        <v>11630</v>
      </c>
      <c r="AM1102" s="334">
        <v>85.058000000000007</v>
      </c>
      <c r="AN1102" s="336">
        <v>11630</v>
      </c>
      <c r="AO1102" s="334">
        <v>85.6</v>
      </c>
      <c r="AP1102" s="336">
        <v>11620</v>
      </c>
      <c r="AQ1102" s="334">
        <v>85.760999999999996</v>
      </c>
      <c r="AR1102" s="336">
        <v>11630</v>
      </c>
      <c r="AS1102" s="334">
        <v>84.953999999999994</v>
      </c>
      <c r="AT1102" s="336">
        <v>11630</v>
      </c>
      <c r="AU1102" s="334">
        <v>83.546000000000006</v>
      </c>
      <c r="AV1102" s="336">
        <v>11630</v>
      </c>
      <c r="AW1102" s="334">
        <v>84.097999999999999</v>
      </c>
      <c r="AX1102" s="336">
        <v>11620</v>
      </c>
      <c r="AY1102" s="334">
        <v>56.305</v>
      </c>
      <c r="AZ1102" s="336">
        <v>11630</v>
      </c>
      <c r="BA1102" s="337">
        <v>57.619</v>
      </c>
      <c r="BB1102" s="336">
        <v>11610</v>
      </c>
      <c r="BC1102" s="334">
        <v>11.699</v>
      </c>
      <c r="BD1102" s="336">
        <v>11610</v>
      </c>
      <c r="BE1102" s="334">
        <v>12.686999999999999</v>
      </c>
    </row>
    <row r="1103" spans="22:57">
      <c r="V1103" s="346">
        <v>11640</v>
      </c>
      <c r="W1103" s="334">
        <v>24.62</v>
      </c>
      <c r="X1103" s="346">
        <v>11650</v>
      </c>
      <c r="Y1103" s="334">
        <v>24.172000000000001</v>
      </c>
      <c r="Z1103" s="335">
        <v>11640</v>
      </c>
      <c r="AA1103" s="334">
        <v>77.247</v>
      </c>
      <c r="AB1103" s="336">
        <v>11640</v>
      </c>
      <c r="AC1103" s="334">
        <v>77.409000000000006</v>
      </c>
      <c r="AD1103" s="336">
        <v>11640</v>
      </c>
      <c r="AE1103" s="334">
        <v>83.441999999999993</v>
      </c>
      <c r="AF1103" s="336">
        <v>11640</v>
      </c>
      <c r="AG1103" s="334">
        <v>82.087000000000003</v>
      </c>
      <c r="AH1103" s="336">
        <v>11640</v>
      </c>
      <c r="AI1103" s="334">
        <v>83.123000000000005</v>
      </c>
      <c r="AJ1103" s="336">
        <v>11620</v>
      </c>
      <c r="AK1103" s="334">
        <v>84.108999999999995</v>
      </c>
      <c r="AL1103" s="336">
        <v>11640</v>
      </c>
      <c r="AM1103" s="334">
        <v>83.846999999999994</v>
      </c>
      <c r="AN1103" s="336">
        <v>11640</v>
      </c>
      <c r="AO1103" s="334">
        <v>84.388000000000005</v>
      </c>
      <c r="AP1103" s="336">
        <v>11630</v>
      </c>
      <c r="AQ1103" s="334">
        <v>84.55</v>
      </c>
      <c r="AR1103" s="336">
        <v>11640</v>
      </c>
      <c r="AS1103" s="334">
        <v>83.742999999999995</v>
      </c>
      <c r="AT1103" s="336">
        <v>11640</v>
      </c>
      <c r="AU1103" s="334">
        <v>82.34</v>
      </c>
      <c r="AV1103" s="336">
        <v>11640</v>
      </c>
      <c r="AW1103" s="334">
        <v>82.894000000000005</v>
      </c>
      <c r="AX1103" s="336">
        <v>11630</v>
      </c>
      <c r="AY1103" s="334">
        <v>55.444000000000003</v>
      </c>
      <c r="AZ1103" s="336">
        <v>11640</v>
      </c>
      <c r="BA1103" s="337">
        <v>56.756</v>
      </c>
      <c r="BB1103" s="336">
        <v>11620</v>
      </c>
      <c r="BC1103" s="334">
        <v>11.518000000000001</v>
      </c>
      <c r="BD1103" s="336">
        <v>11620</v>
      </c>
      <c r="BE1103" s="334">
        <v>12.492000000000001</v>
      </c>
    </row>
    <row r="1104" spans="22:57">
      <c r="V1104" s="346">
        <v>11650</v>
      </c>
      <c r="W1104" s="334">
        <v>24.22</v>
      </c>
      <c r="X1104" s="346">
        <v>11660</v>
      </c>
      <c r="Y1104" s="334">
        <v>23.776</v>
      </c>
      <c r="Z1104" s="335">
        <v>11650</v>
      </c>
      <c r="AA1104" s="334">
        <v>76.076999999999998</v>
      </c>
      <c r="AB1104" s="336">
        <v>11650</v>
      </c>
      <c r="AC1104" s="334">
        <v>76.239000000000004</v>
      </c>
      <c r="AD1104" s="336">
        <v>11650</v>
      </c>
      <c r="AE1104" s="334">
        <v>82.236000000000004</v>
      </c>
      <c r="AF1104" s="336">
        <v>11650</v>
      </c>
      <c r="AG1104" s="334">
        <v>80.879000000000005</v>
      </c>
      <c r="AH1104" s="336">
        <v>11650</v>
      </c>
      <c r="AI1104" s="334">
        <v>81.912000000000006</v>
      </c>
      <c r="AJ1104" s="336">
        <v>11630</v>
      </c>
      <c r="AK1104" s="334">
        <v>82.897000000000006</v>
      </c>
      <c r="AL1104" s="336">
        <v>11650</v>
      </c>
      <c r="AM1104" s="334">
        <v>82.635999999999996</v>
      </c>
      <c r="AN1104" s="336">
        <v>11650</v>
      </c>
      <c r="AO1104" s="334">
        <v>83.176000000000002</v>
      </c>
      <c r="AP1104" s="336">
        <v>11640</v>
      </c>
      <c r="AQ1104" s="334">
        <v>83.34</v>
      </c>
      <c r="AR1104" s="336">
        <v>11650</v>
      </c>
      <c r="AS1104" s="334">
        <v>82.531999999999996</v>
      </c>
      <c r="AT1104" s="336">
        <v>11650</v>
      </c>
      <c r="AU1104" s="334">
        <v>81.135000000000005</v>
      </c>
      <c r="AV1104" s="336">
        <v>11650</v>
      </c>
      <c r="AW1104" s="334">
        <v>81.69</v>
      </c>
      <c r="AX1104" s="336">
        <v>11640</v>
      </c>
      <c r="AY1104" s="334">
        <v>54.585000000000001</v>
      </c>
      <c r="AZ1104" s="336">
        <v>11650</v>
      </c>
      <c r="BA1104" s="337">
        <v>55.893999999999998</v>
      </c>
      <c r="BB1104" s="336">
        <v>11630</v>
      </c>
      <c r="BC1104" s="334">
        <v>11.339</v>
      </c>
      <c r="BD1104" s="336">
        <v>11630</v>
      </c>
      <c r="BE1104" s="334">
        <v>12.298</v>
      </c>
    </row>
    <row r="1105" spans="22:57">
      <c r="V1105" s="346">
        <v>11660</v>
      </c>
      <c r="W1105" s="334">
        <v>23.821000000000002</v>
      </c>
      <c r="X1105" s="346">
        <v>11670</v>
      </c>
      <c r="Y1105" s="334">
        <v>23.381</v>
      </c>
      <c r="Z1105" s="335">
        <v>11660</v>
      </c>
      <c r="AA1105" s="334">
        <v>74.91</v>
      </c>
      <c r="AB1105" s="336">
        <v>11660</v>
      </c>
      <c r="AC1105" s="334">
        <v>75.072000000000003</v>
      </c>
      <c r="AD1105" s="336">
        <v>11660</v>
      </c>
      <c r="AE1105" s="334">
        <v>81.03</v>
      </c>
      <c r="AF1105" s="336">
        <v>11660</v>
      </c>
      <c r="AG1105" s="334">
        <v>79.671999999999997</v>
      </c>
      <c r="AH1105" s="336">
        <v>11660</v>
      </c>
      <c r="AI1105" s="334">
        <v>80.700999999999993</v>
      </c>
      <c r="AJ1105" s="336">
        <v>11640</v>
      </c>
      <c r="AK1105" s="334">
        <v>81.686000000000007</v>
      </c>
      <c r="AL1105" s="336">
        <v>11660</v>
      </c>
      <c r="AM1105" s="334">
        <v>81.424000000000007</v>
      </c>
      <c r="AN1105" s="336">
        <v>11660</v>
      </c>
      <c r="AO1105" s="334">
        <v>81.963999999999999</v>
      </c>
      <c r="AP1105" s="336">
        <v>11650</v>
      </c>
      <c r="AQ1105" s="334">
        <v>82.129000000000005</v>
      </c>
      <c r="AR1105" s="336">
        <v>11660</v>
      </c>
      <c r="AS1105" s="334">
        <v>81.320999999999998</v>
      </c>
      <c r="AT1105" s="336">
        <v>11660</v>
      </c>
      <c r="AU1105" s="334">
        <v>79.930000000000007</v>
      </c>
      <c r="AV1105" s="336">
        <v>11660</v>
      </c>
      <c r="AW1105" s="334">
        <v>80.486000000000004</v>
      </c>
      <c r="AX1105" s="336">
        <v>11650</v>
      </c>
      <c r="AY1105" s="334">
        <v>53.726999999999997</v>
      </c>
      <c r="AZ1105" s="336">
        <v>11660</v>
      </c>
      <c r="BA1105" s="337">
        <v>55.033999999999999</v>
      </c>
      <c r="BB1105" s="336">
        <v>11640</v>
      </c>
      <c r="BC1105" s="334">
        <v>11.159000000000001</v>
      </c>
      <c r="BD1105" s="336">
        <v>11640</v>
      </c>
      <c r="BE1105" s="334">
        <v>12.105</v>
      </c>
    </row>
    <row r="1106" spans="22:57">
      <c r="V1106" s="346">
        <v>11670</v>
      </c>
      <c r="W1106" s="334">
        <v>23.423999999999999</v>
      </c>
      <c r="X1106" s="346">
        <v>11680</v>
      </c>
      <c r="Y1106" s="334">
        <v>22.986999999999998</v>
      </c>
      <c r="Z1106" s="335">
        <v>11670</v>
      </c>
      <c r="AA1106" s="334">
        <v>73.744</v>
      </c>
      <c r="AB1106" s="336">
        <v>11670</v>
      </c>
      <c r="AC1106" s="334">
        <v>73.906000000000006</v>
      </c>
      <c r="AD1106" s="336">
        <v>11670</v>
      </c>
      <c r="AE1106" s="334">
        <v>79.823999999999998</v>
      </c>
      <c r="AF1106" s="336">
        <v>11670</v>
      </c>
      <c r="AG1106" s="334">
        <v>78.463999999999999</v>
      </c>
      <c r="AH1106" s="336">
        <v>11670</v>
      </c>
      <c r="AI1106" s="334">
        <v>79.489999999999995</v>
      </c>
      <c r="AJ1106" s="336">
        <v>11650</v>
      </c>
      <c r="AK1106" s="334">
        <v>80.474000000000004</v>
      </c>
      <c r="AL1106" s="336">
        <v>11670</v>
      </c>
      <c r="AM1106" s="334">
        <v>80.212999999999994</v>
      </c>
      <c r="AN1106" s="336">
        <v>11670</v>
      </c>
      <c r="AO1106" s="334">
        <v>80.751999999999995</v>
      </c>
      <c r="AP1106" s="336">
        <v>11660</v>
      </c>
      <c r="AQ1106" s="334">
        <v>80.918000000000006</v>
      </c>
      <c r="AR1106" s="336">
        <v>11670</v>
      </c>
      <c r="AS1106" s="334">
        <v>80.108999999999995</v>
      </c>
      <c r="AT1106" s="336">
        <v>11670</v>
      </c>
      <c r="AU1106" s="334">
        <v>78.724999999999994</v>
      </c>
      <c r="AV1106" s="336">
        <v>11670</v>
      </c>
      <c r="AW1106" s="334">
        <v>79.281999999999996</v>
      </c>
      <c r="AX1106" s="336">
        <v>11660</v>
      </c>
      <c r="AY1106" s="334">
        <v>52.871000000000002</v>
      </c>
      <c r="AZ1106" s="336">
        <v>11670</v>
      </c>
      <c r="BA1106" s="337">
        <v>54.176000000000002</v>
      </c>
      <c r="BB1106" s="336">
        <v>11650</v>
      </c>
      <c r="BC1106" s="334">
        <v>10.98</v>
      </c>
      <c r="BD1106" s="336">
        <v>11650</v>
      </c>
      <c r="BE1106" s="334">
        <v>11.912000000000001</v>
      </c>
    </row>
    <row r="1107" spans="22:57">
      <c r="V1107" s="346">
        <v>11680</v>
      </c>
      <c r="W1107" s="334">
        <v>23.027000000000001</v>
      </c>
      <c r="X1107" s="346">
        <v>11690</v>
      </c>
      <c r="Y1107" s="334">
        <v>22.594999999999999</v>
      </c>
      <c r="Z1107" s="335">
        <v>11680</v>
      </c>
      <c r="AA1107" s="334">
        <v>72.578999999999994</v>
      </c>
      <c r="AB1107" s="336">
        <v>11680</v>
      </c>
      <c r="AC1107" s="334">
        <v>72.741</v>
      </c>
      <c r="AD1107" s="336">
        <v>11680</v>
      </c>
      <c r="AE1107" s="334">
        <v>78.617999999999995</v>
      </c>
      <c r="AF1107" s="336">
        <v>11680</v>
      </c>
      <c r="AG1107" s="334">
        <v>77.257000000000005</v>
      </c>
      <c r="AH1107" s="336">
        <v>11680</v>
      </c>
      <c r="AI1107" s="334">
        <v>78.278999999999996</v>
      </c>
      <c r="AJ1107" s="336">
        <v>11660</v>
      </c>
      <c r="AK1107" s="334">
        <v>79.263000000000005</v>
      </c>
      <c r="AL1107" s="336">
        <v>11680</v>
      </c>
      <c r="AM1107" s="334">
        <v>79.001999999999995</v>
      </c>
      <c r="AN1107" s="336">
        <v>11680</v>
      </c>
      <c r="AO1107" s="334">
        <v>79.540000000000006</v>
      </c>
      <c r="AP1107" s="336">
        <v>11670</v>
      </c>
      <c r="AQ1107" s="334">
        <v>79.707999999999998</v>
      </c>
      <c r="AR1107" s="336">
        <v>11680</v>
      </c>
      <c r="AS1107" s="334">
        <v>78.897999999999996</v>
      </c>
      <c r="AT1107" s="336">
        <v>11680</v>
      </c>
      <c r="AU1107" s="334">
        <v>77.52</v>
      </c>
      <c r="AV1107" s="336">
        <v>11680</v>
      </c>
      <c r="AW1107" s="334">
        <v>78.078999999999994</v>
      </c>
      <c r="AX1107" s="336">
        <v>11670</v>
      </c>
      <c r="AY1107" s="334">
        <v>52.015999999999998</v>
      </c>
      <c r="AZ1107" s="336">
        <v>11680</v>
      </c>
      <c r="BA1107" s="337">
        <v>53.319000000000003</v>
      </c>
      <c r="BB1107" s="336">
        <v>11660</v>
      </c>
      <c r="BC1107" s="334">
        <v>10.802</v>
      </c>
      <c r="BD1107" s="336">
        <v>11660</v>
      </c>
      <c r="BE1107" s="334">
        <v>11.718999999999999</v>
      </c>
    </row>
    <row r="1108" spans="22:57">
      <c r="V1108" s="346">
        <v>11690</v>
      </c>
      <c r="W1108" s="334">
        <v>22.632000000000001</v>
      </c>
      <c r="X1108" s="346">
        <v>11700</v>
      </c>
      <c r="Y1108" s="334">
        <v>22.204000000000001</v>
      </c>
      <c r="Z1108" s="335">
        <v>11690</v>
      </c>
      <c r="AA1108" s="334">
        <v>71.417000000000002</v>
      </c>
      <c r="AB1108" s="336">
        <v>11690</v>
      </c>
      <c r="AC1108" s="334">
        <v>71.578999999999994</v>
      </c>
      <c r="AD1108" s="336">
        <v>11690</v>
      </c>
      <c r="AE1108" s="334">
        <v>77.412999999999997</v>
      </c>
      <c r="AF1108" s="336">
        <v>11690</v>
      </c>
      <c r="AG1108" s="334">
        <v>76.051000000000002</v>
      </c>
      <c r="AH1108" s="336">
        <v>11690</v>
      </c>
      <c r="AI1108" s="334">
        <v>77.067999999999998</v>
      </c>
      <c r="AJ1108" s="336">
        <v>11670</v>
      </c>
      <c r="AK1108" s="334">
        <v>78.052000000000007</v>
      </c>
      <c r="AL1108" s="336">
        <v>11690</v>
      </c>
      <c r="AM1108" s="334">
        <v>77.790999999999997</v>
      </c>
      <c r="AN1108" s="336">
        <v>11690</v>
      </c>
      <c r="AO1108" s="334">
        <v>78.328000000000003</v>
      </c>
      <c r="AP1108" s="336">
        <v>11680</v>
      </c>
      <c r="AQ1108" s="334">
        <v>78.497</v>
      </c>
      <c r="AR1108" s="336">
        <v>11690</v>
      </c>
      <c r="AS1108" s="334">
        <v>77.686999999999998</v>
      </c>
      <c r="AT1108" s="336">
        <v>11690</v>
      </c>
      <c r="AU1108" s="334">
        <v>76.316000000000003</v>
      </c>
      <c r="AV1108" s="336">
        <v>11690</v>
      </c>
      <c r="AW1108" s="334">
        <v>76.876000000000005</v>
      </c>
      <c r="AX1108" s="336">
        <v>11680</v>
      </c>
      <c r="AY1108" s="334">
        <v>51.162999999999997</v>
      </c>
      <c r="AZ1108" s="336">
        <v>11690</v>
      </c>
      <c r="BA1108" s="337">
        <v>52.463000000000001</v>
      </c>
      <c r="BB1108" s="336">
        <v>11670</v>
      </c>
      <c r="BC1108" s="334">
        <v>10.624000000000001</v>
      </c>
      <c r="BD1108" s="336">
        <v>11670</v>
      </c>
      <c r="BE1108" s="334">
        <v>11.526999999999999</v>
      </c>
    </row>
    <row r="1109" spans="22:57">
      <c r="V1109" s="346">
        <v>11700</v>
      </c>
      <c r="W1109" s="334">
        <v>22.239000000000001</v>
      </c>
      <c r="X1109" s="346">
        <v>11710</v>
      </c>
      <c r="Y1109" s="334">
        <v>21.814</v>
      </c>
      <c r="Z1109" s="335">
        <v>11700</v>
      </c>
      <c r="AA1109" s="334">
        <v>70.256</v>
      </c>
      <c r="AB1109" s="336">
        <v>11700</v>
      </c>
      <c r="AC1109" s="334">
        <v>70.418000000000006</v>
      </c>
      <c r="AD1109" s="336">
        <v>11700</v>
      </c>
      <c r="AE1109" s="334">
        <v>76.206999999999994</v>
      </c>
      <c r="AF1109" s="336">
        <v>11700</v>
      </c>
      <c r="AG1109" s="334">
        <v>74.843999999999994</v>
      </c>
      <c r="AH1109" s="336">
        <v>11700</v>
      </c>
      <c r="AI1109" s="334">
        <v>75.855999999999995</v>
      </c>
      <c r="AJ1109" s="336">
        <v>11680</v>
      </c>
      <c r="AK1109" s="334">
        <v>76.84</v>
      </c>
      <c r="AL1109" s="336">
        <v>11700</v>
      </c>
      <c r="AM1109" s="334">
        <v>76.58</v>
      </c>
      <c r="AN1109" s="336">
        <v>11700</v>
      </c>
      <c r="AO1109" s="334">
        <v>77.117000000000004</v>
      </c>
      <c r="AP1109" s="336">
        <v>11690</v>
      </c>
      <c r="AQ1109" s="334">
        <v>77.286000000000001</v>
      </c>
      <c r="AR1109" s="336">
        <v>11700</v>
      </c>
      <c r="AS1109" s="334">
        <v>76.475999999999999</v>
      </c>
      <c r="AT1109" s="336">
        <v>11700</v>
      </c>
      <c r="AU1109" s="334">
        <v>75.111999999999995</v>
      </c>
      <c r="AV1109" s="336">
        <v>11700</v>
      </c>
      <c r="AW1109" s="334">
        <v>75.673000000000002</v>
      </c>
      <c r="AX1109" s="336">
        <v>11690</v>
      </c>
      <c r="AY1109" s="334">
        <v>50.311999999999998</v>
      </c>
      <c r="AZ1109" s="336">
        <v>11700</v>
      </c>
      <c r="BA1109" s="337">
        <v>51.61</v>
      </c>
      <c r="BB1109" s="336">
        <v>11680</v>
      </c>
      <c r="BC1109" s="334">
        <v>10.446</v>
      </c>
      <c r="BD1109" s="336">
        <v>11680</v>
      </c>
      <c r="BE1109" s="334">
        <v>11.335000000000001</v>
      </c>
    </row>
    <row r="1110" spans="22:57">
      <c r="V1110" s="346">
        <v>11710</v>
      </c>
      <c r="W1110" s="334">
        <v>21.846</v>
      </c>
      <c r="X1110" s="346">
        <v>11720</v>
      </c>
      <c r="Y1110" s="334">
        <v>21.425999999999998</v>
      </c>
      <c r="Z1110" s="335">
        <v>11710</v>
      </c>
      <c r="AA1110" s="334">
        <v>69.096000000000004</v>
      </c>
      <c r="AB1110" s="336">
        <v>11710</v>
      </c>
      <c r="AC1110" s="334">
        <v>69.257999999999996</v>
      </c>
      <c r="AD1110" s="336">
        <v>11710</v>
      </c>
      <c r="AE1110" s="334">
        <v>75.003</v>
      </c>
      <c r="AF1110" s="336">
        <v>11710</v>
      </c>
      <c r="AG1110" s="334">
        <v>73.638000000000005</v>
      </c>
      <c r="AH1110" s="336">
        <v>11710</v>
      </c>
      <c r="AI1110" s="334">
        <v>74.644999999999996</v>
      </c>
      <c r="AJ1110" s="336">
        <v>11690</v>
      </c>
      <c r="AK1110" s="334">
        <v>75.629000000000005</v>
      </c>
      <c r="AL1110" s="336">
        <v>11710</v>
      </c>
      <c r="AM1110" s="334">
        <v>75.369</v>
      </c>
      <c r="AN1110" s="336">
        <v>11710</v>
      </c>
      <c r="AO1110" s="334">
        <v>75.905000000000001</v>
      </c>
      <c r="AP1110" s="336">
        <v>11700</v>
      </c>
      <c r="AQ1110" s="334">
        <v>76.075000000000003</v>
      </c>
      <c r="AR1110" s="336">
        <v>11710</v>
      </c>
      <c r="AS1110" s="334">
        <v>75.263999999999996</v>
      </c>
      <c r="AT1110" s="336">
        <v>11710</v>
      </c>
      <c r="AU1110" s="334">
        <v>73.908000000000001</v>
      </c>
      <c r="AV1110" s="336">
        <v>11710</v>
      </c>
      <c r="AW1110" s="334">
        <v>74.471000000000004</v>
      </c>
      <c r="AX1110" s="336">
        <v>11700</v>
      </c>
      <c r="AY1110" s="334">
        <v>49.460999999999999</v>
      </c>
      <c r="AZ1110" s="336">
        <v>11710</v>
      </c>
      <c r="BA1110" s="337">
        <v>50.756999999999998</v>
      </c>
      <c r="BB1110" s="336">
        <v>11690</v>
      </c>
      <c r="BC1110" s="334">
        <v>10.269</v>
      </c>
      <c r="BD1110" s="336">
        <v>11690</v>
      </c>
      <c r="BE1110" s="334">
        <v>11.144</v>
      </c>
    </row>
    <row r="1111" spans="22:57">
      <c r="V1111" s="346">
        <v>11720</v>
      </c>
      <c r="W1111" s="334">
        <v>21.454999999999998</v>
      </c>
      <c r="X1111" s="346">
        <v>11730</v>
      </c>
      <c r="Y1111" s="334">
        <v>21.038</v>
      </c>
      <c r="Z1111" s="335">
        <v>11720</v>
      </c>
      <c r="AA1111" s="334">
        <v>67.938999999999993</v>
      </c>
      <c r="AB1111" s="336">
        <v>11720</v>
      </c>
      <c r="AC1111" s="334">
        <v>68.099999999999994</v>
      </c>
      <c r="AD1111" s="336">
        <v>11720</v>
      </c>
      <c r="AE1111" s="334">
        <v>73.798000000000002</v>
      </c>
      <c r="AF1111" s="336">
        <v>11720</v>
      </c>
      <c r="AG1111" s="334">
        <v>72.432000000000002</v>
      </c>
      <c r="AH1111" s="336">
        <v>11720</v>
      </c>
      <c r="AI1111" s="334">
        <v>73.433999999999997</v>
      </c>
      <c r="AJ1111" s="336">
        <v>11700</v>
      </c>
      <c r="AK1111" s="334">
        <v>74.417000000000002</v>
      </c>
      <c r="AL1111" s="336">
        <v>11720</v>
      </c>
      <c r="AM1111" s="334">
        <v>74.158000000000001</v>
      </c>
      <c r="AN1111" s="336">
        <v>11720</v>
      </c>
      <c r="AO1111" s="334">
        <v>74.692999999999998</v>
      </c>
      <c r="AP1111" s="336">
        <v>11710</v>
      </c>
      <c r="AQ1111" s="334">
        <v>74.864999999999995</v>
      </c>
      <c r="AR1111" s="336">
        <v>11720</v>
      </c>
      <c r="AS1111" s="334">
        <v>74.052999999999997</v>
      </c>
      <c r="AT1111" s="336">
        <v>11720</v>
      </c>
      <c r="AU1111" s="334">
        <v>72.704999999999998</v>
      </c>
      <c r="AV1111" s="336">
        <v>11720</v>
      </c>
      <c r="AW1111" s="334">
        <v>73.268000000000001</v>
      </c>
      <c r="AX1111" s="336">
        <v>11710</v>
      </c>
      <c r="AY1111" s="334">
        <v>48.613</v>
      </c>
      <c r="AZ1111" s="336">
        <v>11720</v>
      </c>
      <c r="BA1111" s="337">
        <v>49.906999999999996</v>
      </c>
      <c r="BB1111" s="336">
        <v>11700</v>
      </c>
      <c r="BC1111" s="334">
        <v>10.092000000000001</v>
      </c>
      <c r="BD1111" s="336">
        <v>11700</v>
      </c>
      <c r="BE1111" s="334">
        <v>10.952999999999999</v>
      </c>
    </row>
    <row r="1112" spans="22:57">
      <c r="V1112" s="346">
        <v>11730</v>
      </c>
      <c r="W1112" s="334">
        <v>21.065000000000001</v>
      </c>
      <c r="X1112" s="346">
        <v>11740</v>
      </c>
      <c r="Y1112" s="334">
        <v>20.652000000000001</v>
      </c>
      <c r="Z1112" s="335">
        <v>11730</v>
      </c>
      <c r="AA1112" s="334">
        <v>66.783000000000001</v>
      </c>
      <c r="AB1112" s="336">
        <v>11730</v>
      </c>
      <c r="AC1112" s="334">
        <v>66.944000000000003</v>
      </c>
      <c r="AD1112" s="336">
        <v>11730</v>
      </c>
      <c r="AE1112" s="334">
        <v>72.593000000000004</v>
      </c>
      <c r="AF1112" s="336">
        <v>11730</v>
      </c>
      <c r="AG1112" s="334">
        <v>71.225999999999999</v>
      </c>
      <c r="AH1112" s="336">
        <v>11730</v>
      </c>
      <c r="AI1112" s="334">
        <v>72.222999999999999</v>
      </c>
      <c r="AJ1112" s="336">
        <v>11710</v>
      </c>
      <c r="AK1112" s="334">
        <v>73.206000000000003</v>
      </c>
      <c r="AL1112" s="336">
        <v>11730</v>
      </c>
      <c r="AM1112" s="334">
        <v>72.945999999999998</v>
      </c>
      <c r="AN1112" s="336">
        <v>11730</v>
      </c>
      <c r="AO1112" s="334">
        <v>73.480999999999995</v>
      </c>
      <c r="AP1112" s="336">
        <v>11720</v>
      </c>
      <c r="AQ1112" s="334">
        <v>73.653999999999996</v>
      </c>
      <c r="AR1112" s="336">
        <v>11730</v>
      </c>
      <c r="AS1112" s="334">
        <v>72.841999999999999</v>
      </c>
      <c r="AT1112" s="336">
        <v>11730</v>
      </c>
      <c r="AU1112" s="334">
        <v>71.501999999999995</v>
      </c>
      <c r="AV1112" s="336">
        <v>11730</v>
      </c>
      <c r="AW1112" s="334">
        <v>72.066999999999993</v>
      </c>
      <c r="AX1112" s="336">
        <v>11720</v>
      </c>
      <c r="AY1112" s="334">
        <v>47.765999999999998</v>
      </c>
      <c r="AZ1112" s="336">
        <v>11730</v>
      </c>
      <c r="BA1112" s="337">
        <v>49.057000000000002</v>
      </c>
      <c r="BB1112" s="336">
        <v>11710</v>
      </c>
      <c r="BC1112" s="334">
        <v>9.9149999999999991</v>
      </c>
      <c r="BD1112" s="336">
        <v>11710</v>
      </c>
      <c r="BE1112" s="334">
        <v>10.762</v>
      </c>
    </row>
    <row r="1113" spans="22:57">
      <c r="V1113" s="346">
        <v>11740</v>
      </c>
      <c r="W1113" s="334">
        <v>20.675999999999998</v>
      </c>
      <c r="X1113" s="346">
        <v>11750</v>
      </c>
      <c r="Y1113" s="334">
        <v>20.268000000000001</v>
      </c>
      <c r="Z1113" s="335">
        <v>11740</v>
      </c>
      <c r="AA1113" s="334">
        <v>65.629000000000005</v>
      </c>
      <c r="AB1113" s="336">
        <v>11740</v>
      </c>
      <c r="AC1113" s="334">
        <v>65.790000000000006</v>
      </c>
      <c r="AD1113" s="336">
        <v>11740</v>
      </c>
      <c r="AE1113" s="334">
        <v>71.388999999999996</v>
      </c>
      <c r="AF1113" s="336">
        <v>11740</v>
      </c>
      <c r="AG1113" s="334">
        <v>70.021000000000001</v>
      </c>
      <c r="AH1113" s="336">
        <v>11740</v>
      </c>
      <c r="AI1113" s="334">
        <v>71.012</v>
      </c>
      <c r="AJ1113" s="336">
        <v>11720</v>
      </c>
      <c r="AK1113" s="334">
        <v>71.995000000000005</v>
      </c>
      <c r="AL1113" s="336">
        <v>11740</v>
      </c>
      <c r="AM1113" s="334">
        <v>71.734999999999999</v>
      </c>
      <c r="AN1113" s="336">
        <v>11740</v>
      </c>
      <c r="AO1113" s="334">
        <v>72.269000000000005</v>
      </c>
      <c r="AP1113" s="336">
        <v>11730</v>
      </c>
      <c r="AQ1113" s="334">
        <v>72.442999999999998</v>
      </c>
      <c r="AR1113" s="336">
        <v>11740</v>
      </c>
      <c r="AS1113" s="334">
        <v>71.63</v>
      </c>
      <c r="AT1113" s="336">
        <v>11740</v>
      </c>
      <c r="AU1113" s="334">
        <v>70.299000000000007</v>
      </c>
      <c r="AV1113" s="336">
        <v>11740</v>
      </c>
      <c r="AW1113" s="334">
        <v>70.864999999999995</v>
      </c>
      <c r="AX1113" s="336">
        <v>11730</v>
      </c>
      <c r="AY1113" s="334">
        <v>46.920999999999999</v>
      </c>
      <c r="AZ1113" s="336">
        <v>11740</v>
      </c>
      <c r="BA1113" s="337">
        <v>48.21</v>
      </c>
      <c r="BB1113" s="336">
        <v>11720</v>
      </c>
      <c r="BC1113" s="334">
        <v>9.7390000000000008</v>
      </c>
      <c r="BD1113" s="336">
        <v>11720</v>
      </c>
      <c r="BE1113" s="334">
        <v>10.571999999999999</v>
      </c>
    </row>
    <row r="1114" spans="22:57">
      <c r="V1114" s="346">
        <v>11750</v>
      </c>
      <c r="W1114" s="334">
        <v>20.289000000000001</v>
      </c>
      <c r="X1114" s="346">
        <v>11760</v>
      </c>
      <c r="Y1114" s="334">
        <v>19.884</v>
      </c>
      <c r="Z1114" s="335">
        <v>11750</v>
      </c>
      <c r="AA1114" s="334">
        <v>64.475999999999999</v>
      </c>
      <c r="AB1114" s="336">
        <v>11750</v>
      </c>
      <c r="AC1114" s="334">
        <v>64.637</v>
      </c>
      <c r="AD1114" s="336">
        <v>11750</v>
      </c>
      <c r="AE1114" s="334">
        <v>70.185000000000002</v>
      </c>
      <c r="AF1114" s="336">
        <v>11750</v>
      </c>
      <c r="AG1114" s="334">
        <v>68.816000000000003</v>
      </c>
      <c r="AH1114" s="336">
        <v>11750</v>
      </c>
      <c r="AI1114" s="334">
        <v>69.8</v>
      </c>
      <c r="AJ1114" s="336">
        <v>11730</v>
      </c>
      <c r="AK1114" s="334">
        <v>70.783000000000001</v>
      </c>
      <c r="AL1114" s="336">
        <v>11750</v>
      </c>
      <c r="AM1114" s="334">
        <v>70.524000000000001</v>
      </c>
      <c r="AN1114" s="336">
        <v>11750</v>
      </c>
      <c r="AO1114" s="334">
        <v>71.057000000000002</v>
      </c>
      <c r="AP1114" s="336">
        <v>11740</v>
      </c>
      <c r="AQ1114" s="334">
        <v>71.233000000000004</v>
      </c>
      <c r="AR1114" s="336">
        <v>11750</v>
      </c>
      <c r="AS1114" s="334">
        <v>70.418999999999997</v>
      </c>
      <c r="AT1114" s="336">
        <v>11750</v>
      </c>
      <c r="AU1114" s="334">
        <v>69.096999999999994</v>
      </c>
      <c r="AV1114" s="336">
        <v>11750</v>
      </c>
      <c r="AW1114" s="334">
        <v>69.664000000000001</v>
      </c>
      <c r="AX1114" s="336">
        <v>11740</v>
      </c>
      <c r="AY1114" s="334">
        <v>46.076999999999998</v>
      </c>
      <c r="AZ1114" s="336">
        <v>11750</v>
      </c>
      <c r="BA1114" s="337">
        <v>47.363999999999997</v>
      </c>
      <c r="BB1114" s="336">
        <v>11730</v>
      </c>
      <c r="BC1114" s="334">
        <v>9.5630000000000006</v>
      </c>
      <c r="BD1114" s="336">
        <v>11730</v>
      </c>
      <c r="BE1114" s="334">
        <v>10.382</v>
      </c>
    </row>
    <row r="1115" spans="22:57">
      <c r="V1115" s="346">
        <v>11760</v>
      </c>
      <c r="W1115" s="334">
        <v>19.902000000000001</v>
      </c>
      <c r="X1115" s="346">
        <v>11770</v>
      </c>
      <c r="Y1115" s="334">
        <v>19.501999999999999</v>
      </c>
      <c r="Z1115" s="335">
        <v>11760</v>
      </c>
      <c r="AA1115" s="334">
        <v>63.325000000000003</v>
      </c>
      <c r="AB1115" s="336">
        <v>11760</v>
      </c>
      <c r="AC1115" s="334">
        <v>63.484999999999999</v>
      </c>
      <c r="AD1115" s="336">
        <v>11760</v>
      </c>
      <c r="AE1115" s="334">
        <v>68.981999999999999</v>
      </c>
      <c r="AF1115" s="336">
        <v>11760</v>
      </c>
      <c r="AG1115" s="334">
        <v>67.611000000000004</v>
      </c>
      <c r="AH1115" s="336">
        <v>11760</v>
      </c>
      <c r="AI1115" s="334">
        <v>68.588999999999999</v>
      </c>
      <c r="AJ1115" s="336">
        <v>11740</v>
      </c>
      <c r="AK1115" s="334">
        <v>69.572000000000003</v>
      </c>
      <c r="AL1115" s="336">
        <v>11760</v>
      </c>
      <c r="AM1115" s="334">
        <v>69.313000000000002</v>
      </c>
      <c r="AN1115" s="336">
        <v>11760</v>
      </c>
      <c r="AO1115" s="334">
        <v>69.844999999999999</v>
      </c>
      <c r="AP1115" s="336">
        <v>11750</v>
      </c>
      <c r="AQ1115" s="334">
        <v>70.022000000000006</v>
      </c>
      <c r="AR1115" s="336">
        <v>11760</v>
      </c>
      <c r="AS1115" s="334">
        <v>69.207999999999998</v>
      </c>
      <c r="AT1115" s="336">
        <v>11760</v>
      </c>
      <c r="AU1115" s="334">
        <v>67.894999999999996</v>
      </c>
      <c r="AV1115" s="336">
        <v>11760</v>
      </c>
      <c r="AW1115" s="334">
        <v>68.462999999999994</v>
      </c>
      <c r="AX1115" s="336">
        <v>11750</v>
      </c>
      <c r="AY1115" s="334">
        <v>45.234000000000002</v>
      </c>
      <c r="AZ1115" s="336">
        <v>11760</v>
      </c>
      <c r="BA1115" s="337">
        <v>46.518999999999998</v>
      </c>
      <c r="BB1115" s="336">
        <v>11740</v>
      </c>
      <c r="BC1115" s="334">
        <v>9.3879999999999999</v>
      </c>
      <c r="BD1115" s="336">
        <v>11740</v>
      </c>
      <c r="BE1115" s="334">
        <v>10.192</v>
      </c>
    </row>
    <row r="1116" spans="22:57">
      <c r="V1116" s="346">
        <v>11770</v>
      </c>
      <c r="W1116" s="334">
        <v>19.518000000000001</v>
      </c>
      <c r="X1116" s="346">
        <v>11780</v>
      </c>
      <c r="Y1116" s="334">
        <v>19.120999999999999</v>
      </c>
      <c r="Z1116" s="335">
        <v>11770</v>
      </c>
      <c r="AA1116" s="334">
        <v>62.176000000000002</v>
      </c>
      <c r="AB1116" s="336">
        <v>11770</v>
      </c>
      <c r="AC1116" s="334">
        <v>62.335999999999999</v>
      </c>
      <c r="AD1116" s="336">
        <v>11770</v>
      </c>
      <c r="AE1116" s="334">
        <v>67.778999999999996</v>
      </c>
      <c r="AF1116" s="336">
        <v>11770</v>
      </c>
      <c r="AG1116" s="334">
        <v>66.406000000000006</v>
      </c>
      <c r="AH1116" s="336">
        <v>11770</v>
      </c>
      <c r="AI1116" s="334">
        <v>67.378</v>
      </c>
      <c r="AJ1116" s="336">
        <v>11750</v>
      </c>
      <c r="AK1116" s="334">
        <v>68.36</v>
      </c>
      <c r="AL1116" s="336">
        <v>11770</v>
      </c>
      <c r="AM1116" s="334">
        <v>68.102000000000004</v>
      </c>
      <c r="AN1116" s="336">
        <v>11770</v>
      </c>
      <c r="AO1116" s="334">
        <v>68.632999999999996</v>
      </c>
      <c r="AP1116" s="336">
        <v>11760</v>
      </c>
      <c r="AQ1116" s="334">
        <v>68.811000000000007</v>
      </c>
      <c r="AR1116" s="336">
        <v>11770</v>
      </c>
      <c r="AS1116" s="334">
        <v>67.995999999999995</v>
      </c>
      <c r="AT1116" s="336">
        <v>11770</v>
      </c>
      <c r="AU1116" s="334">
        <v>66.692999999999998</v>
      </c>
      <c r="AV1116" s="336">
        <v>11770</v>
      </c>
      <c r="AW1116" s="334">
        <v>67.263000000000005</v>
      </c>
      <c r="AX1116" s="336">
        <v>11760</v>
      </c>
      <c r="AY1116" s="334">
        <v>44.393999999999998</v>
      </c>
      <c r="AZ1116" s="336">
        <v>11770</v>
      </c>
      <c r="BA1116" s="337">
        <v>45.676000000000002</v>
      </c>
      <c r="BB1116" s="336">
        <v>11750</v>
      </c>
      <c r="BC1116" s="334">
        <v>9.2129999999999992</v>
      </c>
      <c r="BD1116" s="336">
        <v>11750</v>
      </c>
      <c r="BE1116" s="334">
        <v>10.003</v>
      </c>
    </row>
    <row r="1117" spans="22:57">
      <c r="V1117" s="346">
        <v>11780</v>
      </c>
      <c r="W1117" s="334">
        <v>19.134</v>
      </c>
      <c r="X1117" s="346">
        <v>11790</v>
      </c>
      <c r="Y1117" s="334">
        <v>18.741</v>
      </c>
      <c r="Z1117" s="335">
        <v>11780</v>
      </c>
      <c r="AA1117" s="334">
        <v>61.027999999999999</v>
      </c>
      <c r="AB1117" s="336">
        <v>11780</v>
      </c>
      <c r="AC1117" s="334">
        <v>61.188000000000002</v>
      </c>
      <c r="AD1117" s="336">
        <v>11780</v>
      </c>
      <c r="AE1117" s="334">
        <v>66.575999999999993</v>
      </c>
      <c r="AF1117" s="336">
        <v>11780</v>
      </c>
      <c r="AG1117" s="334">
        <v>65.201999999999998</v>
      </c>
      <c r="AH1117" s="336">
        <v>11780</v>
      </c>
      <c r="AI1117" s="334">
        <v>66.167000000000002</v>
      </c>
      <c r="AJ1117" s="336">
        <v>11760</v>
      </c>
      <c r="AK1117" s="334">
        <v>67.149000000000001</v>
      </c>
      <c r="AL1117" s="336">
        <v>11780</v>
      </c>
      <c r="AM1117" s="334">
        <v>66.891000000000005</v>
      </c>
      <c r="AN1117" s="336">
        <v>11780</v>
      </c>
      <c r="AO1117" s="334">
        <v>67.421000000000006</v>
      </c>
      <c r="AP1117" s="336">
        <v>11770</v>
      </c>
      <c r="AQ1117" s="334">
        <v>67.600999999999999</v>
      </c>
      <c r="AR1117" s="336">
        <v>11780</v>
      </c>
      <c r="AS1117" s="334">
        <v>66.784999999999997</v>
      </c>
      <c r="AT1117" s="336">
        <v>11780</v>
      </c>
      <c r="AU1117" s="334">
        <v>65.491</v>
      </c>
      <c r="AV1117" s="336">
        <v>11780</v>
      </c>
      <c r="AW1117" s="334">
        <v>66.063000000000002</v>
      </c>
      <c r="AX1117" s="336">
        <v>11770</v>
      </c>
      <c r="AY1117" s="334">
        <v>43.554000000000002</v>
      </c>
      <c r="AZ1117" s="336">
        <v>11780</v>
      </c>
      <c r="BA1117" s="337">
        <v>44.834000000000003</v>
      </c>
      <c r="BB1117" s="336">
        <v>11760</v>
      </c>
      <c r="BC1117" s="334">
        <v>9.0380000000000003</v>
      </c>
      <c r="BD1117" s="336">
        <v>11760</v>
      </c>
      <c r="BE1117" s="334">
        <v>9.8140000000000001</v>
      </c>
    </row>
    <row r="1118" spans="22:57">
      <c r="V1118" s="346">
        <v>11790</v>
      </c>
      <c r="W1118" s="334">
        <v>18.751999999999999</v>
      </c>
      <c r="X1118" s="346">
        <v>11800</v>
      </c>
      <c r="Y1118" s="334">
        <v>18.363</v>
      </c>
      <c r="Z1118" s="335">
        <v>11790</v>
      </c>
      <c r="AA1118" s="334">
        <v>59.881999999999998</v>
      </c>
      <c r="AB1118" s="336">
        <v>11790</v>
      </c>
      <c r="AC1118" s="334">
        <v>60.040999999999997</v>
      </c>
      <c r="AD1118" s="336">
        <v>11790</v>
      </c>
      <c r="AE1118" s="334">
        <v>65.373000000000005</v>
      </c>
      <c r="AF1118" s="336">
        <v>11790</v>
      </c>
      <c r="AG1118" s="334">
        <v>63.997999999999998</v>
      </c>
      <c r="AH1118" s="336">
        <v>11790</v>
      </c>
      <c r="AI1118" s="334">
        <v>64.956000000000003</v>
      </c>
      <c r="AJ1118" s="336">
        <v>11770</v>
      </c>
      <c r="AK1118" s="334">
        <v>65.938000000000002</v>
      </c>
      <c r="AL1118" s="336">
        <v>11790</v>
      </c>
      <c r="AM1118" s="334">
        <v>65.680000000000007</v>
      </c>
      <c r="AN1118" s="336">
        <v>11790</v>
      </c>
      <c r="AO1118" s="334">
        <v>66.209000000000003</v>
      </c>
      <c r="AP1118" s="336">
        <v>11780</v>
      </c>
      <c r="AQ1118" s="334">
        <v>66.39</v>
      </c>
      <c r="AR1118" s="336">
        <v>11790</v>
      </c>
      <c r="AS1118" s="334">
        <v>65.573999999999998</v>
      </c>
      <c r="AT1118" s="336">
        <v>11790</v>
      </c>
      <c r="AU1118" s="334">
        <v>64.290000000000006</v>
      </c>
      <c r="AV1118" s="336">
        <v>11790</v>
      </c>
      <c r="AW1118" s="334">
        <v>64.863</v>
      </c>
      <c r="AX1118" s="336">
        <v>11780</v>
      </c>
      <c r="AY1118" s="334">
        <v>42.716999999999999</v>
      </c>
      <c r="AZ1118" s="336">
        <v>11790</v>
      </c>
      <c r="BA1118" s="337">
        <v>43.994</v>
      </c>
      <c r="BB1118" s="336">
        <v>11770</v>
      </c>
      <c r="BC1118" s="334">
        <v>8.8640000000000008</v>
      </c>
      <c r="BD1118" s="336">
        <v>11770</v>
      </c>
      <c r="BE1118" s="334">
        <v>9.6259999999999994</v>
      </c>
    </row>
    <row r="1119" spans="22:57">
      <c r="V1119" s="346">
        <v>11800</v>
      </c>
      <c r="W1119" s="334">
        <v>18.37</v>
      </c>
      <c r="X1119" s="346">
        <v>11810</v>
      </c>
      <c r="Y1119" s="334">
        <v>17.986000000000001</v>
      </c>
      <c r="Z1119" s="335">
        <v>11800</v>
      </c>
      <c r="AA1119" s="334">
        <v>58.737000000000002</v>
      </c>
      <c r="AB1119" s="336">
        <v>11800</v>
      </c>
      <c r="AC1119" s="334">
        <v>58.896999999999998</v>
      </c>
      <c r="AD1119" s="336">
        <v>11800</v>
      </c>
      <c r="AE1119" s="334">
        <v>64.17</v>
      </c>
      <c r="AF1119" s="336">
        <v>11800</v>
      </c>
      <c r="AG1119" s="334">
        <v>62.795000000000002</v>
      </c>
      <c r="AH1119" s="336">
        <v>11800</v>
      </c>
      <c r="AI1119" s="334">
        <v>63.744999999999997</v>
      </c>
      <c r="AJ1119" s="336">
        <v>11780</v>
      </c>
      <c r="AK1119" s="334">
        <v>64.725999999999999</v>
      </c>
      <c r="AL1119" s="336">
        <v>11800</v>
      </c>
      <c r="AM1119" s="334">
        <v>64.468999999999994</v>
      </c>
      <c r="AN1119" s="336">
        <v>11800</v>
      </c>
      <c r="AO1119" s="334">
        <v>64.998000000000005</v>
      </c>
      <c r="AP1119" s="336">
        <v>11790</v>
      </c>
      <c r="AQ1119" s="334">
        <v>65.179000000000002</v>
      </c>
      <c r="AR1119" s="336">
        <v>11800</v>
      </c>
      <c r="AS1119" s="334">
        <v>64.363</v>
      </c>
      <c r="AT1119" s="336">
        <v>11800</v>
      </c>
      <c r="AU1119" s="334">
        <v>63.088999999999999</v>
      </c>
      <c r="AV1119" s="336">
        <v>11800</v>
      </c>
      <c r="AW1119" s="334">
        <v>63.664000000000001</v>
      </c>
      <c r="AX1119" s="336">
        <v>11790</v>
      </c>
      <c r="AY1119" s="334">
        <v>41.88</v>
      </c>
      <c r="AZ1119" s="336">
        <v>11800</v>
      </c>
      <c r="BA1119" s="337">
        <v>43.155999999999999</v>
      </c>
      <c r="BB1119" s="336">
        <v>11780</v>
      </c>
      <c r="BC1119" s="334">
        <v>8.69</v>
      </c>
      <c r="BD1119" s="336">
        <v>11780</v>
      </c>
      <c r="BE1119" s="334">
        <v>9.4380000000000006</v>
      </c>
    </row>
    <row r="1120" spans="22:57">
      <c r="V1120" s="346">
        <v>11810</v>
      </c>
      <c r="W1120" s="334">
        <v>17.991</v>
      </c>
      <c r="X1120" s="346">
        <v>11820</v>
      </c>
      <c r="Y1120" s="334">
        <v>17.61</v>
      </c>
      <c r="Z1120" s="335">
        <v>11810</v>
      </c>
      <c r="AA1120" s="334">
        <v>57.594999999999999</v>
      </c>
      <c r="AB1120" s="336">
        <v>11810</v>
      </c>
      <c r="AC1120" s="334">
        <v>57.753</v>
      </c>
      <c r="AD1120" s="336">
        <v>11810</v>
      </c>
      <c r="AE1120" s="334">
        <v>62.968000000000004</v>
      </c>
      <c r="AF1120" s="336">
        <v>11810</v>
      </c>
      <c r="AG1120" s="334">
        <v>61.591999999999999</v>
      </c>
      <c r="AH1120" s="336">
        <v>11810</v>
      </c>
      <c r="AI1120" s="334">
        <v>62.533000000000001</v>
      </c>
      <c r="AJ1120" s="336">
        <v>11790</v>
      </c>
      <c r="AK1120" s="334">
        <v>63.515000000000001</v>
      </c>
      <c r="AL1120" s="336">
        <v>11810</v>
      </c>
      <c r="AM1120" s="334">
        <v>63.256999999999998</v>
      </c>
      <c r="AN1120" s="336">
        <v>11810</v>
      </c>
      <c r="AO1120" s="334">
        <v>63.786000000000001</v>
      </c>
      <c r="AP1120" s="336">
        <v>11800</v>
      </c>
      <c r="AQ1120" s="334">
        <v>63.968000000000004</v>
      </c>
      <c r="AR1120" s="336">
        <v>11810</v>
      </c>
      <c r="AS1120" s="334">
        <v>63.151000000000003</v>
      </c>
      <c r="AT1120" s="336">
        <v>11810</v>
      </c>
      <c r="AU1120" s="334">
        <v>61.889000000000003</v>
      </c>
      <c r="AV1120" s="336">
        <v>11810</v>
      </c>
      <c r="AW1120" s="334">
        <v>62.465000000000003</v>
      </c>
      <c r="AX1120" s="336">
        <v>11800</v>
      </c>
      <c r="AY1120" s="334">
        <v>41.045999999999999</v>
      </c>
      <c r="AZ1120" s="336">
        <v>11810</v>
      </c>
      <c r="BA1120" s="337">
        <v>42.319000000000003</v>
      </c>
      <c r="BB1120" s="336">
        <v>11790</v>
      </c>
      <c r="BC1120" s="334">
        <v>8.5169999999999995</v>
      </c>
      <c r="BD1120" s="336">
        <v>11790</v>
      </c>
      <c r="BE1120" s="334">
        <v>9.2509999999999994</v>
      </c>
    </row>
    <row r="1121" spans="22:57">
      <c r="V1121" s="346">
        <v>11820</v>
      </c>
      <c r="W1121" s="334">
        <v>17.611999999999998</v>
      </c>
      <c r="X1121" s="346">
        <v>11830</v>
      </c>
      <c r="Y1121" s="334">
        <v>17.234999999999999</v>
      </c>
      <c r="Z1121" s="335">
        <v>11820</v>
      </c>
      <c r="AA1121" s="334">
        <v>56.453000000000003</v>
      </c>
      <c r="AB1121" s="336">
        <v>11820</v>
      </c>
      <c r="AC1121" s="334">
        <v>56.612000000000002</v>
      </c>
      <c r="AD1121" s="336">
        <v>11820</v>
      </c>
      <c r="AE1121" s="334">
        <v>61.765999999999998</v>
      </c>
      <c r="AF1121" s="336">
        <v>11820</v>
      </c>
      <c r="AG1121" s="334">
        <v>60.389000000000003</v>
      </c>
      <c r="AH1121" s="336">
        <v>11820</v>
      </c>
      <c r="AI1121" s="334">
        <v>61.322000000000003</v>
      </c>
      <c r="AJ1121" s="336">
        <v>11800</v>
      </c>
      <c r="AK1121" s="334">
        <v>62.302999999999997</v>
      </c>
      <c r="AL1121" s="336">
        <v>11820</v>
      </c>
      <c r="AM1121" s="334">
        <v>62.045999999999999</v>
      </c>
      <c r="AN1121" s="336">
        <v>11820</v>
      </c>
      <c r="AO1121" s="334">
        <v>62.573999999999998</v>
      </c>
      <c r="AP1121" s="336">
        <v>11810</v>
      </c>
      <c r="AQ1121" s="334">
        <v>62.758000000000003</v>
      </c>
      <c r="AR1121" s="336">
        <v>11820</v>
      </c>
      <c r="AS1121" s="334">
        <v>61.94</v>
      </c>
      <c r="AT1121" s="336">
        <v>11820</v>
      </c>
      <c r="AU1121" s="334">
        <v>60.689</v>
      </c>
      <c r="AV1121" s="336">
        <v>11820</v>
      </c>
      <c r="AW1121" s="334">
        <v>61.267000000000003</v>
      </c>
      <c r="AX1121" s="336">
        <v>11810</v>
      </c>
      <c r="AY1121" s="334">
        <v>40.213000000000001</v>
      </c>
      <c r="AZ1121" s="336">
        <v>11820</v>
      </c>
      <c r="BA1121" s="337">
        <v>41.482999999999997</v>
      </c>
      <c r="BB1121" s="336">
        <v>11800</v>
      </c>
      <c r="BC1121" s="334">
        <v>8.3439999999999994</v>
      </c>
      <c r="BD1121" s="336">
        <v>11800</v>
      </c>
      <c r="BE1121" s="334">
        <v>9.0640000000000001</v>
      </c>
    </row>
    <row r="1122" spans="22:57">
      <c r="V1122" s="346">
        <v>11830</v>
      </c>
      <c r="W1122" s="334">
        <v>17.234999999999999</v>
      </c>
      <c r="X1122" s="346">
        <v>11840</v>
      </c>
      <c r="Y1122" s="334">
        <v>16.861999999999998</v>
      </c>
      <c r="Z1122" s="335">
        <v>11830</v>
      </c>
      <c r="AA1122" s="334">
        <v>55.314</v>
      </c>
      <c r="AB1122" s="336">
        <v>11830</v>
      </c>
      <c r="AC1122" s="334">
        <v>55.472000000000001</v>
      </c>
      <c r="AD1122" s="336">
        <v>11830</v>
      </c>
      <c r="AE1122" s="334">
        <v>60.564999999999998</v>
      </c>
      <c r="AF1122" s="336">
        <v>11830</v>
      </c>
      <c r="AG1122" s="334">
        <v>59.186</v>
      </c>
      <c r="AH1122" s="336">
        <v>11830</v>
      </c>
      <c r="AI1122" s="334">
        <v>60.110999999999997</v>
      </c>
      <c r="AJ1122" s="336">
        <v>11810</v>
      </c>
      <c r="AK1122" s="334">
        <v>61.091999999999999</v>
      </c>
      <c r="AL1122" s="336">
        <v>11830</v>
      </c>
      <c r="AM1122" s="334">
        <v>60.835000000000001</v>
      </c>
      <c r="AN1122" s="336">
        <v>11830</v>
      </c>
      <c r="AO1122" s="334">
        <v>61.362000000000002</v>
      </c>
      <c r="AP1122" s="336">
        <v>11820</v>
      </c>
      <c r="AQ1122" s="334">
        <v>61.546999999999997</v>
      </c>
      <c r="AR1122" s="336">
        <v>11830</v>
      </c>
      <c r="AS1122" s="334">
        <v>60.728999999999999</v>
      </c>
      <c r="AT1122" s="336">
        <v>11830</v>
      </c>
      <c r="AU1122" s="334">
        <v>59.488999999999997</v>
      </c>
      <c r="AV1122" s="336">
        <v>11830</v>
      </c>
      <c r="AW1122" s="334">
        <v>60.067999999999998</v>
      </c>
      <c r="AX1122" s="336">
        <v>11820</v>
      </c>
      <c r="AY1122" s="334">
        <v>39.381</v>
      </c>
      <c r="AZ1122" s="336">
        <v>11830</v>
      </c>
      <c r="BA1122" s="337">
        <v>40.65</v>
      </c>
      <c r="BB1122" s="336">
        <v>11810</v>
      </c>
      <c r="BC1122" s="334">
        <v>8.1709999999999994</v>
      </c>
      <c r="BD1122" s="336">
        <v>11810</v>
      </c>
      <c r="BE1122" s="334">
        <v>8.8770000000000007</v>
      </c>
    </row>
    <row r="1123" spans="22:57">
      <c r="V1123" s="346">
        <v>11840</v>
      </c>
      <c r="W1123" s="334">
        <v>16.859000000000002</v>
      </c>
      <c r="X1123" s="346">
        <v>11850</v>
      </c>
      <c r="Y1123" s="334">
        <v>16.489999999999998</v>
      </c>
      <c r="Z1123" s="335">
        <v>11840</v>
      </c>
      <c r="AA1123" s="334">
        <v>54.176000000000002</v>
      </c>
      <c r="AB1123" s="336">
        <v>11840</v>
      </c>
      <c r="AC1123" s="334">
        <v>54.334000000000003</v>
      </c>
      <c r="AD1123" s="336">
        <v>11840</v>
      </c>
      <c r="AE1123" s="334">
        <v>59.363999999999997</v>
      </c>
      <c r="AF1123" s="336">
        <v>11840</v>
      </c>
      <c r="AG1123" s="334">
        <v>57.984000000000002</v>
      </c>
      <c r="AH1123" s="336">
        <v>11840</v>
      </c>
      <c r="AI1123" s="334">
        <v>58.9</v>
      </c>
      <c r="AJ1123" s="336">
        <v>11820</v>
      </c>
      <c r="AK1123" s="334">
        <v>59.881</v>
      </c>
      <c r="AL1123" s="336">
        <v>11840</v>
      </c>
      <c r="AM1123" s="334">
        <v>59.624000000000002</v>
      </c>
      <c r="AN1123" s="336">
        <v>11840</v>
      </c>
      <c r="AO1123" s="334">
        <v>60.15</v>
      </c>
      <c r="AP1123" s="336">
        <v>11830</v>
      </c>
      <c r="AQ1123" s="334">
        <v>60.335999999999999</v>
      </c>
      <c r="AR1123" s="336">
        <v>11840</v>
      </c>
      <c r="AS1123" s="334">
        <v>59.517000000000003</v>
      </c>
      <c r="AT1123" s="336">
        <v>11840</v>
      </c>
      <c r="AU1123" s="334">
        <v>58.29</v>
      </c>
      <c r="AV1123" s="336">
        <v>11840</v>
      </c>
      <c r="AW1123" s="334">
        <v>58.871000000000002</v>
      </c>
      <c r="AX1123" s="336">
        <v>11830</v>
      </c>
      <c r="AY1123" s="334">
        <v>38.551000000000002</v>
      </c>
      <c r="AZ1123" s="336">
        <v>11840</v>
      </c>
      <c r="BA1123" s="337">
        <v>39.817</v>
      </c>
      <c r="BB1123" s="336">
        <v>11820</v>
      </c>
      <c r="BC1123" s="334">
        <v>7.9989999999999997</v>
      </c>
      <c r="BD1123" s="336">
        <v>11820</v>
      </c>
      <c r="BE1123" s="334">
        <v>8.6910000000000007</v>
      </c>
    </row>
    <row r="1124" spans="22:57">
      <c r="V1124" s="346">
        <v>11850</v>
      </c>
      <c r="W1124" s="334">
        <v>16.484000000000002</v>
      </c>
      <c r="X1124" s="346">
        <v>11860</v>
      </c>
      <c r="Y1124" s="334">
        <v>16.119</v>
      </c>
      <c r="Z1124" s="335">
        <v>11850</v>
      </c>
      <c r="AA1124" s="334">
        <v>53.04</v>
      </c>
      <c r="AB1124" s="336">
        <v>11850</v>
      </c>
      <c r="AC1124" s="334">
        <v>53.197000000000003</v>
      </c>
      <c r="AD1124" s="336">
        <v>11850</v>
      </c>
      <c r="AE1124" s="334">
        <v>58.162999999999997</v>
      </c>
      <c r="AF1124" s="336">
        <v>11850</v>
      </c>
      <c r="AG1124" s="334">
        <v>56.781999999999996</v>
      </c>
      <c r="AH1124" s="336">
        <v>11850</v>
      </c>
      <c r="AI1124" s="334">
        <v>57.689</v>
      </c>
      <c r="AJ1124" s="336">
        <v>11830</v>
      </c>
      <c r="AK1124" s="334">
        <v>58.668999999999997</v>
      </c>
      <c r="AL1124" s="336">
        <v>11850</v>
      </c>
      <c r="AM1124" s="334">
        <v>58.412999999999997</v>
      </c>
      <c r="AN1124" s="336">
        <v>11850</v>
      </c>
      <c r="AO1124" s="334">
        <v>58.938000000000002</v>
      </c>
      <c r="AP1124" s="336">
        <v>11840</v>
      </c>
      <c r="AQ1124" s="334">
        <v>59.125999999999998</v>
      </c>
      <c r="AR1124" s="336">
        <v>11850</v>
      </c>
      <c r="AS1124" s="334">
        <v>58.305999999999997</v>
      </c>
      <c r="AT1124" s="336">
        <v>11850</v>
      </c>
      <c r="AU1124" s="334">
        <v>57.091000000000001</v>
      </c>
      <c r="AV1124" s="336">
        <v>11850</v>
      </c>
      <c r="AW1124" s="334">
        <v>57.673000000000002</v>
      </c>
      <c r="AX1124" s="336">
        <v>11840</v>
      </c>
      <c r="AY1124" s="334">
        <v>37.722000000000001</v>
      </c>
      <c r="AZ1124" s="336">
        <v>11850</v>
      </c>
      <c r="BA1124" s="337">
        <v>38.985999999999997</v>
      </c>
      <c r="BB1124" s="336">
        <v>11830</v>
      </c>
      <c r="BC1124" s="334">
        <v>7.827</v>
      </c>
      <c r="BD1124" s="336">
        <v>11830</v>
      </c>
      <c r="BE1124" s="334">
        <v>8.5050000000000008</v>
      </c>
    </row>
    <row r="1125" spans="22:57">
      <c r="V1125" s="346">
        <v>11860</v>
      </c>
      <c r="W1125" s="334">
        <v>16.111000000000001</v>
      </c>
      <c r="X1125" s="346">
        <v>11870</v>
      </c>
      <c r="Y1125" s="334">
        <v>15.749000000000001</v>
      </c>
      <c r="Z1125" s="335">
        <v>11860</v>
      </c>
      <c r="AA1125" s="334">
        <v>51.905999999999999</v>
      </c>
      <c r="AB1125" s="336">
        <v>11860</v>
      </c>
      <c r="AC1125" s="334">
        <v>52.061999999999998</v>
      </c>
      <c r="AD1125" s="336">
        <v>11860</v>
      </c>
      <c r="AE1125" s="334">
        <v>56.962000000000003</v>
      </c>
      <c r="AF1125" s="336">
        <v>11860</v>
      </c>
      <c r="AG1125" s="334">
        <v>55.58</v>
      </c>
      <c r="AH1125" s="336">
        <v>11860</v>
      </c>
      <c r="AI1125" s="334">
        <v>56.478000000000002</v>
      </c>
      <c r="AJ1125" s="336">
        <v>11840</v>
      </c>
      <c r="AK1125" s="334">
        <v>57.457999999999998</v>
      </c>
      <c r="AL1125" s="336">
        <v>11860</v>
      </c>
      <c r="AM1125" s="334">
        <v>57.201999999999998</v>
      </c>
      <c r="AN1125" s="336">
        <v>11860</v>
      </c>
      <c r="AO1125" s="334">
        <v>57.725999999999999</v>
      </c>
      <c r="AP1125" s="336">
        <v>11850</v>
      </c>
      <c r="AQ1125" s="334">
        <v>57.914999999999999</v>
      </c>
      <c r="AR1125" s="336">
        <v>11860</v>
      </c>
      <c r="AS1125" s="334">
        <v>57.094999999999999</v>
      </c>
      <c r="AT1125" s="336">
        <v>11860</v>
      </c>
      <c r="AU1125" s="334">
        <v>55.893000000000001</v>
      </c>
      <c r="AV1125" s="336">
        <v>11860</v>
      </c>
      <c r="AW1125" s="334">
        <v>56.476999999999997</v>
      </c>
      <c r="AX1125" s="336">
        <v>11850</v>
      </c>
      <c r="AY1125" s="334">
        <v>36.893999999999998</v>
      </c>
      <c r="AZ1125" s="336">
        <v>11860</v>
      </c>
      <c r="BA1125" s="337">
        <v>38.155999999999999</v>
      </c>
      <c r="BB1125" s="336">
        <v>11840</v>
      </c>
      <c r="BC1125" s="334">
        <v>7.6559999999999997</v>
      </c>
      <c r="BD1125" s="336">
        <v>11840</v>
      </c>
      <c r="BE1125" s="334">
        <v>8.3190000000000008</v>
      </c>
    </row>
    <row r="1126" spans="22:57">
      <c r="V1126" s="346">
        <v>11870</v>
      </c>
      <c r="W1126" s="334">
        <v>15.739000000000001</v>
      </c>
      <c r="X1126" s="346">
        <v>11880</v>
      </c>
      <c r="Y1126" s="334">
        <v>15.381</v>
      </c>
      <c r="Z1126" s="335">
        <v>11870</v>
      </c>
      <c r="AA1126" s="334">
        <v>50.773000000000003</v>
      </c>
      <c r="AB1126" s="336">
        <v>11870</v>
      </c>
      <c r="AC1126" s="334">
        <v>50.929000000000002</v>
      </c>
      <c r="AD1126" s="336">
        <v>11870</v>
      </c>
      <c r="AE1126" s="334">
        <v>55.762</v>
      </c>
      <c r="AF1126" s="336">
        <v>11870</v>
      </c>
      <c r="AG1126" s="334">
        <v>54.378999999999998</v>
      </c>
      <c r="AH1126" s="336">
        <v>11870</v>
      </c>
      <c r="AI1126" s="334">
        <v>55.267000000000003</v>
      </c>
      <c r="AJ1126" s="336">
        <v>11850</v>
      </c>
      <c r="AK1126" s="334">
        <v>56.246000000000002</v>
      </c>
      <c r="AL1126" s="336">
        <v>11870</v>
      </c>
      <c r="AM1126" s="334">
        <v>55.991</v>
      </c>
      <c r="AN1126" s="336">
        <v>11870</v>
      </c>
      <c r="AO1126" s="334">
        <v>56.514000000000003</v>
      </c>
      <c r="AP1126" s="336">
        <v>11860</v>
      </c>
      <c r="AQ1126" s="334">
        <v>56.704000000000001</v>
      </c>
      <c r="AR1126" s="336">
        <v>11870</v>
      </c>
      <c r="AS1126" s="334">
        <v>55.884</v>
      </c>
      <c r="AT1126" s="336">
        <v>11870</v>
      </c>
      <c r="AU1126" s="334">
        <v>54.695</v>
      </c>
      <c r="AV1126" s="336">
        <v>11870</v>
      </c>
      <c r="AW1126" s="334">
        <v>55.28</v>
      </c>
      <c r="AX1126" s="336">
        <v>11860</v>
      </c>
      <c r="AY1126" s="334">
        <v>36.067999999999998</v>
      </c>
      <c r="AZ1126" s="336">
        <v>11870</v>
      </c>
      <c r="BA1126" s="337">
        <v>37.328000000000003</v>
      </c>
      <c r="BB1126" s="336">
        <v>11850</v>
      </c>
      <c r="BC1126" s="334">
        <v>7.4850000000000003</v>
      </c>
      <c r="BD1126" s="336">
        <v>11850</v>
      </c>
      <c r="BE1126" s="334">
        <v>8.1340000000000003</v>
      </c>
    </row>
    <row r="1127" spans="22:57">
      <c r="V1127" s="346">
        <v>11880</v>
      </c>
      <c r="W1127" s="334">
        <v>15.368</v>
      </c>
      <c r="X1127" s="346">
        <v>11890</v>
      </c>
      <c r="Y1127" s="334">
        <v>15.013999999999999</v>
      </c>
      <c r="Z1127" s="335">
        <v>11880</v>
      </c>
      <c r="AA1127" s="334">
        <v>49.642000000000003</v>
      </c>
      <c r="AB1127" s="336">
        <v>11880</v>
      </c>
      <c r="AC1127" s="334">
        <v>49.796999999999997</v>
      </c>
      <c r="AD1127" s="336">
        <v>11880</v>
      </c>
      <c r="AE1127" s="334">
        <v>54.561999999999998</v>
      </c>
      <c r="AF1127" s="336">
        <v>11880</v>
      </c>
      <c r="AG1127" s="334">
        <v>53.177999999999997</v>
      </c>
      <c r="AH1127" s="336">
        <v>11880</v>
      </c>
      <c r="AI1127" s="334">
        <v>54.055</v>
      </c>
      <c r="AJ1127" s="336">
        <v>11860</v>
      </c>
      <c r="AK1127" s="334">
        <v>55.034999999999997</v>
      </c>
      <c r="AL1127" s="336">
        <v>11880</v>
      </c>
      <c r="AM1127" s="334">
        <v>54.78</v>
      </c>
      <c r="AN1127" s="336">
        <v>11880</v>
      </c>
      <c r="AO1127" s="334">
        <v>55.302</v>
      </c>
      <c r="AP1127" s="336">
        <v>11870</v>
      </c>
      <c r="AQ1127" s="334">
        <v>55.493000000000002</v>
      </c>
      <c r="AR1127" s="336">
        <v>11880</v>
      </c>
      <c r="AS1127" s="334">
        <v>54.671999999999997</v>
      </c>
      <c r="AT1127" s="336">
        <v>11880</v>
      </c>
      <c r="AU1127" s="334">
        <v>53.497</v>
      </c>
      <c r="AV1127" s="336">
        <v>11880</v>
      </c>
      <c r="AW1127" s="334">
        <v>54.084000000000003</v>
      </c>
      <c r="AX1127" s="336">
        <v>11870</v>
      </c>
      <c r="AY1127" s="334">
        <v>35.244</v>
      </c>
      <c r="AZ1127" s="336">
        <v>11880</v>
      </c>
      <c r="BA1127" s="337">
        <v>36.500999999999998</v>
      </c>
      <c r="BB1127" s="336">
        <v>11860</v>
      </c>
      <c r="BC1127" s="334">
        <v>7.3150000000000004</v>
      </c>
      <c r="BD1127" s="336">
        <v>11860</v>
      </c>
      <c r="BE1127" s="334">
        <v>7.95</v>
      </c>
    </row>
    <row r="1128" spans="22:57">
      <c r="V1128" s="346">
        <v>11890</v>
      </c>
      <c r="W1128" s="334">
        <v>14.997999999999999</v>
      </c>
      <c r="X1128" s="346">
        <v>11900</v>
      </c>
      <c r="Y1128" s="334">
        <v>14.648999999999999</v>
      </c>
      <c r="Z1128" s="335">
        <v>11890</v>
      </c>
      <c r="AA1128" s="334">
        <v>48.512</v>
      </c>
      <c r="AB1128" s="336">
        <v>11890</v>
      </c>
      <c r="AC1128" s="334">
        <v>48.667000000000002</v>
      </c>
      <c r="AD1128" s="336">
        <v>11890</v>
      </c>
      <c r="AE1128" s="334">
        <v>53.363</v>
      </c>
      <c r="AF1128" s="336">
        <v>11890</v>
      </c>
      <c r="AG1128" s="334">
        <v>51.978000000000002</v>
      </c>
      <c r="AH1128" s="336">
        <v>11890</v>
      </c>
      <c r="AI1128" s="334">
        <v>52.844000000000001</v>
      </c>
      <c r="AJ1128" s="336">
        <v>11870</v>
      </c>
      <c r="AK1128" s="334">
        <v>53.823999999999998</v>
      </c>
      <c r="AL1128" s="336">
        <v>11890</v>
      </c>
      <c r="AM1128" s="334">
        <v>53.569000000000003</v>
      </c>
      <c r="AN1128" s="336">
        <v>11890</v>
      </c>
      <c r="AO1128" s="334">
        <v>54.091000000000001</v>
      </c>
      <c r="AP1128" s="336">
        <v>11880</v>
      </c>
      <c r="AQ1128" s="334">
        <v>54.283000000000001</v>
      </c>
      <c r="AR1128" s="336">
        <v>11890</v>
      </c>
      <c r="AS1128" s="334">
        <v>53.460999999999999</v>
      </c>
      <c r="AT1128" s="336">
        <v>11890</v>
      </c>
      <c r="AU1128" s="334">
        <v>52.3</v>
      </c>
      <c r="AV1128" s="336">
        <v>11890</v>
      </c>
      <c r="AW1128" s="334">
        <v>52.889000000000003</v>
      </c>
      <c r="AX1128" s="336">
        <v>11880</v>
      </c>
      <c r="AY1128" s="334">
        <v>34.420999999999999</v>
      </c>
      <c r="AZ1128" s="336">
        <v>11890</v>
      </c>
      <c r="BA1128" s="337">
        <v>35.674999999999997</v>
      </c>
      <c r="BB1128" s="336">
        <v>11870</v>
      </c>
      <c r="BC1128" s="334">
        <v>7.1440000000000001</v>
      </c>
      <c r="BD1128" s="336">
        <v>11870</v>
      </c>
      <c r="BE1128" s="334">
        <v>7.7649999999999997</v>
      </c>
    </row>
    <row r="1129" spans="22:57">
      <c r="V1129" s="346">
        <v>11900</v>
      </c>
      <c r="W1129" s="334">
        <v>14.63</v>
      </c>
      <c r="X1129" s="346">
        <v>11910</v>
      </c>
      <c r="Y1129" s="334">
        <v>14.284000000000001</v>
      </c>
      <c r="Z1129" s="335">
        <v>11900</v>
      </c>
      <c r="AA1129" s="334">
        <v>47.384</v>
      </c>
      <c r="AB1129" s="336">
        <v>11900</v>
      </c>
      <c r="AC1129" s="334">
        <v>47.537999999999997</v>
      </c>
      <c r="AD1129" s="336">
        <v>11900</v>
      </c>
      <c r="AE1129" s="334">
        <v>52.164000000000001</v>
      </c>
      <c r="AF1129" s="336">
        <v>11900</v>
      </c>
      <c r="AG1129" s="334">
        <v>50.777999999999999</v>
      </c>
      <c r="AH1129" s="336">
        <v>11900</v>
      </c>
      <c r="AI1129" s="334">
        <v>51.633000000000003</v>
      </c>
      <c r="AJ1129" s="336">
        <v>11880</v>
      </c>
      <c r="AK1129" s="334">
        <v>52.612000000000002</v>
      </c>
      <c r="AL1129" s="336">
        <v>11900</v>
      </c>
      <c r="AM1129" s="334">
        <v>52.357999999999997</v>
      </c>
      <c r="AN1129" s="336">
        <v>11900</v>
      </c>
      <c r="AO1129" s="334">
        <v>52.878999999999998</v>
      </c>
      <c r="AP1129" s="336">
        <v>11890</v>
      </c>
      <c r="AQ1129" s="334">
        <v>53.072000000000003</v>
      </c>
      <c r="AR1129" s="336">
        <v>11900</v>
      </c>
      <c r="AS1129" s="334">
        <v>52.25</v>
      </c>
      <c r="AT1129" s="336">
        <v>11900</v>
      </c>
      <c r="AU1129" s="334">
        <v>51.103999999999999</v>
      </c>
      <c r="AV1129" s="336">
        <v>11900</v>
      </c>
      <c r="AW1129" s="334">
        <v>51.694000000000003</v>
      </c>
      <c r="AX1129" s="336">
        <v>11890</v>
      </c>
      <c r="AY1129" s="334">
        <v>33.598999999999997</v>
      </c>
      <c r="AZ1129" s="336">
        <v>11900</v>
      </c>
      <c r="BA1129" s="337">
        <v>34.850999999999999</v>
      </c>
      <c r="BB1129" s="336">
        <v>11880</v>
      </c>
      <c r="BC1129" s="334">
        <v>6.9749999999999996</v>
      </c>
      <c r="BD1129" s="336">
        <v>11880</v>
      </c>
      <c r="BE1129" s="334">
        <v>7.5810000000000004</v>
      </c>
    </row>
    <row r="1130" spans="22:57">
      <c r="V1130" s="346">
        <v>11910</v>
      </c>
      <c r="W1130" s="334">
        <v>14.263</v>
      </c>
      <c r="X1130" s="346">
        <v>11920</v>
      </c>
      <c r="Y1130" s="334">
        <v>13.920999999999999</v>
      </c>
      <c r="Z1130" s="335">
        <v>11910</v>
      </c>
      <c r="AA1130" s="334">
        <v>46.258000000000003</v>
      </c>
      <c r="AB1130" s="336">
        <v>11910</v>
      </c>
      <c r="AC1130" s="334">
        <v>46.411000000000001</v>
      </c>
      <c r="AD1130" s="336">
        <v>11910</v>
      </c>
      <c r="AE1130" s="334">
        <v>50.965000000000003</v>
      </c>
      <c r="AF1130" s="336">
        <v>11910</v>
      </c>
      <c r="AG1130" s="334">
        <v>49.578000000000003</v>
      </c>
      <c r="AH1130" s="336">
        <v>11910</v>
      </c>
      <c r="AI1130" s="334">
        <v>50.421999999999997</v>
      </c>
      <c r="AJ1130" s="336">
        <v>11890</v>
      </c>
      <c r="AK1130" s="334">
        <v>51.401000000000003</v>
      </c>
      <c r="AL1130" s="336">
        <v>11910</v>
      </c>
      <c r="AM1130" s="334">
        <v>51.146999999999998</v>
      </c>
      <c r="AN1130" s="336">
        <v>11910</v>
      </c>
      <c r="AO1130" s="334">
        <v>51.667000000000002</v>
      </c>
      <c r="AP1130" s="336">
        <v>11900</v>
      </c>
      <c r="AQ1130" s="334">
        <v>51.860999999999997</v>
      </c>
      <c r="AR1130" s="336">
        <v>11910</v>
      </c>
      <c r="AS1130" s="334">
        <v>51.037999999999997</v>
      </c>
      <c r="AT1130" s="336">
        <v>11910</v>
      </c>
      <c r="AU1130" s="334">
        <v>49.906999999999996</v>
      </c>
      <c r="AV1130" s="336">
        <v>11910</v>
      </c>
      <c r="AW1130" s="334">
        <v>50.5</v>
      </c>
      <c r="AX1130" s="336">
        <v>11900</v>
      </c>
      <c r="AY1130" s="334">
        <v>32.779000000000003</v>
      </c>
      <c r="AZ1130" s="336">
        <v>11910</v>
      </c>
      <c r="BA1130" s="337">
        <v>34.029000000000003</v>
      </c>
      <c r="BB1130" s="336">
        <v>11890</v>
      </c>
      <c r="BC1130" s="334">
        <v>6.8049999999999997</v>
      </c>
      <c r="BD1130" s="336">
        <v>11890</v>
      </c>
      <c r="BE1130" s="334">
        <v>7.3979999999999997</v>
      </c>
    </row>
    <row r="1131" spans="22:57">
      <c r="V1131" s="346">
        <v>11920</v>
      </c>
      <c r="W1131" s="334">
        <v>13.898</v>
      </c>
      <c r="X1131" s="346">
        <v>11930</v>
      </c>
      <c r="Y1131" s="334">
        <v>13.558999999999999</v>
      </c>
      <c r="Z1131" s="335">
        <v>11920</v>
      </c>
      <c r="AA1131" s="334">
        <v>45.133000000000003</v>
      </c>
      <c r="AB1131" s="336">
        <v>11920</v>
      </c>
      <c r="AC1131" s="334">
        <v>45.286000000000001</v>
      </c>
      <c r="AD1131" s="336">
        <v>11920</v>
      </c>
      <c r="AE1131" s="334">
        <v>49.767000000000003</v>
      </c>
      <c r="AF1131" s="336">
        <v>11920</v>
      </c>
      <c r="AG1131" s="334">
        <v>48.378999999999998</v>
      </c>
      <c r="AH1131" s="336">
        <v>11920</v>
      </c>
      <c r="AI1131" s="334">
        <v>49.210999999999999</v>
      </c>
      <c r="AJ1131" s="336">
        <v>11900</v>
      </c>
      <c r="AK1131" s="334">
        <v>50.19</v>
      </c>
      <c r="AL1131" s="336">
        <v>11920</v>
      </c>
      <c r="AM1131" s="334">
        <v>49.935000000000002</v>
      </c>
      <c r="AN1131" s="336">
        <v>11920</v>
      </c>
      <c r="AO1131" s="334">
        <v>50.454999999999998</v>
      </c>
      <c r="AP1131" s="336">
        <v>11910</v>
      </c>
      <c r="AQ1131" s="334">
        <v>50.651000000000003</v>
      </c>
      <c r="AR1131" s="336">
        <v>11920</v>
      </c>
      <c r="AS1131" s="334">
        <v>49.826999999999998</v>
      </c>
      <c r="AT1131" s="336">
        <v>11920</v>
      </c>
      <c r="AU1131" s="334">
        <v>48.712000000000003</v>
      </c>
      <c r="AV1131" s="336">
        <v>11920</v>
      </c>
      <c r="AW1131" s="334">
        <v>49.307000000000002</v>
      </c>
      <c r="AX1131" s="336">
        <v>11910</v>
      </c>
      <c r="AY1131" s="334">
        <v>31.96</v>
      </c>
      <c r="AZ1131" s="336">
        <v>11920</v>
      </c>
      <c r="BA1131" s="337">
        <v>33.207000000000001</v>
      </c>
      <c r="BB1131" s="336">
        <v>11900</v>
      </c>
      <c r="BC1131" s="334">
        <v>6.6360000000000001</v>
      </c>
      <c r="BD1131" s="336">
        <v>11900</v>
      </c>
      <c r="BE1131" s="334">
        <v>7.2149999999999999</v>
      </c>
    </row>
    <row r="1132" spans="22:57">
      <c r="V1132" s="346">
        <v>11930</v>
      </c>
      <c r="W1132" s="334">
        <v>13.532999999999999</v>
      </c>
      <c r="X1132" s="346">
        <v>11940</v>
      </c>
      <c r="Y1132" s="334">
        <v>13.199</v>
      </c>
      <c r="Z1132" s="335">
        <v>11930</v>
      </c>
      <c r="AA1132" s="334">
        <v>44.01</v>
      </c>
      <c r="AB1132" s="336">
        <v>11930</v>
      </c>
      <c r="AC1132" s="334">
        <v>44.161999999999999</v>
      </c>
      <c r="AD1132" s="336">
        <v>11930</v>
      </c>
      <c r="AE1132" s="334">
        <v>48.567999999999998</v>
      </c>
      <c r="AF1132" s="336">
        <v>11930</v>
      </c>
      <c r="AG1132" s="334">
        <v>47.18</v>
      </c>
      <c r="AH1132" s="336">
        <v>11930</v>
      </c>
      <c r="AI1132" s="334">
        <v>48</v>
      </c>
      <c r="AJ1132" s="336">
        <v>11910</v>
      </c>
      <c r="AK1132" s="334">
        <v>48.978000000000002</v>
      </c>
      <c r="AL1132" s="336">
        <v>11930</v>
      </c>
      <c r="AM1132" s="334">
        <v>48.723999999999997</v>
      </c>
      <c r="AN1132" s="336">
        <v>11930</v>
      </c>
      <c r="AO1132" s="334">
        <v>49.243000000000002</v>
      </c>
      <c r="AP1132" s="336">
        <v>11920</v>
      </c>
      <c r="AQ1132" s="334">
        <v>49.44</v>
      </c>
      <c r="AR1132" s="336">
        <v>11930</v>
      </c>
      <c r="AS1132" s="334">
        <v>48.616</v>
      </c>
      <c r="AT1132" s="336">
        <v>11930</v>
      </c>
      <c r="AU1132" s="334">
        <v>47.517000000000003</v>
      </c>
      <c r="AV1132" s="336">
        <v>11930</v>
      </c>
      <c r="AW1132" s="334">
        <v>48.113999999999997</v>
      </c>
      <c r="AX1132" s="336">
        <v>11920</v>
      </c>
      <c r="AY1132" s="334">
        <v>31.141999999999999</v>
      </c>
      <c r="AZ1132" s="336">
        <v>11930</v>
      </c>
      <c r="BA1132" s="337">
        <v>32.387</v>
      </c>
      <c r="BB1132" s="336">
        <v>11910</v>
      </c>
      <c r="BC1132" s="334">
        <v>6.468</v>
      </c>
      <c r="BD1132" s="336">
        <v>11910</v>
      </c>
      <c r="BE1132" s="334">
        <v>7.032</v>
      </c>
    </row>
    <row r="1133" spans="22:57">
      <c r="V1133" s="346">
        <v>11940</v>
      </c>
      <c r="W1133" s="334">
        <v>13.17</v>
      </c>
      <c r="X1133" s="346">
        <v>11950</v>
      </c>
      <c r="Y1133" s="334">
        <v>12.84</v>
      </c>
      <c r="Z1133" s="335">
        <v>11940</v>
      </c>
      <c r="AA1133" s="334">
        <v>42.889000000000003</v>
      </c>
      <c r="AB1133" s="336">
        <v>11940</v>
      </c>
      <c r="AC1133" s="334">
        <v>43.04</v>
      </c>
      <c r="AD1133" s="336">
        <v>11940</v>
      </c>
      <c r="AE1133" s="334">
        <v>47.371000000000002</v>
      </c>
      <c r="AF1133" s="336">
        <v>11940</v>
      </c>
      <c r="AG1133" s="334">
        <v>45.981000000000002</v>
      </c>
      <c r="AH1133" s="336">
        <v>11940</v>
      </c>
      <c r="AI1133" s="334">
        <v>46.789000000000001</v>
      </c>
      <c r="AJ1133" s="336">
        <v>11920</v>
      </c>
      <c r="AK1133" s="334">
        <v>47.767000000000003</v>
      </c>
      <c r="AL1133" s="336">
        <v>11940</v>
      </c>
      <c r="AM1133" s="334">
        <v>47.512999999999998</v>
      </c>
      <c r="AN1133" s="336">
        <v>11940</v>
      </c>
      <c r="AO1133" s="334">
        <v>48.030999999999999</v>
      </c>
      <c r="AP1133" s="336">
        <v>11930</v>
      </c>
      <c r="AQ1133" s="334">
        <v>48.228999999999999</v>
      </c>
      <c r="AR1133" s="336">
        <v>11940</v>
      </c>
      <c r="AS1133" s="334">
        <v>47.404000000000003</v>
      </c>
      <c r="AT1133" s="336">
        <v>11940</v>
      </c>
      <c r="AU1133" s="334">
        <v>46.322000000000003</v>
      </c>
      <c r="AV1133" s="336">
        <v>11940</v>
      </c>
      <c r="AW1133" s="334">
        <v>46.920999999999999</v>
      </c>
      <c r="AX1133" s="336">
        <v>11930</v>
      </c>
      <c r="AY1133" s="334">
        <v>30.326000000000001</v>
      </c>
      <c r="AZ1133" s="336">
        <v>11940</v>
      </c>
      <c r="BA1133" s="337">
        <v>31.568999999999999</v>
      </c>
      <c r="BB1133" s="336">
        <v>11920</v>
      </c>
      <c r="BC1133" s="334">
        <v>6.2990000000000004</v>
      </c>
      <c r="BD1133" s="336">
        <v>11920</v>
      </c>
      <c r="BE1133" s="334">
        <v>6.85</v>
      </c>
    </row>
    <row r="1134" spans="22:57">
      <c r="V1134" s="346">
        <v>11950</v>
      </c>
      <c r="W1134" s="334">
        <v>12.808</v>
      </c>
      <c r="X1134" s="346">
        <v>11960</v>
      </c>
      <c r="Y1134" s="334">
        <v>12.481999999999999</v>
      </c>
      <c r="Z1134" s="335">
        <v>11950</v>
      </c>
      <c r="AA1134" s="334">
        <v>41.768999999999998</v>
      </c>
      <c r="AB1134" s="336">
        <v>11950</v>
      </c>
      <c r="AC1134" s="334">
        <v>41.92</v>
      </c>
      <c r="AD1134" s="336">
        <v>11950</v>
      </c>
      <c r="AE1134" s="334">
        <v>46.173000000000002</v>
      </c>
      <c r="AF1134" s="336">
        <v>11950</v>
      </c>
      <c r="AG1134" s="334">
        <v>44.783000000000001</v>
      </c>
      <c r="AH1134" s="336">
        <v>11950</v>
      </c>
      <c r="AI1134" s="334">
        <v>45.578000000000003</v>
      </c>
      <c r="AJ1134" s="336">
        <v>11930</v>
      </c>
      <c r="AK1134" s="334">
        <v>46.555999999999997</v>
      </c>
      <c r="AL1134" s="336">
        <v>11950</v>
      </c>
      <c r="AM1134" s="334">
        <v>46.302</v>
      </c>
      <c r="AN1134" s="336">
        <v>11950</v>
      </c>
      <c r="AO1134" s="334">
        <v>46.819000000000003</v>
      </c>
      <c r="AP1134" s="336">
        <v>11940</v>
      </c>
      <c r="AQ1134" s="334">
        <v>47.018000000000001</v>
      </c>
      <c r="AR1134" s="336">
        <v>11950</v>
      </c>
      <c r="AS1134" s="334">
        <v>46.192999999999998</v>
      </c>
      <c r="AT1134" s="336">
        <v>11950</v>
      </c>
      <c r="AU1134" s="334">
        <v>45.128999999999998</v>
      </c>
      <c r="AV1134" s="336">
        <v>11950</v>
      </c>
      <c r="AW1134" s="334">
        <v>45.73</v>
      </c>
      <c r="AX1134" s="336">
        <v>11940</v>
      </c>
      <c r="AY1134" s="334">
        <v>29.510999999999999</v>
      </c>
      <c r="AZ1134" s="336">
        <v>11950</v>
      </c>
      <c r="BA1134" s="337">
        <v>30.751999999999999</v>
      </c>
      <c r="BB1134" s="336">
        <v>11930</v>
      </c>
      <c r="BC1134" s="334">
        <v>6.1319999999999997</v>
      </c>
      <c r="BD1134" s="336">
        <v>11930</v>
      </c>
      <c r="BE1134" s="334">
        <v>6.6680000000000001</v>
      </c>
    </row>
    <row r="1135" spans="22:57">
      <c r="V1135" s="346">
        <v>11960</v>
      </c>
      <c r="W1135" s="334">
        <v>12.448</v>
      </c>
      <c r="X1135" s="346">
        <v>11970</v>
      </c>
      <c r="Y1135" s="334">
        <v>12.125</v>
      </c>
      <c r="Z1135" s="335">
        <v>11960</v>
      </c>
      <c r="AA1135" s="334">
        <v>40.651000000000003</v>
      </c>
      <c r="AB1135" s="336">
        <v>11960</v>
      </c>
      <c r="AC1135" s="334">
        <v>40.801000000000002</v>
      </c>
      <c r="AD1135" s="336">
        <v>11960</v>
      </c>
      <c r="AE1135" s="334">
        <v>44.975999999999999</v>
      </c>
      <c r="AF1135" s="336">
        <v>11960</v>
      </c>
      <c r="AG1135" s="334">
        <v>43.585000000000001</v>
      </c>
      <c r="AH1135" s="336">
        <v>11960</v>
      </c>
      <c r="AI1135" s="334">
        <v>44.366</v>
      </c>
      <c r="AJ1135" s="336">
        <v>11940</v>
      </c>
      <c r="AK1135" s="334">
        <v>45.344000000000001</v>
      </c>
      <c r="AL1135" s="336">
        <v>11960</v>
      </c>
      <c r="AM1135" s="334">
        <v>45.091000000000001</v>
      </c>
      <c r="AN1135" s="336">
        <v>11960</v>
      </c>
      <c r="AO1135" s="334">
        <v>45.606999999999999</v>
      </c>
      <c r="AP1135" s="336">
        <v>11950</v>
      </c>
      <c r="AQ1135" s="334">
        <v>45.808</v>
      </c>
      <c r="AR1135" s="336">
        <v>11960</v>
      </c>
      <c r="AS1135" s="334">
        <v>44.981999999999999</v>
      </c>
      <c r="AT1135" s="336">
        <v>11960</v>
      </c>
      <c r="AU1135" s="334">
        <v>43.935000000000002</v>
      </c>
      <c r="AV1135" s="336">
        <v>11960</v>
      </c>
      <c r="AW1135" s="334">
        <v>44.539000000000001</v>
      </c>
      <c r="AX1135" s="336">
        <v>11950</v>
      </c>
      <c r="AY1135" s="334">
        <v>28.698</v>
      </c>
      <c r="AZ1135" s="336">
        <v>11960</v>
      </c>
      <c r="BA1135" s="337">
        <v>29.936</v>
      </c>
      <c r="BB1135" s="336">
        <v>11940</v>
      </c>
      <c r="BC1135" s="334">
        <v>5.9640000000000004</v>
      </c>
      <c r="BD1135" s="336">
        <v>11940</v>
      </c>
      <c r="BE1135" s="334">
        <v>6.4859999999999998</v>
      </c>
    </row>
    <row r="1136" spans="22:57">
      <c r="V1136" s="346">
        <v>11970</v>
      </c>
      <c r="W1136" s="333">
        <v>12.334</v>
      </c>
      <c r="X1136" s="346">
        <v>11980</v>
      </c>
      <c r="Y1136" s="334">
        <v>11.769</v>
      </c>
      <c r="Z1136" s="335">
        <v>11970</v>
      </c>
      <c r="AA1136" s="334">
        <v>39.534999999999997</v>
      </c>
      <c r="AB1136" s="336">
        <v>11970</v>
      </c>
      <c r="AC1136" s="334">
        <v>39.683999999999997</v>
      </c>
      <c r="AD1136" s="336">
        <v>11970</v>
      </c>
      <c r="AE1136" s="334">
        <v>43.78</v>
      </c>
      <c r="AF1136" s="336">
        <v>11970</v>
      </c>
      <c r="AG1136" s="334">
        <v>42.387999999999998</v>
      </c>
      <c r="AH1136" s="336">
        <v>11970</v>
      </c>
      <c r="AI1136" s="334">
        <v>43.155000000000001</v>
      </c>
      <c r="AJ1136" s="336">
        <v>11950</v>
      </c>
      <c r="AK1136" s="334">
        <v>44.133000000000003</v>
      </c>
      <c r="AL1136" s="336">
        <v>11970</v>
      </c>
      <c r="AM1136" s="334">
        <v>43.88</v>
      </c>
      <c r="AN1136" s="336">
        <v>11970</v>
      </c>
      <c r="AO1136" s="334">
        <v>44.395000000000003</v>
      </c>
      <c r="AP1136" s="336">
        <v>11960</v>
      </c>
      <c r="AQ1136" s="334">
        <v>44.597000000000001</v>
      </c>
      <c r="AR1136" s="336">
        <v>11970</v>
      </c>
      <c r="AS1136" s="334">
        <v>43.77</v>
      </c>
      <c r="AT1136" s="336">
        <v>11970</v>
      </c>
      <c r="AU1136" s="334">
        <v>42.743000000000002</v>
      </c>
      <c r="AV1136" s="336">
        <v>11970</v>
      </c>
      <c r="AW1136" s="334">
        <v>43.347999999999999</v>
      </c>
      <c r="AX1136" s="336">
        <v>11960</v>
      </c>
      <c r="AY1136" s="334">
        <v>27.885999999999999</v>
      </c>
      <c r="AZ1136" s="336">
        <v>11970</v>
      </c>
      <c r="BA1136" s="337">
        <v>29.122</v>
      </c>
      <c r="BB1136" s="336">
        <v>11950</v>
      </c>
      <c r="BC1136" s="334">
        <v>5.7969999999999997</v>
      </c>
      <c r="BD1136" s="336">
        <v>11950</v>
      </c>
      <c r="BE1136" s="334">
        <v>6.3049999999999997</v>
      </c>
    </row>
    <row r="1137" spans="22:57">
      <c r="V1137" s="346">
        <v>11980</v>
      </c>
      <c r="W1137" s="334">
        <v>11.73</v>
      </c>
      <c r="X1137" s="346">
        <v>11990</v>
      </c>
      <c r="Y1137" s="334">
        <v>11.414999999999999</v>
      </c>
      <c r="Z1137" s="335">
        <v>11980</v>
      </c>
      <c r="AA1137" s="334">
        <v>38.42</v>
      </c>
      <c r="AB1137" s="336">
        <v>11980</v>
      </c>
      <c r="AC1137" s="334">
        <v>38.567999999999998</v>
      </c>
      <c r="AD1137" s="336">
        <v>11980</v>
      </c>
      <c r="AE1137" s="334">
        <v>42.584000000000003</v>
      </c>
      <c r="AF1137" s="336">
        <v>11980</v>
      </c>
      <c r="AG1137" s="334">
        <v>41.19</v>
      </c>
      <c r="AH1137" s="336">
        <v>11980</v>
      </c>
      <c r="AI1137" s="334">
        <v>41.944000000000003</v>
      </c>
      <c r="AJ1137" s="336">
        <v>11960</v>
      </c>
      <c r="AK1137" s="334">
        <v>42.920999999999999</v>
      </c>
      <c r="AL1137" s="336">
        <v>11980</v>
      </c>
      <c r="AM1137" s="334">
        <v>42.668999999999997</v>
      </c>
      <c r="AN1137" s="336">
        <v>11980</v>
      </c>
      <c r="AO1137" s="334">
        <v>43.183999999999997</v>
      </c>
      <c r="AP1137" s="336">
        <v>11970</v>
      </c>
      <c r="AQ1137" s="334">
        <v>43.386000000000003</v>
      </c>
      <c r="AR1137" s="336">
        <v>11980</v>
      </c>
      <c r="AS1137" s="334">
        <v>42.558999999999997</v>
      </c>
      <c r="AT1137" s="336">
        <v>11980</v>
      </c>
      <c r="AU1137" s="334">
        <v>41.551000000000002</v>
      </c>
      <c r="AV1137" s="336">
        <v>11980</v>
      </c>
      <c r="AW1137" s="334">
        <v>42.158999999999999</v>
      </c>
      <c r="AX1137" s="336">
        <v>11970</v>
      </c>
      <c r="AY1137" s="334">
        <v>27.076000000000001</v>
      </c>
      <c r="AZ1137" s="336">
        <v>11980</v>
      </c>
      <c r="BA1137" s="337">
        <v>28.309000000000001</v>
      </c>
      <c r="BB1137" s="336">
        <v>11960</v>
      </c>
      <c r="BC1137" s="334">
        <v>5.6310000000000002</v>
      </c>
      <c r="BD1137" s="336">
        <v>11960</v>
      </c>
      <c r="BE1137" s="334">
        <v>6.125</v>
      </c>
    </row>
    <row r="1138" spans="22:57">
      <c r="V1138" s="346">
        <v>11990</v>
      </c>
      <c r="W1138" s="334">
        <v>11.374000000000001</v>
      </c>
      <c r="X1138" s="346">
        <v>12000</v>
      </c>
      <c r="Y1138" s="334">
        <v>11.061999999999999</v>
      </c>
      <c r="Z1138" s="335">
        <v>11990</v>
      </c>
      <c r="AA1138" s="334">
        <v>37.307000000000002</v>
      </c>
      <c r="AB1138" s="336">
        <v>11990</v>
      </c>
      <c r="AC1138" s="334">
        <v>37.454000000000001</v>
      </c>
      <c r="AD1138" s="336">
        <v>11990</v>
      </c>
      <c r="AE1138" s="334">
        <v>41.387999999999998</v>
      </c>
      <c r="AF1138" s="336">
        <v>11990</v>
      </c>
      <c r="AG1138" s="334">
        <v>39.994</v>
      </c>
      <c r="AH1138" s="336">
        <v>11990</v>
      </c>
      <c r="AI1138" s="334">
        <v>40.732999999999997</v>
      </c>
      <c r="AJ1138" s="336">
        <v>11970</v>
      </c>
      <c r="AK1138" s="334">
        <v>41.71</v>
      </c>
      <c r="AL1138" s="336">
        <v>11990</v>
      </c>
      <c r="AM1138" s="334">
        <v>41.457999999999998</v>
      </c>
      <c r="AN1138" s="336">
        <v>11990</v>
      </c>
      <c r="AO1138" s="334">
        <v>41.972000000000001</v>
      </c>
      <c r="AP1138" s="336">
        <v>11980</v>
      </c>
      <c r="AQ1138" s="334">
        <v>42.176000000000002</v>
      </c>
      <c r="AR1138" s="336">
        <v>11990</v>
      </c>
      <c r="AS1138" s="334">
        <v>41.347999999999999</v>
      </c>
      <c r="AT1138" s="336">
        <v>11990</v>
      </c>
      <c r="AU1138" s="334">
        <v>40.359000000000002</v>
      </c>
      <c r="AV1138" s="336">
        <v>11990</v>
      </c>
      <c r="AW1138" s="334">
        <v>40.969000000000001</v>
      </c>
      <c r="AX1138" s="336">
        <v>11980</v>
      </c>
      <c r="AY1138" s="334">
        <v>26.266999999999999</v>
      </c>
      <c r="AZ1138" s="336">
        <v>11990</v>
      </c>
      <c r="BA1138" s="337">
        <v>27.498000000000001</v>
      </c>
      <c r="BB1138" s="336">
        <v>11970</v>
      </c>
      <c r="BC1138" s="334">
        <v>5.4640000000000004</v>
      </c>
      <c r="BD1138" s="336">
        <v>11970</v>
      </c>
      <c r="BE1138" s="334">
        <v>5.944</v>
      </c>
    </row>
    <row r="1139" spans="22:57">
      <c r="V1139" s="346">
        <v>12000</v>
      </c>
      <c r="W1139" s="334">
        <v>11.018000000000001</v>
      </c>
      <c r="X1139" s="346">
        <v>12010</v>
      </c>
      <c r="Y1139" s="334">
        <v>10.711</v>
      </c>
      <c r="Z1139" s="335">
        <v>12000</v>
      </c>
      <c r="AA1139" s="334">
        <v>36.195</v>
      </c>
      <c r="AB1139" s="336">
        <v>12000</v>
      </c>
      <c r="AC1139" s="334">
        <v>36.341999999999999</v>
      </c>
      <c r="AD1139" s="336">
        <v>12000</v>
      </c>
      <c r="AE1139" s="334">
        <v>40.192999999999998</v>
      </c>
      <c r="AF1139" s="336">
        <v>12000</v>
      </c>
      <c r="AG1139" s="334">
        <v>38.798000000000002</v>
      </c>
      <c r="AH1139" s="336">
        <v>12000</v>
      </c>
      <c r="AI1139" s="334">
        <v>39.521999999999998</v>
      </c>
      <c r="AJ1139" s="336">
        <v>11980</v>
      </c>
      <c r="AK1139" s="334">
        <v>40.499000000000002</v>
      </c>
      <c r="AL1139" s="336">
        <v>12000</v>
      </c>
      <c r="AM1139" s="334">
        <v>40.247</v>
      </c>
      <c r="AN1139" s="336">
        <v>12000</v>
      </c>
      <c r="AO1139" s="334">
        <v>40.76</v>
      </c>
      <c r="AP1139" s="336">
        <v>11990</v>
      </c>
      <c r="AQ1139" s="334">
        <v>40.965000000000003</v>
      </c>
      <c r="AR1139" s="336">
        <v>12000</v>
      </c>
      <c r="AS1139" s="334">
        <v>40.137</v>
      </c>
      <c r="AT1139" s="336">
        <v>12000</v>
      </c>
      <c r="AU1139" s="334">
        <v>39.168999999999997</v>
      </c>
      <c r="AV1139" s="336">
        <v>12000</v>
      </c>
      <c r="AW1139" s="334">
        <v>39.780999999999999</v>
      </c>
      <c r="AX1139" s="336">
        <v>11990</v>
      </c>
      <c r="AY1139" s="334">
        <v>25.459</v>
      </c>
      <c r="AZ1139" s="336">
        <v>12000</v>
      </c>
      <c r="BA1139" s="337">
        <v>26.687000000000001</v>
      </c>
      <c r="BB1139" s="336">
        <v>11980</v>
      </c>
      <c r="BC1139" s="334">
        <v>5.2990000000000004</v>
      </c>
      <c r="BD1139" s="336">
        <v>11980</v>
      </c>
      <c r="BE1139" s="334">
        <v>5.7640000000000002</v>
      </c>
    </row>
    <row r="1140" spans="22:57">
      <c r="V1140" s="346">
        <v>12010</v>
      </c>
      <c r="W1140" s="334">
        <v>10.664</v>
      </c>
      <c r="X1140" s="346">
        <v>12020</v>
      </c>
      <c r="Y1140" s="334">
        <v>10.36</v>
      </c>
      <c r="Z1140" s="335">
        <v>12010</v>
      </c>
      <c r="AA1140" s="334">
        <v>35.085999999999999</v>
      </c>
      <c r="AB1140" s="336">
        <v>12010</v>
      </c>
      <c r="AC1140" s="334">
        <v>35.231999999999999</v>
      </c>
      <c r="AD1140" s="336">
        <v>12010</v>
      </c>
      <c r="AE1140" s="334">
        <v>38.997999999999998</v>
      </c>
      <c r="AF1140" s="336">
        <v>12010</v>
      </c>
      <c r="AG1140" s="334">
        <v>37.601999999999997</v>
      </c>
      <c r="AH1140" s="336">
        <v>12010</v>
      </c>
      <c r="AI1140" s="334">
        <v>38.311</v>
      </c>
      <c r="AJ1140" s="336">
        <v>11990</v>
      </c>
      <c r="AK1140" s="334">
        <v>39.286999999999999</v>
      </c>
      <c r="AL1140" s="336">
        <v>12010</v>
      </c>
      <c r="AM1140" s="334">
        <v>39.036000000000001</v>
      </c>
      <c r="AN1140" s="336">
        <v>12010</v>
      </c>
      <c r="AO1140" s="334">
        <v>39.548000000000002</v>
      </c>
      <c r="AP1140" s="336">
        <v>12000</v>
      </c>
      <c r="AQ1140" s="334">
        <v>39.753999999999998</v>
      </c>
      <c r="AR1140" s="336">
        <v>12010</v>
      </c>
      <c r="AS1140" s="334">
        <v>38.924999999999997</v>
      </c>
      <c r="AT1140" s="336">
        <v>12010</v>
      </c>
      <c r="AU1140" s="334">
        <v>37.978000000000002</v>
      </c>
      <c r="AV1140" s="336">
        <v>12010</v>
      </c>
      <c r="AW1140" s="334">
        <v>38.593000000000004</v>
      </c>
      <c r="AX1140" s="336">
        <v>12000</v>
      </c>
      <c r="AY1140" s="334">
        <v>24.652999999999999</v>
      </c>
      <c r="AZ1140" s="336">
        <v>12010</v>
      </c>
      <c r="BA1140" s="337">
        <v>25.879000000000001</v>
      </c>
      <c r="BB1140" s="336">
        <v>11990</v>
      </c>
      <c r="BC1140" s="334">
        <v>5.133</v>
      </c>
      <c r="BD1140" s="336">
        <v>11990</v>
      </c>
      <c r="BE1140" s="334">
        <v>5.585</v>
      </c>
    </row>
    <row r="1141" spans="22:57">
      <c r="V1141" s="346">
        <v>12020</v>
      </c>
      <c r="W1141" s="334">
        <v>10.311</v>
      </c>
      <c r="X1141" s="346">
        <v>12030</v>
      </c>
      <c r="Y1141" s="334">
        <v>10.010999999999999</v>
      </c>
      <c r="Z1141" s="335">
        <v>12020</v>
      </c>
      <c r="AA1141" s="334">
        <v>33.978000000000002</v>
      </c>
      <c r="AB1141" s="336">
        <v>12020</v>
      </c>
      <c r="AC1141" s="334">
        <v>34.122999999999998</v>
      </c>
      <c r="AD1141" s="336">
        <v>12020</v>
      </c>
      <c r="AE1141" s="334">
        <v>37.802999999999997</v>
      </c>
      <c r="AF1141" s="336">
        <v>12020</v>
      </c>
      <c r="AG1141" s="334">
        <v>36.405999999999999</v>
      </c>
      <c r="AH1141" s="336">
        <v>12020</v>
      </c>
      <c r="AI1141" s="334">
        <v>37.1</v>
      </c>
      <c r="AJ1141" s="336">
        <v>12000</v>
      </c>
      <c r="AK1141" s="334">
        <v>38.076000000000001</v>
      </c>
      <c r="AL1141" s="336">
        <v>12020</v>
      </c>
      <c r="AM1141" s="334">
        <v>37.825000000000003</v>
      </c>
      <c r="AN1141" s="336">
        <v>12020</v>
      </c>
      <c r="AO1141" s="334">
        <v>38.335999999999999</v>
      </c>
      <c r="AP1141" s="336">
        <v>12010</v>
      </c>
      <c r="AQ1141" s="334">
        <v>38.542999999999999</v>
      </c>
      <c r="AR1141" s="336">
        <v>12020</v>
      </c>
      <c r="AS1141" s="334">
        <v>37.713999999999999</v>
      </c>
      <c r="AT1141" s="336">
        <v>12020</v>
      </c>
      <c r="AU1141" s="334">
        <v>36.789000000000001</v>
      </c>
      <c r="AV1141" s="336">
        <v>12020</v>
      </c>
      <c r="AW1141" s="334">
        <v>37.405999999999999</v>
      </c>
      <c r="AX1141" s="336">
        <v>12010</v>
      </c>
      <c r="AY1141" s="334">
        <v>23.847999999999999</v>
      </c>
      <c r="AZ1141" s="336">
        <v>12020</v>
      </c>
      <c r="BA1141" s="337">
        <v>25.071999999999999</v>
      </c>
      <c r="BB1141" s="336">
        <v>12000</v>
      </c>
      <c r="BC1141" s="334">
        <v>4.968</v>
      </c>
      <c r="BD1141" s="336">
        <v>12000</v>
      </c>
      <c r="BE1141" s="334">
        <v>5.4059999999999997</v>
      </c>
    </row>
    <row r="1142" spans="22:57">
      <c r="V1142" s="346">
        <v>12030</v>
      </c>
      <c r="W1142" s="334">
        <v>9.9600000000000009</v>
      </c>
      <c r="X1142" s="346">
        <v>12040</v>
      </c>
      <c r="Y1142" s="334">
        <v>9.6630000000000003</v>
      </c>
      <c r="Z1142" s="335">
        <v>12030</v>
      </c>
      <c r="AA1142" s="334">
        <v>32.871000000000002</v>
      </c>
      <c r="AB1142" s="336">
        <v>12030</v>
      </c>
      <c r="AC1142" s="334">
        <v>33.015000000000001</v>
      </c>
      <c r="AD1142" s="336">
        <v>12030</v>
      </c>
      <c r="AE1142" s="334">
        <v>36.609000000000002</v>
      </c>
      <c r="AF1142" s="336">
        <v>12030</v>
      </c>
      <c r="AG1142" s="334">
        <v>35.210999999999999</v>
      </c>
      <c r="AH1142" s="336">
        <v>12030</v>
      </c>
      <c r="AI1142" s="334">
        <v>35.887999999999998</v>
      </c>
      <c r="AJ1142" s="336">
        <v>12010</v>
      </c>
      <c r="AK1142" s="334">
        <v>36.865000000000002</v>
      </c>
      <c r="AL1142" s="336">
        <v>12030</v>
      </c>
      <c r="AM1142" s="334">
        <v>36.613</v>
      </c>
      <c r="AN1142" s="336">
        <v>12030</v>
      </c>
      <c r="AO1142" s="334">
        <v>37.124000000000002</v>
      </c>
      <c r="AP1142" s="336">
        <v>12020</v>
      </c>
      <c r="AQ1142" s="334">
        <v>37.332000000000001</v>
      </c>
      <c r="AR1142" s="336">
        <v>12030</v>
      </c>
      <c r="AS1142" s="334">
        <v>36.502000000000002</v>
      </c>
      <c r="AT1142" s="336">
        <v>12030</v>
      </c>
      <c r="AU1142" s="334">
        <v>35.6</v>
      </c>
      <c r="AV1142" s="336">
        <v>12030</v>
      </c>
      <c r="AW1142" s="334">
        <v>36.219000000000001</v>
      </c>
      <c r="AX1142" s="336">
        <v>12020</v>
      </c>
      <c r="AY1142" s="334">
        <v>23.044</v>
      </c>
      <c r="AZ1142" s="336">
        <v>12030</v>
      </c>
      <c r="BA1142" s="337">
        <v>24.265999999999998</v>
      </c>
      <c r="BB1142" s="336">
        <v>12010</v>
      </c>
      <c r="BC1142" s="334">
        <v>4.8040000000000003</v>
      </c>
      <c r="BD1142" s="336">
        <v>12010</v>
      </c>
      <c r="BE1142" s="334">
        <v>5.2270000000000003</v>
      </c>
    </row>
    <row r="1143" spans="22:57">
      <c r="V1143" s="346">
        <v>12040</v>
      </c>
      <c r="W1143" s="334">
        <v>9.609</v>
      </c>
      <c r="X1143" s="346">
        <v>12050</v>
      </c>
      <c r="Y1143" s="334">
        <v>9.3170000000000002</v>
      </c>
      <c r="Z1143" s="335">
        <v>12040</v>
      </c>
      <c r="AA1143" s="334">
        <v>31.765999999999998</v>
      </c>
      <c r="AB1143" s="336">
        <v>12040</v>
      </c>
      <c r="AC1143" s="334">
        <v>31.908999999999999</v>
      </c>
      <c r="AD1143" s="336">
        <v>12040</v>
      </c>
      <c r="AE1143" s="334">
        <v>35.414999999999999</v>
      </c>
      <c r="AF1143" s="336">
        <v>12040</v>
      </c>
      <c r="AG1143" s="334">
        <v>34.015999999999998</v>
      </c>
      <c r="AH1143" s="336">
        <v>12040</v>
      </c>
      <c r="AI1143" s="334">
        <v>34.677</v>
      </c>
      <c r="AJ1143" s="336">
        <v>12020</v>
      </c>
      <c r="AK1143" s="334">
        <v>35.652999999999999</v>
      </c>
      <c r="AL1143" s="336">
        <v>12040</v>
      </c>
      <c r="AM1143" s="334">
        <v>35.402000000000001</v>
      </c>
      <c r="AN1143" s="336">
        <v>12040</v>
      </c>
      <c r="AO1143" s="334">
        <v>35.911999999999999</v>
      </c>
      <c r="AP1143" s="336">
        <v>12030</v>
      </c>
      <c r="AQ1143" s="334">
        <v>36.122</v>
      </c>
      <c r="AR1143" s="336">
        <v>12040</v>
      </c>
      <c r="AS1143" s="334">
        <v>35.290999999999997</v>
      </c>
      <c r="AT1143" s="336">
        <v>12040</v>
      </c>
      <c r="AU1143" s="334">
        <v>34.411999999999999</v>
      </c>
      <c r="AV1143" s="336">
        <v>12040</v>
      </c>
      <c r="AW1143" s="334">
        <v>35.033000000000001</v>
      </c>
      <c r="AX1143" s="336">
        <v>12030</v>
      </c>
      <c r="AY1143" s="334">
        <v>22.242000000000001</v>
      </c>
      <c r="AZ1143" s="336">
        <v>12040</v>
      </c>
      <c r="BA1143" s="337">
        <v>23.460999999999999</v>
      </c>
      <c r="BB1143" s="336">
        <v>12020</v>
      </c>
      <c r="BC1143" s="334">
        <v>4.6390000000000002</v>
      </c>
      <c r="BD1143" s="336">
        <v>12020</v>
      </c>
      <c r="BE1143" s="334">
        <v>5.0490000000000004</v>
      </c>
    </row>
    <row r="1144" spans="22:57">
      <c r="V1144" s="346">
        <v>12050</v>
      </c>
      <c r="W1144" s="334">
        <v>9.26</v>
      </c>
      <c r="X1144" s="346">
        <v>12060</v>
      </c>
      <c r="Y1144" s="334">
        <v>8.9710000000000001</v>
      </c>
      <c r="Z1144" s="335">
        <v>12050</v>
      </c>
      <c r="AA1144" s="334">
        <v>30.663</v>
      </c>
      <c r="AB1144" s="336">
        <v>12050</v>
      </c>
      <c r="AC1144" s="334">
        <v>30.805</v>
      </c>
      <c r="AD1144" s="336">
        <v>12050</v>
      </c>
      <c r="AE1144" s="334">
        <v>34.220999999999997</v>
      </c>
      <c r="AF1144" s="336">
        <v>12050</v>
      </c>
      <c r="AG1144" s="334">
        <v>32.822000000000003</v>
      </c>
      <c r="AH1144" s="336">
        <v>12050</v>
      </c>
      <c r="AI1144" s="334">
        <v>33.466000000000001</v>
      </c>
      <c r="AJ1144" s="336">
        <v>12030</v>
      </c>
      <c r="AK1144" s="334">
        <v>34.441000000000003</v>
      </c>
      <c r="AL1144" s="336">
        <v>12050</v>
      </c>
      <c r="AM1144" s="334">
        <v>34.191000000000003</v>
      </c>
      <c r="AN1144" s="336">
        <v>12050</v>
      </c>
      <c r="AO1144" s="334">
        <v>34.700000000000003</v>
      </c>
      <c r="AP1144" s="336">
        <v>12040</v>
      </c>
      <c r="AQ1144" s="334">
        <v>34.911000000000001</v>
      </c>
      <c r="AR1144" s="336">
        <v>12050</v>
      </c>
      <c r="AS1144" s="334">
        <v>34.079000000000001</v>
      </c>
      <c r="AT1144" s="336">
        <v>12050</v>
      </c>
      <c r="AU1144" s="334">
        <v>33.223999999999997</v>
      </c>
      <c r="AV1144" s="336">
        <v>12050</v>
      </c>
      <c r="AW1144" s="334">
        <v>33.847999999999999</v>
      </c>
      <c r="AX1144" s="336">
        <v>12040</v>
      </c>
      <c r="AY1144" s="334">
        <v>21.440999999999999</v>
      </c>
      <c r="AZ1144" s="336">
        <v>12050</v>
      </c>
      <c r="BA1144" s="337">
        <v>22.658000000000001</v>
      </c>
      <c r="BB1144" s="336">
        <v>12030</v>
      </c>
      <c r="BC1144" s="334">
        <v>4.4749999999999996</v>
      </c>
      <c r="BD1144" s="336">
        <v>12030</v>
      </c>
      <c r="BE1144" s="334">
        <v>4.8710000000000004</v>
      </c>
    </row>
    <row r="1145" spans="22:57">
      <c r="V1145" s="346">
        <v>12060</v>
      </c>
      <c r="W1145" s="334">
        <v>8.9120000000000008</v>
      </c>
      <c r="X1145" s="346">
        <v>12070</v>
      </c>
      <c r="Y1145" s="334">
        <v>8.6270000000000007</v>
      </c>
      <c r="Z1145" s="335">
        <v>12060</v>
      </c>
      <c r="AA1145" s="334">
        <v>29.561</v>
      </c>
      <c r="AB1145" s="336">
        <v>12060</v>
      </c>
      <c r="AC1145" s="334">
        <v>29.702000000000002</v>
      </c>
      <c r="AD1145" s="336">
        <v>12060</v>
      </c>
      <c r="AE1145" s="334">
        <v>33.027999999999999</v>
      </c>
      <c r="AF1145" s="336">
        <v>12060</v>
      </c>
      <c r="AG1145" s="334">
        <v>31.628</v>
      </c>
      <c r="AH1145" s="336">
        <v>12060</v>
      </c>
      <c r="AI1145" s="334">
        <v>32.253999999999998</v>
      </c>
      <c r="AJ1145" s="336">
        <v>12040</v>
      </c>
      <c r="AK1145" s="334">
        <v>33.229999999999997</v>
      </c>
      <c r="AL1145" s="336">
        <v>12060</v>
      </c>
      <c r="AM1145" s="334">
        <v>32.979999999999997</v>
      </c>
      <c r="AN1145" s="336">
        <v>12060</v>
      </c>
      <c r="AO1145" s="334">
        <v>33.488</v>
      </c>
      <c r="AP1145" s="336">
        <v>12050</v>
      </c>
      <c r="AQ1145" s="334">
        <v>33.700000000000003</v>
      </c>
      <c r="AR1145" s="336">
        <v>12060</v>
      </c>
      <c r="AS1145" s="334">
        <v>32.868000000000002</v>
      </c>
      <c r="AT1145" s="336">
        <v>12060</v>
      </c>
      <c r="AU1145" s="334">
        <v>32.036999999999999</v>
      </c>
      <c r="AV1145" s="336">
        <v>12060</v>
      </c>
      <c r="AW1145" s="334">
        <v>32.662999999999997</v>
      </c>
      <c r="AX1145" s="336">
        <v>12050</v>
      </c>
      <c r="AY1145" s="334">
        <v>20.641999999999999</v>
      </c>
      <c r="AZ1145" s="336">
        <v>12060</v>
      </c>
      <c r="BA1145" s="337">
        <v>21.856000000000002</v>
      </c>
      <c r="BB1145" s="336">
        <v>12040</v>
      </c>
      <c r="BC1145" s="334">
        <v>4.3120000000000003</v>
      </c>
      <c r="BD1145" s="336">
        <v>12040</v>
      </c>
      <c r="BE1145" s="334">
        <v>4.6929999999999996</v>
      </c>
    </row>
    <row r="1146" spans="22:57">
      <c r="V1146" s="346">
        <v>12070</v>
      </c>
      <c r="W1146" s="334">
        <v>8.5649999999999995</v>
      </c>
      <c r="X1146" s="346">
        <v>12080</v>
      </c>
      <c r="Y1146" s="334">
        <v>8.2840000000000007</v>
      </c>
      <c r="Z1146" s="335">
        <v>12070</v>
      </c>
      <c r="AA1146" s="334">
        <v>28.460999999999999</v>
      </c>
      <c r="AB1146" s="336">
        <v>12070</v>
      </c>
      <c r="AC1146" s="334">
        <v>28.600999999999999</v>
      </c>
      <c r="AD1146" s="336">
        <v>12070</v>
      </c>
      <c r="AE1146" s="334">
        <v>31.835000000000001</v>
      </c>
      <c r="AF1146" s="336">
        <v>12070</v>
      </c>
      <c r="AG1146" s="334">
        <v>30.434000000000001</v>
      </c>
      <c r="AH1146" s="336">
        <v>12070</v>
      </c>
      <c r="AI1146" s="334">
        <v>31.042999999999999</v>
      </c>
      <c r="AJ1146" s="336">
        <v>12050</v>
      </c>
      <c r="AK1146" s="334">
        <v>32.018000000000001</v>
      </c>
      <c r="AL1146" s="336">
        <v>12070</v>
      </c>
      <c r="AM1146" s="334">
        <v>31.768000000000001</v>
      </c>
      <c r="AN1146" s="336">
        <v>12070</v>
      </c>
      <c r="AO1146" s="334">
        <v>32.276000000000003</v>
      </c>
      <c r="AP1146" s="336">
        <v>12060</v>
      </c>
      <c r="AQ1146" s="334">
        <v>32.488999999999997</v>
      </c>
      <c r="AR1146" s="336">
        <v>12070</v>
      </c>
      <c r="AS1146" s="334">
        <v>31.655999999999999</v>
      </c>
      <c r="AT1146" s="336">
        <v>12070</v>
      </c>
      <c r="AU1146" s="334">
        <v>30.85</v>
      </c>
      <c r="AV1146" s="336">
        <v>12070</v>
      </c>
      <c r="AW1146" s="334">
        <v>31.478999999999999</v>
      </c>
      <c r="AX1146" s="336">
        <v>12060</v>
      </c>
      <c r="AY1146" s="334">
        <v>19.844000000000001</v>
      </c>
      <c r="AZ1146" s="336">
        <v>12070</v>
      </c>
      <c r="BA1146" s="337">
        <v>21.055</v>
      </c>
      <c r="BB1146" s="336">
        <v>12050</v>
      </c>
      <c r="BC1146" s="334">
        <v>4.1479999999999997</v>
      </c>
      <c r="BD1146" s="336">
        <v>12050</v>
      </c>
      <c r="BE1146" s="334">
        <v>4.516</v>
      </c>
    </row>
    <row r="1147" spans="22:57">
      <c r="V1147" s="346">
        <v>12080</v>
      </c>
      <c r="W1147" s="334">
        <v>8.2200000000000006</v>
      </c>
      <c r="X1147" s="346">
        <v>12090</v>
      </c>
      <c r="Y1147" s="334">
        <v>7.9420000000000002</v>
      </c>
      <c r="Z1147" s="335">
        <v>12080</v>
      </c>
      <c r="AA1147" s="334">
        <v>27.363</v>
      </c>
      <c r="AB1147" s="336">
        <v>12080</v>
      </c>
      <c r="AC1147" s="334">
        <v>27.501999999999999</v>
      </c>
      <c r="AD1147" s="336">
        <v>12080</v>
      </c>
      <c r="AE1147" s="334">
        <v>30.643000000000001</v>
      </c>
      <c r="AF1147" s="336">
        <v>12080</v>
      </c>
      <c r="AG1147" s="334">
        <v>29.241</v>
      </c>
      <c r="AH1147" s="336">
        <v>12080</v>
      </c>
      <c r="AI1147" s="334">
        <v>29.832000000000001</v>
      </c>
      <c r="AJ1147" s="336">
        <v>12060</v>
      </c>
      <c r="AK1147" s="334">
        <v>30.806999999999999</v>
      </c>
      <c r="AL1147" s="336">
        <v>12080</v>
      </c>
      <c r="AM1147" s="334">
        <v>30.556999999999999</v>
      </c>
      <c r="AN1147" s="336">
        <v>12080</v>
      </c>
      <c r="AO1147" s="334">
        <v>31.062999999999999</v>
      </c>
      <c r="AP1147" s="336">
        <v>12070</v>
      </c>
      <c r="AQ1147" s="334">
        <v>31.277999999999999</v>
      </c>
      <c r="AR1147" s="336">
        <v>12080</v>
      </c>
      <c r="AS1147" s="334">
        <v>30.445</v>
      </c>
      <c r="AT1147" s="336">
        <v>12080</v>
      </c>
      <c r="AU1147" s="334">
        <v>29.664999999999999</v>
      </c>
      <c r="AV1147" s="336">
        <v>12080</v>
      </c>
      <c r="AW1147" s="334">
        <v>30.295999999999999</v>
      </c>
      <c r="AX1147" s="336">
        <v>12070</v>
      </c>
      <c r="AY1147" s="334">
        <v>19.047000000000001</v>
      </c>
      <c r="AZ1147" s="336">
        <v>12080</v>
      </c>
      <c r="BA1147" s="337">
        <v>20.256</v>
      </c>
      <c r="BB1147" s="336">
        <v>12060</v>
      </c>
      <c r="BC1147" s="334">
        <v>3.9860000000000002</v>
      </c>
      <c r="BD1147" s="336">
        <v>12060</v>
      </c>
      <c r="BE1147" s="334">
        <v>4.3390000000000004</v>
      </c>
    </row>
    <row r="1148" spans="22:57">
      <c r="V1148" s="346">
        <v>12090</v>
      </c>
      <c r="W1148" s="334">
        <v>7.8760000000000003</v>
      </c>
      <c r="X1148" s="346">
        <v>12100</v>
      </c>
      <c r="Y1148" s="334">
        <v>7.6020000000000003</v>
      </c>
      <c r="Z1148" s="335">
        <v>12090</v>
      </c>
      <c r="AA1148" s="334">
        <v>26.265999999999998</v>
      </c>
      <c r="AB1148" s="336">
        <v>12090</v>
      </c>
      <c r="AC1148" s="334">
        <v>26.404</v>
      </c>
      <c r="AD1148" s="336">
        <v>12090</v>
      </c>
      <c r="AE1148" s="334">
        <v>29.451000000000001</v>
      </c>
      <c r="AF1148" s="336">
        <v>12090</v>
      </c>
      <c r="AG1148" s="334">
        <v>28.047999999999998</v>
      </c>
      <c r="AH1148" s="336">
        <v>12090</v>
      </c>
      <c r="AI1148" s="334">
        <v>28.62</v>
      </c>
      <c r="AJ1148" s="336">
        <v>12070</v>
      </c>
      <c r="AK1148" s="334">
        <v>29.594999999999999</v>
      </c>
      <c r="AL1148" s="336">
        <v>12090</v>
      </c>
      <c r="AM1148" s="334">
        <v>29.346</v>
      </c>
      <c r="AN1148" s="336">
        <v>12090</v>
      </c>
      <c r="AO1148" s="334">
        <v>29.850999999999999</v>
      </c>
      <c r="AP1148" s="336">
        <v>12080</v>
      </c>
      <c r="AQ1148" s="334">
        <v>30.067</v>
      </c>
      <c r="AR1148" s="336">
        <v>12090</v>
      </c>
      <c r="AS1148" s="334">
        <v>29.233000000000001</v>
      </c>
      <c r="AT1148" s="336">
        <v>12090</v>
      </c>
      <c r="AU1148" s="334">
        <v>28.48</v>
      </c>
      <c r="AV1148" s="336">
        <v>12090</v>
      </c>
      <c r="AW1148" s="334">
        <v>29.113</v>
      </c>
      <c r="AX1148" s="336">
        <v>12080</v>
      </c>
      <c r="AY1148" s="334">
        <v>18.251999999999999</v>
      </c>
      <c r="AZ1148" s="336">
        <v>12090</v>
      </c>
      <c r="BA1148" s="337">
        <v>19.457999999999998</v>
      </c>
      <c r="BB1148" s="336">
        <v>12070</v>
      </c>
      <c r="BC1148" s="334">
        <v>3.8239999999999998</v>
      </c>
      <c r="BD1148" s="336">
        <v>12070</v>
      </c>
      <c r="BE1148" s="334">
        <v>4.1630000000000003</v>
      </c>
    </row>
    <row r="1149" spans="22:57">
      <c r="V1149" s="346">
        <v>12100</v>
      </c>
      <c r="W1149" s="334">
        <v>7.5330000000000004</v>
      </c>
      <c r="X1149" s="346">
        <v>12110</v>
      </c>
      <c r="Y1149" s="334">
        <v>7.2629999999999999</v>
      </c>
      <c r="Z1149" s="335">
        <v>12100</v>
      </c>
      <c r="AA1149" s="334">
        <v>25.170999999999999</v>
      </c>
      <c r="AB1149" s="336">
        <v>12100</v>
      </c>
      <c r="AC1149" s="334">
        <v>25.308</v>
      </c>
      <c r="AD1149" s="336">
        <v>12100</v>
      </c>
      <c r="AE1149" s="334">
        <v>28.259</v>
      </c>
      <c r="AF1149" s="336">
        <v>12100</v>
      </c>
      <c r="AG1149" s="334">
        <v>26.856000000000002</v>
      </c>
      <c r="AH1149" s="336">
        <v>12100</v>
      </c>
      <c r="AI1149" s="334">
        <v>27.408999999999999</v>
      </c>
      <c r="AJ1149" s="336">
        <v>12080</v>
      </c>
      <c r="AK1149" s="334">
        <v>28.382999999999999</v>
      </c>
      <c r="AL1149" s="336">
        <v>12100</v>
      </c>
      <c r="AM1149" s="334">
        <v>28.135000000000002</v>
      </c>
      <c r="AN1149" s="336">
        <v>12100</v>
      </c>
      <c r="AO1149" s="334">
        <v>28.638999999999999</v>
      </c>
      <c r="AP1149" s="336">
        <v>12090</v>
      </c>
      <c r="AQ1149" s="334">
        <v>28.856000000000002</v>
      </c>
      <c r="AR1149" s="336">
        <v>12100</v>
      </c>
      <c r="AS1149" s="334">
        <v>28.021999999999998</v>
      </c>
      <c r="AT1149" s="336">
        <v>12100</v>
      </c>
      <c r="AU1149" s="334">
        <v>27.295999999999999</v>
      </c>
      <c r="AV1149" s="336">
        <v>12100</v>
      </c>
      <c r="AW1149" s="334">
        <v>27.931000000000001</v>
      </c>
      <c r="AX1149" s="336">
        <v>12090</v>
      </c>
      <c r="AY1149" s="334">
        <v>17.457999999999998</v>
      </c>
      <c r="AZ1149" s="336">
        <v>12100</v>
      </c>
      <c r="BA1149" s="337">
        <v>18.661999999999999</v>
      </c>
      <c r="BB1149" s="336">
        <v>12080</v>
      </c>
      <c r="BC1149" s="334">
        <v>3.6619999999999999</v>
      </c>
      <c r="BD1149" s="336">
        <v>12080</v>
      </c>
      <c r="BE1149" s="334">
        <v>3.9870000000000001</v>
      </c>
    </row>
    <row r="1150" spans="22:57">
      <c r="V1150" s="346">
        <v>12110</v>
      </c>
      <c r="W1150" s="334">
        <v>7.1909999999999998</v>
      </c>
      <c r="X1150" s="346">
        <v>12120</v>
      </c>
      <c r="Y1150" s="334">
        <v>6.9249999999999998</v>
      </c>
      <c r="Z1150" s="335">
        <v>12110</v>
      </c>
      <c r="AA1150" s="334">
        <v>24.077999999999999</v>
      </c>
      <c r="AB1150" s="336">
        <v>12110</v>
      </c>
      <c r="AC1150" s="334">
        <v>24.213999999999999</v>
      </c>
      <c r="AD1150" s="336">
        <v>12110</v>
      </c>
      <c r="AE1150" s="334">
        <v>27.068000000000001</v>
      </c>
      <c r="AF1150" s="336">
        <v>12110</v>
      </c>
      <c r="AG1150" s="334">
        <v>25.664000000000001</v>
      </c>
      <c r="AH1150" s="336">
        <v>12110</v>
      </c>
      <c r="AI1150" s="334">
        <v>26.198</v>
      </c>
      <c r="AJ1150" s="336">
        <v>12090</v>
      </c>
      <c r="AK1150" s="334">
        <v>27.172000000000001</v>
      </c>
      <c r="AL1150" s="336">
        <v>12110</v>
      </c>
      <c r="AM1150" s="334">
        <v>26.922999999999998</v>
      </c>
      <c r="AN1150" s="336">
        <v>12110</v>
      </c>
      <c r="AO1150" s="334">
        <v>27.427</v>
      </c>
      <c r="AP1150" s="336">
        <v>12100</v>
      </c>
      <c r="AQ1150" s="334">
        <v>27.645</v>
      </c>
      <c r="AR1150" s="336">
        <v>12110</v>
      </c>
      <c r="AS1150" s="334">
        <v>26.81</v>
      </c>
      <c r="AT1150" s="336">
        <v>12110</v>
      </c>
      <c r="AU1150" s="334">
        <v>26.111999999999998</v>
      </c>
      <c r="AV1150" s="336">
        <v>12110</v>
      </c>
      <c r="AW1150" s="334">
        <v>26.75</v>
      </c>
      <c r="AX1150" s="336">
        <v>12100</v>
      </c>
      <c r="AY1150" s="334">
        <v>16.664999999999999</v>
      </c>
      <c r="AZ1150" s="336">
        <v>12110</v>
      </c>
      <c r="BA1150" s="337">
        <v>17.867000000000001</v>
      </c>
      <c r="BB1150" s="336">
        <v>12090</v>
      </c>
      <c r="BC1150" s="334">
        <v>3.5009999999999999</v>
      </c>
      <c r="BD1150" s="336">
        <v>12090</v>
      </c>
      <c r="BE1150" s="334">
        <v>3.8119999999999998</v>
      </c>
    </row>
    <row r="1151" spans="22:57">
      <c r="V1151" s="346">
        <v>12120</v>
      </c>
      <c r="W1151" s="334">
        <v>6.851</v>
      </c>
      <c r="X1151" s="346">
        <v>12130</v>
      </c>
      <c r="Y1151" s="334">
        <v>6.5890000000000004</v>
      </c>
      <c r="Z1151" s="335">
        <v>12120</v>
      </c>
      <c r="AA1151" s="334">
        <v>22.986000000000001</v>
      </c>
      <c r="AB1151" s="336">
        <v>12120</v>
      </c>
      <c r="AC1151" s="334">
        <v>23.120999999999999</v>
      </c>
      <c r="AD1151" s="336">
        <v>12120</v>
      </c>
      <c r="AE1151" s="334">
        <v>25.876999999999999</v>
      </c>
      <c r="AF1151" s="336">
        <v>12120</v>
      </c>
      <c r="AG1151" s="334">
        <v>24.472999999999999</v>
      </c>
      <c r="AH1151" s="336">
        <v>12120</v>
      </c>
      <c r="AI1151" s="334">
        <v>24.986000000000001</v>
      </c>
      <c r="AJ1151" s="336">
        <v>12100</v>
      </c>
      <c r="AK1151" s="334">
        <v>25.96</v>
      </c>
      <c r="AL1151" s="336">
        <v>12120</v>
      </c>
      <c r="AM1151" s="334">
        <v>25.712</v>
      </c>
      <c r="AN1151" s="336">
        <v>12120</v>
      </c>
      <c r="AO1151" s="334">
        <v>26.215</v>
      </c>
      <c r="AP1151" s="336">
        <v>12110</v>
      </c>
      <c r="AQ1151" s="334">
        <v>26.434000000000001</v>
      </c>
      <c r="AR1151" s="336">
        <v>12120</v>
      </c>
      <c r="AS1151" s="334">
        <v>25.597999999999999</v>
      </c>
      <c r="AT1151" s="336">
        <v>12120</v>
      </c>
      <c r="AU1151" s="334">
        <v>24.928999999999998</v>
      </c>
      <c r="AV1151" s="336">
        <v>12120</v>
      </c>
      <c r="AW1151" s="334">
        <v>25.57</v>
      </c>
      <c r="AX1151" s="336">
        <v>12110</v>
      </c>
      <c r="AY1151" s="334">
        <v>15.874000000000001</v>
      </c>
      <c r="AZ1151" s="336">
        <v>12120</v>
      </c>
      <c r="BA1151" s="337">
        <v>17.073</v>
      </c>
      <c r="BB1151" s="336">
        <v>12100</v>
      </c>
      <c r="BC1151" s="334">
        <v>3.34</v>
      </c>
      <c r="BD1151" s="336">
        <v>12100</v>
      </c>
      <c r="BE1151" s="334">
        <v>3.637</v>
      </c>
    </row>
    <row r="1152" spans="22:57">
      <c r="V1152" s="346">
        <v>12130</v>
      </c>
      <c r="W1152" s="334">
        <v>6.5119999999999996</v>
      </c>
      <c r="X1152" s="346">
        <v>12140</v>
      </c>
      <c r="Y1152" s="334">
        <v>6.2539999999999996</v>
      </c>
      <c r="Z1152" s="335">
        <v>12130</v>
      </c>
      <c r="AA1152" s="334">
        <v>21.896000000000001</v>
      </c>
      <c r="AB1152" s="336">
        <v>12130</v>
      </c>
      <c r="AC1152" s="334">
        <v>22.03</v>
      </c>
      <c r="AD1152" s="336">
        <v>12130</v>
      </c>
      <c r="AE1152" s="334">
        <v>24.687000000000001</v>
      </c>
      <c r="AF1152" s="336">
        <v>12130</v>
      </c>
      <c r="AG1152" s="334">
        <v>23.282</v>
      </c>
      <c r="AH1152" s="336">
        <v>12130</v>
      </c>
      <c r="AI1152" s="334">
        <v>23.774999999999999</v>
      </c>
      <c r="AJ1152" s="336">
        <v>12110</v>
      </c>
      <c r="AK1152" s="334">
        <v>24.748999999999999</v>
      </c>
      <c r="AL1152" s="336">
        <v>12130</v>
      </c>
      <c r="AM1152" s="334">
        <v>24.501000000000001</v>
      </c>
      <c r="AN1152" s="336">
        <v>12130</v>
      </c>
      <c r="AO1152" s="334">
        <v>25.003</v>
      </c>
      <c r="AP1152" s="336">
        <v>12120</v>
      </c>
      <c r="AQ1152" s="334">
        <v>25.222999999999999</v>
      </c>
      <c r="AR1152" s="336">
        <v>12130</v>
      </c>
      <c r="AS1152" s="334">
        <v>24.387</v>
      </c>
      <c r="AT1152" s="336">
        <v>12130</v>
      </c>
      <c r="AU1152" s="334">
        <v>23.747</v>
      </c>
      <c r="AV1152" s="336">
        <v>12130</v>
      </c>
      <c r="AW1152" s="334">
        <v>24.39</v>
      </c>
      <c r="AX1152" s="336">
        <v>12120</v>
      </c>
      <c r="AY1152" s="334">
        <v>15.084</v>
      </c>
      <c r="AZ1152" s="336">
        <v>12130</v>
      </c>
      <c r="BA1152" s="337">
        <v>16.280999999999999</v>
      </c>
      <c r="BB1152" s="336">
        <v>12110</v>
      </c>
      <c r="BC1152" s="334">
        <v>3.1789999999999998</v>
      </c>
      <c r="BD1152" s="336">
        <v>12110</v>
      </c>
      <c r="BE1152" s="334">
        <v>3.4620000000000002</v>
      </c>
    </row>
    <row r="1153" spans="22:57">
      <c r="V1153" s="346">
        <v>12140</v>
      </c>
      <c r="W1153" s="334">
        <v>6.1749999999999998</v>
      </c>
      <c r="X1153" s="346">
        <v>12150</v>
      </c>
      <c r="Y1153" s="334">
        <v>5.92</v>
      </c>
      <c r="Z1153" s="335">
        <v>12140</v>
      </c>
      <c r="AA1153" s="334">
        <v>20.808</v>
      </c>
      <c r="AB1153" s="336">
        <v>12140</v>
      </c>
      <c r="AC1153" s="334">
        <v>20.940999999999999</v>
      </c>
      <c r="AD1153" s="336">
        <v>12140</v>
      </c>
      <c r="AE1153" s="334">
        <v>23.497</v>
      </c>
      <c r="AF1153" s="336">
        <v>12140</v>
      </c>
      <c r="AG1153" s="334">
        <v>22.091000000000001</v>
      </c>
      <c r="AH1153" s="336">
        <v>12140</v>
      </c>
      <c r="AI1153" s="334">
        <v>22.564</v>
      </c>
      <c r="AJ1153" s="336">
        <v>12120</v>
      </c>
      <c r="AK1153" s="334">
        <v>23.536999999999999</v>
      </c>
      <c r="AL1153" s="336">
        <v>12140</v>
      </c>
      <c r="AM1153" s="334">
        <v>23.289000000000001</v>
      </c>
      <c r="AN1153" s="336">
        <v>12140</v>
      </c>
      <c r="AO1153" s="334">
        <v>23.791</v>
      </c>
      <c r="AP1153" s="336">
        <v>12130</v>
      </c>
      <c r="AQ1153" s="334">
        <v>24.012</v>
      </c>
      <c r="AR1153" s="336">
        <v>12140</v>
      </c>
      <c r="AS1153" s="334">
        <v>23.175000000000001</v>
      </c>
      <c r="AT1153" s="336">
        <v>12140</v>
      </c>
      <c r="AU1153" s="334">
        <v>22.565999999999999</v>
      </c>
      <c r="AV1153" s="336">
        <v>12140</v>
      </c>
      <c r="AW1153" s="334">
        <v>23.210999999999999</v>
      </c>
      <c r="AX1153" s="336">
        <v>12130</v>
      </c>
      <c r="AY1153" s="334">
        <v>14.295999999999999</v>
      </c>
      <c r="AZ1153" s="336">
        <v>12140</v>
      </c>
      <c r="BA1153" s="337">
        <v>15.49</v>
      </c>
      <c r="BB1153" s="336">
        <v>12120</v>
      </c>
      <c r="BC1153" s="334">
        <v>3.0190000000000001</v>
      </c>
      <c r="BD1153" s="336">
        <v>12120</v>
      </c>
      <c r="BE1153" s="334">
        <v>3.2879999999999998</v>
      </c>
    </row>
    <row r="1154" spans="22:57">
      <c r="V1154" s="346">
        <v>12150</v>
      </c>
      <c r="W1154" s="334">
        <v>5.8380000000000001</v>
      </c>
      <c r="X1154" s="346">
        <v>12160</v>
      </c>
      <c r="Y1154" s="334">
        <v>5.5869999999999997</v>
      </c>
      <c r="Z1154" s="335">
        <v>12150</v>
      </c>
      <c r="AA1154" s="334">
        <v>19.722000000000001</v>
      </c>
      <c r="AB1154" s="336">
        <v>12150</v>
      </c>
      <c r="AC1154" s="334">
        <v>19.853000000000002</v>
      </c>
      <c r="AD1154" s="336">
        <v>12150</v>
      </c>
      <c r="AE1154" s="334">
        <v>22.308</v>
      </c>
      <c r="AF1154" s="336">
        <v>12150</v>
      </c>
      <c r="AG1154" s="334">
        <v>20.901</v>
      </c>
      <c r="AH1154" s="336">
        <v>12150</v>
      </c>
      <c r="AI1154" s="334">
        <v>21.352</v>
      </c>
      <c r="AJ1154" s="336">
        <v>12130</v>
      </c>
      <c r="AK1154" s="334">
        <v>22.326000000000001</v>
      </c>
      <c r="AL1154" s="336">
        <v>12150</v>
      </c>
      <c r="AM1154" s="334">
        <v>22.077999999999999</v>
      </c>
      <c r="AN1154" s="336">
        <v>12150</v>
      </c>
      <c r="AO1154" s="334">
        <v>22.579000000000001</v>
      </c>
      <c r="AP1154" s="336">
        <v>12140</v>
      </c>
      <c r="AQ1154" s="334">
        <v>22.800999999999998</v>
      </c>
      <c r="AR1154" s="336">
        <v>12150</v>
      </c>
      <c r="AS1154" s="334">
        <v>21.963999999999999</v>
      </c>
      <c r="AT1154" s="336">
        <v>12150</v>
      </c>
      <c r="AU1154" s="334">
        <v>21.385000000000002</v>
      </c>
      <c r="AV1154" s="336">
        <v>12150</v>
      </c>
      <c r="AW1154" s="334">
        <v>22.033000000000001</v>
      </c>
      <c r="AX1154" s="336">
        <v>12140</v>
      </c>
      <c r="AY1154" s="334">
        <v>13.509</v>
      </c>
      <c r="AZ1154" s="336">
        <v>12150</v>
      </c>
      <c r="BA1154" s="337">
        <v>14.7</v>
      </c>
      <c r="BB1154" s="336">
        <v>12130</v>
      </c>
      <c r="BC1154" s="334">
        <v>2.86</v>
      </c>
      <c r="BD1154" s="336">
        <v>12130</v>
      </c>
      <c r="BE1154" s="334">
        <v>3.1150000000000002</v>
      </c>
    </row>
    <row r="1155" spans="22:57">
      <c r="V1155" s="346">
        <v>12160</v>
      </c>
      <c r="W1155" s="334">
        <v>5.5030000000000001</v>
      </c>
      <c r="X1155" s="346">
        <v>12170</v>
      </c>
      <c r="Y1155" s="334">
        <v>5.2549999999999999</v>
      </c>
      <c r="Z1155" s="335">
        <v>12160</v>
      </c>
      <c r="AA1155" s="334">
        <v>18.637</v>
      </c>
      <c r="AB1155" s="336">
        <v>12160</v>
      </c>
      <c r="AC1155" s="334">
        <v>18.766999999999999</v>
      </c>
      <c r="AD1155" s="336">
        <v>12160</v>
      </c>
      <c r="AE1155" s="334">
        <v>21.119</v>
      </c>
      <c r="AF1155" s="336">
        <v>12160</v>
      </c>
      <c r="AG1155" s="334">
        <v>19.712</v>
      </c>
      <c r="AH1155" s="336">
        <v>12160</v>
      </c>
      <c r="AI1155" s="334">
        <v>20.140999999999998</v>
      </c>
      <c r="AJ1155" s="336">
        <v>12140</v>
      </c>
      <c r="AK1155" s="334">
        <v>21.114000000000001</v>
      </c>
      <c r="AL1155" s="336">
        <v>12160</v>
      </c>
      <c r="AM1155" s="334">
        <v>20.867000000000001</v>
      </c>
      <c r="AN1155" s="336">
        <v>12160</v>
      </c>
      <c r="AO1155" s="334">
        <v>21.367000000000001</v>
      </c>
      <c r="AP1155" s="336">
        <v>12150</v>
      </c>
      <c r="AQ1155" s="334">
        <v>21.59</v>
      </c>
      <c r="AR1155" s="336">
        <v>12160</v>
      </c>
      <c r="AS1155" s="334">
        <v>20.751999999999999</v>
      </c>
      <c r="AT1155" s="336">
        <v>12160</v>
      </c>
      <c r="AU1155" s="334">
        <v>20.204999999999998</v>
      </c>
      <c r="AV1155" s="336">
        <v>12160</v>
      </c>
      <c r="AW1155" s="334">
        <v>20.856000000000002</v>
      </c>
      <c r="AX1155" s="336">
        <v>12150</v>
      </c>
      <c r="AY1155" s="334">
        <v>12.723000000000001</v>
      </c>
      <c r="AZ1155" s="336">
        <v>12160</v>
      </c>
      <c r="BA1155" s="337">
        <v>13.912000000000001</v>
      </c>
      <c r="BB1155" s="336">
        <v>12140</v>
      </c>
      <c r="BC1155" s="334">
        <v>2.7010000000000001</v>
      </c>
      <c r="BD1155" s="336">
        <v>12140</v>
      </c>
      <c r="BE1155" s="334">
        <v>2.9420000000000002</v>
      </c>
    </row>
    <row r="1156" spans="22:57">
      <c r="V1156" s="346">
        <v>12170</v>
      </c>
      <c r="W1156" s="334">
        <v>5.1689999999999996</v>
      </c>
      <c r="X1156" s="346">
        <v>12180</v>
      </c>
      <c r="Y1156" s="334">
        <v>4.9249999999999998</v>
      </c>
      <c r="Z1156" s="335">
        <v>12170</v>
      </c>
      <c r="AA1156" s="334">
        <v>17.553999999999998</v>
      </c>
      <c r="AB1156" s="336">
        <v>12170</v>
      </c>
      <c r="AC1156" s="334">
        <v>17.683</v>
      </c>
      <c r="AD1156" s="336">
        <v>12170</v>
      </c>
      <c r="AE1156" s="334">
        <v>19.931000000000001</v>
      </c>
      <c r="AF1156" s="336">
        <v>12170</v>
      </c>
      <c r="AG1156" s="334">
        <v>18.523</v>
      </c>
      <c r="AH1156" s="336">
        <v>12170</v>
      </c>
      <c r="AI1156" s="334">
        <v>18.93</v>
      </c>
      <c r="AJ1156" s="336">
        <v>12150</v>
      </c>
      <c r="AK1156" s="334">
        <v>19.902999999999999</v>
      </c>
      <c r="AL1156" s="336">
        <v>12170</v>
      </c>
      <c r="AM1156" s="334">
        <v>19.655999999999999</v>
      </c>
      <c r="AN1156" s="336">
        <v>12170</v>
      </c>
      <c r="AO1156" s="334">
        <v>20.154</v>
      </c>
      <c r="AP1156" s="336">
        <v>12160</v>
      </c>
      <c r="AQ1156" s="334">
        <v>20.379000000000001</v>
      </c>
      <c r="AR1156" s="336">
        <v>12170</v>
      </c>
      <c r="AS1156" s="334">
        <v>19.541</v>
      </c>
      <c r="AT1156" s="336">
        <v>12170</v>
      </c>
      <c r="AU1156" s="334">
        <v>19.026</v>
      </c>
      <c r="AV1156" s="336">
        <v>12170</v>
      </c>
      <c r="AW1156" s="334">
        <v>19.678999999999998</v>
      </c>
      <c r="AX1156" s="336">
        <v>12160</v>
      </c>
      <c r="AY1156" s="334">
        <v>11.939</v>
      </c>
      <c r="AZ1156" s="336">
        <v>12170</v>
      </c>
      <c r="BA1156" s="337">
        <v>13.125999999999999</v>
      </c>
      <c r="BB1156" s="336">
        <v>12150</v>
      </c>
      <c r="BC1156" s="334">
        <v>2.5419999999999998</v>
      </c>
      <c r="BD1156" s="336">
        <v>12150</v>
      </c>
      <c r="BE1156" s="334">
        <v>2.7690000000000001</v>
      </c>
    </row>
    <row r="1157" spans="22:57">
      <c r="V1157" s="346">
        <v>12180</v>
      </c>
      <c r="W1157" s="334">
        <v>4.8369999999999997</v>
      </c>
      <c r="X1157" s="346">
        <v>12190</v>
      </c>
      <c r="Y1157" s="334">
        <v>4.5970000000000004</v>
      </c>
      <c r="Z1157" s="335">
        <v>12180</v>
      </c>
      <c r="AA1157" s="334">
        <v>16.472000000000001</v>
      </c>
      <c r="AB1157" s="336">
        <v>12180</v>
      </c>
      <c r="AC1157" s="334">
        <v>16.600000000000001</v>
      </c>
      <c r="AD1157" s="336">
        <v>12180</v>
      </c>
      <c r="AE1157" s="334">
        <v>18.742999999999999</v>
      </c>
      <c r="AF1157" s="336">
        <v>12180</v>
      </c>
      <c r="AG1157" s="334">
        <v>17.334</v>
      </c>
      <c r="AH1157" s="336">
        <v>12180</v>
      </c>
      <c r="AI1157" s="334">
        <v>17.718</v>
      </c>
      <c r="AJ1157" s="336">
        <v>12160</v>
      </c>
      <c r="AK1157" s="334">
        <v>18.690999999999999</v>
      </c>
      <c r="AL1157" s="336">
        <v>12180</v>
      </c>
      <c r="AM1157" s="334">
        <v>18.443999999999999</v>
      </c>
      <c r="AN1157" s="336">
        <v>12180</v>
      </c>
      <c r="AO1157" s="334">
        <v>18.942</v>
      </c>
      <c r="AP1157" s="336">
        <v>12170</v>
      </c>
      <c r="AQ1157" s="334">
        <v>19.167999999999999</v>
      </c>
      <c r="AR1157" s="336">
        <v>12180</v>
      </c>
      <c r="AS1157" s="334">
        <v>18.329000000000001</v>
      </c>
      <c r="AT1157" s="336">
        <v>12180</v>
      </c>
      <c r="AU1157" s="334">
        <v>17.847000000000001</v>
      </c>
      <c r="AV1157" s="336">
        <v>12180</v>
      </c>
      <c r="AW1157" s="334">
        <v>18.503</v>
      </c>
      <c r="AX1157" s="336">
        <v>12170</v>
      </c>
      <c r="AY1157" s="334">
        <v>11.156000000000001</v>
      </c>
      <c r="AZ1157" s="336">
        <v>12180</v>
      </c>
      <c r="BA1157" s="337">
        <v>12.34</v>
      </c>
      <c r="BB1157" s="336">
        <v>12160</v>
      </c>
      <c r="BC1157" s="334">
        <v>2.3839999999999999</v>
      </c>
      <c r="BD1157" s="336">
        <v>12160</v>
      </c>
      <c r="BE1157" s="334">
        <v>2.597</v>
      </c>
    </row>
    <row r="1158" spans="22:57">
      <c r="V1158" s="346">
        <v>12190</v>
      </c>
      <c r="W1158" s="334">
        <v>4.5049999999999999</v>
      </c>
      <c r="X1158" s="346">
        <v>12200</v>
      </c>
      <c r="Y1158" s="334">
        <v>4.2690000000000001</v>
      </c>
      <c r="Z1158" s="335">
        <v>12190</v>
      </c>
      <c r="AA1158" s="334">
        <v>15.391999999999999</v>
      </c>
      <c r="AB1158" s="336">
        <v>12190</v>
      </c>
      <c r="AC1158" s="334">
        <v>15.519</v>
      </c>
      <c r="AD1158" s="336">
        <v>12190</v>
      </c>
      <c r="AE1158" s="334">
        <v>17.555</v>
      </c>
      <c r="AF1158" s="336">
        <v>12190</v>
      </c>
      <c r="AG1158" s="334">
        <v>16.146000000000001</v>
      </c>
      <c r="AH1158" s="336">
        <v>12190</v>
      </c>
      <c r="AI1158" s="334">
        <v>16.507000000000001</v>
      </c>
      <c r="AJ1158" s="336">
        <v>12170</v>
      </c>
      <c r="AK1158" s="334">
        <v>17.478999999999999</v>
      </c>
      <c r="AL1158" s="336">
        <v>12190</v>
      </c>
      <c r="AM1158" s="334">
        <v>17.233000000000001</v>
      </c>
      <c r="AN1158" s="336">
        <v>12190</v>
      </c>
      <c r="AO1158" s="334">
        <v>17.73</v>
      </c>
      <c r="AP1158" s="336">
        <v>12180</v>
      </c>
      <c r="AQ1158" s="334">
        <v>17.957000000000001</v>
      </c>
      <c r="AR1158" s="336">
        <v>12190</v>
      </c>
      <c r="AS1158" s="334">
        <v>17.117000000000001</v>
      </c>
      <c r="AT1158" s="336">
        <v>12190</v>
      </c>
      <c r="AU1158" s="334">
        <v>16.670000000000002</v>
      </c>
      <c r="AV1158" s="336">
        <v>12190</v>
      </c>
      <c r="AW1158" s="334">
        <v>17.327999999999999</v>
      </c>
      <c r="AX1158" s="336">
        <v>12180</v>
      </c>
      <c r="AY1158" s="334">
        <v>10.375</v>
      </c>
      <c r="AZ1158" s="336">
        <v>12190</v>
      </c>
      <c r="BA1158" s="337">
        <v>11.555999999999999</v>
      </c>
      <c r="BB1158" s="336">
        <v>12170</v>
      </c>
      <c r="BC1158" s="334">
        <v>2.226</v>
      </c>
      <c r="BD1158" s="336">
        <v>12170</v>
      </c>
      <c r="BE1158" s="334">
        <v>2.4249999999999998</v>
      </c>
    </row>
    <row r="1159" spans="22:57">
      <c r="V1159" s="346">
        <v>12200</v>
      </c>
      <c r="W1159" s="334">
        <v>4.1749999999999998</v>
      </c>
      <c r="X1159" s="346">
        <v>12210</v>
      </c>
      <c r="Y1159" s="334">
        <v>3.9430000000000001</v>
      </c>
      <c r="Z1159" s="335">
        <v>12200</v>
      </c>
      <c r="AA1159" s="334">
        <v>14.314</v>
      </c>
      <c r="AB1159" s="336">
        <v>12200</v>
      </c>
      <c r="AC1159" s="334">
        <v>14.44</v>
      </c>
      <c r="AD1159" s="336">
        <v>12200</v>
      </c>
      <c r="AE1159" s="334">
        <v>16.367999999999999</v>
      </c>
      <c r="AF1159" s="336">
        <v>12200</v>
      </c>
      <c r="AG1159" s="334">
        <v>14.958</v>
      </c>
      <c r="AH1159" s="336">
        <v>12200</v>
      </c>
      <c r="AI1159" s="334">
        <v>15.295999999999999</v>
      </c>
      <c r="AJ1159" s="336">
        <v>12180</v>
      </c>
      <c r="AK1159" s="334">
        <v>16.268000000000001</v>
      </c>
      <c r="AL1159" s="336">
        <v>12200</v>
      </c>
      <c r="AM1159" s="334">
        <v>16.021999999999998</v>
      </c>
      <c r="AN1159" s="336">
        <v>12200</v>
      </c>
      <c r="AO1159" s="334">
        <v>16.518000000000001</v>
      </c>
      <c r="AP1159" s="336">
        <v>12190</v>
      </c>
      <c r="AQ1159" s="334">
        <v>16.745999999999999</v>
      </c>
      <c r="AR1159" s="336">
        <v>12200</v>
      </c>
      <c r="AS1159" s="334">
        <v>15.906000000000001</v>
      </c>
      <c r="AT1159" s="336">
        <v>12200</v>
      </c>
      <c r="AU1159" s="334">
        <v>15.493</v>
      </c>
      <c r="AV1159" s="336">
        <v>12200</v>
      </c>
      <c r="AW1159" s="334">
        <v>16.154</v>
      </c>
      <c r="AX1159" s="336">
        <v>12190</v>
      </c>
      <c r="AY1159" s="334">
        <v>9.5950000000000006</v>
      </c>
      <c r="AZ1159" s="336">
        <v>12200</v>
      </c>
      <c r="BA1159" s="337">
        <v>10.773</v>
      </c>
      <c r="BB1159" s="336">
        <v>12180</v>
      </c>
      <c r="BC1159" s="334">
        <v>2.069</v>
      </c>
      <c r="BD1159" s="336">
        <v>12180</v>
      </c>
      <c r="BE1159" s="334">
        <v>2.2530000000000001</v>
      </c>
    </row>
    <row r="1160" spans="22:57">
      <c r="V1160" s="346">
        <v>12210</v>
      </c>
      <c r="W1160" s="334">
        <v>3.847</v>
      </c>
      <c r="X1160" s="346">
        <v>12220</v>
      </c>
      <c r="Y1160" s="334">
        <v>3.6179999999999999</v>
      </c>
      <c r="Z1160" s="335">
        <v>12210</v>
      </c>
      <c r="AA1160" s="334">
        <v>13.238</v>
      </c>
      <c r="AB1160" s="336">
        <v>12210</v>
      </c>
      <c r="AC1160" s="334">
        <v>13.362</v>
      </c>
      <c r="AD1160" s="336">
        <v>12210</v>
      </c>
      <c r="AE1160" s="334">
        <v>15.180999999999999</v>
      </c>
      <c r="AF1160" s="336">
        <v>12210</v>
      </c>
      <c r="AG1160" s="334">
        <v>13.771000000000001</v>
      </c>
      <c r="AH1160" s="336">
        <v>12210</v>
      </c>
      <c r="AI1160" s="334">
        <v>14.084</v>
      </c>
      <c r="AJ1160" s="336">
        <v>12190</v>
      </c>
      <c r="AK1160" s="334">
        <v>15.055999999999999</v>
      </c>
      <c r="AL1160" s="336">
        <v>12210</v>
      </c>
      <c r="AM1160" s="334">
        <v>14.811</v>
      </c>
      <c r="AN1160" s="336">
        <v>12210</v>
      </c>
      <c r="AO1160" s="334">
        <v>15.305999999999999</v>
      </c>
      <c r="AP1160" s="336">
        <v>12200</v>
      </c>
      <c r="AQ1160" s="334">
        <v>15.535</v>
      </c>
      <c r="AR1160" s="336">
        <v>12210</v>
      </c>
      <c r="AS1160" s="334">
        <v>14.694000000000001</v>
      </c>
      <c r="AT1160" s="336">
        <v>12210</v>
      </c>
      <c r="AU1160" s="334">
        <v>14.317</v>
      </c>
      <c r="AV1160" s="336">
        <v>12210</v>
      </c>
      <c r="AW1160" s="334">
        <v>14.98</v>
      </c>
      <c r="AX1160" s="336">
        <v>12200</v>
      </c>
      <c r="AY1160" s="334">
        <v>8.8160000000000007</v>
      </c>
      <c r="AZ1160" s="336">
        <v>12210</v>
      </c>
      <c r="BA1160" s="337">
        <v>9.9920000000000009</v>
      </c>
      <c r="BB1160" s="336">
        <v>12190</v>
      </c>
      <c r="BC1160" s="334">
        <v>1.9119999999999999</v>
      </c>
      <c r="BD1160" s="336">
        <v>12190</v>
      </c>
      <c r="BE1160" s="334">
        <v>2.0819999999999999</v>
      </c>
    </row>
    <row r="1161" spans="22:57">
      <c r="V1161" s="346">
        <v>12220</v>
      </c>
      <c r="W1161" s="334">
        <v>3.5190000000000001</v>
      </c>
      <c r="X1161" s="346">
        <v>12230</v>
      </c>
      <c r="Y1161" s="334">
        <v>3.294</v>
      </c>
      <c r="Z1161" s="335">
        <v>12220</v>
      </c>
      <c r="AA1161" s="334">
        <v>12.163</v>
      </c>
      <c r="AB1161" s="336">
        <v>12220</v>
      </c>
      <c r="AC1161" s="334">
        <v>12.286</v>
      </c>
      <c r="AD1161" s="336">
        <v>12220</v>
      </c>
      <c r="AE1161" s="334">
        <v>13.994999999999999</v>
      </c>
      <c r="AF1161" s="336">
        <v>12220</v>
      </c>
      <c r="AG1161" s="334">
        <v>12.584</v>
      </c>
      <c r="AH1161" s="336">
        <v>12220</v>
      </c>
      <c r="AI1161" s="334">
        <v>12.872999999999999</v>
      </c>
      <c r="AJ1161" s="336">
        <v>12200</v>
      </c>
      <c r="AK1161" s="334">
        <v>13.845000000000001</v>
      </c>
      <c r="AL1161" s="336">
        <v>12220</v>
      </c>
      <c r="AM1161" s="334">
        <v>13.599</v>
      </c>
      <c r="AN1161" s="336">
        <v>12220</v>
      </c>
      <c r="AO1161" s="334">
        <v>14.093999999999999</v>
      </c>
      <c r="AP1161" s="336">
        <v>12210</v>
      </c>
      <c r="AQ1161" s="334">
        <v>14.324</v>
      </c>
      <c r="AR1161" s="336">
        <v>12220</v>
      </c>
      <c r="AS1161" s="334">
        <v>13.483000000000001</v>
      </c>
      <c r="AT1161" s="336">
        <v>12220</v>
      </c>
      <c r="AU1161" s="334">
        <v>13.141999999999999</v>
      </c>
      <c r="AV1161" s="336">
        <v>12220</v>
      </c>
      <c r="AW1161" s="334">
        <v>13.808</v>
      </c>
      <c r="AX1161" s="336">
        <v>12210</v>
      </c>
      <c r="AY1161" s="334">
        <v>8.0380000000000003</v>
      </c>
      <c r="AZ1161" s="336">
        <v>12220</v>
      </c>
      <c r="BA1161" s="337">
        <v>9.2119999999999997</v>
      </c>
      <c r="BB1161" s="336">
        <v>12200</v>
      </c>
      <c r="BC1161" s="334">
        <v>1.7549999999999999</v>
      </c>
      <c r="BD1161" s="336">
        <v>12200</v>
      </c>
      <c r="BE1161" s="334">
        <v>1.9119999999999999</v>
      </c>
    </row>
    <row r="1162" spans="22:57">
      <c r="V1162" s="346">
        <v>12230</v>
      </c>
      <c r="W1162" s="334">
        <v>3.1930000000000001</v>
      </c>
      <c r="X1162" s="346">
        <v>12240</v>
      </c>
      <c r="Y1162" s="334">
        <v>2.9710000000000001</v>
      </c>
      <c r="Z1162" s="335">
        <v>12230</v>
      </c>
      <c r="AA1162" s="334">
        <v>11.09</v>
      </c>
      <c r="AB1162" s="336">
        <v>12230</v>
      </c>
      <c r="AC1162" s="334">
        <v>11.212</v>
      </c>
      <c r="AD1162" s="336">
        <v>12230</v>
      </c>
      <c r="AE1162" s="334">
        <v>12.808999999999999</v>
      </c>
      <c r="AF1162" s="336">
        <v>12230</v>
      </c>
      <c r="AG1162" s="334">
        <v>11.398</v>
      </c>
      <c r="AH1162" s="336">
        <v>12230</v>
      </c>
      <c r="AI1162" s="334">
        <v>11.662000000000001</v>
      </c>
      <c r="AJ1162" s="336">
        <v>12210</v>
      </c>
      <c r="AK1162" s="334">
        <v>12.632999999999999</v>
      </c>
      <c r="AL1162" s="336">
        <v>12230</v>
      </c>
      <c r="AM1162" s="334">
        <v>12.388</v>
      </c>
      <c r="AN1162" s="336">
        <v>12230</v>
      </c>
      <c r="AO1162" s="334">
        <v>12.882</v>
      </c>
      <c r="AP1162" s="336">
        <v>12220</v>
      </c>
      <c r="AQ1162" s="334">
        <v>13.113</v>
      </c>
      <c r="AR1162" s="336">
        <v>12230</v>
      </c>
      <c r="AS1162" s="334">
        <v>12.271000000000001</v>
      </c>
      <c r="AT1162" s="336">
        <v>12230</v>
      </c>
      <c r="AU1162" s="334">
        <v>11.967000000000001</v>
      </c>
      <c r="AV1162" s="336">
        <v>12230</v>
      </c>
      <c r="AW1162" s="334">
        <v>12.635999999999999</v>
      </c>
      <c r="AX1162" s="336">
        <v>12220</v>
      </c>
      <c r="AY1162" s="334">
        <v>7.2619999999999996</v>
      </c>
      <c r="AZ1162" s="336">
        <v>12230</v>
      </c>
      <c r="BA1162" s="337">
        <v>8.4329999999999998</v>
      </c>
      <c r="BB1162" s="336">
        <v>12210</v>
      </c>
      <c r="BC1162" s="334">
        <v>1.599</v>
      </c>
      <c r="BD1162" s="336">
        <v>12210</v>
      </c>
      <c r="BE1162" s="334">
        <v>1.742</v>
      </c>
    </row>
    <row r="1163" spans="22:57">
      <c r="V1163" s="346">
        <v>12240</v>
      </c>
      <c r="W1163" s="334">
        <v>2.8679999999999999</v>
      </c>
      <c r="X1163" s="346">
        <v>12250</v>
      </c>
      <c r="Y1163" s="334">
        <v>2.65</v>
      </c>
      <c r="Z1163" s="335">
        <v>12240</v>
      </c>
      <c r="AA1163" s="334">
        <v>10.019</v>
      </c>
      <c r="AB1163" s="336">
        <v>12240</v>
      </c>
      <c r="AC1163" s="334">
        <v>10.138999999999999</v>
      </c>
      <c r="AD1163" s="336">
        <v>12240</v>
      </c>
      <c r="AE1163" s="334">
        <v>11.624000000000001</v>
      </c>
      <c r="AF1163" s="336">
        <v>12240</v>
      </c>
      <c r="AG1163" s="334">
        <v>10.212</v>
      </c>
      <c r="AH1163" s="336">
        <v>12240</v>
      </c>
      <c r="AI1163" s="334">
        <v>10.451000000000001</v>
      </c>
      <c r="AJ1163" s="336">
        <v>12220</v>
      </c>
      <c r="AK1163" s="334">
        <v>11.422000000000001</v>
      </c>
      <c r="AL1163" s="336">
        <v>12240</v>
      </c>
      <c r="AM1163" s="334">
        <v>11.177</v>
      </c>
      <c r="AN1163" s="336">
        <v>12240</v>
      </c>
      <c r="AO1163" s="334">
        <v>11.67</v>
      </c>
      <c r="AP1163" s="336">
        <v>12230</v>
      </c>
      <c r="AQ1163" s="334">
        <v>11.901999999999999</v>
      </c>
      <c r="AR1163" s="336">
        <v>12240</v>
      </c>
      <c r="AS1163" s="334">
        <v>11.06</v>
      </c>
      <c r="AT1163" s="336">
        <v>12240</v>
      </c>
      <c r="AU1163" s="334">
        <v>10.792999999999999</v>
      </c>
      <c r="AV1163" s="336">
        <v>12240</v>
      </c>
      <c r="AW1163" s="334">
        <v>11.465</v>
      </c>
      <c r="AX1163" s="336">
        <v>12230</v>
      </c>
      <c r="AY1163" s="334">
        <v>6.4880000000000004</v>
      </c>
      <c r="AZ1163" s="336">
        <v>12240</v>
      </c>
      <c r="BA1163" s="337">
        <v>7.6559999999999997</v>
      </c>
      <c r="BB1163" s="336">
        <v>12220</v>
      </c>
      <c r="BC1163" s="334">
        <v>1.444</v>
      </c>
      <c r="BD1163" s="336">
        <v>12220</v>
      </c>
      <c r="BE1163" s="334">
        <v>1.5720000000000001</v>
      </c>
    </row>
    <row r="1164" spans="22:57">
      <c r="V1164" s="346">
        <v>12250</v>
      </c>
      <c r="W1164" s="334">
        <v>2.5449999999999999</v>
      </c>
      <c r="X1164" s="346">
        <v>12260</v>
      </c>
      <c r="Y1164" s="334">
        <v>2.33</v>
      </c>
      <c r="Z1164" s="335">
        <v>12250</v>
      </c>
      <c r="AA1164" s="334">
        <v>8.9499999999999993</v>
      </c>
      <c r="AB1164" s="336">
        <v>12250</v>
      </c>
      <c r="AC1164" s="334">
        <v>9.0679999999999996</v>
      </c>
      <c r="AD1164" s="336">
        <v>12250</v>
      </c>
      <c r="AE1164" s="334">
        <v>10.439</v>
      </c>
      <c r="AF1164" s="336">
        <v>12250</v>
      </c>
      <c r="AG1164" s="334">
        <v>9.0259999999999998</v>
      </c>
      <c r="AH1164" s="336">
        <v>12250</v>
      </c>
      <c r="AI1164" s="334">
        <v>9.2390000000000008</v>
      </c>
      <c r="AJ1164" s="336">
        <v>12230</v>
      </c>
      <c r="AK1164" s="334">
        <v>10.210000000000001</v>
      </c>
      <c r="AL1164" s="336">
        <v>12250</v>
      </c>
      <c r="AM1164" s="334">
        <v>9.9659999999999993</v>
      </c>
      <c r="AN1164" s="336">
        <v>12250</v>
      </c>
      <c r="AO1164" s="334">
        <v>10.458</v>
      </c>
      <c r="AP1164" s="336">
        <v>12240</v>
      </c>
      <c r="AQ1164" s="334">
        <v>10.691000000000001</v>
      </c>
      <c r="AR1164" s="336">
        <v>12250</v>
      </c>
      <c r="AS1164" s="334">
        <v>9.8480000000000008</v>
      </c>
      <c r="AT1164" s="336">
        <v>12250</v>
      </c>
      <c r="AU1164" s="334">
        <v>9.6199999999999992</v>
      </c>
      <c r="AV1164" s="336">
        <v>12250</v>
      </c>
      <c r="AW1164" s="334">
        <v>10.295</v>
      </c>
      <c r="AX1164" s="336">
        <v>12240</v>
      </c>
      <c r="AY1164" s="334">
        <v>5.7140000000000004</v>
      </c>
      <c r="AZ1164" s="336">
        <v>12250</v>
      </c>
      <c r="BA1164" s="337">
        <v>6.88</v>
      </c>
      <c r="BB1164" s="336">
        <v>12230</v>
      </c>
      <c r="BC1164" s="334">
        <v>1.2889999999999999</v>
      </c>
      <c r="BD1164" s="336">
        <v>12230</v>
      </c>
      <c r="BE1164" s="334">
        <v>1.403</v>
      </c>
    </row>
    <row r="1165" spans="22:57">
      <c r="V1165" s="346">
        <v>12260</v>
      </c>
      <c r="W1165" s="334">
        <v>2.2229999999999999</v>
      </c>
      <c r="X1165" s="346">
        <v>12270</v>
      </c>
      <c r="Y1165" s="334">
        <v>2.012</v>
      </c>
      <c r="Z1165" s="335">
        <v>12260</v>
      </c>
      <c r="AA1165" s="334">
        <v>7.8819999999999997</v>
      </c>
      <c r="AB1165" s="336">
        <v>12260</v>
      </c>
      <c r="AC1165" s="334">
        <v>7.9989999999999997</v>
      </c>
      <c r="AD1165" s="336">
        <v>12260</v>
      </c>
      <c r="AE1165" s="334">
        <v>9.2550000000000008</v>
      </c>
      <c r="AF1165" s="336">
        <v>12260</v>
      </c>
      <c r="AG1165" s="334">
        <v>7.8410000000000002</v>
      </c>
      <c r="AH1165" s="336">
        <v>12260</v>
      </c>
      <c r="AI1165" s="334">
        <v>8.0280000000000005</v>
      </c>
      <c r="AJ1165" s="336">
        <v>12240</v>
      </c>
      <c r="AK1165" s="334">
        <v>8.9990000000000006</v>
      </c>
      <c r="AL1165" s="336">
        <v>12260</v>
      </c>
      <c r="AM1165" s="334">
        <v>8.7550000000000008</v>
      </c>
      <c r="AN1165" s="336">
        <v>12260</v>
      </c>
      <c r="AO1165" s="334">
        <v>9.2449999999999992</v>
      </c>
      <c r="AP1165" s="336">
        <v>12250</v>
      </c>
      <c r="AQ1165" s="334">
        <v>9.48</v>
      </c>
      <c r="AR1165" s="336">
        <v>12260</v>
      </c>
      <c r="AS1165" s="334">
        <v>8.6359999999999992</v>
      </c>
      <c r="AT1165" s="336">
        <v>12260</v>
      </c>
      <c r="AU1165" s="334">
        <v>8.4480000000000004</v>
      </c>
      <c r="AV1165" s="336">
        <v>12260</v>
      </c>
      <c r="AW1165" s="334">
        <v>9.125</v>
      </c>
      <c r="AX1165" s="336">
        <v>12250</v>
      </c>
      <c r="AY1165" s="334">
        <v>4.9420000000000002</v>
      </c>
      <c r="AZ1165" s="336">
        <v>12260</v>
      </c>
      <c r="BA1165" s="337">
        <v>6.1059999999999999</v>
      </c>
      <c r="BB1165" s="336">
        <v>12240</v>
      </c>
      <c r="BC1165" s="334">
        <v>1.1339999999999999</v>
      </c>
      <c r="BD1165" s="336">
        <v>12240</v>
      </c>
      <c r="BE1165" s="334">
        <v>1.234</v>
      </c>
    </row>
    <row r="1166" spans="22:57">
      <c r="V1166" s="346">
        <v>12270</v>
      </c>
      <c r="W1166" s="334">
        <v>1.9019999999999999</v>
      </c>
      <c r="X1166" s="346">
        <v>12280</v>
      </c>
      <c r="Y1166" s="334">
        <v>1.694</v>
      </c>
      <c r="Z1166" s="335">
        <v>12270</v>
      </c>
      <c r="AA1166" s="334">
        <v>6.8159999999999998</v>
      </c>
      <c r="AB1166" s="336">
        <v>12270</v>
      </c>
      <c r="AC1166" s="334">
        <v>6.931</v>
      </c>
      <c r="AD1166" s="336">
        <v>12270</v>
      </c>
      <c r="AE1166" s="334">
        <v>8.0709999999999997</v>
      </c>
      <c r="AF1166" s="336">
        <v>12270</v>
      </c>
      <c r="AG1166" s="334">
        <v>6.657</v>
      </c>
      <c r="AH1166" s="336">
        <v>12270</v>
      </c>
      <c r="AI1166" s="334">
        <v>6.8170000000000002</v>
      </c>
      <c r="AJ1166" s="336">
        <v>12250</v>
      </c>
      <c r="AK1166" s="334">
        <v>7.7869999999999999</v>
      </c>
      <c r="AL1166" s="336">
        <v>12270</v>
      </c>
      <c r="AM1166" s="334">
        <v>7.5430000000000001</v>
      </c>
      <c r="AN1166" s="336">
        <v>12270</v>
      </c>
      <c r="AO1166" s="334">
        <v>8.0329999999999995</v>
      </c>
      <c r="AP1166" s="336">
        <v>12260</v>
      </c>
      <c r="AQ1166" s="334">
        <v>8.2690000000000001</v>
      </c>
      <c r="AR1166" s="336">
        <v>12270</v>
      </c>
      <c r="AS1166" s="334">
        <v>7.4249999999999998</v>
      </c>
      <c r="AT1166" s="336">
        <v>12270</v>
      </c>
      <c r="AU1166" s="334">
        <v>7.2770000000000001</v>
      </c>
      <c r="AV1166" s="336">
        <v>12270</v>
      </c>
      <c r="AW1166" s="334">
        <v>7.9569999999999999</v>
      </c>
      <c r="AX1166" s="336">
        <v>12260</v>
      </c>
      <c r="AY1166" s="334">
        <v>4.1719999999999997</v>
      </c>
      <c r="AZ1166" s="336">
        <v>12270</v>
      </c>
      <c r="BA1166" s="337">
        <v>5.3319999999999999</v>
      </c>
      <c r="BB1166" s="336">
        <v>12250</v>
      </c>
      <c r="BC1166" s="334">
        <v>0.98</v>
      </c>
      <c r="BD1166" s="336">
        <v>12250</v>
      </c>
      <c r="BE1166" s="334">
        <v>1.0660000000000001</v>
      </c>
    </row>
    <row r="1167" spans="22:57">
      <c r="V1167" s="346">
        <v>12280</v>
      </c>
      <c r="W1167" s="334">
        <v>1.5820000000000001</v>
      </c>
      <c r="X1167" s="346">
        <v>12290</v>
      </c>
      <c r="Y1167" s="334">
        <v>1.3779999999999999</v>
      </c>
      <c r="Z1167" s="335">
        <v>12280</v>
      </c>
      <c r="AA1167" s="334">
        <v>5.7510000000000003</v>
      </c>
      <c r="AB1167" s="336">
        <v>12280</v>
      </c>
      <c r="AC1167" s="334">
        <v>5.8659999999999997</v>
      </c>
      <c r="AD1167" s="336">
        <v>12280</v>
      </c>
      <c r="AE1167" s="334">
        <v>6.8879999999999999</v>
      </c>
      <c r="AF1167" s="336">
        <v>12280</v>
      </c>
      <c r="AG1167" s="334">
        <v>5.4729999999999999</v>
      </c>
      <c r="AH1167" s="336">
        <v>12280</v>
      </c>
      <c r="AI1167" s="334">
        <v>5.6050000000000004</v>
      </c>
      <c r="AJ1167" s="336">
        <v>12260</v>
      </c>
      <c r="AK1167" s="334">
        <v>6.5759999999999996</v>
      </c>
      <c r="AL1167" s="336">
        <v>12280</v>
      </c>
      <c r="AM1167" s="334">
        <v>6.3319999999999999</v>
      </c>
      <c r="AN1167" s="336">
        <v>12280</v>
      </c>
      <c r="AO1167" s="334">
        <v>6.8209999999999997</v>
      </c>
      <c r="AP1167" s="336">
        <v>12270</v>
      </c>
      <c r="AQ1167" s="334">
        <v>7.0579999999999998</v>
      </c>
      <c r="AR1167" s="336">
        <v>12280</v>
      </c>
      <c r="AS1167" s="334">
        <v>6.2130000000000001</v>
      </c>
      <c r="AT1167" s="336">
        <v>12280</v>
      </c>
      <c r="AU1167" s="334">
        <v>6.1070000000000002</v>
      </c>
      <c r="AV1167" s="336">
        <v>12280</v>
      </c>
      <c r="AW1167" s="334">
        <v>6.7889999999999997</v>
      </c>
      <c r="AX1167" s="336">
        <v>12270</v>
      </c>
      <c r="AY1167" s="334">
        <v>3.4020000000000001</v>
      </c>
      <c r="AZ1167" s="336">
        <v>12280</v>
      </c>
      <c r="BA1167" s="337">
        <v>4.5609999999999999</v>
      </c>
      <c r="BB1167" s="336">
        <v>12260</v>
      </c>
      <c r="BC1167" s="334">
        <v>0.82599999999999996</v>
      </c>
      <c r="BD1167" s="336">
        <v>12260</v>
      </c>
      <c r="BE1167" s="334">
        <v>0.89900000000000002</v>
      </c>
    </row>
    <row r="1168" spans="22:57">
      <c r="V1168" s="346">
        <v>12290</v>
      </c>
      <c r="W1168" s="334">
        <v>1.2629999999999999</v>
      </c>
      <c r="X1168" s="346">
        <v>12300</v>
      </c>
      <c r="Y1168" s="334">
        <v>1.0629999999999999</v>
      </c>
      <c r="Z1168" s="335">
        <v>12290</v>
      </c>
      <c r="AA1168" s="334">
        <v>4.6890000000000001</v>
      </c>
      <c r="AB1168" s="336">
        <v>12290</v>
      </c>
      <c r="AC1168" s="334">
        <v>4.8010000000000002</v>
      </c>
      <c r="AD1168" s="336">
        <v>12290</v>
      </c>
      <c r="AE1168" s="334">
        <v>5.7050000000000001</v>
      </c>
      <c r="AF1168" s="336">
        <v>12290</v>
      </c>
      <c r="AG1168" s="334">
        <v>4.29</v>
      </c>
      <c r="AH1168" s="336">
        <v>12290</v>
      </c>
      <c r="AI1168" s="334">
        <v>4.3940000000000001</v>
      </c>
      <c r="AJ1168" s="336">
        <v>12270</v>
      </c>
      <c r="AK1168" s="334">
        <v>5.3639999999999999</v>
      </c>
      <c r="AL1168" s="336">
        <v>12290</v>
      </c>
      <c r="AM1168" s="334">
        <v>5.1210000000000004</v>
      </c>
      <c r="AN1168" s="336">
        <v>12290</v>
      </c>
      <c r="AO1168" s="334">
        <v>5.609</v>
      </c>
      <c r="AP1168" s="336">
        <v>12280</v>
      </c>
      <c r="AQ1168" s="334">
        <v>5.8470000000000004</v>
      </c>
      <c r="AR1168" s="336">
        <v>12290</v>
      </c>
      <c r="AS1168" s="334">
        <v>5.0019999999999998</v>
      </c>
      <c r="AT1168" s="336">
        <v>12290</v>
      </c>
      <c r="AU1168" s="334">
        <v>4.9370000000000003</v>
      </c>
      <c r="AV1168" s="336">
        <v>12290</v>
      </c>
      <c r="AW1168" s="334">
        <v>5.6219999999999999</v>
      </c>
      <c r="AX1168" s="336">
        <v>12280</v>
      </c>
      <c r="AY1168" s="334">
        <v>2.6339999999999999</v>
      </c>
      <c r="AZ1168" s="336">
        <v>12290</v>
      </c>
      <c r="BA1168" s="337">
        <v>3.79</v>
      </c>
      <c r="BB1168" s="336">
        <v>12270</v>
      </c>
      <c r="BC1168" s="334">
        <v>0.67300000000000004</v>
      </c>
      <c r="BD1168" s="336">
        <v>12270</v>
      </c>
      <c r="BE1168" s="334">
        <v>0.73099999999999998</v>
      </c>
    </row>
    <row r="1169" spans="22:57">
      <c r="V1169" s="346">
        <v>12300</v>
      </c>
      <c r="W1169" s="334">
        <v>0.94599999999999995</v>
      </c>
      <c r="X1169" s="346">
        <v>12310</v>
      </c>
      <c r="Y1169" s="334">
        <v>0.75</v>
      </c>
      <c r="Z1169" s="335">
        <v>12300</v>
      </c>
      <c r="AA1169" s="334">
        <v>3.6280000000000001</v>
      </c>
      <c r="AB1169" s="336">
        <v>12300</v>
      </c>
      <c r="AC1169" s="334">
        <v>3.7389999999999999</v>
      </c>
      <c r="AD1169" s="336">
        <v>12300</v>
      </c>
      <c r="AE1169" s="334">
        <v>4.5220000000000002</v>
      </c>
      <c r="AF1169" s="336">
        <v>12300</v>
      </c>
      <c r="AG1169" s="334">
        <v>3.1070000000000002</v>
      </c>
      <c r="AH1169" s="336">
        <v>12300</v>
      </c>
      <c r="AI1169" s="334">
        <v>3.1829999999999998</v>
      </c>
      <c r="AJ1169" s="336">
        <v>12280</v>
      </c>
      <c r="AK1169" s="334">
        <v>4.1529999999999996</v>
      </c>
      <c r="AL1169" s="336">
        <v>12300</v>
      </c>
      <c r="AM1169" s="334">
        <v>3.9089999999999998</v>
      </c>
      <c r="AN1169" s="336">
        <v>12300</v>
      </c>
      <c r="AO1169" s="334">
        <v>4.3970000000000002</v>
      </c>
      <c r="AP1169" s="336">
        <v>12290</v>
      </c>
      <c r="AQ1169" s="334">
        <v>4.6349999999999998</v>
      </c>
      <c r="AR1169" s="336">
        <v>12300</v>
      </c>
      <c r="AS1169" s="334">
        <v>3.79</v>
      </c>
      <c r="AT1169" s="336">
        <v>12300</v>
      </c>
      <c r="AU1169" s="334">
        <v>3.7679999999999998</v>
      </c>
      <c r="AV1169" s="336">
        <v>12300</v>
      </c>
      <c r="AW1169" s="334">
        <v>4.4560000000000004</v>
      </c>
      <c r="AX1169" s="336">
        <v>12290</v>
      </c>
      <c r="AY1169" s="334">
        <v>1.8680000000000001</v>
      </c>
      <c r="AZ1169" s="336">
        <v>12300</v>
      </c>
      <c r="BA1169" s="337">
        <v>3.0209999999999999</v>
      </c>
      <c r="BB1169" s="336">
        <v>12280</v>
      </c>
      <c r="BC1169" s="334">
        <v>0.52</v>
      </c>
      <c r="BD1169" s="336">
        <v>12280</v>
      </c>
      <c r="BE1169" s="334">
        <v>0.56399999999999995</v>
      </c>
    </row>
    <row r="1170" spans="22:57">
      <c r="V1170" s="346">
        <v>12310</v>
      </c>
      <c r="W1170" s="334">
        <v>0.63</v>
      </c>
      <c r="X1170" s="346">
        <v>12320</v>
      </c>
      <c r="Y1170" s="334">
        <v>0.438</v>
      </c>
      <c r="Z1170" s="335">
        <v>12310</v>
      </c>
      <c r="AA1170" s="334">
        <v>2.569</v>
      </c>
      <c r="AB1170" s="336">
        <v>12310</v>
      </c>
      <c r="AC1170" s="334">
        <v>2.6779999999999999</v>
      </c>
      <c r="AD1170" s="336">
        <v>12310</v>
      </c>
      <c r="AE1170" s="334">
        <v>3.34</v>
      </c>
      <c r="AF1170" s="336">
        <v>12310</v>
      </c>
      <c r="AG1170" s="334">
        <v>1.9239999999999999</v>
      </c>
      <c r="AH1170" s="336">
        <v>12310</v>
      </c>
      <c r="AI1170" s="334">
        <v>1.9710000000000001</v>
      </c>
      <c r="AJ1170" s="336">
        <v>12290</v>
      </c>
      <c r="AK1170" s="334">
        <v>2.9409999999999998</v>
      </c>
      <c r="AL1170" s="336">
        <v>12310</v>
      </c>
      <c r="AM1170" s="334">
        <v>2.698</v>
      </c>
      <c r="AN1170" s="336">
        <v>12310</v>
      </c>
      <c r="AO1170" s="334">
        <v>3.1850000000000001</v>
      </c>
      <c r="AP1170" s="336">
        <v>12300</v>
      </c>
      <c r="AQ1170" s="334">
        <v>3.4239999999999999</v>
      </c>
      <c r="AR1170" s="336">
        <v>12310</v>
      </c>
      <c r="AS1170" s="334">
        <v>2.5779999999999998</v>
      </c>
      <c r="AT1170" s="336">
        <v>12310</v>
      </c>
      <c r="AU1170" s="334">
        <v>2.6</v>
      </c>
      <c r="AV1170" s="336">
        <v>12310</v>
      </c>
      <c r="AW1170" s="334">
        <v>3.2909999999999999</v>
      </c>
      <c r="AX1170" s="336">
        <v>12300</v>
      </c>
      <c r="AY1170" s="334">
        <v>1.103</v>
      </c>
      <c r="AZ1170" s="336">
        <v>12310</v>
      </c>
      <c r="BA1170" s="337">
        <v>2.2530000000000001</v>
      </c>
      <c r="BB1170" s="336">
        <v>12290</v>
      </c>
      <c r="BC1170" s="334">
        <v>0.36699999999999999</v>
      </c>
      <c r="BD1170" s="336">
        <v>12290</v>
      </c>
      <c r="BE1170" s="334">
        <v>0.39800000000000002</v>
      </c>
    </row>
    <row r="1171" spans="22:57">
      <c r="V1171" s="346">
        <v>12319</v>
      </c>
      <c r="W1171" s="334">
        <v>0.34699999999999998</v>
      </c>
      <c r="X1171" s="346">
        <v>12324</v>
      </c>
      <c r="Y1171" s="334">
        <v>0.313</v>
      </c>
      <c r="Z1171" s="335">
        <v>12320</v>
      </c>
      <c r="AA1171" s="334">
        <v>1.5109999999999999</v>
      </c>
      <c r="AB1171" s="336">
        <v>12320</v>
      </c>
      <c r="AC1171" s="334">
        <v>1.619</v>
      </c>
      <c r="AD1171" s="336">
        <v>12320</v>
      </c>
      <c r="AE1171" s="334">
        <v>2.1589999999999998</v>
      </c>
      <c r="AF1171" s="336">
        <v>12315</v>
      </c>
      <c r="AG1171" s="334">
        <v>1.333</v>
      </c>
      <c r="AH1171" s="336">
        <v>12315</v>
      </c>
      <c r="AI1171" s="334">
        <v>1.3660000000000001</v>
      </c>
      <c r="AJ1171" s="336">
        <v>12300</v>
      </c>
      <c r="AK1171" s="334">
        <v>1.7290000000000001</v>
      </c>
      <c r="AL1171" s="336">
        <v>12320</v>
      </c>
      <c r="AM1171" s="334">
        <v>1.4870000000000001</v>
      </c>
      <c r="AN1171" s="336">
        <v>12320</v>
      </c>
      <c r="AO1171" s="334">
        <v>1.9730000000000001</v>
      </c>
      <c r="AP1171" s="336">
        <v>12310</v>
      </c>
      <c r="AQ1171" s="334">
        <v>2.2130000000000001</v>
      </c>
      <c r="AR1171" s="336">
        <v>12320</v>
      </c>
      <c r="AS1171" s="334">
        <v>1.367</v>
      </c>
      <c r="AT1171" s="336">
        <v>12320</v>
      </c>
      <c r="AU1171" s="334">
        <v>1.4330000000000001</v>
      </c>
      <c r="AV1171" s="336">
        <v>12320</v>
      </c>
      <c r="AW1171" s="334">
        <v>2.1269999999999998</v>
      </c>
      <c r="AX1171" s="336">
        <v>12304</v>
      </c>
      <c r="AY1171" s="334">
        <v>0.79700000000000004</v>
      </c>
      <c r="AZ1171" s="336">
        <v>12320</v>
      </c>
      <c r="BA1171" s="337">
        <v>1.486</v>
      </c>
      <c r="BB1171" s="336">
        <v>12300</v>
      </c>
      <c r="BC1171" s="334">
        <v>0.215</v>
      </c>
      <c r="BD1171" s="336">
        <v>12300</v>
      </c>
      <c r="BE1171" s="334">
        <v>0.23200000000000001</v>
      </c>
    </row>
    <row r="1172" spans="22:57">
      <c r="Y1172" s="373"/>
      <c r="Z1172" s="374">
        <v>12323</v>
      </c>
      <c r="AA1172" s="372">
        <v>1.194</v>
      </c>
      <c r="AB1172" s="336">
        <v>12325</v>
      </c>
      <c r="AC1172" s="334">
        <v>1.0900000000000001</v>
      </c>
      <c r="AD1172" s="336">
        <v>12328</v>
      </c>
      <c r="AE1172" s="334">
        <v>1.214</v>
      </c>
      <c r="AJ1172" s="336">
        <v>12303</v>
      </c>
      <c r="AK1172" s="334">
        <v>1.3660000000000001</v>
      </c>
      <c r="AL1172" s="336">
        <v>12322</v>
      </c>
      <c r="AM1172" s="334">
        <v>1.2450000000000001</v>
      </c>
      <c r="AN1172" s="336">
        <v>12326</v>
      </c>
      <c r="AO1172" s="334">
        <v>1.2450000000000001</v>
      </c>
      <c r="AP1172" s="336">
        <v>12318</v>
      </c>
      <c r="AQ1172" s="334">
        <v>1.244</v>
      </c>
      <c r="AR1172" s="336">
        <v>12321</v>
      </c>
      <c r="AS1172" s="334">
        <v>1.246</v>
      </c>
      <c r="AT1172" s="336">
        <v>12321</v>
      </c>
      <c r="AU1172" s="334">
        <v>1.3160000000000001</v>
      </c>
      <c r="AV1172" s="336">
        <v>12328</v>
      </c>
      <c r="AW1172" s="334">
        <v>1.196</v>
      </c>
      <c r="AZ1172" s="336">
        <v>12329</v>
      </c>
      <c r="BA1172" s="337">
        <v>0.79700000000000004</v>
      </c>
      <c r="BB1172" s="336">
        <v>12301</v>
      </c>
      <c r="BC1172" s="334">
        <v>0.20100000000000001</v>
      </c>
      <c r="BD1172" s="336">
        <v>12302</v>
      </c>
      <c r="BE1172" s="334">
        <v>0.19900000000000001</v>
      </c>
    </row>
  </sheetData>
  <mergeCells count="238">
    <mergeCell ref="D145:E145"/>
    <mergeCell ref="D146:E146"/>
    <mergeCell ref="D147:E147"/>
    <mergeCell ref="D139:E139"/>
    <mergeCell ref="D140:E140"/>
    <mergeCell ref="D141:E141"/>
    <mergeCell ref="D142:E142"/>
    <mergeCell ref="D143:E143"/>
    <mergeCell ref="D144:E144"/>
    <mergeCell ref="D133:E133"/>
    <mergeCell ref="D134:E134"/>
    <mergeCell ref="D135:E135"/>
    <mergeCell ref="D136:E136"/>
    <mergeCell ref="D137:E137"/>
    <mergeCell ref="D138:E138"/>
    <mergeCell ref="D127:E127"/>
    <mergeCell ref="D128:E128"/>
    <mergeCell ref="D129:E129"/>
    <mergeCell ref="D130:E130"/>
    <mergeCell ref="D131:E131"/>
    <mergeCell ref="D132:E132"/>
    <mergeCell ref="D121:E121"/>
    <mergeCell ref="D122:E122"/>
    <mergeCell ref="D123:E123"/>
    <mergeCell ref="D124:E124"/>
    <mergeCell ref="D125:E125"/>
    <mergeCell ref="D126:E126"/>
    <mergeCell ref="D115:E115"/>
    <mergeCell ref="D116:E116"/>
    <mergeCell ref="D117:E117"/>
    <mergeCell ref="D118:E118"/>
    <mergeCell ref="D119:E119"/>
    <mergeCell ref="D120:E120"/>
    <mergeCell ref="D109:E109"/>
    <mergeCell ref="D110:E110"/>
    <mergeCell ref="D111:E111"/>
    <mergeCell ref="D112:E112"/>
    <mergeCell ref="D113:E113"/>
    <mergeCell ref="D114:E114"/>
    <mergeCell ref="D103:E103"/>
    <mergeCell ref="D104:E104"/>
    <mergeCell ref="D105:E105"/>
    <mergeCell ref="D106:E106"/>
    <mergeCell ref="D107:E107"/>
    <mergeCell ref="D108:E108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D67:E67"/>
    <mergeCell ref="D68:E68"/>
    <mergeCell ref="D69:E69"/>
    <mergeCell ref="D70:E70"/>
    <mergeCell ref="D71:E71"/>
    <mergeCell ref="D72:E72"/>
    <mergeCell ref="D61:E61"/>
    <mergeCell ref="D62:E62"/>
    <mergeCell ref="D63:E63"/>
    <mergeCell ref="D64:E64"/>
    <mergeCell ref="D65:E65"/>
    <mergeCell ref="D66:E66"/>
    <mergeCell ref="D55:E55"/>
    <mergeCell ref="D56:E56"/>
    <mergeCell ref="D57:E57"/>
    <mergeCell ref="D58:E58"/>
    <mergeCell ref="D59:E59"/>
    <mergeCell ref="D60:E60"/>
    <mergeCell ref="D49:E49"/>
    <mergeCell ref="D50:E50"/>
    <mergeCell ref="D51:E51"/>
    <mergeCell ref="D52:E52"/>
    <mergeCell ref="D53:E53"/>
    <mergeCell ref="D54:E54"/>
    <mergeCell ref="A45:C45"/>
    <mergeCell ref="F45:G45"/>
    <mergeCell ref="J45:L45"/>
    <mergeCell ref="D46:E46"/>
    <mergeCell ref="D47:E47"/>
    <mergeCell ref="D48:E48"/>
    <mergeCell ref="A31:D31"/>
    <mergeCell ref="E31:G31"/>
    <mergeCell ref="H31:K31"/>
    <mergeCell ref="L31:O31"/>
    <mergeCell ref="A39:C39"/>
    <mergeCell ref="G39:H39"/>
    <mergeCell ref="J39:L39"/>
    <mergeCell ref="M39:O39"/>
    <mergeCell ref="A29:D29"/>
    <mergeCell ref="E29:G29"/>
    <mergeCell ref="H29:K29"/>
    <mergeCell ref="L29:O29"/>
    <mergeCell ref="A30:D30"/>
    <mergeCell ref="E30:G30"/>
    <mergeCell ref="H30:K30"/>
    <mergeCell ref="L30:O30"/>
    <mergeCell ref="D24:E24"/>
    <mergeCell ref="J24:K24"/>
    <mergeCell ref="A28:D28"/>
    <mergeCell ref="E28:G28"/>
    <mergeCell ref="H28:K28"/>
    <mergeCell ref="L28:O28"/>
    <mergeCell ref="BY23:BZ23"/>
    <mergeCell ref="CA23:CB23"/>
    <mergeCell ref="CC23:CD23"/>
    <mergeCell ref="CE23:CF23"/>
    <mergeCell ref="CG23:CH23"/>
    <mergeCell ref="CI23:CJ23"/>
    <mergeCell ref="D23:E23"/>
    <mergeCell ref="J23:K23"/>
    <mergeCell ref="BN23:BQ23"/>
    <mergeCell ref="BS23:BT23"/>
    <mergeCell ref="BU23:BV23"/>
    <mergeCell ref="BW23:BX23"/>
    <mergeCell ref="D21:E21"/>
    <mergeCell ref="J21:K21"/>
    <mergeCell ref="BN21:BQ21"/>
    <mergeCell ref="D22:E22"/>
    <mergeCell ref="J22:K22"/>
    <mergeCell ref="BN22:BQ22"/>
    <mergeCell ref="D19:E19"/>
    <mergeCell ref="J19:K19"/>
    <mergeCell ref="BN19:BQ19"/>
    <mergeCell ref="D20:E20"/>
    <mergeCell ref="J20:K20"/>
    <mergeCell ref="BN20:BQ20"/>
    <mergeCell ref="D17:E17"/>
    <mergeCell ref="J17:K17"/>
    <mergeCell ref="BN17:BQ17"/>
    <mergeCell ref="D18:E18"/>
    <mergeCell ref="J18:K18"/>
    <mergeCell ref="BN18:BQ18"/>
    <mergeCell ref="D15:E15"/>
    <mergeCell ref="J15:K15"/>
    <mergeCell ref="BN15:BQ15"/>
    <mergeCell ref="D16:E16"/>
    <mergeCell ref="J16:K16"/>
    <mergeCell ref="BN16:BQ16"/>
    <mergeCell ref="D13:E13"/>
    <mergeCell ref="J13:K13"/>
    <mergeCell ref="BN13:BQ13"/>
    <mergeCell ref="D14:E14"/>
    <mergeCell ref="J14:K14"/>
    <mergeCell ref="BN14:BQ14"/>
    <mergeCell ref="D11:E11"/>
    <mergeCell ref="J11:K11"/>
    <mergeCell ref="BN11:BQ11"/>
    <mergeCell ref="D12:E12"/>
    <mergeCell ref="J12:K12"/>
    <mergeCell ref="BN12:BQ12"/>
    <mergeCell ref="D9:E9"/>
    <mergeCell ref="J9:K9"/>
    <mergeCell ref="BN9:BQ9"/>
    <mergeCell ref="D10:E10"/>
    <mergeCell ref="J10:K10"/>
    <mergeCell ref="BN10:BQ10"/>
    <mergeCell ref="D7:E7"/>
    <mergeCell ref="J7:K7"/>
    <mergeCell ref="BN7:BQ7"/>
    <mergeCell ref="D8:E8"/>
    <mergeCell ref="J8:K8"/>
    <mergeCell ref="BN8:BQ8"/>
    <mergeCell ref="D6:E6"/>
    <mergeCell ref="J6:K6"/>
    <mergeCell ref="BN6:BQ6"/>
    <mergeCell ref="AR4:AS4"/>
    <mergeCell ref="AT4:AU4"/>
    <mergeCell ref="AV4:AW4"/>
    <mergeCell ref="AX4:AY4"/>
    <mergeCell ref="AZ4:BA4"/>
    <mergeCell ref="BB4:BC4"/>
    <mergeCell ref="AF4:AG4"/>
    <mergeCell ref="AH4:AI4"/>
    <mergeCell ref="AJ4:AK4"/>
    <mergeCell ref="AL4:AM4"/>
    <mergeCell ref="AN4:AO4"/>
    <mergeCell ref="AP4:AQ4"/>
    <mergeCell ref="BI3:BI4"/>
    <mergeCell ref="BJ3:BJ4"/>
    <mergeCell ref="BK3:BK4"/>
    <mergeCell ref="BL3:BL4"/>
    <mergeCell ref="CG2:CH2"/>
    <mergeCell ref="CI2:CJ2"/>
    <mergeCell ref="BW2:BX2"/>
    <mergeCell ref="BY2:BZ2"/>
    <mergeCell ref="CA2:CB2"/>
    <mergeCell ref="CC2:CD2"/>
    <mergeCell ref="BD4:BE4"/>
    <mergeCell ref="BN4:BQ4"/>
    <mergeCell ref="D5:E5"/>
    <mergeCell ref="J5:K5"/>
    <mergeCell ref="BN5:BQ5"/>
    <mergeCell ref="BS2:BT2"/>
    <mergeCell ref="BU2:BV2"/>
    <mergeCell ref="BN3:BQ3"/>
    <mergeCell ref="V4:W4"/>
    <mergeCell ref="X4:Y4"/>
    <mergeCell ref="Z4:AA4"/>
    <mergeCell ref="AB4:AC4"/>
    <mergeCell ref="AD4:AE4"/>
    <mergeCell ref="CE2:CF2"/>
    <mergeCell ref="B2:C2"/>
    <mergeCell ref="D2:E2"/>
    <mergeCell ref="H2:I2"/>
    <mergeCell ref="J2:K2"/>
    <mergeCell ref="BN2:BQ2"/>
    <mergeCell ref="D3:E3"/>
    <mergeCell ref="J3:K3"/>
    <mergeCell ref="P3:P4"/>
    <mergeCell ref="Q3:Q4"/>
    <mergeCell ref="BF3:BF4"/>
    <mergeCell ref="BG3:BG4"/>
    <mergeCell ref="BH3:BH4"/>
  </mergeCells>
  <conditionalFormatting sqref="BI5:BJ22 BL5:BL22 BG5:BG22">
    <cfRule type="containsBlanks" dxfId="1" priority="3">
      <formula>LEN(TRIM(BG5))=0</formula>
    </cfRule>
  </conditionalFormatting>
  <conditionalFormatting sqref="BI5:BJ22 BL5:BL22 BG5:BG22">
    <cfRule type="containsBlanks" dxfId="0" priority="2">
      <formula>LEN(TRIM(BG5))=0</formula>
    </cfRule>
  </conditionalFormatting>
  <pageMargins left="0.46" right="0.31" top="0.41" bottom="0.37" header="0.28999999999999998" footer="0.24"/>
  <pageSetup paperSize="9" scale="91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3:R24"/>
  <sheetViews>
    <sheetView zoomScaleNormal="100" workbookViewId="0">
      <selection activeCell="G13" sqref="G13"/>
    </sheetView>
  </sheetViews>
  <sheetFormatPr defaultRowHeight="13.5"/>
  <cols>
    <col min="2" max="2" width="21.25" customWidth="1"/>
    <col min="9" max="9" width="21" customWidth="1"/>
  </cols>
  <sheetData>
    <row r="3" spans="1:18" ht="13.9" thickBot="1"/>
    <row r="4" spans="1:18" ht="13.9" thickBot="1">
      <c r="Q4" s="677" t="s">
        <v>273</v>
      </c>
      <c r="R4" s="678"/>
    </row>
    <row r="5" spans="1:18" ht="19.149999999999999" thickBot="1">
      <c r="A5" s="523" t="s">
        <v>4</v>
      </c>
      <c r="B5" s="523" t="str">
        <f>CONCATENATE(Q5," ",R5)</f>
        <v>KB-95 IKMAL-1 TUPRAS MERSIN BENZIN</v>
      </c>
      <c r="C5" s="529">
        <f>MASTER!$U$3</f>
        <v>571.25824731611999</v>
      </c>
      <c r="D5" s="529">
        <f>MASTER!$K$3</f>
        <v>778.362624676</v>
      </c>
      <c r="E5" s="523">
        <f>MASTER!$N$3</f>
        <v>0.73770000000000002</v>
      </c>
      <c r="F5" s="530">
        <f>MASTER!$I$3</f>
        <v>97.515064202943933</v>
      </c>
      <c r="G5" s="523">
        <f>MASTER!$F$3</f>
        <v>1050</v>
      </c>
      <c r="H5" s="526" t="s">
        <v>5</v>
      </c>
      <c r="I5" s="523" t="str">
        <f>CONCATENATE(Q16," ",R16)</f>
        <v>KB-95 DAP-1 OPET MERSIN BENZIN</v>
      </c>
      <c r="J5" s="529">
        <f>MASTER!$U$4</f>
        <v>567.40393802196002</v>
      </c>
      <c r="K5" s="529">
        <f>MASTER!$L$4</f>
        <v>773.16200000000003</v>
      </c>
      <c r="L5" s="523">
        <f>MASTER!$N$4</f>
        <v>0.73770000000000002</v>
      </c>
      <c r="M5" s="530">
        <f>MASTER!$I$4</f>
        <v>97.570215644308036</v>
      </c>
      <c r="N5" s="523">
        <f>MASTER!$F$4</f>
        <v>1050</v>
      </c>
      <c r="Q5" s="526" t="str">
        <f>MASTER!$C$3</f>
        <v>KB-95</v>
      </c>
      <c r="R5" s="523" t="str">
        <f>MASTER!$D$3</f>
        <v>IKMAL-1 TUPRAS MERSIN BENZIN</v>
      </c>
    </row>
    <row r="6" spans="1:18" ht="28.5" thickBot="1">
      <c r="A6" s="524" t="s">
        <v>6</v>
      </c>
      <c r="B6" s="524" t="str">
        <f>CONCATENATE(Q6," ",R6)</f>
        <v>MOTORIN DAP-7 OPET ANTALYA MOTORIN</v>
      </c>
      <c r="C6" s="529">
        <f>MASTER!$U$5</f>
        <v>1322.1507031343999</v>
      </c>
      <c r="D6" s="529">
        <f>MASTER!$K$5</f>
        <v>1594.1187812159999</v>
      </c>
      <c r="E6" s="523">
        <f>MASTER!$N$5</f>
        <v>0.83260000000000001</v>
      </c>
      <c r="F6" s="530">
        <f>MASTER!$I$5</f>
        <v>97.462837579666513</v>
      </c>
      <c r="G6" s="523">
        <f>MASTER!$F$5</f>
        <v>1130</v>
      </c>
      <c r="H6" s="527" t="s">
        <v>7</v>
      </c>
      <c r="I6" s="523" t="str">
        <f t="shared" ref="I6:I13" si="0">CONCATENATE(Q17," ",R17)</f>
        <v>KB-95 DAP-6 POAS ANTALYA BENZIN</v>
      </c>
      <c r="J6" s="529">
        <f>MASTER!$U$6</f>
        <v>1168.4046543163199</v>
      </c>
      <c r="K6" s="529">
        <f>MASTER!$L$6</f>
        <v>1592.104</v>
      </c>
      <c r="L6" s="523">
        <f>MASTER!$N$6</f>
        <v>0.73770000000000002</v>
      </c>
      <c r="M6" s="530">
        <f>MASTER!$I$6</f>
        <v>97.36936416821294</v>
      </c>
      <c r="N6" s="523">
        <f>MASTER!$F$6</f>
        <v>1130</v>
      </c>
      <c r="Q6" s="526" t="str">
        <f>MASTER!$C$5</f>
        <v>MOTORIN</v>
      </c>
      <c r="R6" s="523" t="str">
        <f>MASTER!$D$5</f>
        <v>DAP-7 OPET ANTALYA MOTORIN</v>
      </c>
    </row>
    <row r="7" spans="1:18" ht="19.149999999999999" thickBot="1">
      <c r="A7" s="524" t="s">
        <v>8</v>
      </c>
      <c r="B7" s="524" t="str">
        <f t="shared" ref="B7:B13" si="1">CONCATENATE(Q7," ",R7)</f>
        <v>KB-95 DAP-2 SHELL MERSIN BENZIN</v>
      </c>
      <c r="C7" s="529">
        <f>MASTER!$U$7</f>
        <v>988.56281749068</v>
      </c>
      <c r="D7" s="529">
        <f>MASTER!$K$7</f>
        <v>1346.9570949640001</v>
      </c>
      <c r="E7" s="523">
        <f>MASTER!$N$7</f>
        <v>0.73770000000000002</v>
      </c>
      <c r="F7" s="530">
        <f>MASTER!$I$7</f>
        <v>97.505267782884104</v>
      </c>
      <c r="G7" s="523">
        <f>MASTER!$F$7</f>
        <v>1130</v>
      </c>
      <c r="H7" s="527" t="s">
        <v>9</v>
      </c>
      <c r="I7" s="523" t="str">
        <f t="shared" si="0"/>
        <v>KB-95 DAP-2 SHELL MERSIN BENZIN</v>
      </c>
      <c r="J7" s="529">
        <f>MASTER!$U$8</f>
        <v>988.32871149966002</v>
      </c>
      <c r="K7" s="529">
        <f>MASTER!$L$8</f>
        <v>1346.7270000000001</v>
      </c>
      <c r="L7" s="523">
        <f>MASTER!$N$8</f>
        <v>0.73770000000000002</v>
      </c>
      <c r="M7" s="530">
        <f>MASTER!$I$8</f>
        <v>97.420122092808768</v>
      </c>
      <c r="N7" s="523">
        <f>MASTER!$F$8</f>
        <v>1130</v>
      </c>
      <c r="Q7" s="526" t="str">
        <f>MASTER!$C$7</f>
        <v>KB-95</v>
      </c>
      <c r="R7" s="523" t="str">
        <f>MASTER!$D$7</f>
        <v>DAP-2 SHELL MERSIN BENZIN</v>
      </c>
    </row>
    <row r="8" spans="1:18" ht="19.149999999999999" thickBot="1">
      <c r="A8" s="524" t="s">
        <v>10</v>
      </c>
      <c r="B8" s="524" t="str">
        <f t="shared" si="1"/>
        <v>KB-95 DAP-4 OPET ANTALYA BENZIN</v>
      </c>
      <c r="C8" s="529">
        <f>MASTER!$U$9</f>
        <v>988.34925998790015</v>
      </c>
      <c r="D8" s="529">
        <f>MASTER!$K$9</f>
        <v>1346.6661141700001</v>
      </c>
      <c r="E8" s="523">
        <f>MASTER!$N$9</f>
        <v>0.73770000000000002</v>
      </c>
      <c r="F8" s="530">
        <f>MASTER!$I$9</f>
        <v>97.449146459354793</v>
      </c>
      <c r="G8" s="523">
        <f>MASTER!$F$9</f>
        <v>1130</v>
      </c>
      <c r="H8" s="527" t="s">
        <v>11</v>
      </c>
      <c r="I8" s="523" t="str">
        <f t="shared" si="0"/>
        <v>MOTORIN DAP-7 OPET ANTALYA MOTORIN</v>
      </c>
      <c r="J8" s="529">
        <f>MASTER!$U$10</f>
        <v>1115.8710961976001</v>
      </c>
      <c r="K8" s="529">
        <f>MASTER!$L$10</f>
        <v>1345.4960000000001</v>
      </c>
      <c r="L8" s="523">
        <f>MASTER!$N$10</f>
        <v>0.83260000000000001</v>
      </c>
      <c r="M8" s="530">
        <f>MASTER!$I$10</f>
        <v>97.336706428582289</v>
      </c>
      <c r="N8" s="523">
        <f>MASTER!$F$10</f>
        <v>1130</v>
      </c>
      <c r="Q8" s="526" t="str">
        <f>MASTER!$C$9</f>
        <v>KB-95</v>
      </c>
      <c r="R8" s="523" t="str">
        <f>MASTER!$D$9</f>
        <v>DAP-4 OPET ANTALYA BENZIN</v>
      </c>
    </row>
    <row r="9" spans="1:18" ht="19.149999999999999" thickBot="1">
      <c r="A9" s="524" t="s">
        <v>12</v>
      </c>
      <c r="B9" s="524" t="str">
        <f t="shared" si="1"/>
        <v>KB-95 DAP-1 OPET MERSIN BENZIN</v>
      </c>
      <c r="C9" s="529">
        <f>MASTER!$U$11</f>
        <v>988.79985898001996</v>
      </c>
      <c r="D9" s="529">
        <f>MASTER!$K$11</f>
        <v>1347.2800736459999</v>
      </c>
      <c r="E9" s="523">
        <f>MASTER!$N$11</f>
        <v>0.73770000000000002</v>
      </c>
      <c r="F9" s="530">
        <f>MASTER!$I$11</f>
        <v>97.48546258183967</v>
      </c>
      <c r="G9" s="523">
        <f>MASTER!$F$11</f>
        <v>1130</v>
      </c>
      <c r="H9" s="527" t="s">
        <v>13</v>
      </c>
      <c r="I9" s="523" t="str">
        <f t="shared" si="0"/>
        <v>KB-95 DAP-1 OPET MERSIN BENZIN</v>
      </c>
      <c r="J9" s="529">
        <f>MASTER!$U$12</f>
        <v>989.00901323532003</v>
      </c>
      <c r="K9" s="529">
        <f>MASTER!$L$12</f>
        <v>1347.654</v>
      </c>
      <c r="L9" s="523">
        <f>MASTER!$N$12</f>
        <v>0.73770000000000002</v>
      </c>
      <c r="M9" s="530">
        <f>MASTER!$I$12</f>
        <v>97.512785558613857</v>
      </c>
      <c r="N9" s="523">
        <f>MASTER!$F$12</f>
        <v>1130</v>
      </c>
      <c r="Q9" s="526" t="str">
        <f>MASTER!$C$11</f>
        <v>KB-95</v>
      </c>
      <c r="R9" s="523" t="str">
        <f>MASTER!$D$11</f>
        <v>DAP-1 OPET MERSIN BENZIN</v>
      </c>
    </row>
    <row r="10" spans="1:18" ht="19.149999999999999" thickBot="1">
      <c r="A10" s="524" t="s">
        <v>14</v>
      </c>
      <c r="B10" s="524" t="str">
        <f t="shared" si="1"/>
        <v>KB-95 IKMAL-1 TUPRAS MERSIN BENZIN</v>
      </c>
      <c r="C10" s="529">
        <f>MASTER!$U$13</f>
        <v>986.59163036879988</v>
      </c>
      <c r="D10" s="529">
        <f>MASTER!$K$13</f>
        <v>1344.2712722399999</v>
      </c>
      <c r="E10" s="523">
        <f>MASTER!$N$13</f>
        <v>0.73770000000000002</v>
      </c>
      <c r="F10" s="530">
        <f>MASTER!$I$13</f>
        <v>97.430028967525502</v>
      </c>
      <c r="G10" s="523">
        <f>MASTER!$F$13</f>
        <v>1130</v>
      </c>
      <c r="H10" s="527" t="s">
        <v>15</v>
      </c>
      <c r="I10" s="523" t="str">
        <f t="shared" si="0"/>
        <v>KB-95 IKMAL-1 TUPRAS MERSIN BENZIN</v>
      </c>
      <c r="J10" s="529">
        <f>MASTER!$U$14</f>
        <v>987.52952208203999</v>
      </c>
      <c r="K10" s="529">
        <f>MASTER!$L$14</f>
        <v>1345.6379999999999</v>
      </c>
      <c r="L10" s="523">
        <f>MASTER!$N$14</f>
        <v>0.73770000000000002</v>
      </c>
      <c r="M10" s="530">
        <f>MASTER!$I$14</f>
        <v>97.47510673715351</v>
      </c>
      <c r="N10" s="523">
        <f>MASTER!$F$14</f>
        <v>1130</v>
      </c>
      <c r="Q10" s="526" t="str">
        <f>MASTER!$C$13</f>
        <v>KB-95</v>
      </c>
      <c r="R10" s="523" t="str">
        <f>MASTER!$D$13</f>
        <v>IKMAL-1 TUPRAS MERSIN BENZIN</v>
      </c>
    </row>
    <row r="11" spans="1:18" ht="19.149999999999999" thickBot="1">
      <c r="A11" s="524" t="s">
        <v>16</v>
      </c>
      <c r="B11" s="524" t="str">
        <f t="shared" si="1"/>
        <v>KB-95 DAP-2 SHELL MERSIN BENZIN</v>
      </c>
      <c r="C11" s="529">
        <f>MASTER!$U$15</f>
        <v>986.65400970809992</v>
      </c>
      <c r="D11" s="529">
        <f>MASTER!$K$15</f>
        <v>1344.3562666299999</v>
      </c>
      <c r="E11" s="523">
        <f>MASTER!$N$15</f>
        <v>0.73770000000000002</v>
      </c>
      <c r="F11" s="530">
        <f>MASTER!$I$15</f>
        <v>97.522628061262239</v>
      </c>
      <c r="G11" s="523">
        <f>MASTER!$F$15</f>
        <v>1130</v>
      </c>
      <c r="H11" s="527" t="s">
        <v>17</v>
      </c>
      <c r="I11" s="523" t="str">
        <f t="shared" si="0"/>
        <v>KB-95 DAP-2 SHELL MERSIN BENZIN</v>
      </c>
      <c r="J11" s="529">
        <f>MASTER!$U$16</f>
        <v>985.97077247411994</v>
      </c>
      <c r="K11" s="529">
        <f>MASTER!$L$16</f>
        <v>1343.5139999999999</v>
      </c>
      <c r="L11" s="523">
        <f>MASTER!$N$16</f>
        <v>0.73770000000000002</v>
      </c>
      <c r="M11" s="530">
        <f>MASTER!$I$16</f>
        <v>97.535679827856939</v>
      </c>
      <c r="N11" s="523">
        <f>MASTER!$F$16</f>
        <v>1130</v>
      </c>
      <c r="Q11" s="526" t="str">
        <f>MASTER!$C$15</f>
        <v>KB-95</v>
      </c>
      <c r="R11" s="523" t="str">
        <f>MASTER!$D$15</f>
        <v>DAP-2 SHELL MERSIN BENZIN</v>
      </c>
    </row>
    <row r="12" spans="1:18" ht="19.149999999999999" thickBot="1">
      <c r="A12" s="524" t="s">
        <v>18</v>
      </c>
      <c r="B12" s="524" t="str">
        <f t="shared" si="1"/>
        <v>KB-95 DAP-5 SHELL ANTALYA BENZIN</v>
      </c>
      <c r="C12" s="529">
        <f>MASTER!$U$17</f>
        <v>929.79927824634001</v>
      </c>
      <c r="D12" s="529">
        <f>MASTER!$K$17</f>
        <v>1266.8893797819999</v>
      </c>
      <c r="E12" s="523">
        <f>MASTER!$N$17</f>
        <v>0.73770000000000002</v>
      </c>
      <c r="F12" s="530">
        <f>MASTER!$I$17</f>
        <v>97.2674705158894</v>
      </c>
      <c r="G12" s="523">
        <f>MASTER!$F$17</f>
        <v>1130</v>
      </c>
      <c r="H12" s="527" t="s">
        <v>19</v>
      </c>
      <c r="I12" s="523" t="str">
        <f t="shared" si="0"/>
        <v>KB-95 DAP-3 POAS MERSIN BENZIN</v>
      </c>
      <c r="J12" s="529">
        <f>MASTER!$U$18</f>
        <v>931.23914017229993</v>
      </c>
      <c r="K12" s="529">
        <f>MASTER!$L$18</f>
        <v>1268.9349999999999</v>
      </c>
      <c r="L12" s="523">
        <f>MASTER!$N$18</f>
        <v>0.73770000000000002</v>
      </c>
      <c r="M12" s="530">
        <f>MASTER!$I$18</f>
        <v>97.421835892994778</v>
      </c>
      <c r="N12" s="523">
        <f>MASTER!$F$18</f>
        <v>1130</v>
      </c>
      <c r="Q12" s="526" t="str">
        <f>MASTER!$C$17</f>
        <v>KB-95</v>
      </c>
      <c r="R12" s="523" t="str">
        <f>MASTER!$D$17</f>
        <v>DAP-5 SHELL ANTALYA BENZIN</v>
      </c>
    </row>
    <row r="13" spans="1:18" ht="28.5" thickBot="1">
      <c r="A13" s="525" t="s">
        <v>272</v>
      </c>
      <c r="B13" s="524" t="str">
        <f t="shared" si="1"/>
        <v>SLOP ANNEX I WASHING WATER</v>
      </c>
      <c r="C13" s="529">
        <f>MASTER!$U$19</f>
        <v>0</v>
      </c>
      <c r="D13" s="529">
        <f>MASTER!$K$19</f>
        <v>0</v>
      </c>
      <c r="E13" s="523">
        <f>MASTER!$N$19</f>
        <v>1</v>
      </c>
      <c r="F13" s="530">
        <f>MASTER!$I$19</f>
        <v>0</v>
      </c>
      <c r="G13" s="523">
        <f>MASTER!$F$19</f>
        <v>0</v>
      </c>
      <c r="H13" s="528" t="s">
        <v>274</v>
      </c>
      <c r="I13" s="523" t="str">
        <f t="shared" si="0"/>
        <v>KB-95 DAP-5 SHELL ANTALYA BENZIN</v>
      </c>
      <c r="J13" s="529">
        <f>MASTER!$U$20</f>
        <v>264.87515053566</v>
      </c>
      <c r="K13" s="529">
        <f>MASTER!$L$20</f>
        <v>360.92700000000002</v>
      </c>
      <c r="L13" s="523">
        <f>MASTER!$N$20</f>
        <v>0.73770000000000002</v>
      </c>
      <c r="M13" s="530">
        <f>MASTER!$I$20</f>
        <v>90.550487716763016</v>
      </c>
      <c r="N13" s="523">
        <f>MASTER!$F$20</f>
        <v>1780</v>
      </c>
      <c r="Q13" s="526" t="str">
        <f>MASTER!$C$19</f>
        <v>SLOP</v>
      </c>
      <c r="R13" s="523" t="str">
        <f>MASTER!$D$19</f>
        <v>ANNEX I WASHING WATER</v>
      </c>
    </row>
    <row r="14" spans="1:18" ht="14.25" thickTop="1" thickBot="1"/>
    <row r="15" spans="1:18" ht="13.9" thickBot="1">
      <c r="Q15" s="677" t="s">
        <v>275</v>
      </c>
      <c r="R15" s="678"/>
    </row>
    <row r="16" spans="1:18" ht="19.149999999999999" thickBot="1">
      <c r="Q16" s="526" t="str">
        <f>MASTER!$C$4</f>
        <v>KB-95</v>
      </c>
      <c r="R16" s="523" t="str">
        <f>MASTER!$D$4</f>
        <v>DAP-1 OPET MERSIN BENZIN</v>
      </c>
    </row>
    <row r="17" spans="14:18" ht="19.149999999999999" thickBot="1">
      <c r="Q17" s="526" t="str">
        <f>MASTER!$C$6</f>
        <v>KB-95</v>
      </c>
      <c r="R17" s="523" t="str">
        <f>MASTER!$D$6</f>
        <v>DAP-6 POAS ANTALYA BENZIN</v>
      </c>
    </row>
    <row r="18" spans="14:18" ht="19.149999999999999" thickBot="1">
      <c r="Q18" s="526" t="str">
        <f>MASTER!$C$8</f>
        <v>KB-95</v>
      </c>
      <c r="R18" s="523" t="str">
        <f>MASTER!$D$8</f>
        <v>DAP-2 SHELL MERSIN BENZIN</v>
      </c>
    </row>
    <row r="19" spans="14:18" ht="28.5" thickBot="1">
      <c r="Q19" s="526" t="str">
        <f>MASTER!$C$10</f>
        <v>MOTORIN</v>
      </c>
      <c r="R19" s="523" t="str">
        <f>MASTER!$D$10</f>
        <v>DAP-7 OPET ANTALYA MOTORIN</v>
      </c>
    </row>
    <row r="20" spans="14:18" ht="19.149999999999999" thickBot="1">
      <c r="Q20" s="526" t="str">
        <f>MASTER!$C$12</f>
        <v>KB-95</v>
      </c>
      <c r="R20" s="523" t="str">
        <f>MASTER!$D$12</f>
        <v>DAP-1 OPET MERSIN BENZIN</v>
      </c>
    </row>
    <row r="21" spans="14:18" ht="19.149999999999999" thickBot="1">
      <c r="Q21" s="526" t="str">
        <f>MASTER!$C$14</f>
        <v>KB-95</v>
      </c>
      <c r="R21" s="523" t="str">
        <f>MASTER!$D$14</f>
        <v>IKMAL-1 TUPRAS MERSIN BENZIN</v>
      </c>
    </row>
    <row r="22" spans="14:18" ht="19.149999999999999" thickBot="1">
      <c r="Q22" s="526" t="str">
        <f>MASTER!$C$16</f>
        <v>KB-95</v>
      </c>
      <c r="R22" s="523" t="str">
        <f>MASTER!$D$16</f>
        <v>DAP-2 SHELL MERSIN BENZIN</v>
      </c>
    </row>
    <row r="23" spans="14:18" ht="19.149999999999999" thickBot="1">
      <c r="N23" t="s">
        <v>233</v>
      </c>
      <c r="Q23" s="526" t="str">
        <f>MASTER!$C$18</f>
        <v>KB-95</v>
      </c>
      <c r="R23" s="523" t="str">
        <f>MASTER!$D$18</f>
        <v>DAP-3 POAS MERSIN BENZIN</v>
      </c>
    </row>
    <row r="24" spans="14:18" ht="19.149999999999999" thickBot="1">
      <c r="Q24" s="526" t="str">
        <f>MASTER!$C$20</f>
        <v>KB-95</v>
      </c>
      <c r="R24" s="523" t="str">
        <f>MASTER!$D$20</f>
        <v>DAP-5 SHELL ANTALYA BENZIN</v>
      </c>
    </row>
  </sheetData>
  <mergeCells count="2">
    <mergeCell ref="Q4:R4"/>
    <mergeCell ref="Q15:R1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A35"/>
  <sheetViews>
    <sheetView tabSelected="1" zoomScale="70" zoomScaleNormal="70" workbookViewId="0">
      <selection activeCell="K3" sqref="K3"/>
    </sheetView>
  </sheetViews>
  <sheetFormatPr defaultColWidth="8.75" defaultRowHeight="13.5"/>
  <cols>
    <col min="1" max="1" width="0.25" style="96" customWidth="1"/>
    <col min="2" max="2" width="9" customWidth="1"/>
    <col min="3" max="3" width="15.625" customWidth="1"/>
    <col min="4" max="4" width="28.875" customWidth="1"/>
    <col min="5" max="5" width="5.875" customWidth="1"/>
    <col min="6" max="6" width="11.25" customWidth="1"/>
    <col min="7" max="8" width="9.375" customWidth="1"/>
    <col min="9" max="9" width="5" style="12" customWidth="1"/>
    <col min="10" max="10" width="10.125" customWidth="1"/>
    <col min="11" max="11" width="11.5" customWidth="1"/>
    <col min="12" max="12" width="8.75" customWidth="1"/>
    <col min="13" max="13" width="5.875" hidden="1" customWidth="1"/>
    <col min="14" max="14" width="7.875" customWidth="1"/>
    <col min="15" max="15" width="9" customWidth="1"/>
    <col min="16" max="16" width="8.875" bestFit="1" customWidth="1"/>
    <col min="17" max="17" width="7.125" customWidth="1"/>
    <col min="18" max="18" width="9.25" customWidth="1"/>
    <col min="19" max="19" width="9.75" customWidth="1"/>
    <col min="20" max="20" width="8.75" hidden="1" customWidth="1"/>
    <col min="21" max="21" width="8.875" customWidth="1"/>
    <col min="22" max="22" width="5.75" customWidth="1"/>
    <col min="23" max="23" width="1.125" customWidth="1"/>
    <col min="24" max="24" width="4" customWidth="1"/>
    <col min="25" max="25" width="20.5" customWidth="1"/>
    <col min="26" max="26" width="7.125" customWidth="1"/>
    <col min="27" max="27" width="31.625" customWidth="1"/>
    <col min="28" max="28" width="7.75" hidden="1" customWidth="1"/>
    <col min="29" max="29" width="6.875" hidden="1" customWidth="1"/>
    <col min="30" max="30" width="6.75" hidden="1" customWidth="1"/>
    <col min="31" max="31" width="7.75" hidden="1" customWidth="1"/>
    <col min="32" max="32" width="11" hidden="1" customWidth="1"/>
    <col min="33" max="33" width="7.5" hidden="1" customWidth="1"/>
    <col min="34" max="34" width="10.25" customWidth="1"/>
    <col min="35" max="35" width="1.25" style="517" customWidth="1"/>
    <col min="36" max="44" width="8.75" style="90" hidden="1" customWidth="1"/>
    <col min="45" max="45" width="0" hidden="1" customWidth="1"/>
    <col min="46" max="46" width="8.75" hidden="1" customWidth="1"/>
    <col min="47" max="48" width="6.75" hidden="1" customWidth="1"/>
    <col min="49" max="49" width="9.375" hidden="1" customWidth="1"/>
    <col min="50" max="51" width="8.75" hidden="1" customWidth="1"/>
    <col min="52" max="52" width="10.375" bestFit="1" customWidth="1"/>
    <col min="53" max="53" width="13.5" customWidth="1"/>
  </cols>
  <sheetData>
    <row r="1" spans="2:53" ht="18.600000000000001" customHeight="1" thickTop="1" thickBot="1">
      <c r="B1" s="690" t="s">
        <v>99</v>
      </c>
      <c r="C1" s="691"/>
      <c r="D1" s="691"/>
      <c r="E1" s="691"/>
      <c r="F1" s="691"/>
      <c r="G1" s="691"/>
      <c r="H1" s="691"/>
      <c r="I1" s="691"/>
      <c r="J1" s="691"/>
      <c r="K1" s="691"/>
      <c r="L1" s="691"/>
      <c r="M1" s="691"/>
      <c r="N1" s="691"/>
      <c r="O1" s="691"/>
      <c r="P1" s="691"/>
      <c r="Q1" s="691"/>
      <c r="R1" s="692"/>
      <c r="S1" s="691"/>
      <c r="T1" s="691"/>
      <c r="U1" s="691"/>
      <c r="V1" s="691"/>
      <c r="W1" s="691"/>
      <c r="X1" s="691"/>
      <c r="Y1" s="691"/>
      <c r="Z1" s="691"/>
      <c r="AA1" s="691"/>
      <c r="AB1" s="691"/>
      <c r="AC1" s="691"/>
      <c r="AD1" s="691"/>
      <c r="AE1" s="691"/>
      <c r="AF1" s="691"/>
      <c r="AG1" s="691"/>
      <c r="AH1" s="693"/>
      <c r="AI1" s="205"/>
    </row>
    <row r="2" spans="2:53" ht="31.9" customHeight="1" thickTop="1" thickBot="1">
      <c r="B2" s="78" t="s">
        <v>104</v>
      </c>
      <c r="C2" s="78" t="s">
        <v>137</v>
      </c>
      <c r="D2" s="78" t="s">
        <v>103</v>
      </c>
      <c r="E2" s="78" t="s">
        <v>82</v>
      </c>
      <c r="F2" s="149" t="s">
        <v>153</v>
      </c>
      <c r="G2" s="149" t="s">
        <v>90</v>
      </c>
      <c r="H2" s="180" t="s">
        <v>177</v>
      </c>
      <c r="I2" s="149" t="s">
        <v>88</v>
      </c>
      <c r="J2" s="180" t="s">
        <v>270</v>
      </c>
      <c r="K2" s="180" t="s">
        <v>269</v>
      </c>
      <c r="L2" s="149" t="s">
        <v>3</v>
      </c>
      <c r="M2" s="149" t="s">
        <v>90</v>
      </c>
      <c r="N2" s="192" t="s">
        <v>254</v>
      </c>
      <c r="O2" s="192" t="s">
        <v>165</v>
      </c>
      <c r="P2" s="165" t="s">
        <v>176</v>
      </c>
      <c r="Q2" s="452" t="s">
        <v>34</v>
      </c>
      <c r="R2" s="454" t="s">
        <v>2</v>
      </c>
      <c r="S2" s="80" t="s">
        <v>85</v>
      </c>
      <c r="T2" s="80" t="s">
        <v>84</v>
      </c>
      <c r="U2" s="79" t="s">
        <v>178</v>
      </c>
      <c r="V2" s="78" t="s">
        <v>82</v>
      </c>
      <c r="W2" s="507"/>
      <c r="X2" s="81" t="s">
        <v>104</v>
      </c>
      <c r="Y2" s="98" t="s">
        <v>137</v>
      </c>
      <c r="Z2" s="142" t="s">
        <v>155</v>
      </c>
      <c r="AA2" s="82" t="s">
        <v>103</v>
      </c>
      <c r="AH2" s="82" t="s">
        <v>158</v>
      </c>
      <c r="AI2" s="205"/>
    </row>
    <row r="3" spans="2:53" ht="20.100000000000001" customHeight="1" thickTop="1" thickBot="1">
      <c r="B3" s="518">
        <v>1</v>
      </c>
      <c r="C3" s="160" t="str">
        <f t="shared" ref="C3:C20" si="0">IF(B3&lt;&gt;"",VLOOKUP(B3,PARCELS,2),"EMPTY")</f>
        <v>KB-95</v>
      </c>
      <c r="D3" s="170" t="str">
        <f t="shared" ref="D3:D20" si="1">IF(B3&lt;&gt;"",VLOOKUP(B3,PARCELS,4),"EMPTY")</f>
        <v>IKMAL-1 TUPRAS MERSIN BENZIN</v>
      </c>
      <c r="E3" s="175" t="s">
        <v>4</v>
      </c>
      <c r="F3" s="550">
        <v>1050</v>
      </c>
      <c r="G3" s="551">
        <v>18</v>
      </c>
      <c r="H3" s="276">
        <f>'ULLAGE TRIM CORR'!E3</f>
        <v>1050</v>
      </c>
      <c r="I3" s="150">
        <f>J3/ULLAGE_TABLES!B5*100</f>
        <v>97.515064202943933</v>
      </c>
      <c r="J3" s="161">
        <f>'ULLAGE REP'!D5</f>
        <v>778.41399999999999</v>
      </c>
      <c r="K3" s="161">
        <f>'ULLAGE REP'!G5</f>
        <v>778.362624676</v>
      </c>
      <c r="L3" s="462">
        <f t="shared" ref="L3:L20" si="2">J3</f>
        <v>778.41399999999999</v>
      </c>
      <c r="M3" s="201">
        <f t="shared" ref="M3:M20" si="3">G3</f>
        <v>18</v>
      </c>
      <c r="N3" s="193">
        <f t="shared" ref="N3:N20" si="4">IF(B3&lt;&gt;"",VLOOKUP(B3,PARCELS,3),0)</f>
        <v>0.73770000000000002</v>
      </c>
      <c r="O3" s="193">
        <f t="shared" ref="O3:O20" si="5">IF(B3&lt;&gt;"",VLOOKUP(B3,PARCELS,3)-0.0011,0)</f>
        <v>0.73660000000000003</v>
      </c>
      <c r="P3" s="544">
        <f>ROUND(AY3,6)</f>
        <v>0.99993399999999999</v>
      </c>
      <c r="Q3" s="455">
        <f t="shared" ref="Q3:Q20" si="6">ROUND(IF(O3="","",IF(M3="","",IF(O3&lt;0.6,"DENS!!!!",IF(O3&lt;0.7705,EXP(-((346.4228/(O3*1000)/(O3*1000))+(0.4388/(O3*1000)))*(M3-15)*(1+(0.8*((346.4228/(O3*1000)/(O3*1000))+(0.4388/(O3*1000)))*(M3-15)))),IF(O3&lt;0.7875,EXP(-((2680.3206/(O3*1000)/(O3*1000))-0.00336312)*(M3-15)*(1+(0.8*((2680.3206/(O3*1000)/(O3*1000))-0.00336312)*(M3-15)))),IF(O3&lt;0.8385,EXP(-(594.5418/(O3*1000)/(O3*1000))*(M3-15)*(1+(0.8*(594.5418/(O3*1000)/(O3*1000))*(M3-15)))),IF(O3&lt;1.0755,EXP(-((186.9696/(O3*1000)/(O3*1000))+(0.4862/(O3*1000)))*(M3-15)*(1+(0.8*((186.9696/(O3*1000)/(O3*1000))+(0.4862/(O3*1000)))*(M3-15)))),"DENS!!!!"))))))),4)</f>
        <v>0.99629999999999996</v>
      </c>
      <c r="R3" s="463">
        <f>L3*Q3</f>
        <v>775.53386819999992</v>
      </c>
      <c r="S3" s="464">
        <f>N3*R3</f>
        <v>572.11133457113999</v>
      </c>
      <c r="T3" s="42">
        <f>R3*(O3)</f>
        <v>571.25824731611999</v>
      </c>
      <c r="U3" s="42">
        <f>O3*R3</f>
        <v>571.25824731611999</v>
      </c>
      <c r="V3" s="175" t="s">
        <v>4</v>
      </c>
      <c r="W3" s="508"/>
      <c r="X3" s="87">
        <v>1</v>
      </c>
      <c r="Y3" s="83" t="s">
        <v>308</v>
      </c>
      <c r="Z3" s="84">
        <v>0.73770000000000002</v>
      </c>
      <c r="AA3" s="83" t="s">
        <v>315</v>
      </c>
      <c r="AB3" s="91">
        <f t="shared" ref="AB3:AB21" si="7">(QUOTIENT(F3/10,1))</f>
        <v>105</v>
      </c>
      <c r="AC3" s="143">
        <f t="shared" ref="AC3:AC21" si="8">AB3-(F3/10)</f>
        <v>0</v>
      </c>
      <c r="AD3" s="92" t="b">
        <f>IF(AC3&lt;&gt;0,AB3*10)</f>
        <v>0</v>
      </c>
      <c r="AE3" s="92" t="b">
        <f>IF(AC3&lt;&gt;0,(AB3+1)*10)</f>
        <v>0</v>
      </c>
      <c r="AF3" s="93">
        <f>IF(AC3&lt;&gt;0,(((VLOOKUP(AD3,COT1P,2))+(VLOOKUP(AE3,COT1P,2)))/2),)</f>
        <v>0</v>
      </c>
      <c r="AG3" s="94" t="s">
        <v>4</v>
      </c>
      <c r="AH3" s="229">
        <f>$AJ$21</f>
        <v>2545.37939976696</v>
      </c>
      <c r="AI3" s="205"/>
      <c r="AJ3" s="90">
        <f t="shared" ref="AJ3:AJ20" si="9">IF( ($B3=1), U3,0)</f>
        <v>571.25824731611999</v>
      </c>
      <c r="AK3" s="90">
        <f t="shared" ref="AK3:AK20" si="10">IF( (B3=2), U3,0)</f>
        <v>0</v>
      </c>
      <c r="AL3" s="90">
        <f t="shared" ref="AL3:AL20" si="11">IF( (B3=3), U3,0)</f>
        <v>0</v>
      </c>
      <c r="AM3" s="90">
        <f t="shared" ref="AM3:AM20" si="12">IF( (B3=4), U3,0)</f>
        <v>0</v>
      </c>
      <c r="AN3" s="90">
        <f t="shared" ref="AN3:AN20" si="13">IF( (B3=5), U3,0)</f>
        <v>0</v>
      </c>
      <c r="AO3" s="90">
        <f t="shared" ref="AO3:AO20" si="14">IF( (B3=6), U3,0)</f>
        <v>0</v>
      </c>
      <c r="AP3" s="90">
        <f t="shared" ref="AP3:AP20" si="15">IF( (B3=7), U3,0)</f>
        <v>0</v>
      </c>
      <c r="AQ3" s="90">
        <f t="shared" ref="AQ3:AQ20" si="16">IF( (B3=8), U3,0)</f>
        <v>0</v>
      </c>
      <c r="AR3" s="90">
        <f t="shared" ref="AR3:AR20" si="17">IF( (B3=9), U3,0)</f>
        <v>0</v>
      </c>
      <c r="AT3" s="147">
        <f t="shared" ref="AT3:AT20" si="18">MOD(M3,1)</f>
        <v>0</v>
      </c>
      <c r="AU3" s="147">
        <f t="shared" ref="AU3:AU20" si="19">M3-AT3</f>
        <v>18</v>
      </c>
      <c r="AV3" s="147">
        <f>AU3+1</f>
        <v>19</v>
      </c>
      <c r="AW3" s="148">
        <f t="shared" ref="AW3:AW20" si="20">VLOOKUP(AU3,T_CORR,2,TRUE)</f>
        <v>0.99993399999999999</v>
      </c>
      <c r="AX3">
        <f t="shared" ref="AX3:AX20" si="21">VLOOKUP(AV3,T_CORR,2,TRUE)</f>
        <v>0.99996700000000005</v>
      </c>
      <c r="AY3">
        <f>((AX3-AW3)*AT3)+AW3</f>
        <v>0.99993399999999999</v>
      </c>
      <c r="BA3" s="166"/>
    </row>
    <row r="4" spans="2:53" ht="20.100000000000001" customHeight="1" thickTop="1" thickBot="1">
      <c r="B4" s="519">
        <v>2</v>
      </c>
      <c r="C4" s="50" t="str">
        <f t="shared" si="0"/>
        <v>KB-95</v>
      </c>
      <c r="D4" s="50" t="str">
        <f t="shared" si="1"/>
        <v>DAP-1 OPET MERSIN BENZIN</v>
      </c>
      <c r="E4" s="176" t="s">
        <v>5</v>
      </c>
      <c r="F4" s="550">
        <v>1050</v>
      </c>
      <c r="G4" s="551">
        <v>18</v>
      </c>
      <c r="H4" s="276">
        <f>'ULLAGE TRIM CORR'!E4</f>
        <v>1050</v>
      </c>
      <c r="I4" s="151">
        <f>J4/ULLAGE_TABLES!D5*100</f>
        <v>97.570215644308036</v>
      </c>
      <c r="J4" s="162">
        <f>'ULLAGE REP'!D6</f>
        <v>773.16200000000003</v>
      </c>
      <c r="K4" s="162">
        <f>'ULLAGE REP'!G6</f>
        <v>773.11097130799999</v>
      </c>
      <c r="L4" s="465">
        <f t="shared" si="2"/>
        <v>773.16200000000003</v>
      </c>
      <c r="M4" s="202">
        <f t="shared" si="3"/>
        <v>18</v>
      </c>
      <c r="N4" s="194">
        <f t="shared" si="4"/>
        <v>0.73770000000000002</v>
      </c>
      <c r="O4" s="194">
        <f t="shared" si="5"/>
        <v>0.73660000000000003</v>
      </c>
      <c r="P4" s="545">
        <f t="shared" ref="P4:P20" si="22">ROUND(AY4,6)</f>
        <v>0.99993399999999999</v>
      </c>
      <c r="Q4" s="456">
        <f t="shared" si="6"/>
        <v>0.99629999999999996</v>
      </c>
      <c r="R4" s="466">
        <f t="shared" ref="R4:R20" si="23">L4*Q4</f>
        <v>770.30130059999999</v>
      </c>
      <c r="S4" s="464">
        <f t="shared" ref="S4:S20" si="24">R4*(O4+0.0011)</f>
        <v>568.25126945262002</v>
      </c>
      <c r="T4" s="43">
        <f t="shared" ref="T4:T20" si="25">R4*(O4)</f>
        <v>567.40393802196002</v>
      </c>
      <c r="U4" s="43">
        <f t="shared" ref="U4:U20" si="26">O4*R4</f>
        <v>567.40393802196002</v>
      </c>
      <c r="V4" s="176" t="s">
        <v>5</v>
      </c>
      <c r="W4" s="508"/>
      <c r="X4" s="88">
        <v>2</v>
      </c>
      <c r="Y4" s="83" t="s">
        <v>308</v>
      </c>
      <c r="Z4" s="84">
        <v>0.73770000000000002</v>
      </c>
      <c r="AA4" s="83" t="s">
        <v>316</v>
      </c>
      <c r="AB4" s="91">
        <f t="shared" si="7"/>
        <v>105</v>
      </c>
      <c r="AC4" s="143">
        <f t="shared" si="8"/>
        <v>0</v>
      </c>
      <c r="AD4" s="92" t="b">
        <f t="shared" ref="AD4:AD21" si="27">IF(AC4&lt;&gt;0,AB4*10)</f>
        <v>0</v>
      </c>
      <c r="AE4" s="92" t="b">
        <f t="shared" ref="AE4:AE21" si="28">IF(AC4&lt;&gt;0,(AB4+1)*10)</f>
        <v>0</v>
      </c>
      <c r="AF4" s="93">
        <f>IF(AC4&lt;&gt;0,(((VLOOKUP(AD4,COT1S,2))+(VLOOKUP(AE4,COT1S,2)))/2),)</f>
        <v>0</v>
      </c>
      <c r="AG4" s="94" t="s">
        <v>5</v>
      </c>
      <c r="AH4" s="230">
        <f>$AK$21</f>
        <v>2545.2128102372999</v>
      </c>
      <c r="AI4" s="205"/>
      <c r="AJ4" s="90">
        <f t="shared" si="9"/>
        <v>0</v>
      </c>
      <c r="AK4" s="90">
        <f t="shared" si="10"/>
        <v>567.40393802196002</v>
      </c>
      <c r="AL4" s="90">
        <f t="shared" si="11"/>
        <v>0</v>
      </c>
      <c r="AM4" s="90">
        <f t="shared" si="12"/>
        <v>0</v>
      </c>
      <c r="AN4" s="90">
        <f t="shared" si="13"/>
        <v>0</v>
      </c>
      <c r="AO4" s="90">
        <f t="shared" si="14"/>
        <v>0</v>
      </c>
      <c r="AP4" s="90">
        <f t="shared" si="15"/>
        <v>0</v>
      </c>
      <c r="AQ4" s="90">
        <f t="shared" si="16"/>
        <v>0</v>
      </c>
      <c r="AR4" s="90">
        <f t="shared" si="17"/>
        <v>0</v>
      </c>
      <c r="AT4" s="147">
        <f t="shared" si="18"/>
        <v>0</v>
      </c>
      <c r="AU4" s="147">
        <f t="shared" si="19"/>
        <v>18</v>
      </c>
      <c r="AV4" s="147">
        <f t="shared" ref="AV4:AV20" si="29">AU4+1</f>
        <v>19</v>
      </c>
      <c r="AW4" s="148">
        <f t="shared" si="20"/>
        <v>0.99993399999999999</v>
      </c>
      <c r="AX4">
        <f t="shared" si="21"/>
        <v>0.99996700000000005</v>
      </c>
      <c r="AY4">
        <f t="shared" ref="AY4:AY20" si="30">((AX4-AW4)*AT4)+AW4</f>
        <v>0.99993399999999999</v>
      </c>
      <c r="BA4" s="166"/>
    </row>
    <row r="5" spans="2:53" ht="20.100000000000001" customHeight="1" thickTop="1" thickBot="1">
      <c r="B5" s="520">
        <v>8</v>
      </c>
      <c r="C5" s="51" t="str">
        <f t="shared" si="0"/>
        <v>MOTORIN</v>
      </c>
      <c r="D5" s="51" t="str">
        <f t="shared" si="1"/>
        <v>DAP-7 OPET ANTALYA MOTORIN</v>
      </c>
      <c r="E5" s="177" t="s">
        <v>6</v>
      </c>
      <c r="F5" s="550">
        <v>1130</v>
      </c>
      <c r="G5" s="551">
        <v>18</v>
      </c>
      <c r="H5" s="276">
        <f>'ULLAGE TRIM CORR'!E5</f>
        <v>1130</v>
      </c>
      <c r="I5" s="152">
        <f>J5/ULLAGE_TABLES!F5*100</f>
        <v>97.462837579666513</v>
      </c>
      <c r="J5" s="515">
        <f>'ULLAGE REP'!D7</f>
        <v>1594.2239999999999</v>
      </c>
      <c r="K5" s="515">
        <f>'ULLAGE REP'!G7</f>
        <v>1594.1187812159999</v>
      </c>
      <c r="L5" s="467">
        <f t="shared" si="2"/>
        <v>1594.2239999999999</v>
      </c>
      <c r="M5" s="203">
        <f t="shared" si="3"/>
        <v>18</v>
      </c>
      <c r="N5" s="195">
        <f t="shared" si="4"/>
        <v>0.83260000000000001</v>
      </c>
      <c r="O5" s="195">
        <f t="shared" si="5"/>
        <v>0.83150000000000002</v>
      </c>
      <c r="P5" s="546">
        <f t="shared" si="22"/>
        <v>0.99993399999999999</v>
      </c>
      <c r="Q5" s="457">
        <f t="shared" si="6"/>
        <v>0.99739999999999995</v>
      </c>
      <c r="R5" s="468">
        <f t="shared" si="23"/>
        <v>1590.0790175999998</v>
      </c>
      <c r="S5" s="469">
        <f t="shared" si="24"/>
        <v>1323.8997900537599</v>
      </c>
      <c r="T5" s="44">
        <f t="shared" si="25"/>
        <v>1322.1507031343999</v>
      </c>
      <c r="U5" s="44">
        <f t="shared" si="26"/>
        <v>1322.1507031343999</v>
      </c>
      <c r="V5" s="177" t="s">
        <v>6</v>
      </c>
      <c r="W5" s="508"/>
      <c r="X5" s="88">
        <v>3</v>
      </c>
      <c r="Y5" s="83" t="s">
        <v>308</v>
      </c>
      <c r="Z5" s="84">
        <v>0.73770000000000002</v>
      </c>
      <c r="AA5" s="83" t="s">
        <v>319</v>
      </c>
      <c r="AB5" s="91">
        <f t="shared" si="7"/>
        <v>113</v>
      </c>
      <c r="AC5" s="143">
        <f t="shared" si="8"/>
        <v>0</v>
      </c>
      <c r="AD5" s="92" t="b">
        <f t="shared" si="27"/>
        <v>0</v>
      </c>
      <c r="AE5" s="92" t="b">
        <f t="shared" si="28"/>
        <v>0</v>
      </c>
      <c r="AF5" s="93">
        <f>IF(AC5&lt;&gt;0,(((VLOOKUP(AD5,COT2P,2))+(VLOOKUP(AE5,COT2P,2)))/2),)</f>
        <v>0</v>
      </c>
      <c r="AG5" s="95" t="s">
        <v>6</v>
      </c>
      <c r="AH5" s="231">
        <f>$AL$21</f>
        <v>3949.5163111725597</v>
      </c>
      <c r="AI5" s="205"/>
      <c r="AJ5" s="90">
        <f t="shared" si="9"/>
        <v>0</v>
      </c>
      <c r="AK5" s="90">
        <f t="shared" si="10"/>
        <v>0</v>
      </c>
      <c r="AL5" s="90">
        <f t="shared" si="11"/>
        <v>0</v>
      </c>
      <c r="AM5" s="90">
        <f t="shared" si="12"/>
        <v>0</v>
      </c>
      <c r="AN5" s="90">
        <f t="shared" si="13"/>
        <v>0</v>
      </c>
      <c r="AO5" s="90">
        <f t="shared" si="14"/>
        <v>0</v>
      </c>
      <c r="AP5" s="90">
        <f t="shared" si="15"/>
        <v>0</v>
      </c>
      <c r="AQ5" s="90">
        <f t="shared" si="16"/>
        <v>1322.1507031343999</v>
      </c>
      <c r="AR5" s="90">
        <f t="shared" si="17"/>
        <v>0</v>
      </c>
      <c r="AT5" s="147">
        <f t="shared" si="18"/>
        <v>0</v>
      </c>
      <c r="AU5" s="147">
        <f t="shared" si="19"/>
        <v>18</v>
      </c>
      <c r="AV5" s="147">
        <f t="shared" si="29"/>
        <v>19</v>
      </c>
      <c r="AW5" s="148">
        <f t="shared" si="20"/>
        <v>0.99993399999999999</v>
      </c>
      <c r="AX5">
        <f t="shared" si="21"/>
        <v>0.99996700000000005</v>
      </c>
      <c r="AY5">
        <f t="shared" si="30"/>
        <v>0.99993399999999999</v>
      </c>
      <c r="BA5" s="166"/>
    </row>
    <row r="6" spans="2:53" ht="19.5" customHeight="1" thickTop="1" thickBot="1">
      <c r="B6" s="521">
        <v>7</v>
      </c>
      <c r="C6" s="52" t="str">
        <f t="shared" si="0"/>
        <v>KB-95</v>
      </c>
      <c r="D6" s="52" t="str">
        <f t="shared" si="1"/>
        <v>DAP-6 POAS ANTALYA BENZIN</v>
      </c>
      <c r="E6" s="178" t="s">
        <v>7</v>
      </c>
      <c r="F6" s="550">
        <v>1130</v>
      </c>
      <c r="G6" s="551">
        <v>18</v>
      </c>
      <c r="H6" s="276">
        <f>'ULLAGE TRIM CORR'!E6</f>
        <v>1130</v>
      </c>
      <c r="I6" s="153">
        <f>J6/ULLAGE_TABLES!H5*100</f>
        <v>97.36936416821294</v>
      </c>
      <c r="J6" s="516">
        <f>'ULLAGE REP'!D8</f>
        <v>1592.104</v>
      </c>
      <c r="K6" s="516">
        <f>'ULLAGE REP'!G8</f>
        <v>1591.998921136</v>
      </c>
      <c r="L6" s="470">
        <f t="shared" si="2"/>
        <v>1592.104</v>
      </c>
      <c r="M6" s="204">
        <f t="shared" si="3"/>
        <v>18</v>
      </c>
      <c r="N6" s="196">
        <f t="shared" si="4"/>
        <v>0.73770000000000002</v>
      </c>
      <c r="O6" s="196">
        <f t="shared" si="5"/>
        <v>0.73660000000000003</v>
      </c>
      <c r="P6" s="547">
        <f t="shared" si="22"/>
        <v>0.99993399999999999</v>
      </c>
      <c r="Q6" s="458">
        <f t="shared" si="6"/>
        <v>0.99629999999999996</v>
      </c>
      <c r="R6" s="471">
        <f t="shared" si="23"/>
        <v>1586.2132151999999</v>
      </c>
      <c r="S6" s="472">
        <f t="shared" si="24"/>
        <v>1170.1494888530399</v>
      </c>
      <c r="T6" s="45">
        <f t="shared" si="25"/>
        <v>1168.4046543163199</v>
      </c>
      <c r="U6" s="45">
        <f t="shared" si="26"/>
        <v>1168.4046543163199</v>
      </c>
      <c r="V6" s="178" t="s">
        <v>7</v>
      </c>
      <c r="W6" s="508"/>
      <c r="X6" s="88">
        <v>4</v>
      </c>
      <c r="Y6" s="83" t="s">
        <v>308</v>
      </c>
      <c r="Z6" s="84">
        <v>0.73770000000000002</v>
      </c>
      <c r="AA6" s="85" t="s">
        <v>317</v>
      </c>
      <c r="AB6" s="91">
        <f t="shared" si="7"/>
        <v>113</v>
      </c>
      <c r="AC6" s="143">
        <f t="shared" si="8"/>
        <v>0</v>
      </c>
      <c r="AD6" s="92" t="b">
        <f t="shared" si="27"/>
        <v>0</v>
      </c>
      <c r="AE6" s="92" t="b">
        <f t="shared" si="28"/>
        <v>0</v>
      </c>
      <c r="AF6" s="93">
        <f>IF(AC6&lt;&gt;0,(((VLOOKUP(AD6,COT2S,2))+(VLOOKUP(AE6,COT2S,2)))/2),)</f>
        <v>0</v>
      </c>
      <c r="AG6" s="95" t="s">
        <v>7</v>
      </c>
      <c r="AH6" s="231">
        <f>$AM$21</f>
        <v>931.23914017229993</v>
      </c>
      <c r="AI6" s="205"/>
      <c r="AJ6" s="90">
        <f t="shared" si="9"/>
        <v>0</v>
      </c>
      <c r="AK6" s="90">
        <f t="shared" si="10"/>
        <v>0</v>
      </c>
      <c r="AL6" s="90">
        <f t="shared" si="11"/>
        <v>0</v>
      </c>
      <c r="AM6" s="90">
        <f t="shared" si="12"/>
        <v>0</v>
      </c>
      <c r="AN6" s="90">
        <f t="shared" si="13"/>
        <v>0</v>
      </c>
      <c r="AO6" s="90">
        <f t="shared" si="14"/>
        <v>0</v>
      </c>
      <c r="AP6" s="90">
        <f t="shared" si="15"/>
        <v>1168.4046543163199</v>
      </c>
      <c r="AQ6" s="90">
        <f t="shared" si="16"/>
        <v>0</v>
      </c>
      <c r="AR6" s="90">
        <f t="shared" si="17"/>
        <v>0</v>
      </c>
      <c r="AT6" s="147">
        <f t="shared" si="18"/>
        <v>0</v>
      </c>
      <c r="AU6" s="147">
        <f t="shared" si="19"/>
        <v>18</v>
      </c>
      <c r="AV6" s="147">
        <f t="shared" si="29"/>
        <v>19</v>
      </c>
      <c r="AW6" s="148">
        <f t="shared" si="20"/>
        <v>0.99993399999999999</v>
      </c>
      <c r="AX6">
        <f t="shared" si="21"/>
        <v>0.99996700000000005</v>
      </c>
      <c r="AY6">
        <f t="shared" si="30"/>
        <v>0.99993399999999999</v>
      </c>
      <c r="BA6" s="166"/>
    </row>
    <row r="7" spans="2:53" ht="20.100000000000001" customHeight="1" thickTop="1" thickBot="1">
      <c r="B7" s="518">
        <v>3</v>
      </c>
      <c r="C7" s="49" t="str">
        <f t="shared" si="0"/>
        <v>KB-95</v>
      </c>
      <c r="D7" s="49" t="str">
        <f>IF(B7&lt;&gt;"",VLOOKUP(B7,PARCELS,4),"EMPTY")</f>
        <v>DAP-2 SHELL MERSIN BENZIN</v>
      </c>
      <c r="E7" s="175" t="s">
        <v>8</v>
      </c>
      <c r="F7" s="550">
        <v>1130</v>
      </c>
      <c r="G7" s="551">
        <v>18</v>
      </c>
      <c r="H7" s="276">
        <f>'ULLAGE TRIM CORR'!E7</f>
        <v>1130</v>
      </c>
      <c r="I7" s="150">
        <f>J7/ULLAGE_TABLES!J5*100</f>
        <v>97.505267782884104</v>
      </c>
      <c r="J7" s="163">
        <f>'ULLAGE REP'!D9</f>
        <v>1347.046</v>
      </c>
      <c r="K7" s="163">
        <f>'ULLAGE REP'!G9</f>
        <v>1346.9570949640001</v>
      </c>
      <c r="L7" s="462">
        <f t="shared" si="2"/>
        <v>1347.046</v>
      </c>
      <c r="M7" s="201">
        <f t="shared" si="3"/>
        <v>18</v>
      </c>
      <c r="N7" s="197">
        <f>IF(B7&lt;&gt;"",VLOOKUP(B7,PARCELS,3),0)</f>
        <v>0.73770000000000002</v>
      </c>
      <c r="O7" s="197">
        <f>IF(B7&lt;&gt;"",VLOOKUP(B7,PARCELS,3)-0.0011,0)</f>
        <v>0.73660000000000003</v>
      </c>
      <c r="P7" s="546">
        <f t="shared" si="22"/>
        <v>0.99993399999999999</v>
      </c>
      <c r="Q7" s="459">
        <f t="shared" si="6"/>
        <v>0.99629999999999996</v>
      </c>
      <c r="R7" s="473">
        <f t="shared" si="23"/>
        <v>1342.0619297999999</v>
      </c>
      <c r="S7" s="464">
        <f t="shared" si="24"/>
        <v>990.03908561345997</v>
      </c>
      <c r="T7" s="46">
        <f t="shared" si="25"/>
        <v>988.56281749068</v>
      </c>
      <c r="U7" s="46">
        <f t="shared" si="26"/>
        <v>988.56281749068</v>
      </c>
      <c r="V7" s="175" t="s">
        <v>8</v>
      </c>
      <c r="W7" s="508"/>
      <c r="X7" s="88">
        <v>5</v>
      </c>
      <c r="Y7" s="83" t="s">
        <v>308</v>
      </c>
      <c r="Z7" s="84">
        <v>0.73770000000000002</v>
      </c>
      <c r="AA7" s="83" t="s">
        <v>318</v>
      </c>
      <c r="AB7" s="91">
        <f t="shared" si="7"/>
        <v>113</v>
      </c>
      <c r="AC7" s="143">
        <f t="shared" si="8"/>
        <v>0</v>
      </c>
      <c r="AD7" s="92" t="b">
        <f t="shared" si="27"/>
        <v>0</v>
      </c>
      <c r="AE7" s="92" t="b">
        <f t="shared" si="28"/>
        <v>0</v>
      </c>
      <c r="AF7" s="93">
        <f>IF(AC7&lt;&gt;0,(((VLOOKUP(AD7,COT3P,2))+(VLOOKUP(AE7,COT3P,2)))/2),)</f>
        <v>0</v>
      </c>
      <c r="AG7" s="94" t="s">
        <v>8</v>
      </c>
      <c r="AH7" s="230">
        <f>$AN$21</f>
        <v>988.34925998790015</v>
      </c>
      <c r="AI7" s="205"/>
      <c r="AJ7" s="90">
        <f>IF( ($B7=1), U7,0)</f>
        <v>0</v>
      </c>
      <c r="AK7" s="90">
        <f>IF( (B7=2), U7,0)</f>
        <v>0</v>
      </c>
      <c r="AL7" s="90">
        <f>IF( (B7=3), U7,0)</f>
        <v>988.56281749068</v>
      </c>
      <c r="AM7" s="90">
        <f>IF( (B7=4), U7,0)</f>
        <v>0</v>
      </c>
      <c r="AN7" s="90">
        <f>IF( (B7=5), U7,0)</f>
        <v>0</v>
      </c>
      <c r="AO7" s="90">
        <f>IF( (B7=6), U7,0)</f>
        <v>0</v>
      </c>
      <c r="AP7" s="90">
        <f>IF( (B7=7), U7,0)</f>
        <v>0</v>
      </c>
      <c r="AQ7" s="90">
        <f>IF( (B7=8), U7,0)</f>
        <v>0</v>
      </c>
      <c r="AR7" s="90">
        <f>IF( (B7=9), U7,0)</f>
        <v>0</v>
      </c>
      <c r="AT7" s="147">
        <f t="shared" si="18"/>
        <v>0</v>
      </c>
      <c r="AU7" s="147">
        <f t="shared" si="19"/>
        <v>18</v>
      </c>
      <c r="AV7" s="147">
        <f t="shared" si="29"/>
        <v>19</v>
      </c>
      <c r="AW7" s="148">
        <f t="shared" si="20"/>
        <v>0.99993399999999999</v>
      </c>
      <c r="AX7">
        <f t="shared" si="21"/>
        <v>0.99996700000000005</v>
      </c>
      <c r="AY7">
        <f t="shared" si="30"/>
        <v>0.99993399999999999</v>
      </c>
      <c r="AZ7" s="159"/>
      <c r="BA7" s="166"/>
    </row>
    <row r="8" spans="2:53" ht="20.100000000000001" customHeight="1" thickTop="1" thickBot="1">
      <c r="B8" s="519">
        <v>3</v>
      </c>
      <c r="C8" s="50" t="str">
        <f t="shared" si="0"/>
        <v>KB-95</v>
      </c>
      <c r="D8" s="50" t="str">
        <f t="shared" si="1"/>
        <v>DAP-2 SHELL MERSIN BENZIN</v>
      </c>
      <c r="E8" s="176" t="s">
        <v>9</v>
      </c>
      <c r="F8" s="550">
        <v>1130</v>
      </c>
      <c r="G8" s="551">
        <v>18</v>
      </c>
      <c r="H8" s="276">
        <f>'ULLAGE TRIM CORR'!E8</f>
        <v>1130</v>
      </c>
      <c r="I8" s="154">
        <f>J8/ULLAGE_TABLES!L5*100</f>
        <v>97.420122092808768</v>
      </c>
      <c r="J8" s="162">
        <f>'ULLAGE REP'!D10</f>
        <v>1346.7270000000001</v>
      </c>
      <c r="K8" s="162">
        <f>'ULLAGE REP'!G10</f>
        <v>1346.6381160180001</v>
      </c>
      <c r="L8" s="465">
        <f t="shared" si="2"/>
        <v>1346.7270000000001</v>
      </c>
      <c r="M8" s="202">
        <f t="shared" si="3"/>
        <v>18</v>
      </c>
      <c r="N8" s="198">
        <f t="shared" si="4"/>
        <v>0.73770000000000002</v>
      </c>
      <c r="O8" s="198">
        <f t="shared" si="5"/>
        <v>0.73660000000000003</v>
      </c>
      <c r="P8" s="545">
        <f t="shared" si="22"/>
        <v>0.99993399999999999</v>
      </c>
      <c r="Q8" s="460">
        <f t="shared" si="6"/>
        <v>0.99629999999999996</v>
      </c>
      <c r="R8" s="466">
        <f t="shared" si="23"/>
        <v>1341.7441100999999</v>
      </c>
      <c r="S8" s="464">
        <f t="shared" si="24"/>
        <v>989.80463002076999</v>
      </c>
      <c r="T8" s="43">
        <f t="shared" si="25"/>
        <v>988.32871149966002</v>
      </c>
      <c r="U8" s="187">
        <f t="shared" si="26"/>
        <v>988.32871149966002</v>
      </c>
      <c r="V8" s="176" t="s">
        <v>9</v>
      </c>
      <c r="W8" s="508"/>
      <c r="X8" s="88">
        <v>6</v>
      </c>
      <c r="Y8" s="83" t="s">
        <v>308</v>
      </c>
      <c r="Z8" s="84">
        <v>0.73770000000000002</v>
      </c>
      <c r="AA8" s="83" t="s">
        <v>321</v>
      </c>
      <c r="AB8" s="91">
        <f t="shared" si="7"/>
        <v>113</v>
      </c>
      <c r="AC8" s="143">
        <f t="shared" si="8"/>
        <v>0</v>
      </c>
      <c r="AD8" s="92" t="b">
        <f t="shared" si="27"/>
        <v>0</v>
      </c>
      <c r="AE8" s="92" t="b">
        <f t="shared" si="28"/>
        <v>0</v>
      </c>
      <c r="AF8" s="93">
        <f>IF(AC8&lt;&gt;0,(((VLOOKUP(AD8,COT3S,2))+(VLOOKUP(AE8,COT3S,2)))/2),)</f>
        <v>0</v>
      </c>
      <c r="AG8" s="94" t="s">
        <v>9</v>
      </c>
      <c r="AH8" s="230">
        <f>$AO$21</f>
        <v>1194.6744287819999</v>
      </c>
      <c r="AI8" s="205"/>
      <c r="AJ8" s="90">
        <f t="shared" si="9"/>
        <v>0</v>
      </c>
      <c r="AK8" s="90">
        <f t="shared" si="10"/>
        <v>0</v>
      </c>
      <c r="AL8" s="90">
        <f t="shared" si="11"/>
        <v>988.32871149966002</v>
      </c>
      <c r="AM8" s="90">
        <f t="shared" si="12"/>
        <v>0</v>
      </c>
      <c r="AN8" s="90">
        <f t="shared" si="13"/>
        <v>0</v>
      </c>
      <c r="AO8" s="90">
        <f t="shared" si="14"/>
        <v>0</v>
      </c>
      <c r="AP8" s="90">
        <f t="shared" si="15"/>
        <v>0</v>
      </c>
      <c r="AQ8" s="90">
        <f t="shared" si="16"/>
        <v>0</v>
      </c>
      <c r="AR8" s="90">
        <f t="shared" si="17"/>
        <v>0</v>
      </c>
      <c r="AT8" s="147">
        <f t="shared" si="18"/>
        <v>0</v>
      </c>
      <c r="AU8" s="147">
        <f t="shared" si="19"/>
        <v>18</v>
      </c>
      <c r="AV8" s="147">
        <f t="shared" si="29"/>
        <v>19</v>
      </c>
      <c r="AW8" s="148">
        <f t="shared" si="20"/>
        <v>0.99993399999999999</v>
      </c>
      <c r="AX8">
        <f t="shared" si="21"/>
        <v>0.99996700000000005</v>
      </c>
      <c r="AY8">
        <f t="shared" si="30"/>
        <v>0.99993399999999999</v>
      </c>
      <c r="BA8" s="166"/>
    </row>
    <row r="9" spans="2:53" ht="20.100000000000001" customHeight="1" thickTop="1" thickBot="1">
      <c r="B9" s="518">
        <v>5</v>
      </c>
      <c r="C9" s="51" t="str">
        <f t="shared" si="0"/>
        <v>KB-95</v>
      </c>
      <c r="D9" s="51" t="str">
        <f t="shared" si="1"/>
        <v>DAP-4 OPET ANTALYA BENZIN</v>
      </c>
      <c r="E9" s="177" t="s">
        <v>10</v>
      </c>
      <c r="F9" s="550">
        <v>1130</v>
      </c>
      <c r="G9" s="551">
        <v>18</v>
      </c>
      <c r="H9" s="276">
        <f>'ULLAGE TRIM CORR'!E9</f>
        <v>1130</v>
      </c>
      <c r="I9" s="155">
        <f>J9/ULLAGE_TABLES!N5*100</f>
        <v>97.449146459354793</v>
      </c>
      <c r="J9" s="515">
        <f>'ULLAGE REP'!D11</f>
        <v>1346.7550000000001</v>
      </c>
      <c r="K9" s="515">
        <f>'ULLAGE REP'!G11</f>
        <v>1346.6661141700001</v>
      </c>
      <c r="L9" s="467">
        <f t="shared" si="2"/>
        <v>1346.7550000000001</v>
      </c>
      <c r="M9" s="203">
        <f t="shared" si="3"/>
        <v>18</v>
      </c>
      <c r="N9" s="195">
        <f t="shared" si="4"/>
        <v>0.73770000000000002</v>
      </c>
      <c r="O9" s="195">
        <f t="shared" si="5"/>
        <v>0.73660000000000003</v>
      </c>
      <c r="P9" s="546">
        <f t="shared" si="22"/>
        <v>0.99993399999999999</v>
      </c>
      <c r="Q9" s="461">
        <f t="shared" si="6"/>
        <v>0.99629999999999996</v>
      </c>
      <c r="R9" s="468">
        <f t="shared" si="23"/>
        <v>1341.7720065000001</v>
      </c>
      <c r="S9" s="474">
        <f t="shared" si="24"/>
        <v>989.82520919505009</v>
      </c>
      <c r="T9" s="44">
        <f t="shared" si="25"/>
        <v>988.34925998790015</v>
      </c>
      <c r="U9" s="44">
        <f t="shared" si="26"/>
        <v>988.34925998790015</v>
      </c>
      <c r="V9" s="177" t="s">
        <v>10</v>
      </c>
      <c r="W9" s="508"/>
      <c r="X9" s="88">
        <v>7</v>
      </c>
      <c r="Y9" s="83" t="s">
        <v>308</v>
      </c>
      <c r="Z9" s="84">
        <v>0.73770000000000002</v>
      </c>
      <c r="AA9" s="86" t="s">
        <v>322</v>
      </c>
      <c r="AB9" s="91">
        <f t="shared" si="7"/>
        <v>113</v>
      </c>
      <c r="AC9" s="143">
        <f t="shared" si="8"/>
        <v>0</v>
      </c>
      <c r="AD9" s="92" t="b">
        <f t="shared" si="27"/>
        <v>0</v>
      </c>
      <c r="AE9" s="92" t="b">
        <f t="shared" si="28"/>
        <v>0</v>
      </c>
      <c r="AF9" s="93">
        <f>IF(AC9&lt;&gt;0,(((VLOOKUP(AD9,COT4P,2))+(VLOOKUP(AE9,COT4P,2)))/2),)</f>
        <v>0</v>
      </c>
      <c r="AG9" s="95" t="s">
        <v>10</v>
      </c>
      <c r="AH9" s="229">
        <f>$AP$21</f>
        <v>1168.4046543163199</v>
      </c>
      <c r="AI9" s="205"/>
      <c r="AJ9" s="90">
        <f t="shared" si="9"/>
        <v>0</v>
      </c>
      <c r="AK9" s="90">
        <f t="shared" si="10"/>
        <v>0</v>
      </c>
      <c r="AL9" s="90">
        <f t="shared" si="11"/>
        <v>0</v>
      </c>
      <c r="AM9" s="90">
        <f t="shared" si="12"/>
        <v>0</v>
      </c>
      <c r="AN9" s="90">
        <f t="shared" si="13"/>
        <v>988.34925998790015</v>
      </c>
      <c r="AO9" s="90">
        <f t="shared" si="14"/>
        <v>0</v>
      </c>
      <c r="AP9" s="90">
        <f t="shared" si="15"/>
        <v>0</v>
      </c>
      <c r="AQ9" s="90">
        <f t="shared" si="16"/>
        <v>0</v>
      </c>
      <c r="AR9" s="90">
        <f t="shared" si="17"/>
        <v>0</v>
      </c>
      <c r="AT9" s="147">
        <f t="shared" si="18"/>
        <v>0</v>
      </c>
      <c r="AU9" s="147">
        <f t="shared" si="19"/>
        <v>18</v>
      </c>
      <c r="AV9" s="147">
        <f t="shared" si="29"/>
        <v>19</v>
      </c>
      <c r="AW9" s="148">
        <f t="shared" si="20"/>
        <v>0.99993399999999999</v>
      </c>
      <c r="AX9">
        <f t="shared" si="21"/>
        <v>0.99996700000000005</v>
      </c>
      <c r="AY9">
        <f t="shared" si="30"/>
        <v>0.99993399999999999</v>
      </c>
      <c r="AZ9" s="159"/>
      <c r="BA9" s="166"/>
    </row>
    <row r="10" spans="2:53" ht="20.100000000000001" customHeight="1" thickTop="1" thickBot="1">
      <c r="B10" s="519">
        <v>8</v>
      </c>
      <c r="C10" s="52" t="str">
        <f t="shared" si="0"/>
        <v>MOTORIN</v>
      </c>
      <c r="D10" s="52" t="str">
        <f t="shared" si="1"/>
        <v>DAP-7 OPET ANTALYA MOTORIN</v>
      </c>
      <c r="E10" s="178" t="s">
        <v>11</v>
      </c>
      <c r="F10" s="550">
        <v>1130</v>
      </c>
      <c r="G10" s="551">
        <v>18</v>
      </c>
      <c r="H10" s="276">
        <f>'ULLAGE TRIM CORR'!E10</f>
        <v>1130</v>
      </c>
      <c r="I10" s="154">
        <f>J10/ULLAGE_TABLES!P5*100</f>
        <v>97.336706428582289</v>
      </c>
      <c r="J10" s="516">
        <f>'ULLAGE REP'!D12</f>
        <v>1345.4960000000001</v>
      </c>
      <c r="K10" s="552">
        <f>'ULLAGE REP'!G12</f>
        <v>1345.4071972640002</v>
      </c>
      <c r="L10" s="470">
        <f t="shared" si="2"/>
        <v>1345.4960000000001</v>
      </c>
      <c r="M10" s="204">
        <f t="shared" si="3"/>
        <v>18</v>
      </c>
      <c r="N10" s="196">
        <f t="shared" si="4"/>
        <v>0.83260000000000001</v>
      </c>
      <c r="O10" s="196">
        <f t="shared" si="5"/>
        <v>0.83150000000000002</v>
      </c>
      <c r="P10" s="547">
        <f t="shared" si="22"/>
        <v>0.99993399999999999</v>
      </c>
      <c r="Q10" s="458">
        <f t="shared" si="6"/>
        <v>0.99739999999999995</v>
      </c>
      <c r="R10" s="475">
        <f t="shared" si="23"/>
        <v>1341.9977104</v>
      </c>
      <c r="S10" s="472">
        <f t="shared" si="24"/>
        <v>1117.3472936790399</v>
      </c>
      <c r="T10" s="47">
        <f t="shared" si="25"/>
        <v>1115.8710961976001</v>
      </c>
      <c r="U10" s="47">
        <f t="shared" si="26"/>
        <v>1115.8710961976001</v>
      </c>
      <c r="V10" s="178" t="s">
        <v>11</v>
      </c>
      <c r="W10" s="508"/>
      <c r="X10" s="88">
        <v>8</v>
      </c>
      <c r="Y10" s="83" t="s">
        <v>293</v>
      </c>
      <c r="Z10" s="84">
        <v>0.83260000000000001</v>
      </c>
      <c r="AA10" s="86" t="s">
        <v>320</v>
      </c>
      <c r="AB10" s="91">
        <f t="shared" si="7"/>
        <v>113</v>
      </c>
      <c r="AC10" s="143">
        <f t="shared" si="8"/>
        <v>0</v>
      </c>
      <c r="AD10" s="92" t="b">
        <f t="shared" si="27"/>
        <v>0</v>
      </c>
      <c r="AE10" s="92" t="b">
        <f t="shared" si="28"/>
        <v>0</v>
      </c>
      <c r="AF10" s="93">
        <f>IF(AC10&lt;&gt;0,(((VLOOKUP(AD10,COT4S,2))+(VLOOKUP(AE10,COT4S,2)))/2),)</f>
        <v>0</v>
      </c>
      <c r="AG10" s="95" t="s">
        <v>11</v>
      </c>
      <c r="AH10" s="229">
        <f>$AQ$21</f>
        <v>2438.0217993320002</v>
      </c>
      <c r="AI10" s="205"/>
      <c r="AJ10" s="90">
        <f t="shared" si="9"/>
        <v>0</v>
      </c>
      <c r="AK10" s="90">
        <f t="shared" si="10"/>
        <v>0</v>
      </c>
      <c r="AL10" s="90">
        <f t="shared" si="11"/>
        <v>0</v>
      </c>
      <c r="AM10" s="90">
        <f t="shared" si="12"/>
        <v>0</v>
      </c>
      <c r="AN10" s="90">
        <f t="shared" si="13"/>
        <v>0</v>
      </c>
      <c r="AO10" s="90">
        <f t="shared" si="14"/>
        <v>0</v>
      </c>
      <c r="AP10" s="90">
        <f t="shared" si="15"/>
        <v>0</v>
      </c>
      <c r="AQ10" s="90">
        <f t="shared" si="16"/>
        <v>1115.8710961976001</v>
      </c>
      <c r="AR10" s="90">
        <f t="shared" si="17"/>
        <v>0</v>
      </c>
      <c r="AT10" s="147">
        <f t="shared" si="18"/>
        <v>0</v>
      </c>
      <c r="AU10" s="147">
        <f t="shared" si="19"/>
        <v>18</v>
      </c>
      <c r="AV10" s="147">
        <f t="shared" si="29"/>
        <v>19</v>
      </c>
      <c r="AW10" s="148">
        <f t="shared" si="20"/>
        <v>0.99993399999999999</v>
      </c>
      <c r="AX10">
        <f t="shared" si="21"/>
        <v>0.99996700000000005</v>
      </c>
      <c r="AY10">
        <f t="shared" si="30"/>
        <v>0.99993399999999999</v>
      </c>
      <c r="BA10" s="166"/>
    </row>
    <row r="11" spans="2:53" ht="20.100000000000001" customHeight="1" thickTop="1" thickBot="1">
      <c r="B11" s="520">
        <v>2</v>
      </c>
      <c r="C11" s="49" t="str">
        <f t="shared" si="0"/>
        <v>KB-95</v>
      </c>
      <c r="D11" s="49" t="str">
        <f t="shared" si="1"/>
        <v>DAP-1 OPET MERSIN BENZIN</v>
      </c>
      <c r="E11" s="175" t="s">
        <v>12</v>
      </c>
      <c r="F11" s="550">
        <v>1130</v>
      </c>
      <c r="G11" s="551">
        <v>18</v>
      </c>
      <c r="H11" s="276">
        <f>'ULLAGE TRIM CORR'!E11</f>
        <v>1130</v>
      </c>
      <c r="I11" s="155">
        <f>J11/ULLAGE_TABLES!R5*100</f>
        <v>97.48546258183967</v>
      </c>
      <c r="J11" s="163">
        <f>'ULLAGE REP'!D13</f>
        <v>1347.3689999999999</v>
      </c>
      <c r="K11" s="161">
        <f>'ULLAGE REP'!G13</f>
        <v>1347.2800736459999</v>
      </c>
      <c r="L11" s="462">
        <f t="shared" si="2"/>
        <v>1347.3689999999999</v>
      </c>
      <c r="M11" s="201">
        <f t="shared" si="3"/>
        <v>18</v>
      </c>
      <c r="N11" s="197">
        <f t="shared" si="4"/>
        <v>0.73770000000000002</v>
      </c>
      <c r="O11" s="197">
        <f t="shared" si="5"/>
        <v>0.73660000000000003</v>
      </c>
      <c r="P11" s="548">
        <f t="shared" si="22"/>
        <v>0.99993399999999999</v>
      </c>
      <c r="Q11" s="459">
        <f t="shared" si="6"/>
        <v>0.99629999999999996</v>
      </c>
      <c r="R11" s="463">
        <f t="shared" si="23"/>
        <v>1342.3837346999999</v>
      </c>
      <c r="S11" s="464">
        <f t="shared" si="24"/>
        <v>990.27648108818994</v>
      </c>
      <c r="T11" s="42">
        <f t="shared" si="25"/>
        <v>988.79985898001996</v>
      </c>
      <c r="U11" s="188">
        <f t="shared" si="26"/>
        <v>988.79985898001996</v>
      </c>
      <c r="V11" s="175" t="s">
        <v>12</v>
      </c>
      <c r="W11" s="508"/>
      <c r="X11" s="89">
        <v>9</v>
      </c>
      <c r="Y11" s="83" t="s">
        <v>314</v>
      </c>
      <c r="Z11" s="84">
        <v>1</v>
      </c>
      <c r="AA11" s="86" t="s">
        <v>292</v>
      </c>
      <c r="AB11" s="91">
        <f t="shared" si="7"/>
        <v>113</v>
      </c>
      <c r="AC11" s="143">
        <f t="shared" si="8"/>
        <v>0</v>
      </c>
      <c r="AD11" s="92" t="b">
        <f t="shared" si="27"/>
        <v>0</v>
      </c>
      <c r="AE11" s="92" t="b">
        <f t="shared" si="28"/>
        <v>0</v>
      </c>
      <c r="AF11" s="93">
        <f>IF(AC11&lt;&gt;0,(((VLOOKUP(AD11,COT5P,2))+(VLOOKUP(AE11,COT5P,2)))/2),)</f>
        <v>0</v>
      </c>
      <c r="AG11" s="94" t="s">
        <v>12</v>
      </c>
      <c r="AH11" s="230">
        <f>$AR$21</f>
        <v>0</v>
      </c>
      <c r="AI11" s="205"/>
      <c r="AJ11" s="90">
        <f t="shared" si="9"/>
        <v>0</v>
      </c>
      <c r="AK11" s="90">
        <f t="shared" si="10"/>
        <v>988.79985898001996</v>
      </c>
      <c r="AL11" s="90">
        <f t="shared" si="11"/>
        <v>0</v>
      </c>
      <c r="AM11" s="90">
        <f t="shared" si="12"/>
        <v>0</v>
      </c>
      <c r="AN11" s="90">
        <f t="shared" si="13"/>
        <v>0</v>
      </c>
      <c r="AO11" s="90">
        <f t="shared" si="14"/>
        <v>0</v>
      </c>
      <c r="AP11" s="90">
        <f t="shared" si="15"/>
        <v>0</v>
      </c>
      <c r="AQ11" s="90">
        <f t="shared" si="16"/>
        <v>0</v>
      </c>
      <c r="AR11" s="90">
        <f t="shared" si="17"/>
        <v>0</v>
      </c>
      <c r="AT11" s="147">
        <f t="shared" si="18"/>
        <v>0</v>
      </c>
      <c r="AU11" s="147">
        <f t="shared" si="19"/>
        <v>18</v>
      </c>
      <c r="AV11" s="147">
        <f t="shared" si="29"/>
        <v>19</v>
      </c>
      <c r="AW11" s="148">
        <f t="shared" si="20"/>
        <v>0.99993399999999999</v>
      </c>
      <c r="AX11">
        <f t="shared" si="21"/>
        <v>0.99996700000000005</v>
      </c>
      <c r="AY11">
        <f t="shared" si="30"/>
        <v>0.99993399999999999</v>
      </c>
      <c r="AZ11" s="148"/>
      <c r="BA11" s="166"/>
    </row>
    <row r="12" spans="2:53" ht="20.100000000000001" customHeight="1" thickTop="1" thickBot="1">
      <c r="B12" s="521">
        <v>2</v>
      </c>
      <c r="C12" s="50" t="str">
        <f t="shared" si="0"/>
        <v>KB-95</v>
      </c>
      <c r="D12" s="50" t="str">
        <f t="shared" si="1"/>
        <v>DAP-1 OPET MERSIN BENZIN</v>
      </c>
      <c r="E12" s="176" t="s">
        <v>13</v>
      </c>
      <c r="F12" s="550">
        <v>1130</v>
      </c>
      <c r="G12" s="551">
        <v>18</v>
      </c>
      <c r="H12" s="276">
        <f>'ULLAGE TRIM CORR'!E12</f>
        <v>1130</v>
      </c>
      <c r="I12" s="154">
        <f>J12/ULLAGE_TABLES!T5*100</f>
        <v>97.512785558613857</v>
      </c>
      <c r="J12" s="162">
        <f>'ULLAGE REP'!D14</f>
        <v>1347.654</v>
      </c>
      <c r="K12" s="162">
        <f>'ULLAGE REP'!G14</f>
        <v>1347.5650548359999</v>
      </c>
      <c r="L12" s="465">
        <f t="shared" si="2"/>
        <v>1347.654</v>
      </c>
      <c r="M12" s="202">
        <f t="shared" si="3"/>
        <v>18</v>
      </c>
      <c r="N12" s="198">
        <f t="shared" si="4"/>
        <v>0.73770000000000002</v>
      </c>
      <c r="O12" s="198">
        <f t="shared" si="5"/>
        <v>0.73660000000000003</v>
      </c>
      <c r="P12" s="549">
        <f t="shared" si="22"/>
        <v>0.99993399999999999</v>
      </c>
      <c r="Q12" s="460">
        <f t="shared" si="6"/>
        <v>0.99629999999999996</v>
      </c>
      <c r="R12" s="466">
        <f t="shared" si="23"/>
        <v>1342.6676801999999</v>
      </c>
      <c r="S12" s="464">
        <f t="shared" si="24"/>
        <v>990.48594768353996</v>
      </c>
      <c r="T12" s="43">
        <f t="shared" si="25"/>
        <v>989.00901323532003</v>
      </c>
      <c r="U12" s="187">
        <f t="shared" si="26"/>
        <v>989.00901323532003</v>
      </c>
      <c r="V12" s="176" t="s">
        <v>13</v>
      </c>
      <c r="W12" s="509"/>
      <c r="X12" s="213" t="s">
        <v>105</v>
      </c>
      <c r="Y12" s="214">
        <v>70</v>
      </c>
      <c r="Z12" s="214"/>
      <c r="AA12" s="213"/>
      <c r="AB12" s="215">
        <f t="shared" si="7"/>
        <v>113</v>
      </c>
      <c r="AC12" s="216">
        <f t="shared" si="8"/>
        <v>0</v>
      </c>
      <c r="AD12" s="217" t="b">
        <f t="shared" si="27"/>
        <v>0</v>
      </c>
      <c r="AE12" s="217" t="b">
        <f t="shared" si="28"/>
        <v>0</v>
      </c>
      <c r="AF12" s="218">
        <f>IF(AC12&lt;&gt;0,(((VLOOKUP(AD12,COT5S,2))+(VLOOKUP(AE12,COT5S,2)))/2),)</f>
        <v>0</v>
      </c>
      <c r="AG12" s="219" t="s">
        <v>13</v>
      </c>
      <c r="AH12" s="226"/>
      <c r="AI12" s="205"/>
      <c r="AJ12" s="90">
        <f t="shared" si="9"/>
        <v>0</v>
      </c>
      <c r="AK12" s="90">
        <f t="shared" si="10"/>
        <v>989.00901323532003</v>
      </c>
      <c r="AL12" s="90">
        <f t="shared" si="11"/>
        <v>0</v>
      </c>
      <c r="AM12" s="90">
        <f t="shared" si="12"/>
        <v>0</v>
      </c>
      <c r="AN12" s="90">
        <f t="shared" si="13"/>
        <v>0</v>
      </c>
      <c r="AO12" s="90">
        <f t="shared" si="14"/>
        <v>0</v>
      </c>
      <c r="AP12" s="90">
        <f t="shared" si="15"/>
        <v>0</v>
      </c>
      <c r="AQ12" s="90">
        <f t="shared" si="16"/>
        <v>0</v>
      </c>
      <c r="AR12" s="90">
        <f t="shared" si="17"/>
        <v>0</v>
      </c>
      <c r="AT12" s="147">
        <f t="shared" si="18"/>
        <v>0</v>
      </c>
      <c r="AU12" s="147">
        <f t="shared" si="19"/>
        <v>18</v>
      </c>
      <c r="AV12" s="147">
        <f t="shared" si="29"/>
        <v>19</v>
      </c>
      <c r="AW12" s="148">
        <f t="shared" si="20"/>
        <v>0.99993399999999999</v>
      </c>
      <c r="AX12">
        <f t="shared" si="21"/>
        <v>0.99996700000000005</v>
      </c>
      <c r="AY12">
        <f t="shared" si="30"/>
        <v>0.99993399999999999</v>
      </c>
      <c r="BA12" s="166"/>
    </row>
    <row r="13" spans="2:53" ht="20.100000000000001" customHeight="1" thickTop="1" thickBot="1">
      <c r="B13" s="518">
        <v>1</v>
      </c>
      <c r="C13" s="51" t="str">
        <f t="shared" si="0"/>
        <v>KB-95</v>
      </c>
      <c r="D13" s="51" t="str">
        <f t="shared" si="1"/>
        <v>IKMAL-1 TUPRAS MERSIN BENZIN</v>
      </c>
      <c r="E13" s="177" t="s">
        <v>14</v>
      </c>
      <c r="F13" s="550">
        <v>1130</v>
      </c>
      <c r="G13" s="551">
        <v>18</v>
      </c>
      <c r="H13" s="276">
        <f>'ULLAGE TRIM CORR'!E13</f>
        <v>1130</v>
      </c>
      <c r="I13" s="155">
        <f>J13/ULLAGE_TABLES!V5*100</f>
        <v>97.430028967525502</v>
      </c>
      <c r="J13" s="515">
        <f>'ULLAGE REP'!D15</f>
        <v>1344.36</v>
      </c>
      <c r="K13" s="515">
        <f>'ULLAGE REP'!G15</f>
        <v>1344.2712722399999</v>
      </c>
      <c r="L13" s="467">
        <f t="shared" si="2"/>
        <v>1344.36</v>
      </c>
      <c r="M13" s="203">
        <f t="shared" si="3"/>
        <v>18</v>
      </c>
      <c r="N13" s="195">
        <f t="shared" si="4"/>
        <v>0.73770000000000002</v>
      </c>
      <c r="O13" s="195">
        <f t="shared" si="5"/>
        <v>0.73660000000000003</v>
      </c>
      <c r="P13" s="548">
        <f t="shared" si="22"/>
        <v>0.99993399999999999</v>
      </c>
      <c r="Q13" s="461">
        <f t="shared" si="6"/>
        <v>0.99629999999999996</v>
      </c>
      <c r="R13" s="468">
        <f t="shared" si="23"/>
        <v>1339.3858679999998</v>
      </c>
      <c r="S13" s="469">
        <f t="shared" si="24"/>
        <v>988.06495482359992</v>
      </c>
      <c r="T13" s="44">
        <f t="shared" si="25"/>
        <v>986.59163036879988</v>
      </c>
      <c r="U13" s="44">
        <f t="shared" si="26"/>
        <v>986.59163036879988</v>
      </c>
      <c r="V13" s="177" t="s">
        <v>14</v>
      </c>
      <c r="W13" s="509"/>
      <c r="X13" s="205"/>
      <c r="Y13" s="205"/>
      <c r="Z13" s="205"/>
      <c r="AA13" s="205"/>
      <c r="AB13" s="206">
        <f t="shared" si="7"/>
        <v>113</v>
      </c>
      <c r="AC13" s="207">
        <f t="shared" si="8"/>
        <v>0</v>
      </c>
      <c r="AD13" s="208" t="b">
        <f t="shared" si="27"/>
        <v>0</v>
      </c>
      <c r="AE13" s="208" t="b">
        <f t="shared" si="28"/>
        <v>0</v>
      </c>
      <c r="AF13" s="209">
        <f>IF(AC13&lt;&gt;0,(((VLOOKUP(AD13,COT6P,2))+(VLOOKUP(AE13,COT6P,2)))/2),)</f>
        <v>0</v>
      </c>
      <c r="AG13" s="210" t="s">
        <v>14</v>
      </c>
      <c r="AH13" s="232">
        <f>AA17-Y17</f>
        <v>0</v>
      </c>
      <c r="AI13" s="205"/>
      <c r="AJ13" s="90">
        <f t="shared" si="9"/>
        <v>986.59163036879988</v>
      </c>
      <c r="AK13" s="90">
        <f t="shared" si="10"/>
        <v>0</v>
      </c>
      <c r="AL13" s="90">
        <f t="shared" si="11"/>
        <v>0</v>
      </c>
      <c r="AM13" s="90">
        <f t="shared" si="12"/>
        <v>0</v>
      </c>
      <c r="AN13" s="90">
        <f t="shared" si="13"/>
        <v>0</v>
      </c>
      <c r="AO13" s="90">
        <f t="shared" si="14"/>
        <v>0</v>
      </c>
      <c r="AP13" s="90">
        <f t="shared" si="15"/>
        <v>0</v>
      </c>
      <c r="AQ13" s="90">
        <f t="shared" si="16"/>
        <v>0</v>
      </c>
      <c r="AR13" s="90">
        <f t="shared" si="17"/>
        <v>0</v>
      </c>
      <c r="AT13" s="147">
        <f t="shared" si="18"/>
        <v>0</v>
      </c>
      <c r="AU13" s="147">
        <f t="shared" si="19"/>
        <v>18</v>
      </c>
      <c r="AV13" s="147">
        <f t="shared" si="29"/>
        <v>19</v>
      </c>
      <c r="AW13" s="148">
        <f t="shared" si="20"/>
        <v>0.99993399999999999</v>
      </c>
      <c r="AX13">
        <f t="shared" si="21"/>
        <v>0.99996700000000005</v>
      </c>
      <c r="AY13">
        <f t="shared" si="30"/>
        <v>0.99993399999999999</v>
      </c>
      <c r="AZ13" s="148"/>
      <c r="BA13" s="166"/>
    </row>
    <row r="14" spans="2:53" ht="20.100000000000001" customHeight="1" thickTop="1" thickBot="1">
      <c r="B14" s="519">
        <v>1</v>
      </c>
      <c r="C14" s="52" t="str">
        <f t="shared" si="0"/>
        <v>KB-95</v>
      </c>
      <c r="D14" s="52" t="str">
        <f t="shared" si="1"/>
        <v>IKMAL-1 TUPRAS MERSIN BENZIN</v>
      </c>
      <c r="E14" s="178" t="s">
        <v>15</v>
      </c>
      <c r="F14" s="550">
        <v>1130</v>
      </c>
      <c r="G14" s="551">
        <v>18</v>
      </c>
      <c r="H14" s="276">
        <f>'ULLAGE TRIM CORR'!E14</f>
        <v>1130</v>
      </c>
      <c r="I14" s="154">
        <f>J14/ULLAGE_TABLES!X5*100</f>
        <v>97.47510673715351</v>
      </c>
      <c r="J14" s="516">
        <f>'ULLAGE REP'!D16</f>
        <v>1345.6379999999999</v>
      </c>
      <c r="K14" s="516">
        <f>'ULLAGE REP'!G16</f>
        <v>1345.549187892</v>
      </c>
      <c r="L14" s="470">
        <f t="shared" si="2"/>
        <v>1345.6379999999999</v>
      </c>
      <c r="M14" s="204">
        <f t="shared" si="3"/>
        <v>18</v>
      </c>
      <c r="N14" s="196">
        <f t="shared" si="4"/>
        <v>0.73770000000000002</v>
      </c>
      <c r="O14" s="196">
        <f t="shared" si="5"/>
        <v>0.73660000000000003</v>
      </c>
      <c r="P14" s="549">
        <f t="shared" si="22"/>
        <v>0.99993399999999999</v>
      </c>
      <c r="Q14" s="458">
        <f t="shared" si="6"/>
        <v>0.99629999999999996</v>
      </c>
      <c r="R14" s="475">
        <f t="shared" si="23"/>
        <v>1340.6591394</v>
      </c>
      <c r="S14" s="472">
        <f t="shared" si="24"/>
        <v>989.00424713537996</v>
      </c>
      <c r="T14" s="47">
        <f t="shared" si="25"/>
        <v>987.52952208203999</v>
      </c>
      <c r="U14" s="47">
        <f t="shared" si="26"/>
        <v>987.52952208203999</v>
      </c>
      <c r="V14" s="178" t="s">
        <v>15</v>
      </c>
      <c r="W14" s="509"/>
      <c r="X14" s="205"/>
      <c r="Y14" s="205"/>
      <c r="Z14" s="205"/>
      <c r="AA14" s="205"/>
      <c r="AB14" s="206">
        <f t="shared" si="7"/>
        <v>113</v>
      </c>
      <c r="AC14" s="207">
        <f t="shared" si="8"/>
        <v>0</v>
      </c>
      <c r="AD14" s="208" t="b">
        <f t="shared" si="27"/>
        <v>0</v>
      </c>
      <c r="AE14" s="208" t="b">
        <f t="shared" si="28"/>
        <v>0</v>
      </c>
      <c r="AF14" s="209">
        <f>IF(AC14&lt;&gt;0,(((VLOOKUP(AD14,COT6S,2))+(VLOOKUP(AE14,COT6S,2)))/2),)</f>
        <v>0</v>
      </c>
      <c r="AG14" s="210" t="s">
        <v>15</v>
      </c>
      <c r="AH14" s="227"/>
      <c r="AI14" s="205"/>
      <c r="AJ14" s="90">
        <f t="shared" si="9"/>
        <v>987.52952208203999</v>
      </c>
      <c r="AK14" s="90">
        <f t="shared" si="10"/>
        <v>0</v>
      </c>
      <c r="AL14" s="90">
        <f t="shared" si="11"/>
        <v>0</v>
      </c>
      <c r="AM14" s="90">
        <f t="shared" si="12"/>
        <v>0</v>
      </c>
      <c r="AN14" s="90">
        <f t="shared" si="13"/>
        <v>0</v>
      </c>
      <c r="AO14" s="90">
        <f t="shared" si="14"/>
        <v>0</v>
      </c>
      <c r="AP14" s="90">
        <f t="shared" si="15"/>
        <v>0</v>
      </c>
      <c r="AQ14" s="90">
        <f t="shared" si="16"/>
        <v>0</v>
      </c>
      <c r="AR14" s="90">
        <f t="shared" si="17"/>
        <v>0</v>
      </c>
      <c r="AT14" s="147">
        <f t="shared" si="18"/>
        <v>0</v>
      </c>
      <c r="AU14" s="147">
        <f t="shared" si="19"/>
        <v>18</v>
      </c>
      <c r="AV14" s="147">
        <f t="shared" si="29"/>
        <v>19</v>
      </c>
      <c r="AW14" s="148">
        <f t="shared" si="20"/>
        <v>0.99993399999999999</v>
      </c>
      <c r="AX14">
        <f t="shared" si="21"/>
        <v>0.99996700000000005</v>
      </c>
      <c r="AY14">
        <f t="shared" si="30"/>
        <v>0.99993399999999999</v>
      </c>
      <c r="BA14" s="166"/>
    </row>
    <row r="15" spans="2:53" ht="20.100000000000001" customHeight="1" thickTop="1" thickBot="1">
      <c r="B15" s="518">
        <v>3</v>
      </c>
      <c r="C15" s="49" t="str">
        <f t="shared" si="0"/>
        <v>KB-95</v>
      </c>
      <c r="D15" s="49" t="str">
        <f t="shared" si="1"/>
        <v>DAP-2 SHELL MERSIN BENZIN</v>
      </c>
      <c r="E15" s="175" t="s">
        <v>16</v>
      </c>
      <c r="F15" s="550">
        <v>1130</v>
      </c>
      <c r="G15" s="551">
        <v>18</v>
      </c>
      <c r="H15" s="276">
        <f>'ULLAGE TRIM CORR'!E15</f>
        <v>1130</v>
      </c>
      <c r="I15" s="155">
        <f>J15/ULLAGE_TABLES!Z5*100</f>
        <v>97.522628061262239</v>
      </c>
      <c r="J15" s="163">
        <f>'ULLAGE REP'!D17</f>
        <v>1344.4449999999999</v>
      </c>
      <c r="K15" s="163">
        <f>'ULLAGE REP'!G17</f>
        <v>1344.3562666299999</v>
      </c>
      <c r="L15" s="462">
        <f t="shared" si="2"/>
        <v>1344.4449999999999</v>
      </c>
      <c r="M15" s="201">
        <f t="shared" si="3"/>
        <v>18</v>
      </c>
      <c r="N15" s="197">
        <f t="shared" si="4"/>
        <v>0.73770000000000002</v>
      </c>
      <c r="O15" s="197">
        <f t="shared" si="5"/>
        <v>0.73660000000000003</v>
      </c>
      <c r="P15" s="547">
        <f t="shared" si="22"/>
        <v>0.99993399999999999</v>
      </c>
      <c r="Q15" s="459">
        <f t="shared" si="6"/>
        <v>0.99629999999999996</v>
      </c>
      <c r="R15" s="463">
        <f t="shared" si="23"/>
        <v>1339.4705534999998</v>
      </c>
      <c r="S15" s="464">
        <f t="shared" si="24"/>
        <v>988.12742731694993</v>
      </c>
      <c r="T15" s="42">
        <f t="shared" si="25"/>
        <v>986.65400970809992</v>
      </c>
      <c r="U15" s="188">
        <f t="shared" si="26"/>
        <v>986.65400970809992</v>
      </c>
      <c r="V15" s="175" t="s">
        <v>16</v>
      </c>
      <c r="W15" s="509"/>
      <c r="X15" s="205"/>
      <c r="Y15" s="211"/>
      <c r="Z15" s="205"/>
      <c r="AA15" s="205"/>
      <c r="AB15" s="206">
        <f t="shared" si="7"/>
        <v>113</v>
      </c>
      <c r="AC15" s="207">
        <f t="shared" si="8"/>
        <v>0</v>
      </c>
      <c r="AD15" s="208" t="b">
        <f t="shared" si="27"/>
        <v>0</v>
      </c>
      <c r="AE15" s="208" t="b">
        <f t="shared" si="28"/>
        <v>0</v>
      </c>
      <c r="AF15" s="209">
        <f>IF(AC15&lt;&gt;0,(((VLOOKUP(AD15,COT7P,2))+(VLOOKUP(AE15,COT7P,2)))/2),)</f>
        <v>0</v>
      </c>
      <c r="AG15" s="210" t="s">
        <v>16</v>
      </c>
      <c r="AH15" s="227"/>
      <c r="AI15" s="205"/>
      <c r="AJ15" s="90">
        <f t="shared" si="9"/>
        <v>0</v>
      </c>
      <c r="AK15" s="90">
        <f t="shared" si="10"/>
        <v>0</v>
      </c>
      <c r="AL15" s="90">
        <f t="shared" si="11"/>
        <v>986.65400970809992</v>
      </c>
      <c r="AM15" s="90">
        <f t="shared" si="12"/>
        <v>0</v>
      </c>
      <c r="AN15" s="90">
        <f t="shared" si="13"/>
        <v>0</v>
      </c>
      <c r="AO15" s="90">
        <f t="shared" si="14"/>
        <v>0</v>
      </c>
      <c r="AP15" s="90">
        <f t="shared" si="15"/>
        <v>0</v>
      </c>
      <c r="AQ15" s="90">
        <f t="shared" si="16"/>
        <v>0</v>
      </c>
      <c r="AR15" s="90">
        <f t="shared" si="17"/>
        <v>0</v>
      </c>
      <c r="AT15" s="147">
        <f t="shared" si="18"/>
        <v>0</v>
      </c>
      <c r="AU15" s="147">
        <f t="shared" si="19"/>
        <v>18</v>
      </c>
      <c r="AV15" s="147">
        <f t="shared" si="29"/>
        <v>19</v>
      </c>
      <c r="AW15" s="148">
        <f t="shared" si="20"/>
        <v>0.99993399999999999</v>
      </c>
      <c r="AX15">
        <f t="shared" si="21"/>
        <v>0.99996700000000005</v>
      </c>
      <c r="AY15">
        <f t="shared" si="30"/>
        <v>0.99993399999999999</v>
      </c>
      <c r="AZ15" s="148"/>
      <c r="BA15" s="166"/>
    </row>
    <row r="16" spans="2:53" ht="20.100000000000001" customHeight="1" thickTop="1" thickBot="1">
      <c r="B16" s="519">
        <v>3</v>
      </c>
      <c r="C16" s="50" t="str">
        <f t="shared" si="0"/>
        <v>KB-95</v>
      </c>
      <c r="D16" s="50" t="str">
        <f t="shared" si="1"/>
        <v>DAP-2 SHELL MERSIN BENZIN</v>
      </c>
      <c r="E16" s="176" t="s">
        <v>17</v>
      </c>
      <c r="F16" s="550">
        <v>1130</v>
      </c>
      <c r="G16" s="551">
        <v>18</v>
      </c>
      <c r="H16" s="276">
        <f>'ULLAGE TRIM CORR'!E16</f>
        <v>1130</v>
      </c>
      <c r="I16" s="154">
        <f>J16/ULLAGE_TABLES!AB5*100</f>
        <v>97.535679827856939</v>
      </c>
      <c r="J16" s="162">
        <f>'ULLAGE REP'!D18</f>
        <v>1343.5139999999999</v>
      </c>
      <c r="K16" s="162">
        <f>'ULLAGE REP'!G18</f>
        <v>1343.4253280759999</v>
      </c>
      <c r="L16" s="465">
        <f t="shared" si="2"/>
        <v>1343.5139999999999</v>
      </c>
      <c r="M16" s="202">
        <f t="shared" si="3"/>
        <v>18</v>
      </c>
      <c r="N16" s="198">
        <f t="shared" si="4"/>
        <v>0.73770000000000002</v>
      </c>
      <c r="O16" s="198">
        <f t="shared" si="5"/>
        <v>0.73660000000000003</v>
      </c>
      <c r="P16" s="549">
        <f t="shared" si="22"/>
        <v>0.99993399999999999</v>
      </c>
      <c r="Q16" s="456">
        <f t="shared" si="6"/>
        <v>0.99629999999999996</v>
      </c>
      <c r="R16" s="476">
        <f t="shared" si="23"/>
        <v>1338.5429981999998</v>
      </c>
      <c r="S16" s="464">
        <f t="shared" si="24"/>
        <v>987.44316977213987</v>
      </c>
      <c r="T16" s="43">
        <f t="shared" si="25"/>
        <v>985.97077247411994</v>
      </c>
      <c r="U16" s="187">
        <f t="shared" si="26"/>
        <v>985.97077247411994</v>
      </c>
      <c r="V16" s="176" t="s">
        <v>17</v>
      </c>
      <c r="W16" s="509"/>
      <c r="X16" s="205"/>
      <c r="Y16" s="211"/>
      <c r="Z16" s="205"/>
      <c r="AA16" s="205"/>
      <c r="AB16" s="206">
        <f t="shared" si="7"/>
        <v>113</v>
      </c>
      <c r="AC16" s="207">
        <f t="shared" si="8"/>
        <v>0</v>
      </c>
      <c r="AD16" s="208" t="b">
        <f t="shared" si="27"/>
        <v>0</v>
      </c>
      <c r="AE16" s="208" t="b">
        <f t="shared" si="28"/>
        <v>0</v>
      </c>
      <c r="AF16" s="209">
        <f>IF(AC16&lt;&gt;0,(((VLOOKUP(AD16,COT7S,2))+(VLOOKUP(AE16,COT7S,2)))/2),)</f>
        <v>0</v>
      </c>
      <c r="AG16" s="210" t="s">
        <v>17</v>
      </c>
      <c r="AH16" s="227"/>
      <c r="AI16" s="205"/>
      <c r="AJ16" s="90">
        <f t="shared" si="9"/>
        <v>0</v>
      </c>
      <c r="AK16" s="90">
        <f t="shared" si="10"/>
        <v>0</v>
      </c>
      <c r="AL16" s="90">
        <f t="shared" si="11"/>
        <v>985.97077247411994</v>
      </c>
      <c r="AM16" s="90">
        <f t="shared" si="12"/>
        <v>0</v>
      </c>
      <c r="AN16" s="90">
        <f t="shared" si="13"/>
        <v>0</v>
      </c>
      <c r="AO16" s="90">
        <f t="shared" si="14"/>
        <v>0</v>
      </c>
      <c r="AP16" s="90">
        <f t="shared" si="15"/>
        <v>0</v>
      </c>
      <c r="AQ16" s="90">
        <f t="shared" si="16"/>
        <v>0</v>
      </c>
      <c r="AR16" s="90">
        <f t="shared" si="17"/>
        <v>0</v>
      </c>
      <c r="AT16" s="147">
        <f t="shared" si="18"/>
        <v>0</v>
      </c>
      <c r="AU16" s="147">
        <f t="shared" si="19"/>
        <v>18</v>
      </c>
      <c r="AV16" s="147">
        <f t="shared" si="29"/>
        <v>19</v>
      </c>
      <c r="AW16" s="148">
        <f t="shared" si="20"/>
        <v>0.99993399999999999</v>
      </c>
      <c r="AX16">
        <f t="shared" si="21"/>
        <v>0.99996700000000005</v>
      </c>
      <c r="AY16">
        <f t="shared" si="30"/>
        <v>0.99993399999999999</v>
      </c>
      <c r="BA16" s="166"/>
    </row>
    <row r="17" spans="1:53" ht="20.100000000000001" customHeight="1" thickTop="1" thickBot="1">
      <c r="B17" s="520">
        <v>6</v>
      </c>
      <c r="C17" s="51" t="str">
        <f t="shared" si="0"/>
        <v>KB-95</v>
      </c>
      <c r="D17" s="51" t="str">
        <f t="shared" si="1"/>
        <v>DAP-5 SHELL ANTALYA BENZIN</v>
      </c>
      <c r="E17" s="177" t="s">
        <v>18</v>
      </c>
      <c r="F17" s="550">
        <v>1130</v>
      </c>
      <c r="G17" s="551">
        <v>18</v>
      </c>
      <c r="H17" s="276">
        <f>'ULLAGE TRIM CORR'!E17</f>
        <v>1130</v>
      </c>
      <c r="I17" s="155">
        <f>J17/ULLAGE_TABLES!AD5*100</f>
        <v>97.2674705158894</v>
      </c>
      <c r="J17" s="515">
        <f>'ULLAGE REP'!D19</f>
        <v>1266.973</v>
      </c>
      <c r="K17" s="515">
        <f>'ULLAGE REP'!G19</f>
        <v>1266.8893797819999</v>
      </c>
      <c r="L17" s="467">
        <f t="shared" si="2"/>
        <v>1266.973</v>
      </c>
      <c r="M17" s="203">
        <f t="shared" si="3"/>
        <v>18</v>
      </c>
      <c r="N17" s="199">
        <f t="shared" si="4"/>
        <v>0.73770000000000002</v>
      </c>
      <c r="O17" s="199">
        <f t="shared" si="5"/>
        <v>0.73660000000000003</v>
      </c>
      <c r="P17" s="544">
        <f t="shared" si="22"/>
        <v>0.99993399999999999</v>
      </c>
      <c r="Q17" s="457">
        <f t="shared" si="6"/>
        <v>0.99629999999999996</v>
      </c>
      <c r="R17" s="477">
        <f t="shared" si="23"/>
        <v>1262.2851999</v>
      </c>
      <c r="S17" s="469">
        <f t="shared" si="24"/>
        <v>931.18779196622995</v>
      </c>
      <c r="T17" s="44">
        <f t="shared" si="25"/>
        <v>929.79927824634001</v>
      </c>
      <c r="U17" s="44">
        <f t="shared" si="26"/>
        <v>929.79927824634001</v>
      </c>
      <c r="V17" s="177" t="s">
        <v>18</v>
      </c>
      <c r="W17" s="509"/>
      <c r="X17" s="205"/>
      <c r="Y17" s="704">
        <v>8.6</v>
      </c>
      <c r="Z17" s="704"/>
      <c r="AA17" s="212">
        <v>8.6</v>
      </c>
      <c r="AB17" s="206">
        <f t="shared" si="7"/>
        <v>113</v>
      </c>
      <c r="AC17" s="207">
        <f t="shared" si="8"/>
        <v>0</v>
      </c>
      <c r="AD17" s="208" t="b">
        <f t="shared" si="27"/>
        <v>0</v>
      </c>
      <c r="AE17" s="208" t="b">
        <f t="shared" si="28"/>
        <v>0</v>
      </c>
      <c r="AF17" s="209">
        <f>IF(AC17&lt;&gt;0,(((VLOOKUP(AD17,COT8P,2))+(VLOOKUP(AE17,COT8P,2)))/2),)</f>
        <v>0</v>
      </c>
      <c r="AG17" s="210" t="s">
        <v>18</v>
      </c>
      <c r="AH17" s="227"/>
      <c r="AI17" s="205"/>
      <c r="AJ17" s="90">
        <f t="shared" si="9"/>
        <v>0</v>
      </c>
      <c r="AK17" s="90">
        <f t="shared" si="10"/>
        <v>0</v>
      </c>
      <c r="AL17" s="90">
        <f t="shared" si="11"/>
        <v>0</v>
      </c>
      <c r="AM17" s="90">
        <f t="shared" si="12"/>
        <v>0</v>
      </c>
      <c r="AN17" s="90">
        <f t="shared" si="13"/>
        <v>0</v>
      </c>
      <c r="AO17" s="90">
        <f t="shared" si="14"/>
        <v>929.79927824634001</v>
      </c>
      <c r="AP17" s="90">
        <f t="shared" si="15"/>
        <v>0</v>
      </c>
      <c r="AQ17" s="90">
        <f t="shared" si="16"/>
        <v>0</v>
      </c>
      <c r="AR17" s="90">
        <f t="shared" si="17"/>
        <v>0</v>
      </c>
      <c r="AT17" s="147">
        <f t="shared" si="18"/>
        <v>0</v>
      </c>
      <c r="AU17" s="147">
        <f t="shared" si="19"/>
        <v>18</v>
      </c>
      <c r="AV17" s="147">
        <f t="shared" si="29"/>
        <v>19</v>
      </c>
      <c r="AW17" s="148">
        <f t="shared" si="20"/>
        <v>0.99993399999999999</v>
      </c>
      <c r="AX17">
        <f t="shared" si="21"/>
        <v>0.99996700000000005</v>
      </c>
      <c r="AY17">
        <f t="shared" si="30"/>
        <v>0.99993399999999999</v>
      </c>
      <c r="BA17" s="166"/>
    </row>
    <row r="18" spans="1:53" ht="20.100000000000001" customHeight="1" thickTop="1" thickBot="1">
      <c r="B18" s="521">
        <v>4</v>
      </c>
      <c r="C18" s="51" t="str">
        <f t="shared" si="0"/>
        <v>KB-95</v>
      </c>
      <c r="D18" s="52" t="str">
        <f t="shared" si="1"/>
        <v>DAP-3 POAS MERSIN BENZIN</v>
      </c>
      <c r="E18" s="178" t="s">
        <v>19</v>
      </c>
      <c r="F18" s="550">
        <v>1130</v>
      </c>
      <c r="G18" s="551">
        <v>18</v>
      </c>
      <c r="H18" s="276">
        <f>'ULLAGE TRIM CORR'!E18</f>
        <v>1130</v>
      </c>
      <c r="I18" s="151">
        <f>J18/ULLAGE_TABLES!AF5*100</f>
        <v>97.421835892994778</v>
      </c>
      <c r="J18" s="516">
        <f>'ULLAGE REP'!D20</f>
        <v>1268.9349999999999</v>
      </c>
      <c r="K18" s="552">
        <f>'ULLAGE REP'!G20</f>
        <v>1268.8512502899998</v>
      </c>
      <c r="L18" s="470">
        <f t="shared" si="2"/>
        <v>1268.9349999999999</v>
      </c>
      <c r="M18" s="204">
        <f t="shared" si="3"/>
        <v>18</v>
      </c>
      <c r="N18" s="200">
        <f t="shared" si="4"/>
        <v>0.73770000000000002</v>
      </c>
      <c r="O18" s="200">
        <f t="shared" si="5"/>
        <v>0.73660000000000003</v>
      </c>
      <c r="P18" s="547">
        <f t="shared" si="22"/>
        <v>0.99993399999999999</v>
      </c>
      <c r="Q18" s="458">
        <f t="shared" si="6"/>
        <v>0.99629999999999996</v>
      </c>
      <c r="R18" s="471">
        <f t="shared" si="23"/>
        <v>1264.2399404999999</v>
      </c>
      <c r="S18" s="472">
        <f t="shared" si="24"/>
        <v>932.62980410684997</v>
      </c>
      <c r="T18" s="45">
        <f t="shared" si="25"/>
        <v>931.23914017229993</v>
      </c>
      <c r="U18" s="47">
        <f t="shared" si="26"/>
        <v>931.23914017229993</v>
      </c>
      <c r="V18" s="178" t="s">
        <v>19</v>
      </c>
      <c r="W18" s="509"/>
      <c r="X18" s="220"/>
      <c r="Y18" s="220"/>
      <c r="Z18" s="220"/>
      <c r="AA18" s="220" t="s">
        <v>291</v>
      </c>
      <c r="AB18" s="221">
        <f t="shared" si="7"/>
        <v>113</v>
      </c>
      <c r="AC18" s="222">
        <f t="shared" si="8"/>
        <v>0</v>
      </c>
      <c r="AD18" s="223" t="b">
        <f t="shared" si="27"/>
        <v>0</v>
      </c>
      <c r="AE18" s="223" t="b">
        <f t="shared" si="28"/>
        <v>0</v>
      </c>
      <c r="AF18" s="224">
        <f>IF(AC18&lt;&gt;0,(((VLOOKUP(AD18,COT8S,2))+(VLOOKUP(AE18,COT8S,2)))/2),)</f>
        <v>0</v>
      </c>
      <c r="AG18" s="225" t="s">
        <v>19</v>
      </c>
      <c r="AH18" s="228"/>
      <c r="AI18" s="205"/>
      <c r="AJ18" s="90">
        <f t="shared" si="9"/>
        <v>0</v>
      </c>
      <c r="AK18" s="90">
        <f t="shared" si="10"/>
        <v>0</v>
      </c>
      <c r="AL18" s="90">
        <f t="shared" si="11"/>
        <v>0</v>
      </c>
      <c r="AM18" s="90">
        <f t="shared" si="12"/>
        <v>931.23914017229993</v>
      </c>
      <c r="AN18" s="90">
        <f t="shared" si="13"/>
        <v>0</v>
      </c>
      <c r="AO18" s="90">
        <f t="shared" si="14"/>
        <v>0</v>
      </c>
      <c r="AP18" s="90">
        <f t="shared" si="15"/>
        <v>0</v>
      </c>
      <c r="AQ18" s="90">
        <f t="shared" si="16"/>
        <v>0</v>
      </c>
      <c r="AR18" s="90">
        <f t="shared" si="17"/>
        <v>0</v>
      </c>
      <c r="AT18" s="147">
        <f t="shared" si="18"/>
        <v>0</v>
      </c>
      <c r="AU18" s="147">
        <f t="shared" si="19"/>
        <v>18</v>
      </c>
      <c r="AV18" s="147">
        <f t="shared" si="29"/>
        <v>19</v>
      </c>
      <c r="AW18" s="148">
        <f t="shared" si="20"/>
        <v>0.99993399999999999</v>
      </c>
      <c r="AX18">
        <f t="shared" si="21"/>
        <v>0.99996700000000005</v>
      </c>
      <c r="AY18">
        <f t="shared" si="30"/>
        <v>0.99993399999999999</v>
      </c>
      <c r="BA18" s="166"/>
    </row>
    <row r="19" spans="1:53" ht="20.100000000000001" customHeight="1" thickTop="1" thickBot="1">
      <c r="B19" s="518">
        <v>9</v>
      </c>
      <c r="C19" s="49" t="str">
        <f t="shared" si="0"/>
        <v>SLOP</v>
      </c>
      <c r="D19" s="49" t="str">
        <f t="shared" si="1"/>
        <v>ANNEX I WASHING WATER</v>
      </c>
      <c r="E19" s="175" t="s">
        <v>83</v>
      </c>
      <c r="F19" s="561"/>
      <c r="G19" s="551"/>
      <c r="H19" s="276">
        <f>'ULLAGE TRIM CORR'!E19</f>
        <v>0</v>
      </c>
      <c r="I19" s="150">
        <f>J19/ULLAGE_TABLES!AH5*100</f>
        <v>0</v>
      </c>
      <c r="J19" s="163">
        <f>'ULLAGE REP'!D21</f>
        <v>0</v>
      </c>
      <c r="K19" s="161">
        <f>'ULLAGE REP'!G21</f>
        <v>0</v>
      </c>
      <c r="L19" s="462">
        <f t="shared" si="2"/>
        <v>0</v>
      </c>
      <c r="M19" s="201">
        <f>G19</f>
        <v>0</v>
      </c>
      <c r="N19" s="197">
        <f t="shared" si="4"/>
        <v>1</v>
      </c>
      <c r="O19" s="197">
        <f t="shared" si="5"/>
        <v>0.99890000000000001</v>
      </c>
      <c r="P19" s="546">
        <f t="shared" si="22"/>
        <v>0.99934000000000001</v>
      </c>
      <c r="Q19" s="459">
        <f t="shared" si="6"/>
        <v>1.0101</v>
      </c>
      <c r="R19" s="473">
        <f t="shared" si="23"/>
        <v>0</v>
      </c>
      <c r="S19" s="464">
        <f t="shared" si="24"/>
        <v>0</v>
      </c>
      <c r="T19" s="46">
        <f t="shared" si="25"/>
        <v>0</v>
      </c>
      <c r="U19" s="188">
        <f t="shared" si="26"/>
        <v>0</v>
      </c>
      <c r="V19" s="175" t="s">
        <v>83</v>
      </c>
      <c r="W19" s="512"/>
      <c r="X19" s="205"/>
      <c r="Y19" s="490"/>
      <c r="Z19" s="506" t="s">
        <v>257</v>
      </c>
      <c r="AA19" s="205"/>
      <c r="AB19" s="491">
        <f>(QUOTIENT(F19/10,1))</f>
        <v>0</v>
      </c>
      <c r="AC19" s="492">
        <f>AB19-(F19/10)</f>
        <v>0</v>
      </c>
      <c r="AD19" s="493" t="b">
        <f>IF(AC19&lt;&gt;0,AB19*10)</f>
        <v>0</v>
      </c>
      <c r="AE19" s="493" t="b">
        <f>IF(AC19&lt;&gt;0,(AB19+1)*10)</f>
        <v>0</v>
      </c>
      <c r="AF19" s="494">
        <f>IF(AC19&lt;&gt;0,(((VLOOKUP(AD19,SLOPP,2))+(VLOOKUP(AE19,SLOPP,2)))/2),)</f>
        <v>0</v>
      </c>
      <c r="AG19" s="495" t="s">
        <v>83</v>
      </c>
      <c r="AH19" s="205"/>
      <c r="AI19" s="205"/>
      <c r="AJ19" s="90">
        <f t="shared" si="9"/>
        <v>0</v>
      </c>
      <c r="AK19" s="90">
        <f t="shared" si="10"/>
        <v>0</v>
      </c>
      <c r="AL19" s="90">
        <f t="shared" si="11"/>
        <v>0</v>
      </c>
      <c r="AM19" s="90">
        <f t="shared" si="12"/>
        <v>0</v>
      </c>
      <c r="AN19" s="90">
        <f t="shared" si="13"/>
        <v>0</v>
      </c>
      <c r="AO19" s="90">
        <f t="shared" si="14"/>
        <v>0</v>
      </c>
      <c r="AP19" s="90">
        <f t="shared" si="15"/>
        <v>0</v>
      </c>
      <c r="AQ19" s="90">
        <f t="shared" si="16"/>
        <v>0</v>
      </c>
      <c r="AR19" s="90">
        <f t="shared" si="17"/>
        <v>0</v>
      </c>
      <c r="AT19" s="147">
        <f t="shared" si="18"/>
        <v>0</v>
      </c>
      <c r="AU19" s="147">
        <f t="shared" si="19"/>
        <v>0</v>
      </c>
      <c r="AV19" s="147">
        <f t="shared" si="29"/>
        <v>1</v>
      </c>
      <c r="AW19" s="148">
        <f t="shared" si="20"/>
        <v>0.99934000000000001</v>
      </c>
      <c r="AX19">
        <f t="shared" si="21"/>
        <v>0.99937299999999996</v>
      </c>
      <c r="AY19">
        <f t="shared" si="30"/>
        <v>0.99934000000000001</v>
      </c>
      <c r="BA19" s="166"/>
    </row>
    <row r="20" spans="1:53" ht="20.100000000000001" customHeight="1" thickTop="1" thickBot="1">
      <c r="B20" s="522">
        <v>6</v>
      </c>
      <c r="C20" s="172" t="str">
        <f t="shared" si="0"/>
        <v>KB-95</v>
      </c>
      <c r="D20" s="170" t="str">
        <f t="shared" si="1"/>
        <v>DAP-5 SHELL ANTALYA BENZIN</v>
      </c>
      <c r="E20" s="176" t="s">
        <v>20</v>
      </c>
      <c r="F20" s="550">
        <v>1780</v>
      </c>
      <c r="G20" s="551">
        <v>18</v>
      </c>
      <c r="H20" s="276">
        <f>'ULLAGE TRIM CORR'!E20</f>
        <v>1780</v>
      </c>
      <c r="I20" s="156">
        <f>J20/ULLAGE_TABLES!AJ5*100</f>
        <v>90.550487716763016</v>
      </c>
      <c r="J20" s="164">
        <f>'ULLAGE REP'!D22</f>
        <v>360.92700000000002</v>
      </c>
      <c r="K20" s="162">
        <f>'ULLAGE REP'!G22</f>
        <v>360.90317881800001</v>
      </c>
      <c r="L20" s="465">
        <f t="shared" si="2"/>
        <v>360.92700000000002</v>
      </c>
      <c r="M20" s="202">
        <f t="shared" si="3"/>
        <v>18</v>
      </c>
      <c r="N20" s="198">
        <f t="shared" si="4"/>
        <v>0.73770000000000002</v>
      </c>
      <c r="O20" s="198">
        <f t="shared" si="5"/>
        <v>0.73660000000000003</v>
      </c>
      <c r="P20" s="547">
        <f t="shared" si="22"/>
        <v>0.99993399999999999</v>
      </c>
      <c r="Q20" s="455">
        <f t="shared" si="6"/>
        <v>0.99629999999999996</v>
      </c>
      <c r="R20" s="478">
        <f t="shared" si="23"/>
        <v>359.59157010000001</v>
      </c>
      <c r="S20" s="464">
        <f t="shared" si="24"/>
        <v>265.27070126276999</v>
      </c>
      <c r="T20" s="42">
        <f t="shared" si="25"/>
        <v>264.87515053566</v>
      </c>
      <c r="U20" s="189">
        <f t="shared" si="26"/>
        <v>264.87515053566</v>
      </c>
      <c r="V20" s="191" t="s">
        <v>20</v>
      </c>
      <c r="W20" s="509"/>
      <c r="X20" s="205" t="s">
        <v>262</v>
      </c>
      <c r="Y20" s="205"/>
      <c r="Z20" s="205"/>
      <c r="AA20" s="205"/>
      <c r="AB20" s="496">
        <f t="shared" si="7"/>
        <v>178</v>
      </c>
      <c r="AC20" s="497">
        <f t="shared" si="8"/>
        <v>0</v>
      </c>
      <c r="AD20" s="498" t="b">
        <f t="shared" si="27"/>
        <v>0</v>
      </c>
      <c r="AE20" s="498" t="b">
        <f t="shared" si="28"/>
        <v>0</v>
      </c>
      <c r="AF20" s="499">
        <f>IF(AC20&lt;&gt;0,(((VLOOKUP(AD20,SLOPS,2))+(VLOOKUP(AE20,SLOPS,2)))/2),)</f>
        <v>0</v>
      </c>
      <c r="AG20" s="500" t="s">
        <v>20</v>
      </c>
      <c r="AH20" s="205"/>
      <c r="AI20" s="205"/>
      <c r="AJ20" s="90">
        <f t="shared" si="9"/>
        <v>0</v>
      </c>
      <c r="AK20" s="90">
        <f t="shared" si="10"/>
        <v>0</v>
      </c>
      <c r="AL20" s="90">
        <f t="shared" si="11"/>
        <v>0</v>
      </c>
      <c r="AM20" s="90">
        <f t="shared" si="12"/>
        <v>0</v>
      </c>
      <c r="AN20" s="90">
        <f t="shared" si="13"/>
        <v>0</v>
      </c>
      <c r="AO20" s="90">
        <f t="shared" si="14"/>
        <v>264.87515053566</v>
      </c>
      <c r="AP20" s="90">
        <f t="shared" si="15"/>
        <v>0</v>
      </c>
      <c r="AQ20" s="90">
        <f t="shared" si="16"/>
        <v>0</v>
      </c>
      <c r="AR20" s="90">
        <f t="shared" si="17"/>
        <v>0</v>
      </c>
      <c r="AT20" s="147">
        <f t="shared" si="18"/>
        <v>0</v>
      </c>
      <c r="AU20" s="147">
        <f t="shared" si="19"/>
        <v>18</v>
      </c>
      <c r="AV20" s="147">
        <f t="shared" si="29"/>
        <v>19</v>
      </c>
      <c r="AW20" s="148">
        <f t="shared" si="20"/>
        <v>0.99993399999999999</v>
      </c>
      <c r="AX20">
        <f t="shared" si="21"/>
        <v>0.99996700000000005</v>
      </c>
      <c r="AY20">
        <f t="shared" si="30"/>
        <v>0.99993399999999999</v>
      </c>
      <c r="BA20" s="166"/>
    </row>
    <row r="21" spans="1:53" ht="20.100000000000001" customHeight="1" thickTop="1" thickBot="1">
      <c r="B21" s="694" t="s">
        <v>87</v>
      </c>
      <c r="C21" s="695"/>
      <c r="D21" s="171" t="s">
        <v>310</v>
      </c>
      <c r="E21" s="185" t="s">
        <v>109</v>
      </c>
      <c r="F21" s="173">
        <v>23</v>
      </c>
      <c r="G21" s="705"/>
      <c r="H21" s="706"/>
      <c r="I21" s="113" t="s">
        <v>91</v>
      </c>
      <c r="J21" s="169">
        <f>SUM(J3:J20)</f>
        <v>21093.743000000002</v>
      </c>
      <c r="K21" s="375">
        <f>SUM(K3:K20)</f>
        <v>21092.350812961995</v>
      </c>
      <c r="L21" s="181">
        <f>SUM(L3:L20)</f>
        <v>21093.743000000002</v>
      </c>
      <c r="M21" s="182"/>
      <c r="N21" s="182"/>
      <c r="O21" s="110"/>
      <c r="P21" s="110"/>
      <c r="Q21" s="183"/>
      <c r="R21" s="453">
        <f>SUM(R3:R20)</f>
        <v>21018.929842900001</v>
      </c>
      <c r="S21" s="184">
        <f>SUM(S3:S20)</f>
        <v>15783.918626594528</v>
      </c>
      <c r="T21" s="48">
        <f>SUM(T3:T20)</f>
        <v>15760.79780376734</v>
      </c>
      <c r="U21" s="702">
        <f>SUM(U3:U20)</f>
        <v>15760.79780376734</v>
      </c>
      <c r="V21" s="703"/>
      <c r="W21" s="510"/>
      <c r="X21" s="205" t="s">
        <v>260</v>
      </c>
      <c r="Y21" s="205"/>
      <c r="Z21" s="205"/>
      <c r="AA21" s="205"/>
      <c r="AB21" s="501">
        <f t="shared" si="7"/>
        <v>2</v>
      </c>
      <c r="AC21" s="502">
        <f t="shared" si="8"/>
        <v>-0.29999999999999982</v>
      </c>
      <c r="AD21" s="503">
        <f t="shared" si="27"/>
        <v>20</v>
      </c>
      <c r="AE21" s="503">
        <f t="shared" si="28"/>
        <v>30</v>
      </c>
      <c r="AF21" s="205"/>
      <c r="AG21" s="205"/>
      <c r="AH21" s="205"/>
      <c r="AI21" s="205"/>
      <c r="AJ21" s="90">
        <f t="shared" ref="AJ21:AR21" si="31">SUM(AJ3:AJ20)</f>
        <v>2545.37939976696</v>
      </c>
      <c r="AK21" s="90">
        <f t="shared" si="31"/>
        <v>2545.2128102372999</v>
      </c>
      <c r="AL21" s="90">
        <f t="shared" si="31"/>
        <v>3949.5163111725597</v>
      </c>
      <c r="AM21" s="90">
        <f t="shared" si="31"/>
        <v>931.23914017229993</v>
      </c>
      <c r="AN21" s="90">
        <f t="shared" si="31"/>
        <v>988.34925998790015</v>
      </c>
      <c r="AO21" s="90">
        <f t="shared" si="31"/>
        <v>1194.6744287819999</v>
      </c>
      <c r="AP21" s="90">
        <f t="shared" si="31"/>
        <v>1168.4046543163199</v>
      </c>
      <c r="AQ21" s="90">
        <f t="shared" si="31"/>
        <v>2438.0217993320002</v>
      </c>
      <c r="AR21" s="90">
        <f t="shared" si="31"/>
        <v>0</v>
      </c>
      <c r="BA21" s="166"/>
    </row>
    <row r="22" spans="1:53" ht="20.100000000000001" customHeight="1" thickTop="1" thickBot="1">
      <c r="B22" s="696" t="s">
        <v>0</v>
      </c>
      <c r="C22" s="697"/>
      <c r="D22" s="486" t="s">
        <v>311</v>
      </c>
      <c r="E22" s="186" t="s">
        <v>110</v>
      </c>
      <c r="F22" s="174">
        <f ca="1">TODAY()</f>
        <v>46009</v>
      </c>
      <c r="G22" s="707"/>
      <c r="H22" s="708"/>
      <c r="I22" s="489"/>
      <c r="J22" s="167" t="s">
        <v>31</v>
      </c>
      <c r="K22" s="167"/>
      <c r="L22" s="168" t="s">
        <v>3</v>
      </c>
      <c r="M22" s="698" t="s">
        <v>175</v>
      </c>
      <c r="N22" s="699"/>
      <c r="O22" s="699"/>
      <c r="P22" s="700">
        <v>0.99919999999999998</v>
      </c>
      <c r="Q22" s="701"/>
      <c r="R22" s="53" t="s">
        <v>2</v>
      </c>
      <c r="S22" s="111" t="s">
        <v>85</v>
      </c>
      <c r="T22" s="112" t="s">
        <v>84</v>
      </c>
      <c r="U22" s="190"/>
      <c r="V22" s="179"/>
      <c r="W22" s="511"/>
      <c r="X22" s="205" t="s">
        <v>261</v>
      </c>
      <c r="Y22" s="205"/>
      <c r="Z22" s="205"/>
      <c r="AA22" s="205"/>
      <c r="AB22" s="496">
        <f ca="1">(QUOTIENT(F22/10,1))</f>
        <v>4600</v>
      </c>
      <c r="AC22" s="497">
        <f ca="1">AB22-(F22/10)</f>
        <v>-0.8999999999996362</v>
      </c>
      <c r="AD22" s="498">
        <f ca="1">IF(AC22&lt;&gt;0,AB22*10)</f>
        <v>46000</v>
      </c>
      <c r="AE22" s="498">
        <f ca="1">IF(AC22&lt;&gt;0,(AB22+1)*10)</f>
        <v>46010</v>
      </c>
      <c r="AF22" s="499">
        <f ca="1">IF(AC22&lt;&gt;0,(((VLOOKUP(AD22,SLOPS,2))+(VLOOKUP(AE22,SLOPS,2)))/2),)</f>
        <v>0.19900000000000001</v>
      </c>
      <c r="AG22" s="500" t="s">
        <v>20</v>
      </c>
      <c r="AH22" s="205"/>
      <c r="AI22" s="205"/>
    </row>
    <row r="23" spans="1:53" ht="20.100000000000001" customHeight="1" thickTop="1" thickBot="1">
      <c r="B23" s="97"/>
      <c r="C23" s="709"/>
      <c r="D23" s="709"/>
      <c r="E23" s="709"/>
      <c r="F23" s="709"/>
      <c r="G23" s="709"/>
      <c r="H23" s="709"/>
      <c r="I23" s="709"/>
      <c r="J23" s="709"/>
      <c r="K23" s="709"/>
      <c r="L23" s="709"/>
      <c r="M23" s="709"/>
      <c r="N23" s="709"/>
      <c r="O23" s="709"/>
      <c r="P23" s="709"/>
      <c r="Q23" s="709"/>
      <c r="R23" s="709"/>
      <c r="S23" s="709"/>
      <c r="T23" s="709"/>
      <c r="U23" s="709"/>
      <c r="V23" s="710"/>
      <c r="W23" s="205"/>
      <c r="X23" s="205" t="s">
        <v>263</v>
      </c>
      <c r="Y23" s="205"/>
      <c r="Z23" s="205"/>
      <c r="AA23" s="205"/>
      <c r="AB23" s="496">
        <f>(QUOTIENT(F23/10,1))</f>
        <v>0</v>
      </c>
      <c r="AC23" s="497">
        <f>AB23-(F23/10)</f>
        <v>0</v>
      </c>
      <c r="AD23" s="498" t="b">
        <f>IF(AC23&lt;&gt;0,AB23*10)</f>
        <v>0</v>
      </c>
      <c r="AE23" s="498" t="b">
        <f>IF(AC23&lt;&gt;0,(AB23+1)*10)</f>
        <v>0</v>
      </c>
      <c r="AF23" s="499">
        <f>IF(AC23&lt;&gt;0,(((VLOOKUP(AD23,SLOPS,2))+(VLOOKUP(AE23,SLOPS,2)))/2),)</f>
        <v>0</v>
      </c>
      <c r="AG23" s="500" t="s">
        <v>20</v>
      </c>
      <c r="AH23" s="205"/>
      <c r="AI23" s="205"/>
    </row>
    <row r="24" spans="1:53" ht="20.100000000000001" customHeight="1" thickTop="1" thickBot="1">
      <c r="B24" s="688">
        <v>1</v>
      </c>
      <c r="C24" s="711"/>
      <c r="D24" s="711"/>
      <c r="E24" s="711"/>
      <c r="F24" s="711"/>
      <c r="G24" s="711"/>
      <c r="H24" s="711"/>
      <c r="I24" s="711"/>
      <c r="J24" s="711"/>
      <c r="K24" s="711"/>
      <c r="L24" s="711"/>
      <c r="M24" s="711"/>
      <c r="N24" s="711"/>
      <c r="O24" s="711"/>
      <c r="P24" s="711"/>
      <c r="Q24" s="711"/>
      <c r="R24" s="711"/>
      <c r="S24" s="711"/>
      <c r="T24" s="711"/>
      <c r="U24" s="711"/>
      <c r="V24" s="712"/>
      <c r="W24" s="205"/>
      <c r="X24" s="205" t="s">
        <v>264</v>
      </c>
      <c r="Y24" s="205"/>
      <c r="Z24" s="205"/>
      <c r="AA24" s="205"/>
      <c r="AB24" s="496">
        <f>(QUOTIENT(F24/10,1))</f>
        <v>0</v>
      </c>
      <c r="AC24" s="497">
        <f>AB24-(F24/10)</f>
        <v>0</v>
      </c>
      <c r="AD24" s="498" t="b">
        <f>IF(AC24&lt;&gt;0,AB24*10)</f>
        <v>0</v>
      </c>
      <c r="AE24" s="498" t="b">
        <f>IF(AC24&lt;&gt;0,(AB24+1)*10)</f>
        <v>0</v>
      </c>
      <c r="AF24" s="499">
        <f>IF(AC24&lt;&gt;0,(((VLOOKUP(AD24,SLOPS,2))+(VLOOKUP(AE24,SLOPS,2)))/2),)</f>
        <v>0</v>
      </c>
      <c r="AG24" s="500" t="s">
        <v>20</v>
      </c>
      <c r="AH24" s="205"/>
      <c r="AI24" s="205"/>
    </row>
    <row r="25" spans="1:53" ht="18" customHeight="1" thickTop="1" thickBot="1">
      <c r="B25" s="689"/>
      <c r="C25" s="711"/>
      <c r="D25" s="711"/>
      <c r="E25" s="711"/>
      <c r="F25" s="711"/>
      <c r="G25" s="711"/>
      <c r="H25" s="711"/>
      <c r="I25" s="711"/>
      <c r="J25" s="711"/>
      <c r="K25" s="711"/>
      <c r="L25" s="711"/>
      <c r="M25" s="711"/>
      <c r="N25" s="711"/>
      <c r="O25" s="711"/>
      <c r="P25" s="711"/>
      <c r="Q25" s="711"/>
      <c r="R25" s="711"/>
      <c r="S25" s="711"/>
      <c r="T25" s="711"/>
      <c r="U25" s="711"/>
      <c r="V25" s="712"/>
      <c r="W25" s="205"/>
      <c r="X25" s="205" t="s">
        <v>265</v>
      </c>
      <c r="Y25" s="205"/>
      <c r="Z25" s="205"/>
      <c r="AA25" s="205"/>
      <c r="AB25" s="501">
        <f>(QUOTIENT(F25/10,1))</f>
        <v>0</v>
      </c>
      <c r="AC25" s="502">
        <f>AB25-(F25/10)</f>
        <v>0</v>
      </c>
      <c r="AD25" s="503" t="b">
        <f>IF(AC25&lt;&gt;0,AB25*10)</f>
        <v>0</v>
      </c>
      <c r="AE25" s="503" t="b">
        <f>IF(AC25&lt;&gt;0,(AB25+1)*10)</f>
        <v>0</v>
      </c>
      <c r="AF25" s="205"/>
      <c r="AG25" s="205"/>
      <c r="AH25" s="205"/>
      <c r="AI25" s="205"/>
    </row>
    <row r="26" spans="1:53" ht="20.100000000000001" customHeight="1" thickBot="1">
      <c r="B26" s="97"/>
      <c r="C26" s="713"/>
      <c r="D26" s="713"/>
      <c r="E26" s="713"/>
      <c r="F26" s="713"/>
      <c r="G26" s="713"/>
      <c r="H26" s="713"/>
      <c r="I26" s="713"/>
      <c r="J26" s="713"/>
      <c r="K26" s="713"/>
      <c r="L26" s="713"/>
      <c r="M26" s="713"/>
      <c r="N26" s="713"/>
      <c r="O26" s="713"/>
      <c r="P26" s="713"/>
      <c r="Q26" s="713"/>
      <c r="R26" s="713"/>
      <c r="S26" s="713"/>
      <c r="T26" s="713"/>
      <c r="U26" s="713"/>
      <c r="V26" s="714"/>
      <c r="W26" s="205"/>
      <c r="X26" s="205" t="s">
        <v>266</v>
      </c>
      <c r="Y26" s="205"/>
      <c r="Z26" s="205"/>
      <c r="AA26" s="504"/>
      <c r="AB26" s="205"/>
      <c r="AC26" s="205"/>
      <c r="AD26" s="205"/>
      <c r="AE26" s="205"/>
      <c r="AF26" s="205"/>
      <c r="AG26" s="205"/>
      <c r="AH26" s="205"/>
      <c r="AI26" s="205"/>
    </row>
    <row r="27" spans="1:53" ht="20.100000000000001" customHeight="1" thickTop="1">
      <c r="A27" s="488"/>
      <c r="B27" s="679" t="s">
        <v>255</v>
      </c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0"/>
      <c r="P27" s="680"/>
      <c r="Q27" s="680"/>
      <c r="R27" s="680"/>
      <c r="S27" s="680"/>
      <c r="T27" s="680"/>
      <c r="U27" s="680"/>
      <c r="V27" s="681"/>
      <c r="W27" s="205"/>
      <c r="X27" s="205" t="s">
        <v>267</v>
      </c>
      <c r="Y27" s="205"/>
      <c r="Z27" s="205"/>
      <c r="AA27" s="205"/>
      <c r="AB27" s="205"/>
      <c r="AC27" s="205"/>
      <c r="AD27" s="205"/>
      <c r="AE27" s="205"/>
      <c r="AF27" s="205"/>
      <c r="AG27" s="205"/>
      <c r="AH27" s="205"/>
      <c r="AI27" s="205"/>
    </row>
    <row r="28" spans="1:53" ht="20.100000000000001" customHeight="1">
      <c r="A28" s="488"/>
      <c r="B28" s="682"/>
      <c r="C28" s="683"/>
      <c r="D28" s="683"/>
      <c r="E28" s="683"/>
      <c r="F28" s="683"/>
      <c r="G28" s="683"/>
      <c r="H28" s="683"/>
      <c r="I28" s="683"/>
      <c r="J28" s="683"/>
      <c r="K28" s="683"/>
      <c r="L28" s="683"/>
      <c r="M28" s="683"/>
      <c r="N28" s="683"/>
      <c r="O28" s="683"/>
      <c r="P28" s="683"/>
      <c r="Q28" s="683"/>
      <c r="R28" s="683"/>
      <c r="S28" s="683"/>
      <c r="T28" s="683"/>
      <c r="U28" s="683"/>
      <c r="V28" s="684"/>
      <c r="W28" s="205"/>
      <c r="X28" s="205" t="s">
        <v>259</v>
      </c>
      <c r="Y28" s="205"/>
      <c r="Z28" s="205"/>
      <c r="AA28" s="205"/>
      <c r="AB28" s="205"/>
      <c r="AC28" s="205"/>
      <c r="AD28" s="205"/>
      <c r="AE28" s="205"/>
      <c r="AF28" s="205"/>
      <c r="AG28" s="205"/>
      <c r="AH28" s="205"/>
      <c r="AI28" s="205"/>
    </row>
    <row r="29" spans="1:53" ht="20.100000000000001" customHeight="1" thickBot="1">
      <c r="A29" s="488"/>
      <c r="B29" s="685"/>
      <c r="C29" s="686"/>
      <c r="D29" s="686"/>
      <c r="E29" s="686"/>
      <c r="F29" s="686"/>
      <c r="G29" s="686"/>
      <c r="H29" s="686"/>
      <c r="I29" s="686"/>
      <c r="J29" s="686"/>
      <c r="K29" s="686"/>
      <c r="L29" s="686"/>
      <c r="M29" s="686"/>
      <c r="N29" s="686"/>
      <c r="O29" s="686"/>
      <c r="P29" s="686"/>
      <c r="Q29" s="686"/>
      <c r="R29" s="686"/>
      <c r="S29" s="686"/>
      <c r="T29" s="686"/>
      <c r="U29" s="686"/>
      <c r="V29" s="687"/>
      <c r="W29" s="205"/>
      <c r="X29" s="505" t="s">
        <v>268</v>
      </c>
      <c r="Y29" s="505"/>
      <c r="Z29" s="505"/>
      <c r="AA29" s="505"/>
      <c r="AB29" s="505"/>
      <c r="AC29" s="505"/>
      <c r="AD29" s="505"/>
      <c r="AE29" s="505"/>
      <c r="AF29" s="505"/>
      <c r="AG29" s="505"/>
      <c r="AH29" s="505"/>
      <c r="AI29" s="205"/>
    </row>
    <row r="30" spans="1:53" ht="13.9" thickTop="1">
      <c r="W30" s="513"/>
    </row>
    <row r="32" spans="1:53">
      <c r="F32" t="s">
        <v>290</v>
      </c>
    </row>
    <row r="34" spans="8:15">
      <c r="H34" t="s">
        <v>289</v>
      </c>
    </row>
    <row r="35" spans="8:15">
      <c r="O35" s="556"/>
    </row>
  </sheetData>
  <dataConsolidate/>
  <mergeCells count="11">
    <mergeCell ref="B27:V29"/>
    <mergeCell ref="B24:B25"/>
    <mergeCell ref="B1:AH1"/>
    <mergeCell ref="B21:C21"/>
    <mergeCell ref="B22:C22"/>
    <mergeCell ref="M22:O22"/>
    <mergeCell ref="P22:Q22"/>
    <mergeCell ref="U21:V21"/>
    <mergeCell ref="Y17:Z17"/>
    <mergeCell ref="G21:H22"/>
    <mergeCell ref="C23:V26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conditionalFormatting sqref="T21:U21">
    <cfRule type="colorScale" priority="1">
      <colorScale>
        <cfvo type="num" val="6000"/>
        <cfvo type="num" val="12000"/>
        <cfvo type="num" val="18000"/>
        <color theme="9" tint="-0.249977111117893"/>
        <color theme="7" tint="0.39997558519241921"/>
        <color rgb="FFFF0000"/>
      </colorScale>
    </cfRule>
  </conditionalFormatting>
  <dataValidations count="6">
    <dataValidation allowBlank="1" showErrorMessage="1" promptTitle="OUT OF LIMIT" prompt="DENSITY IS TOO LOW OR TOO HIGH_x000a__x000a_COK DÜŞÜK VEYA YÜKSEK YOĞUNLUK GİRİLDİ" sqref="O3:P20 N3" xr:uid="{00000000-0002-0000-0200-000000000000}"/>
    <dataValidation type="decimal" allowBlank="1" showInputMessage="1" showErrorMessage="1" sqref="Z3:Z11" xr:uid="{00000000-0002-0000-0200-000001000000}">
      <formula1>0.6</formula1>
      <formula2>2</formula2>
    </dataValidation>
    <dataValidation type="list" allowBlank="1" showInputMessage="1" showErrorMessage="1" sqref="B3:B20" xr:uid="{00000000-0002-0000-0200-000002000000}">
      <formula1>$X$3:$X$11</formula1>
    </dataValidation>
    <dataValidation type="whole" allowBlank="1" showErrorMessage="1" error="1 DEN 9 A KADAR SAYI GİRİNİZ" promptTitle="SAYI" prompt="1 DEN 9 A KADAR SAYI GİRİNİZ" sqref="X3:X11" xr:uid="{00000000-0002-0000-0200-000003000000}">
      <formula1>0</formula1>
      <formula2>9</formula2>
    </dataValidation>
    <dataValidation type="whole" allowBlank="1" showInputMessage="1" showErrorMessage="1" sqref="B24:B25" xr:uid="{00000000-0002-0000-0200-000004000000}">
      <formula1>1</formula1>
      <formula2>9</formula2>
    </dataValidation>
    <dataValidation type="whole" errorStyle="warning" allowBlank="1" showInputMessage="1" showErrorMessage="1" errorTitle="OUT OF RANGE" error="VALUE MUST BE WITHIN 0 TO 12330" sqref="H3:H20 F3:F20" xr:uid="{00000000-0002-0000-0200-000005000000}">
      <formula1>0</formula1>
      <formula2>12330</formula2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6641" r:id="rId4" name="SpinButton1">
          <controlPr defaultSize="0" autoLine="0" linkedCell="B24" r:id="rId5">
            <anchor moveWithCells="1">
              <from>
                <xdr:col>2</xdr:col>
                <xdr:colOff>9525</xdr:colOff>
                <xdr:row>22</xdr:row>
                <xdr:rowOff>238125</xdr:rowOff>
              </from>
              <to>
                <xdr:col>2</xdr:col>
                <xdr:colOff>190500</xdr:colOff>
                <xdr:row>24</xdr:row>
                <xdr:rowOff>200025</xdr:rowOff>
              </to>
            </anchor>
          </controlPr>
        </control>
      </mc:Choice>
      <mc:Fallback>
        <control shapeId="26641" r:id="rId4" name="SpinButton1"/>
      </mc:Fallback>
    </mc:AlternateContent>
    <mc:AlternateContent xmlns:mc="http://schemas.openxmlformats.org/markup-compatibility/2006">
      <mc:Choice Requires="x14">
        <control shapeId="26625" r:id="rId6" name="CommandButton1">
          <controlPr defaultSize="0" print="0" autoFill="0" autoLine="0" r:id="rId7">
            <anchor moveWithCells="1">
              <from>
                <xdr:col>2</xdr:col>
                <xdr:colOff>180975</xdr:colOff>
                <xdr:row>23</xdr:row>
                <xdr:rowOff>9525</xdr:rowOff>
              </from>
              <to>
                <xdr:col>3</xdr:col>
                <xdr:colOff>2152650</xdr:colOff>
                <xdr:row>24</xdr:row>
                <xdr:rowOff>200025</xdr:rowOff>
              </to>
            </anchor>
          </controlPr>
        </control>
      </mc:Choice>
      <mc:Fallback>
        <control shapeId="26625" r:id="rId6" name="CommandButton1"/>
      </mc:Fallback>
    </mc:AlternateContent>
    <mc:AlternateContent xmlns:mc="http://schemas.openxmlformats.org/markup-compatibility/2006">
      <mc:Choice Requires="x14">
        <control shapeId="26635" r:id="rId8" name="CommandButton2">
          <controlPr defaultSize="0" print="0" autoLine="0" altText="Yukaridaki tabloya göre aleç tablosu hazırlanır._x000a__x000a_" r:id="rId9">
            <anchor moveWithCells="1">
              <from>
                <xdr:col>5</xdr:col>
                <xdr:colOff>114300</xdr:colOff>
                <xdr:row>23</xdr:row>
                <xdr:rowOff>9525</xdr:rowOff>
              </from>
              <to>
                <xdr:col>9</xdr:col>
                <xdr:colOff>381000</xdr:colOff>
                <xdr:row>24</xdr:row>
                <xdr:rowOff>190500</xdr:rowOff>
              </to>
            </anchor>
          </controlPr>
        </control>
      </mc:Choice>
      <mc:Fallback>
        <control shapeId="26635" r:id="rId8" name="CommandButton2"/>
      </mc:Fallback>
    </mc:AlternateContent>
    <mc:AlternateContent xmlns:mc="http://schemas.openxmlformats.org/markup-compatibility/2006">
      <mc:Choice Requires="x14">
        <control shapeId="26643" r:id="rId10" name="CommandButton3">
          <controlPr defaultSize="0" autoLine="0" r:id="rId11">
            <anchor moveWithCells="1">
              <from>
                <xdr:col>9</xdr:col>
                <xdr:colOff>628650</xdr:colOff>
                <xdr:row>23</xdr:row>
                <xdr:rowOff>19050</xdr:rowOff>
              </from>
              <to>
                <xdr:col>15</xdr:col>
                <xdr:colOff>95250</xdr:colOff>
                <xdr:row>24</xdr:row>
                <xdr:rowOff>190500</xdr:rowOff>
              </to>
            </anchor>
          </controlPr>
        </control>
      </mc:Choice>
      <mc:Fallback>
        <control shapeId="26643" r:id="rId10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2">
    <tabColor theme="9"/>
  </sheetPr>
  <dimension ref="A1:HL137"/>
  <sheetViews>
    <sheetView topLeftCell="A76" zoomScale="70" zoomScaleNormal="70" zoomScaleSheetLayoutView="100" workbookViewId="0">
      <selection activeCell="G9" sqref="G9:P126"/>
    </sheetView>
  </sheetViews>
  <sheetFormatPr defaultColWidth="8.25" defaultRowHeight="14.25"/>
  <cols>
    <col min="1" max="1" width="8.25" style="233"/>
    <col min="2" max="2" width="8.25" style="233" customWidth="1"/>
    <col min="3" max="5" width="8.25" style="233"/>
    <col min="6" max="6" width="8.5" style="233" customWidth="1"/>
    <col min="7" max="7" width="8.25" style="233" customWidth="1"/>
    <col min="8" max="17" width="8.25" style="248" customWidth="1"/>
    <col min="18" max="24" width="8.25" style="233" customWidth="1"/>
    <col min="25" max="25" width="8.25" style="270" customWidth="1"/>
    <col min="26" max="26" width="8.25" style="233" customWidth="1"/>
    <col min="27" max="27" width="8.25" style="271" customWidth="1"/>
    <col min="28" max="37" width="8.25" style="233" customWidth="1"/>
    <col min="38" max="38" width="8.25" style="248" customWidth="1"/>
    <col min="39" max="204" width="8.25" style="233" customWidth="1"/>
    <col min="205" max="205" width="4.875" style="233" customWidth="1"/>
    <col min="206" max="206" width="8.25" style="233" customWidth="1"/>
    <col min="207" max="207" width="9.125" style="233" customWidth="1"/>
    <col min="208" max="208" width="10.375" style="233" bestFit="1" customWidth="1"/>
    <col min="209" max="209" width="8.25" style="233"/>
    <col min="210" max="210" width="2.375" style="233" customWidth="1"/>
    <col min="211" max="211" width="6.75" style="236" customWidth="1"/>
    <col min="212" max="212" width="11.25" style="236" bestFit="1" customWidth="1"/>
    <col min="213" max="213" width="19" style="236" customWidth="1"/>
    <col min="214" max="214" width="2.375" style="236" customWidth="1"/>
    <col min="215" max="215" width="9.375" style="236" bestFit="1" customWidth="1"/>
    <col min="216" max="216" width="8.25" style="236"/>
    <col min="217" max="217" width="11.625" style="236" bestFit="1" customWidth="1"/>
    <col min="218" max="218" width="19.375" style="236" customWidth="1"/>
    <col min="219" max="219" width="8.25" style="236"/>
    <col min="220" max="16384" width="8.25" style="233"/>
  </cols>
  <sheetData>
    <row r="1" spans="1:220" ht="15" customHeight="1" thickTop="1">
      <c r="A1" s="717" t="s">
        <v>179</v>
      </c>
      <c r="B1" s="719" t="s">
        <v>180</v>
      </c>
      <c r="C1" s="719" t="s">
        <v>181</v>
      </c>
      <c r="D1" s="719" t="s">
        <v>182</v>
      </c>
      <c r="E1" s="719" t="s">
        <v>183</v>
      </c>
      <c r="F1" s="715" t="s">
        <v>161</v>
      </c>
      <c r="G1" s="382" t="s">
        <v>184</v>
      </c>
      <c r="H1" s="383" t="s">
        <v>185</v>
      </c>
      <c r="I1" s="383" t="s">
        <v>186</v>
      </c>
      <c r="J1" s="384" t="s">
        <v>187</v>
      </c>
      <c r="K1" s="385"/>
      <c r="L1" s="386"/>
      <c r="M1" s="386"/>
      <c r="N1" s="386"/>
      <c r="O1" s="386"/>
      <c r="P1" s="386"/>
      <c r="Q1" s="387"/>
      <c r="R1" s="388" t="s">
        <v>184</v>
      </c>
      <c r="S1" s="383" t="s">
        <v>185</v>
      </c>
      <c r="T1" s="383" t="s">
        <v>186</v>
      </c>
      <c r="U1" s="384" t="s">
        <v>187</v>
      </c>
      <c r="V1" s="389"/>
      <c r="W1" s="390"/>
      <c r="X1" s="390"/>
      <c r="Y1" s="391"/>
      <c r="Z1" s="390"/>
      <c r="AA1" s="392"/>
      <c r="AB1" s="393"/>
      <c r="AC1" s="382" t="s">
        <v>184</v>
      </c>
      <c r="AD1" s="383" t="s">
        <v>185</v>
      </c>
      <c r="AE1" s="383" t="s">
        <v>186</v>
      </c>
      <c r="AF1" s="384" t="s">
        <v>187</v>
      </c>
      <c r="AG1" s="389"/>
      <c r="AH1" s="390"/>
      <c r="AI1" s="390"/>
      <c r="AJ1" s="390"/>
      <c r="AK1" s="390"/>
      <c r="AL1" s="386"/>
      <c r="AM1" s="393"/>
      <c r="AN1" s="382" t="s">
        <v>184</v>
      </c>
      <c r="AO1" s="383" t="s">
        <v>185</v>
      </c>
      <c r="AP1" s="383" t="s">
        <v>186</v>
      </c>
      <c r="AQ1" s="384" t="s">
        <v>187</v>
      </c>
      <c r="AR1" s="389"/>
      <c r="AS1" s="390"/>
      <c r="AT1" s="390"/>
      <c r="AU1" s="390"/>
      <c r="AV1" s="390"/>
      <c r="AW1" s="390"/>
      <c r="AX1" s="393"/>
      <c r="AY1" s="382" t="s">
        <v>184</v>
      </c>
      <c r="AZ1" s="383" t="s">
        <v>185</v>
      </c>
      <c r="BA1" s="383" t="s">
        <v>186</v>
      </c>
      <c r="BB1" s="384" t="s">
        <v>187</v>
      </c>
      <c r="BC1" s="389"/>
      <c r="BD1" s="390"/>
      <c r="BE1" s="390"/>
      <c r="BF1" s="390"/>
      <c r="BG1" s="390"/>
      <c r="BH1" s="390"/>
      <c r="BI1" s="393"/>
      <c r="BJ1" s="382" t="s">
        <v>184</v>
      </c>
      <c r="BK1" s="383" t="s">
        <v>185</v>
      </c>
      <c r="BL1" s="383" t="s">
        <v>186</v>
      </c>
      <c r="BM1" s="384" t="s">
        <v>187</v>
      </c>
      <c r="BN1" s="389"/>
      <c r="BO1" s="390"/>
      <c r="BP1" s="390"/>
      <c r="BQ1" s="390"/>
      <c r="BR1" s="390"/>
      <c r="BS1" s="390"/>
      <c r="BT1" s="393"/>
      <c r="BU1" s="382" t="s">
        <v>184</v>
      </c>
      <c r="BV1" s="383" t="s">
        <v>185</v>
      </c>
      <c r="BW1" s="383" t="s">
        <v>186</v>
      </c>
      <c r="BX1" s="384" t="s">
        <v>187</v>
      </c>
      <c r="BY1" s="389"/>
      <c r="BZ1" s="390"/>
      <c r="CA1" s="390"/>
      <c r="CB1" s="390"/>
      <c r="CC1" s="390"/>
      <c r="CD1" s="390"/>
      <c r="CE1" s="393"/>
      <c r="CF1" s="382" t="s">
        <v>184</v>
      </c>
      <c r="CG1" s="383" t="s">
        <v>185</v>
      </c>
      <c r="CH1" s="383" t="s">
        <v>186</v>
      </c>
      <c r="CI1" s="384" t="s">
        <v>187</v>
      </c>
      <c r="CJ1" s="389"/>
      <c r="CK1" s="390"/>
      <c r="CL1" s="390"/>
      <c r="CM1" s="390"/>
      <c r="CN1" s="390"/>
      <c r="CO1" s="390"/>
      <c r="CP1" s="393"/>
      <c r="CQ1" s="382" t="s">
        <v>184</v>
      </c>
      <c r="CR1" s="383" t="s">
        <v>185</v>
      </c>
      <c r="CS1" s="383" t="s">
        <v>186</v>
      </c>
      <c r="CT1" s="384" t="s">
        <v>187</v>
      </c>
      <c r="CU1" s="389"/>
      <c r="CV1" s="390"/>
      <c r="CW1" s="390"/>
      <c r="CX1" s="390"/>
      <c r="CY1" s="390"/>
      <c r="CZ1" s="390"/>
      <c r="DA1" s="393"/>
      <c r="DB1" s="382" t="s">
        <v>184</v>
      </c>
      <c r="DC1" s="383" t="s">
        <v>185</v>
      </c>
      <c r="DD1" s="383" t="s">
        <v>186</v>
      </c>
      <c r="DE1" s="384" t="s">
        <v>187</v>
      </c>
      <c r="DF1" s="389"/>
      <c r="DG1" s="390"/>
      <c r="DH1" s="390"/>
      <c r="DI1" s="390"/>
      <c r="DJ1" s="390"/>
      <c r="DK1" s="390"/>
      <c r="DL1" s="393"/>
      <c r="DM1" s="382" t="s">
        <v>184</v>
      </c>
      <c r="DN1" s="383" t="s">
        <v>185</v>
      </c>
      <c r="DO1" s="383" t="s">
        <v>186</v>
      </c>
      <c r="DP1" s="384" t="s">
        <v>187</v>
      </c>
      <c r="DQ1" s="389"/>
      <c r="DR1" s="390"/>
      <c r="DS1" s="390"/>
      <c r="DT1" s="390"/>
      <c r="DU1" s="390"/>
      <c r="DV1" s="390"/>
      <c r="DW1" s="393"/>
      <c r="DX1" s="382" t="s">
        <v>184</v>
      </c>
      <c r="DY1" s="383" t="s">
        <v>185</v>
      </c>
      <c r="DZ1" s="383" t="s">
        <v>186</v>
      </c>
      <c r="EA1" s="384" t="s">
        <v>187</v>
      </c>
      <c r="EB1" s="389"/>
      <c r="EC1" s="390"/>
      <c r="ED1" s="390"/>
      <c r="EE1" s="390"/>
      <c r="EF1" s="390"/>
      <c r="EG1" s="390"/>
      <c r="EH1" s="393"/>
      <c r="EI1" s="382" t="s">
        <v>184</v>
      </c>
      <c r="EJ1" s="383" t="s">
        <v>185</v>
      </c>
      <c r="EK1" s="383" t="s">
        <v>186</v>
      </c>
      <c r="EL1" s="384" t="s">
        <v>187</v>
      </c>
      <c r="EM1" s="389"/>
      <c r="EN1" s="390"/>
      <c r="EO1" s="390"/>
      <c r="EP1" s="390"/>
      <c r="EQ1" s="390"/>
      <c r="ER1" s="390"/>
      <c r="ES1" s="393"/>
      <c r="ET1" s="382" t="s">
        <v>184</v>
      </c>
      <c r="EU1" s="383" t="s">
        <v>185</v>
      </c>
      <c r="EV1" s="383" t="s">
        <v>186</v>
      </c>
      <c r="EW1" s="384" t="s">
        <v>187</v>
      </c>
      <c r="EX1" s="389"/>
      <c r="EY1" s="390"/>
      <c r="EZ1" s="390"/>
      <c r="FA1" s="390"/>
      <c r="FB1" s="390"/>
      <c r="FC1" s="390"/>
      <c r="FD1" s="393"/>
      <c r="FE1" s="382" t="s">
        <v>184</v>
      </c>
      <c r="FF1" s="383" t="s">
        <v>185</v>
      </c>
      <c r="FG1" s="383" t="s">
        <v>186</v>
      </c>
      <c r="FH1" s="384" t="s">
        <v>187</v>
      </c>
      <c r="FI1" s="389"/>
      <c r="FJ1" s="390"/>
      <c r="FK1" s="390"/>
      <c r="FL1" s="390"/>
      <c r="FM1" s="390"/>
      <c r="FN1" s="390"/>
      <c r="FO1" s="393"/>
      <c r="FP1" s="382" t="s">
        <v>184</v>
      </c>
      <c r="FQ1" s="383" t="s">
        <v>185</v>
      </c>
      <c r="FR1" s="383" t="s">
        <v>186</v>
      </c>
      <c r="FS1" s="384" t="s">
        <v>187</v>
      </c>
      <c r="FT1" s="389"/>
      <c r="FU1" s="390"/>
      <c r="FV1" s="390"/>
      <c r="FW1" s="390"/>
      <c r="FX1" s="390"/>
      <c r="FY1" s="390"/>
      <c r="FZ1" s="393"/>
      <c r="GA1" s="382" t="s">
        <v>184</v>
      </c>
      <c r="GB1" s="383" t="s">
        <v>185</v>
      </c>
      <c r="GC1" s="383" t="s">
        <v>186</v>
      </c>
      <c r="GD1" s="384" t="s">
        <v>187</v>
      </c>
      <c r="GE1" s="389"/>
      <c r="GF1" s="390"/>
      <c r="GG1" s="390"/>
      <c r="GH1" s="390"/>
      <c r="GI1" s="390"/>
      <c r="GJ1" s="390"/>
      <c r="GK1" s="393"/>
      <c r="GL1" s="382" t="s">
        <v>184</v>
      </c>
      <c r="GM1" s="383" t="s">
        <v>185</v>
      </c>
      <c r="GN1" s="383" t="s">
        <v>186</v>
      </c>
      <c r="GO1" s="384" t="s">
        <v>187</v>
      </c>
      <c r="GP1" s="389"/>
      <c r="GQ1" s="390"/>
      <c r="GR1" s="390"/>
      <c r="GS1" s="390"/>
      <c r="GT1" s="390"/>
      <c r="GU1" s="390"/>
      <c r="GV1" s="393"/>
      <c r="GX1" s="722" t="str">
        <f>'[6]ULLAGE REP'!D12</f>
        <v>MOTORIN</v>
      </c>
      <c r="GY1" s="723"/>
      <c r="GZ1" s="723"/>
      <c r="HA1" s="724"/>
      <c r="HB1" s="234"/>
      <c r="HC1" s="235"/>
    </row>
    <row r="2" spans="1:220">
      <c r="A2" s="718"/>
      <c r="B2" s="720"/>
      <c r="C2" s="720"/>
      <c r="D2" s="720"/>
      <c r="E2" s="720"/>
      <c r="F2" s="716"/>
      <c r="G2" s="394">
        <f>IF(G4&lt;G125,0,IF(G4&gt;G9,0,IF(J2=I2,J4,((J4-I4)/(J2-I2))*(H2-I2)+I4)))</f>
        <v>0</v>
      </c>
      <c r="H2" s="395">
        <f>$B$23</f>
        <v>0</v>
      </c>
      <c r="I2" s="395">
        <f>IF(H2&lt;I8,I8,IF(H2&lt;J8,J8,IF(H2&lt;K8,K8,IF(H2&lt;L8,L8,IF(H2&lt;M8,M8,IF(H2&lt;N8,N8,IF(H2&lt;P8,O8,P8)))))))</f>
        <v>0</v>
      </c>
      <c r="J2" s="396">
        <f>IF(H2&lt;-0.5,IF(I2=H2,I2,I2-0.5),IF(I2=H2,I2,I2-0.25))</f>
        <v>0</v>
      </c>
      <c r="K2" s="397"/>
      <c r="M2" s="721" t="s">
        <v>4</v>
      </c>
      <c r="N2" s="721"/>
      <c r="Q2" s="398"/>
      <c r="R2" s="394">
        <f>IF(R4&lt;R125,0,IF(R4&gt;R9,0,IF(U2=T2,U4,((U4-T4)/(U2-T2))*(S2-T2)+T4)))</f>
        <v>0</v>
      </c>
      <c r="S2" s="395">
        <f>$B$23</f>
        <v>0</v>
      </c>
      <c r="T2" s="395">
        <f>IF(S2&lt;T8,T8,IF(S2&lt;U8,U8,IF(S2&lt;V8,V8,IF(S2&lt;W8,W8,IF(S2&lt;X8,X8,IF(S2&lt;Y8,Y8,IF(S2&lt;AA8,Z8,AA8)))))))</f>
        <v>0</v>
      </c>
      <c r="U2" s="396">
        <f>IF(S2&lt;-0.5,IF(T2=S2,T2,T2-0.5),IF(T2=S2,T2,T2-0.25))</f>
        <v>0</v>
      </c>
      <c r="V2" s="399"/>
      <c r="X2" s="721" t="s">
        <v>5</v>
      </c>
      <c r="Y2" s="721"/>
      <c r="AB2" s="400"/>
      <c r="AC2" s="394">
        <f>IF(AC4&lt;AC125,0,IF(AC4&gt;AC9,0,IF(AF2=AE2,AF4,((AF4-AE4)/(AF2-AE2))*(AD2-AE2)+AE4)))</f>
        <v>0</v>
      </c>
      <c r="AD2" s="395">
        <f>$B$23</f>
        <v>0</v>
      </c>
      <c r="AE2" s="395">
        <f>IF(AD2&lt;AE8,AE8,IF(AD2&lt;AF8,AF8,IF(AD2&lt;AG8,AG8,IF(AD2&lt;AH8,AH8,IF(AD2&lt;AI8,AI8,IF(AD2&lt;AJ8,AJ8,IF(AD2&lt;AL8,AK8,AL8)))))))</f>
        <v>0</v>
      </c>
      <c r="AF2" s="396">
        <f>IF(AD2&lt;-0.5,IF(AE2=AD2,AE2,AE2-0.5),IF(AE2=AD2,AE2,AE2-0.25))</f>
        <v>0</v>
      </c>
      <c r="AG2" s="399"/>
      <c r="AI2" s="721" t="s">
        <v>6</v>
      </c>
      <c r="AJ2" s="721"/>
      <c r="AM2" s="400"/>
      <c r="AN2" s="394">
        <f>IF(AN4&lt;AN125,0,IF(AN4&gt;AN9,0,IF(AQ2=AP2,AQ4,((AQ4-AP4)/(AQ2-AP2))*(AO2-AP2)+AP4)))</f>
        <v>0</v>
      </c>
      <c r="AO2" s="395">
        <f>$B$23</f>
        <v>0</v>
      </c>
      <c r="AP2" s="395">
        <f>IF(AO2&lt;AP8,AP8,IF(AO2&lt;AQ8,AQ8,IF(AO2&lt;AR8,AR8,IF(AO2&lt;AS8,AS8,IF(AO2&lt;AT8,AT8,IF(AO2&lt;AU8,AU8,IF(AO2&lt;AW8,AV8,AW8)))))))</f>
        <v>0</v>
      </c>
      <c r="AQ2" s="396">
        <f>IF(AO2&lt;-0.5,IF(AP2=AO2,AP2,AP2-0.5),IF(AP2=AO2,AP2,AP2-0.25))</f>
        <v>0</v>
      </c>
      <c r="AR2" s="399"/>
      <c r="AU2" s="721" t="s">
        <v>7</v>
      </c>
      <c r="AV2" s="721"/>
      <c r="AX2" s="400"/>
      <c r="AY2" s="394">
        <f>IF(AY4&lt;AY125,0,IF(AY4&gt;AY9,0,IF(BB2=BA2,BB4,((BB4-BA4)/(BB2-BA2))*(AZ2-BA2)+BA4)))</f>
        <v>0</v>
      </c>
      <c r="AZ2" s="395">
        <f>$B$23</f>
        <v>0</v>
      </c>
      <c r="BA2" s="395">
        <f>IF(AZ2&lt;BA8,BA8,IF(AZ2&lt;BB8,BB8,IF(AZ2&lt;BC8,BC8,IF(AZ2&lt;BD8,BD8,IF(AZ2&lt;BE8,BE8,IF(AZ2&lt;BF8,BF8,IF(AZ2&lt;BH8,BG8,BH8)))))))</f>
        <v>0</v>
      </c>
      <c r="BB2" s="396">
        <f>IF(AZ2&lt;-0.5,IF(BA2=AZ2,BA2,BA2-0.5),IF(BA2=AZ2,BA2,BA2-0.25))</f>
        <v>0</v>
      </c>
      <c r="BC2" s="399"/>
      <c r="BF2" s="721" t="s">
        <v>8</v>
      </c>
      <c r="BG2" s="721"/>
      <c r="BI2" s="400"/>
      <c r="BJ2" s="394">
        <f>IF(BJ4&lt;BJ125,0,IF(BJ4&gt;BJ9,0,IF(BM2=BL2,BM4,((BM4-BL4)/(BM2-BL2))*(BK2-BL2)+BL4)))</f>
        <v>0</v>
      </c>
      <c r="BK2" s="395">
        <f>$B$23</f>
        <v>0</v>
      </c>
      <c r="BL2" s="395">
        <f>IF(BK2&lt;BL8,BL8,IF(BK2&lt;BM8,BM8,IF(BK2&lt;BN8,BN8,IF(BK2&lt;BO8,BO8,IF(BK2&lt;BP8,BP8,IF(BK2&lt;BQ8,BQ8,IF(BK2&lt;BS8,BR8,BS8)))))))</f>
        <v>0</v>
      </c>
      <c r="BM2" s="396">
        <f>IF(BK2&lt;-0.5,IF(BL2=BK2,BL2,BL2-0.5),IF(BL2=BK2,BL2,BL2-0.25))</f>
        <v>0</v>
      </c>
      <c r="BN2" s="399"/>
      <c r="BQ2" s="721" t="s">
        <v>9</v>
      </c>
      <c r="BR2" s="721"/>
      <c r="BT2" s="400"/>
      <c r="BU2" s="394">
        <f>IF(BU4&lt;BU125,0,IF(BU4&gt;BU9,0,IF(BX2=BW2,BX4,((BX4-BW4)/(BX2-BW2))*(BV2-BW2)+BW4)))</f>
        <v>0</v>
      </c>
      <c r="BV2" s="395">
        <f>$B$23</f>
        <v>0</v>
      </c>
      <c r="BW2" s="395">
        <f>IF(BV2&lt;BW8,BW8,IF(BV2&lt;BX8,BX8,IF(BV2&lt;BY8,BY8,IF(BV2&lt;BZ8,BZ8,IF(BV2&lt;CA8,CA8,IF(BV2&lt;CB8,CB8,IF(BV2&lt;CD8,CC8,CD8)))))))</f>
        <v>0</v>
      </c>
      <c r="BX2" s="396">
        <f>IF(BV2&lt;-0.5,IF(BW2=BV2,BW2,BW2-0.5),IF(BW2=BV2,BW2,BW2-0.25))</f>
        <v>0</v>
      </c>
      <c r="BY2" s="399"/>
      <c r="CB2" s="721" t="s">
        <v>10</v>
      </c>
      <c r="CC2" s="721"/>
      <c r="CE2" s="400"/>
      <c r="CF2" s="394">
        <f>IF(CF4&lt;CF125,0,IF(CF4&gt;CF9,0,IF(CI2=CH2,CI4,((CI4-CH4)/(CI2-CH2))*(CG2-CH2)+CH4)))</f>
        <v>0</v>
      </c>
      <c r="CG2" s="395">
        <f>$B$23</f>
        <v>0</v>
      </c>
      <c r="CH2" s="395">
        <f>IF(CG2&lt;CH8,CH8,IF(CG2&lt;CI8,CI8,IF(CG2&lt;CJ8,CJ8,IF(CG2&lt;CK8,CK8,IF(CG2&lt;CL8,CL8,IF(CG2&lt;CM8,CM8,IF(CG2&lt;CO8,CN8,CO8)))))))</f>
        <v>0</v>
      </c>
      <c r="CI2" s="396">
        <f>IF(CG2&lt;-0.5,IF(CH2=CG2,CH2,CH2-0.5),IF(CH2=CG2,CH2,CH2-0.25))</f>
        <v>0</v>
      </c>
      <c r="CJ2" s="399"/>
      <c r="CM2" s="721" t="s">
        <v>11</v>
      </c>
      <c r="CN2" s="721"/>
      <c r="CP2" s="400"/>
      <c r="CQ2" s="394">
        <f>IF(CQ4&lt;CQ125,0,IF(CQ4&gt;CQ9,0,IF(CT2=CS2,CT4,((CT4-CS4)/(CT2-CS2))*(CR2-CS2)+CS4)))</f>
        <v>0</v>
      </c>
      <c r="CR2" s="395">
        <f>$B$23</f>
        <v>0</v>
      </c>
      <c r="CS2" s="395">
        <f>IF(CR2&lt;CS8,CS8,IF(CR2&lt;CT8,CT8,IF(CR2&lt;CU8,CU8,IF(CR2&lt;CV8,CV8,IF(CR2&lt;CW8,CW8,IF(CR2&lt;CX8,CX8,IF(CR2&lt;CZ8,CY8,CZ8)))))))</f>
        <v>0</v>
      </c>
      <c r="CT2" s="396">
        <f>IF(CR2&lt;-0.5,IF(CS2=CR2,CS2,CS2-0.5),IF(CS2=CR2,CS2,CS2-0.25))</f>
        <v>0</v>
      </c>
      <c r="CU2" s="399"/>
      <c r="CX2" s="721" t="s">
        <v>12</v>
      </c>
      <c r="CY2" s="721"/>
      <c r="DA2" s="400"/>
      <c r="DB2" s="394">
        <f>IF(DB4&lt;DB125,0,IF(DB4&gt;DB9,0,IF(DE2=DD2,DE4,((DE4-DD4)/(DE2-DD2))*(DC2-DD2)+DD4)))</f>
        <v>0</v>
      </c>
      <c r="DC2" s="395">
        <f>$B$23</f>
        <v>0</v>
      </c>
      <c r="DD2" s="395">
        <f>IF(DC2&lt;DD8,DD8,IF(DC2&lt;DE8,DE8,IF(DC2&lt;DF8,DF8,IF(DC2&lt;DG8,DG8,IF(DC2&lt;DH8,DH8,IF(DC2&lt;DI8,DI8,IF(DC2&lt;DK8,DJ8,DK8)))))))</f>
        <v>0</v>
      </c>
      <c r="DE2" s="396">
        <f>IF(DC2&lt;-0.5,IF(DD2=DC2,DD2,DD2-0.5),IF(DD2=DC2,DD2,DD2-0.25))</f>
        <v>0</v>
      </c>
      <c r="DF2" s="399"/>
      <c r="DI2" s="721" t="s">
        <v>13</v>
      </c>
      <c r="DJ2" s="721"/>
      <c r="DL2" s="400"/>
      <c r="DM2" s="394">
        <f>IF(DM4&lt;DM125,0,IF(DM4&gt;DM9,0,IF(DP2=DO2,DP4,((DP4-DO4)/(DP2-DO2))*(DN2-DO2)+DO4)))</f>
        <v>0</v>
      </c>
      <c r="DN2" s="395">
        <f>$B$23</f>
        <v>0</v>
      </c>
      <c r="DO2" s="395">
        <f>IF(DN2&lt;DO8,DO8,IF(DN2&lt;DP8,DP8,IF(DN2&lt;DQ8,DQ8,IF(DN2&lt;DR8,DR8,IF(DN2&lt;DS8,DS8,IF(DN2&lt;DT8,DT8,IF(DN2&lt;DV8,DU8,DV8)))))))</f>
        <v>0</v>
      </c>
      <c r="DP2" s="396">
        <f>IF(DN2&lt;-0.5,IF(DO2=DN2,DO2,DO2-0.5),IF(DO2=DN2,DO2,DO2-0.25))</f>
        <v>0</v>
      </c>
      <c r="DQ2" s="399"/>
      <c r="DT2" s="721" t="s">
        <v>14</v>
      </c>
      <c r="DU2" s="721"/>
      <c r="DW2" s="400"/>
      <c r="DX2" s="394">
        <f>IF(DX4&lt;DX125,0,IF(DX4&gt;DX9,0,IF(EA2=DZ2,EA4,((EA4-DZ4)/(EA2-DZ2))*(DY2-DZ2)+DZ4)))</f>
        <v>0</v>
      </c>
      <c r="DY2" s="395">
        <f>$B$23</f>
        <v>0</v>
      </c>
      <c r="DZ2" s="395">
        <f>IF(DY2&lt;DZ8,DZ8,IF(DY2&lt;EA8,EA8,IF(DY2&lt;EB8,EB8,IF(DY2&lt;EC8,EC8,IF(DY2&lt;ED8,ED8,IF(DY2&lt;EE8,EE8,IF(DY2&lt;EG8,EF8,EG8)))))))</f>
        <v>0</v>
      </c>
      <c r="EA2" s="396">
        <f>IF(DY2&lt;-0.5,IF(DZ2=DY2,DZ2,DZ2-0.5),IF(DZ2=DY2,DZ2,DZ2-0.25))</f>
        <v>0</v>
      </c>
      <c r="EB2" s="399"/>
      <c r="EE2" s="721" t="s">
        <v>15</v>
      </c>
      <c r="EF2" s="721"/>
      <c r="EH2" s="400"/>
      <c r="EI2" s="394">
        <f>IF(EI4&lt;EI125,0,IF(EI4&gt;EI9,0,IF(EL2=EK2,EL4,((EL4-EK4)/(EL2-EK2))*(EJ2-EK2)+EK4)))</f>
        <v>0</v>
      </c>
      <c r="EJ2" s="395">
        <f>$B$23</f>
        <v>0</v>
      </c>
      <c r="EK2" s="395">
        <f>IF(EJ2&lt;EK8,EK8,IF(EJ2&lt;EL8,EL8,IF(EJ2&lt;EM8,EM8,IF(EJ2&lt;EN8,EN8,IF(EJ2&lt;EO8,EO8,IF(EJ2&lt;EP8,EP8,IF(EJ2&lt;ER8,EQ8,ER8)))))))</f>
        <v>0</v>
      </c>
      <c r="EL2" s="396">
        <f>IF(EJ2&lt;-0.5,IF(EK2=EJ2,EK2,EK2-0.5),IF(EK2=EJ2,EK2,EK2-0.25))</f>
        <v>0</v>
      </c>
      <c r="EM2" s="399"/>
      <c r="EP2" s="721" t="s">
        <v>16</v>
      </c>
      <c r="EQ2" s="721"/>
      <c r="ES2" s="400"/>
      <c r="ET2" s="394">
        <f>IF(ET4&lt;ET125,0,IF(ET4&gt;ET9,0,IF(EW2=EV2,EW4,((EW4-EV4)/(EW2-EV2))*(EU2-EV2)+EV4)))</f>
        <v>0</v>
      </c>
      <c r="EU2" s="395">
        <f>$B$23</f>
        <v>0</v>
      </c>
      <c r="EV2" s="395">
        <f>IF(EU2&lt;EV8,EV8,IF(EU2&lt;EW8,EW8,IF(EU2&lt;EX8,EX8,IF(EU2&lt;EY8,EY8,IF(EU2&lt;EZ8,EZ8,IF(EU2&lt;FA8,FA8,IF(EU2&lt;FC8,FB8,FC8)))))))</f>
        <v>0</v>
      </c>
      <c r="EW2" s="396">
        <f>IF(EU2&lt;-0.5,IF(EV2=EU2,EV2,EV2-0.5),IF(EV2=EU2,EV2,EV2-0.25))</f>
        <v>0</v>
      </c>
      <c r="EX2" s="399"/>
      <c r="FA2" s="721" t="s">
        <v>17</v>
      </c>
      <c r="FB2" s="721"/>
      <c r="FD2" s="400"/>
      <c r="FE2" s="394">
        <f>IF(FE4&lt;FE125,0,IF(FE4&gt;FE9,0,IF(FH2=FG2,FH4,((FH4-FG4)/(FH2-FG2))*(FF2-FG2)+FG4)))</f>
        <v>0</v>
      </c>
      <c r="FF2" s="395">
        <f>$B$23</f>
        <v>0</v>
      </c>
      <c r="FG2" s="395">
        <f>IF(FF2&lt;FG8,FG8,IF(FF2&lt;FH8,FH8,IF(FF2&lt;FI8,FI8,IF(FF2&lt;FJ8,FJ8,IF(FF2&lt;FK8,FK8,IF(FF2&lt;FL8,FL8,IF(FF2&lt;FN8,FM8,FN8)))))))</f>
        <v>0</v>
      </c>
      <c r="FH2" s="396">
        <f>IF(FF2&lt;-0.5,IF(FG2=FF2,FG2,FG2-0.5),IF(FG2=FF2,FG2,FG2-0.25))</f>
        <v>0</v>
      </c>
      <c r="FI2" s="399"/>
      <c r="FL2" s="721" t="s">
        <v>18</v>
      </c>
      <c r="FM2" s="721"/>
      <c r="FO2" s="400"/>
      <c r="FP2" s="394">
        <f>IF(FP4&lt;FP125,0,IF(FP4&gt;FP9,0,IF(FS2=FR2,FS4,((FS4-FR4)/(FS2-FR2))*(FQ2-FR2)+FR4)))</f>
        <v>0</v>
      </c>
      <c r="FQ2" s="395">
        <f>$B$23</f>
        <v>0</v>
      </c>
      <c r="FR2" s="395">
        <f>IF(FQ2&lt;FR8,FR8,IF(FQ2&lt;FS8,FS8,IF(FQ2&lt;FT8,FT8,IF(FQ2&lt;FU8,FU8,IF(FQ2&lt;FV8,FV8,IF(FQ2&lt;FW8,FW8,IF(FQ2&lt;FY8,FX8,FY8)))))))</f>
        <v>0</v>
      </c>
      <c r="FS2" s="396">
        <f>IF(FQ2&lt;-0.5,IF(FR2=FQ2,FR2,FR2-0.5),IF(FR2=FQ2,FR2,FR2-0.25))</f>
        <v>0</v>
      </c>
      <c r="FT2" s="399"/>
      <c r="FW2" s="721" t="s">
        <v>19</v>
      </c>
      <c r="FX2" s="721"/>
      <c r="FZ2" s="400"/>
      <c r="GA2" s="394">
        <f>IF(GA4&lt;GA125,0,IF(GA4&gt;GA9,0,IF(GD2=GC2,GD4,((GD4-GC4)/(GD2-GC2))*(GB2-GC2)+GC4)))</f>
        <v>0</v>
      </c>
      <c r="GB2" s="395">
        <f>$B$23</f>
        <v>0</v>
      </c>
      <c r="GC2" s="395">
        <f>IF(GB2&lt;GC8,GC8,IF(GB2&lt;GD8,GD8,IF(GB2&lt;GE8,GE8,IF(GB2&lt;GF8,GF8,IF(GB2&lt;GG8,GG8,IF(GB2&lt;GH8,GH8,IF(GB2&lt;GJ8,GI8,GJ8)))))))</f>
        <v>0</v>
      </c>
      <c r="GD2" s="396">
        <f>IF(GB2&lt;-0.5,IF(GC2=GB2,GC2,GC2-0.5),IF(GC2=GB2,GC2,GC2-0.25))</f>
        <v>0</v>
      </c>
      <c r="GE2" s="399"/>
      <c r="GH2" s="721" t="s">
        <v>188</v>
      </c>
      <c r="GI2" s="721"/>
      <c r="GK2" s="400"/>
      <c r="GL2" s="394">
        <f>IF(GL4&lt;GL125,0,IF(GL4&gt;GL9,0,IF(GO2=GN2,GO4,((GO4-GN4)/(GO2-GN2))*(GM2-GN2)+GN4)))</f>
        <v>0</v>
      </c>
      <c r="GM2" s="395">
        <f>$B$23</f>
        <v>0</v>
      </c>
      <c r="GN2" s="395">
        <f>IF(GM2&lt;GN8,GN8,IF(GM2&lt;GO8,GO8,IF(GM2&lt;GP8,GP8,IF(GM2&lt;GQ8,GQ8,IF(GM2&lt;GR8,GR8,IF(GM2&lt;GS8,GS8,IF(GM2&lt;GU8,GT8,GU8)))))))</f>
        <v>0</v>
      </c>
      <c r="GO2" s="396">
        <f>IF(GM2&lt;-0.5,IF(GN2=GM2,GN2,GN2-0.5),IF(GN2=GM2,GN2,GN2-0.25))</f>
        <v>0</v>
      </c>
      <c r="GP2" s="399"/>
      <c r="GS2" s="721" t="s">
        <v>189</v>
      </c>
      <c r="GT2" s="721"/>
      <c r="GV2" s="400"/>
      <c r="GX2" s="238" t="s">
        <v>190</v>
      </c>
      <c r="GY2" s="239" t="s">
        <v>191</v>
      </c>
      <c r="GZ2" s="239" t="s">
        <v>31</v>
      </c>
      <c r="HA2" s="240" t="s">
        <v>79</v>
      </c>
      <c r="HB2" s="234"/>
      <c r="HC2" s="235"/>
    </row>
    <row r="3" spans="1:220" ht="15.6" customHeight="1">
      <c r="A3" s="401" t="s">
        <v>4</v>
      </c>
      <c r="B3" s="272">
        <f>MASTER!F3</f>
        <v>1050</v>
      </c>
      <c r="C3" s="402">
        <f>B3</f>
        <v>1050</v>
      </c>
      <c r="D3" s="403">
        <f>CEILING(G2,1)</f>
        <v>0</v>
      </c>
      <c r="E3" s="403">
        <f>C3+D3</f>
        <v>1050</v>
      </c>
      <c r="F3" s="404">
        <v>0</v>
      </c>
      <c r="G3" s="405" t="s">
        <v>186</v>
      </c>
      <c r="H3" s="406">
        <f>IF(G4&lt;FLOOR(G4,100)+100,FLOOR(G4,100)+100-100,FLOOR(G4,100)+100)</f>
        <v>1000</v>
      </c>
      <c r="I3" s="407">
        <f>VLOOKUP(H3,G9:Q125,MATCH(I2,G8:Q8),FALSE)</f>
        <v>0</v>
      </c>
      <c r="J3" s="407">
        <f>VLOOKUP(H3,G9:Q125,MATCH(J2,G8:Q8),FALSE)</f>
        <v>0</v>
      </c>
      <c r="K3" s="397"/>
      <c r="M3" s="721"/>
      <c r="N3" s="721"/>
      <c r="Q3" s="398"/>
      <c r="R3" s="408" t="s">
        <v>186</v>
      </c>
      <c r="S3" s="406">
        <f>IF(R4&lt;FLOOR(R4,100)+100,FLOOR(R4,100)+100-100,FLOOR(R4,100)+100)</f>
        <v>1000</v>
      </c>
      <c r="T3" s="407">
        <f>VLOOKUP(S3,R9:AB125,MATCH(T2,R8:AB8),FALSE)</f>
        <v>0</v>
      </c>
      <c r="U3" s="407">
        <f>VLOOKUP(S3,R9:AB125,MATCH(U2,R8:AB8),FALSE)</f>
        <v>0</v>
      </c>
      <c r="V3" s="399"/>
      <c r="X3" s="721"/>
      <c r="Y3" s="721"/>
      <c r="AB3" s="400"/>
      <c r="AC3" s="405" t="s">
        <v>186</v>
      </c>
      <c r="AD3" s="406">
        <f>IF(AC4&lt;FLOOR(AC4,100)+100,FLOOR(AC4,100)+100-100,FLOOR(AC4,100)+100)</f>
        <v>1100</v>
      </c>
      <c r="AE3" s="407">
        <f>VLOOKUP(AD3,AC9:AM125,MATCH(AE2,AC8:AM8),FALSE)</f>
        <v>0</v>
      </c>
      <c r="AF3" s="407">
        <f>VLOOKUP(AD3,AC9:AM125,MATCH(AF2,AC8:AM8),FALSE)</f>
        <v>0</v>
      </c>
      <c r="AG3" s="399"/>
      <c r="AI3" s="721"/>
      <c r="AJ3" s="721"/>
      <c r="AM3" s="400"/>
      <c r="AN3" s="405" t="s">
        <v>186</v>
      </c>
      <c r="AO3" s="406">
        <f>IF(AN4&lt;FLOOR(AN4,100)+100,FLOOR(AN4,100)+100-100,FLOOR(AN4,100)+100)</f>
        <v>1100</v>
      </c>
      <c r="AP3" s="407">
        <f>VLOOKUP(AO3,AN9:AX125,MATCH(AP2,AN8:AX8),FALSE)</f>
        <v>0</v>
      </c>
      <c r="AQ3" s="407">
        <f>VLOOKUP(AO3,AN9:AX125,MATCH(AQ2,AN8:AX8),FALSE)</f>
        <v>0</v>
      </c>
      <c r="AR3" s="399"/>
      <c r="AU3" s="721"/>
      <c r="AV3" s="721"/>
      <c r="AX3" s="400"/>
      <c r="AY3" s="405" t="s">
        <v>186</v>
      </c>
      <c r="AZ3" s="406">
        <f>IF(AY4&lt;FLOOR(AY4,100)+100,FLOOR(AY4,100)+100-100,FLOOR(AY4,100)+100)</f>
        <v>1100</v>
      </c>
      <c r="BA3" s="407">
        <f>VLOOKUP(AZ3,AY9:BI125,MATCH(BA2,AY8:BI8),FALSE)</f>
        <v>0</v>
      </c>
      <c r="BB3" s="407">
        <f>VLOOKUP(AZ3,AY9:BI125,MATCH(BB2,AY8:BI8),FALSE)</f>
        <v>0</v>
      </c>
      <c r="BC3" s="399"/>
      <c r="BF3" s="721"/>
      <c r="BG3" s="721"/>
      <c r="BI3" s="400"/>
      <c r="BJ3" s="405" t="s">
        <v>186</v>
      </c>
      <c r="BK3" s="406">
        <f>IF(BJ4&lt;FLOOR(BJ4,100)+100,FLOOR(BJ4,100)+100-100,FLOOR(BJ4,100)+100)</f>
        <v>1100</v>
      </c>
      <c r="BL3" s="407">
        <f>VLOOKUP(BK3,BJ9:BT125,MATCH(BL2,BJ8:BT8),FALSE)</f>
        <v>0</v>
      </c>
      <c r="BM3" s="407">
        <f>VLOOKUP(BK3,BJ9:BT125,MATCH(BM2,BJ8:BT8),FALSE)</f>
        <v>0</v>
      </c>
      <c r="BN3" s="399"/>
      <c r="BQ3" s="721"/>
      <c r="BR3" s="721"/>
      <c r="BT3" s="400"/>
      <c r="BU3" s="405" t="s">
        <v>186</v>
      </c>
      <c r="BV3" s="406">
        <f>IF(BU4&lt;FLOOR(BU4,100)+100,FLOOR(BU4,100)+100-100,FLOOR(BU4,100)+100)</f>
        <v>1100</v>
      </c>
      <c r="BW3" s="407">
        <f>VLOOKUP(BV3,BU9:CE125,MATCH(BW2,BU8:CE8),FALSE)</f>
        <v>0</v>
      </c>
      <c r="BX3" s="407">
        <f>VLOOKUP(BV3,BU9:CE125,MATCH(BX2,BU8:CE8),FALSE)</f>
        <v>0</v>
      </c>
      <c r="BY3" s="399"/>
      <c r="CB3" s="721"/>
      <c r="CC3" s="721"/>
      <c r="CE3" s="400"/>
      <c r="CF3" s="405" t="s">
        <v>186</v>
      </c>
      <c r="CG3" s="406">
        <f>IF(CF4&lt;FLOOR(CF4,100)+100,FLOOR(CF4,100)+100-100,FLOOR(CF4,100)+100)</f>
        <v>1100</v>
      </c>
      <c r="CH3" s="407">
        <f>VLOOKUP(CG3,CF9:CP125,MATCH(CH2,CF8:CP8),FALSE)</f>
        <v>0</v>
      </c>
      <c r="CI3" s="407">
        <f>VLOOKUP(CG3,CF9:CP125,MATCH(CI2,CF8:CP8),FALSE)</f>
        <v>0</v>
      </c>
      <c r="CJ3" s="399"/>
      <c r="CM3" s="721"/>
      <c r="CN3" s="721"/>
      <c r="CP3" s="400"/>
      <c r="CQ3" s="405" t="s">
        <v>186</v>
      </c>
      <c r="CR3" s="406">
        <f>IF(CQ4&lt;FLOOR(CQ4,100)+100,FLOOR(CQ4,100)+100-100,FLOOR(CQ4,100)+100)</f>
        <v>1100</v>
      </c>
      <c r="CS3" s="407">
        <f>VLOOKUP(CR3,CQ9:DA125,MATCH(CS2,CQ8:DA8),FALSE)</f>
        <v>0</v>
      </c>
      <c r="CT3" s="407">
        <f>VLOOKUP(CR3,CQ9:DA125,MATCH(CT2,CQ8:DA8),FALSE)</f>
        <v>0</v>
      </c>
      <c r="CU3" s="399"/>
      <c r="CX3" s="721"/>
      <c r="CY3" s="721"/>
      <c r="DA3" s="400"/>
      <c r="DB3" s="405" t="s">
        <v>186</v>
      </c>
      <c r="DC3" s="406">
        <f>IF(DB4&lt;FLOOR(DB4,100)+100,FLOOR(DB4,100)+100-100,FLOOR(DB4,100)+100)</f>
        <v>1100</v>
      </c>
      <c r="DD3" s="407">
        <f>VLOOKUP(DC3,DB9:DL125,MATCH(DD2,DB8:DL8),FALSE)</f>
        <v>0</v>
      </c>
      <c r="DE3" s="407">
        <f>VLOOKUP(DC3,DB9:DL125,MATCH(DE2,DB8:DL8),FALSE)</f>
        <v>0</v>
      </c>
      <c r="DF3" s="399"/>
      <c r="DI3" s="721"/>
      <c r="DJ3" s="721"/>
      <c r="DL3" s="400"/>
      <c r="DM3" s="405" t="s">
        <v>186</v>
      </c>
      <c r="DN3" s="406">
        <f>IF(DM4&lt;FLOOR(DM4,100)+100,FLOOR(DM4,100)+100-100,FLOOR(DM4,100)+100)</f>
        <v>1100</v>
      </c>
      <c r="DO3" s="407">
        <f>VLOOKUP(DN3,DM9:DW125,MATCH(DO2,DM8:DW8),FALSE)</f>
        <v>0</v>
      </c>
      <c r="DP3" s="407">
        <f>VLOOKUP(DN3,DM9:DW125,MATCH(DP2,DM8:DW8),FALSE)</f>
        <v>0</v>
      </c>
      <c r="DQ3" s="399"/>
      <c r="DT3" s="721"/>
      <c r="DU3" s="721"/>
      <c r="DW3" s="400"/>
      <c r="DX3" s="405" t="s">
        <v>186</v>
      </c>
      <c r="DY3" s="406">
        <f>IF(DX4&lt;FLOOR(DX4,100)+100,FLOOR(DX4,100)+100-100,FLOOR(DX4,100)+100)</f>
        <v>1100</v>
      </c>
      <c r="DZ3" s="407">
        <f>VLOOKUP(DY3,DX9:EH125,MATCH(DZ2,DX8:EH8),FALSE)</f>
        <v>0</v>
      </c>
      <c r="EA3" s="407">
        <f>VLOOKUP(DY3,DX9:EH125,MATCH(EA2,DX8:EH8),FALSE)</f>
        <v>0</v>
      </c>
      <c r="EB3" s="399"/>
      <c r="EE3" s="721"/>
      <c r="EF3" s="721"/>
      <c r="EH3" s="400"/>
      <c r="EI3" s="405" t="s">
        <v>186</v>
      </c>
      <c r="EJ3" s="406">
        <f>IF(EI4&lt;FLOOR(EI4,100)+100,FLOOR(EI4,100)+100-100,FLOOR(EI4,100)+100)</f>
        <v>1100</v>
      </c>
      <c r="EK3" s="407">
        <f>VLOOKUP(EJ3,EI9:ES125,MATCH(EK2,EI8:ES8),FALSE)</f>
        <v>0</v>
      </c>
      <c r="EL3" s="407">
        <f>VLOOKUP(EJ3,EI9:ES125,MATCH(EL2,EI8:ES8),FALSE)</f>
        <v>0</v>
      </c>
      <c r="EM3" s="399"/>
      <c r="EP3" s="721"/>
      <c r="EQ3" s="721"/>
      <c r="ES3" s="400"/>
      <c r="ET3" s="405" t="s">
        <v>186</v>
      </c>
      <c r="EU3" s="406">
        <f>IF(ET4&lt;FLOOR(ET4,100)+100,FLOOR(ET4,100)+100-100,FLOOR(ET4,100)+100)</f>
        <v>1100</v>
      </c>
      <c r="EV3" s="407">
        <f>VLOOKUP(EU3,ET9:FD125,MATCH(EV2,ET8:FD8),FALSE)</f>
        <v>0</v>
      </c>
      <c r="EW3" s="407">
        <f>VLOOKUP(EU3,ET9:FD125,MATCH(EW2,ET8:FD8),FALSE)</f>
        <v>0</v>
      </c>
      <c r="EX3" s="399"/>
      <c r="FA3" s="721"/>
      <c r="FB3" s="721"/>
      <c r="FD3" s="400"/>
      <c r="FE3" s="405" t="s">
        <v>186</v>
      </c>
      <c r="FF3" s="406">
        <f>IF(FE4&lt;FLOOR(FE4,100)+100,FLOOR(FE4,100)+100-100,FLOOR(FE4,100)+100)</f>
        <v>1100</v>
      </c>
      <c r="FG3" s="407">
        <f>VLOOKUP(FF3,FE9:FO125,MATCH(FG2,FE8:FO8),FALSE)</f>
        <v>0</v>
      </c>
      <c r="FH3" s="407">
        <f>VLOOKUP(FF3,FE9:FO125,MATCH(FH2,FE8:FO8),FALSE)</f>
        <v>0</v>
      </c>
      <c r="FI3" s="399"/>
      <c r="FL3" s="721"/>
      <c r="FM3" s="721"/>
      <c r="FO3" s="400"/>
      <c r="FP3" s="405" t="s">
        <v>186</v>
      </c>
      <c r="FQ3" s="406">
        <f>IF(FP4&lt;FLOOR(FP4,100)+100,FLOOR(FP4,100)+100-100,FLOOR(FP4,100)+100)</f>
        <v>1100</v>
      </c>
      <c r="FR3" s="407">
        <f>VLOOKUP(FQ3,FP9:FZ125,MATCH(FR2,FP8:FZ8),FALSE)</f>
        <v>0</v>
      </c>
      <c r="FS3" s="407">
        <f>VLOOKUP(FQ3,FP9:FZ125,MATCH(FS2,FP8:FZ8),FALSE)</f>
        <v>0</v>
      </c>
      <c r="FT3" s="399"/>
      <c r="FW3" s="721"/>
      <c r="FX3" s="721"/>
      <c r="FZ3" s="400"/>
      <c r="GA3" s="405" t="s">
        <v>186</v>
      </c>
      <c r="GB3" s="406">
        <f>IF(GA4&lt;FLOOR(GA4,100)+100,FLOOR(GA4,100)+100-100,FLOOR(GA4,100)+100)</f>
        <v>0</v>
      </c>
      <c r="GC3" s="407" t="e">
        <f>VLOOKUP(GB3,GA9:GK125,MATCH(GC2,GA8:GK8),FALSE)</f>
        <v>#N/A</v>
      </c>
      <c r="GD3" s="407" t="e">
        <f>VLOOKUP(GB3,GA9:GK125,MATCH(GD2,GA8:GK8),FALSE)</f>
        <v>#N/A</v>
      </c>
      <c r="GE3" s="399"/>
      <c r="GH3" s="721"/>
      <c r="GI3" s="721"/>
      <c r="GK3" s="400"/>
      <c r="GL3" s="405" t="s">
        <v>186</v>
      </c>
      <c r="GM3" s="406">
        <f>IF(GL4&lt;FLOOR(GL4,100)+100,FLOOR(GL4,100)+100-100,FLOOR(GL4,100)+100)</f>
        <v>1700</v>
      </c>
      <c r="GN3" s="407">
        <f>VLOOKUP(GM3,GL9:GV125,MATCH(GN2,GL8:GV8),FALSE)</f>
        <v>0</v>
      </c>
      <c r="GO3" s="407">
        <f>VLOOKUP(GM3,GL9:GV125,MATCH(GO2,GL8:GV8),FALSE)</f>
        <v>0</v>
      </c>
      <c r="GP3" s="399"/>
      <c r="GS3" s="721"/>
      <c r="GT3" s="721"/>
      <c r="GV3" s="400"/>
      <c r="GW3" s="241"/>
      <c r="GX3" s="242" t="s">
        <v>4</v>
      </c>
      <c r="GY3" s="243">
        <f>'[6]ULLAGE REP'!O19</f>
        <v>578.55293112454387</v>
      </c>
      <c r="GZ3" s="244">
        <f>'[6]ULLAGE REP'!D19</f>
        <v>705.77420000000006</v>
      </c>
      <c r="HA3" s="245">
        <f>'[6]ULLAGE REP'!P19</f>
        <v>0.88415183213279058</v>
      </c>
      <c r="HB3" s="237"/>
      <c r="HC3" s="234"/>
      <c r="HD3" s="246"/>
      <c r="HL3" s="236"/>
    </row>
    <row r="4" spans="1:220" ht="15">
      <c r="A4" s="401" t="s">
        <v>5</v>
      </c>
      <c r="B4" s="272">
        <f>MASTER!F4</f>
        <v>1050</v>
      </c>
      <c r="C4" s="402">
        <f>B4</f>
        <v>1050</v>
      </c>
      <c r="D4" s="403">
        <f>CEILING(R2,1)</f>
        <v>0</v>
      </c>
      <c r="E4" s="403">
        <f>C4+D4</f>
        <v>1050</v>
      </c>
      <c r="F4" s="404">
        <v>21.6</v>
      </c>
      <c r="G4" s="409">
        <f>$B3</f>
        <v>1050</v>
      </c>
      <c r="H4" s="406"/>
      <c r="I4" s="410">
        <f>IF(H3=H5,I3,((I5-I3)/(H5-H3))*(G4-H3)+I3)</f>
        <v>0</v>
      </c>
      <c r="J4" s="411">
        <f>IF(H3=H5,J3,((J5-J3)/(H5-H3))*(G4-H3)+J3)</f>
        <v>0</v>
      </c>
      <c r="K4" s="397"/>
      <c r="Q4" s="398"/>
      <c r="R4" s="412">
        <f>B4</f>
        <v>1050</v>
      </c>
      <c r="S4" s="406"/>
      <c r="T4" s="410">
        <f>IF(S3=S5,T3,((T5-T3)/(S5-S3))*(R4-S3)+T3)</f>
        <v>0</v>
      </c>
      <c r="U4" s="411">
        <f>IF(S3=S5,U3,((U5-U3)/(S5-S3))*(R4-S3)+U3)</f>
        <v>0</v>
      </c>
      <c r="V4" s="399"/>
      <c r="AB4" s="400"/>
      <c r="AC4" s="409">
        <f>B5</f>
        <v>1130</v>
      </c>
      <c r="AD4" s="406"/>
      <c r="AE4" s="410">
        <f>IF(AD3=AD5,AE3,((AE5-AE3)/(AD5-AD3))*(AC4-AD3)+AE3)</f>
        <v>0</v>
      </c>
      <c r="AF4" s="411">
        <f>IF(AD3=AD5,AF3,((AF5-AF3)/(AD5-AD3))*(AC4-AD3)+AF3)</f>
        <v>0</v>
      </c>
      <c r="AG4" s="399"/>
      <c r="AM4" s="400"/>
      <c r="AN4" s="409">
        <f>B6</f>
        <v>1130</v>
      </c>
      <c r="AO4" s="406"/>
      <c r="AP4" s="410">
        <f>IF(AO3=AO5,AP3,((AP5-AP3)/(AO5-AO3))*(AN4-AO3)+AP3)</f>
        <v>0</v>
      </c>
      <c r="AQ4" s="411">
        <f>IF(AO3=AO5,AQ3,((AQ5-AQ3)/(AO5-AO3))*(AN4-AO3)+AQ3)</f>
        <v>0</v>
      </c>
      <c r="AR4" s="399"/>
      <c r="AX4" s="400"/>
      <c r="AY4" s="409">
        <f>B7</f>
        <v>1130</v>
      </c>
      <c r="AZ4" s="406"/>
      <c r="BA4" s="410">
        <f>IF(AZ3=AZ5,BA3,((BA5-BA3)/(AZ5-AZ3))*(AY4-AZ3)+BA3)</f>
        <v>0</v>
      </c>
      <c r="BB4" s="411">
        <f>IF(AZ3=AZ5,BB3,((BB5-BB3)/(AZ5-AZ3))*(AY4-AZ3)+BB3)</f>
        <v>0</v>
      </c>
      <c r="BC4" s="399"/>
      <c r="BI4" s="400"/>
      <c r="BJ4" s="409">
        <f>B8</f>
        <v>1130</v>
      </c>
      <c r="BK4" s="406"/>
      <c r="BL4" s="410">
        <f>IF(BK3=BK5,BL3,((BL5-BL3)/(BK5-BK3))*(BJ4-BK3)+BL3)</f>
        <v>0</v>
      </c>
      <c r="BM4" s="411">
        <f>IF(BK3=BK5,BM3,((BM5-BM3)/(BK5-BK3))*(BJ4-BK3)+BM3)</f>
        <v>0</v>
      </c>
      <c r="BN4" s="399"/>
      <c r="BT4" s="400"/>
      <c r="BU4" s="409">
        <f>B9</f>
        <v>1130</v>
      </c>
      <c r="BV4" s="406"/>
      <c r="BW4" s="413">
        <f>IF(BV3=BV5,BW3,((BW5-BW3)/(BV5-BV3))*(BU4-BV3)+BW3)</f>
        <v>0</v>
      </c>
      <c r="BX4" s="414">
        <f>IF(BV3=BV5,BX3,((BX5-BX3)/(BV5-BV3))*(BU4-BV3)+BX3)</f>
        <v>0</v>
      </c>
      <c r="BY4" s="399"/>
      <c r="CE4" s="400"/>
      <c r="CF4" s="409">
        <f>B10</f>
        <v>1130</v>
      </c>
      <c r="CG4" s="406"/>
      <c r="CH4" s="410">
        <f>IF(CG3=CG5,CH3,((CH5-CH3)/(CG5-CG3))*(CF4-CG3)+CH3)</f>
        <v>0</v>
      </c>
      <c r="CI4" s="411">
        <f>IF(CG3=CG5,CI3,((CI5-CI3)/(CG5-CG3))*(CF4-CG3)+CI3)</f>
        <v>0</v>
      </c>
      <c r="CJ4" s="399"/>
      <c r="CP4" s="400"/>
      <c r="CQ4" s="409">
        <f>B11</f>
        <v>1130</v>
      </c>
      <c r="CR4" s="406"/>
      <c r="CS4" s="410">
        <f>IF(CR3=CR5,CS3,((CS5-CS3)/(CR5-CR3))*(CQ4-CR3)+CS3)</f>
        <v>0</v>
      </c>
      <c r="CT4" s="411">
        <f>IF(CR3=CR5,CT3,((CT5-CT3)/(CR5-CR3))*(CQ4-CR3)+CT3)</f>
        <v>0</v>
      </c>
      <c r="CU4" s="399"/>
      <c r="DA4" s="400"/>
      <c r="DB4" s="409">
        <f>B12</f>
        <v>1130</v>
      </c>
      <c r="DC4" s="406"/>
      <c r="DD4" s="410">
        <f>IF(DC3=DC5,DD3,((DD5-DD3)/(DC5-DC3))*(DB4-DC3)+DD3)</f>
        <v>0</v>
      </c>
      <c r="DE4" s="411">
        <f>IF(DC3=DC5,DE3,((DE5-DE3)/(DC5-DC3))*(DB4-DC3)+DE3)</f>
        <v>0</v>
      </c>
      <c r="DF4" s="399"/>
      <c r="DL4" s="400"/>
      <c r="DM4" s="409">
        <f>B13</f>
        <v>1130</v>
      </c>
      <c r="DN4" s="406"/>
      <c r="DO4" s="410">
        <f>IF(DN3=DN5,DO3,((DO5-DO3)/(DN5-DN3))*(DM4-DN3)+DO3)</f>
        <v>0</v>
      </c>
      <c r="DP4" s="411">
        <f>IF(DN3=DN5,DP3,((DP5-DP3)/(DN5-DN3))*(DM4-DN3)+DP3)</f>
        <v>0</v>
      </c>
      <c r="DQ4" s="399"/>
      <c r="DW4" s="400"/>
      <c r="DX4" s="409">
        <f>B14</f>
        <v>1130</v>
      </c>
      <c r="DY4" s="406"/>
      <c r="DZ4" s="410">
        <f>IF(DY3=DY5,DZ3,((DZ5-DZ3)/(DY5-DY3))*(DX4-DY3)+DZ3)</f>
        <v>0</v>
      </c>
      <c r="EA4" s="411">
        <f>IF(DY3=DY5,EA3,((EA5-EA3)/(DY5-DY3))*(DX4-DY3)+EA3)</f>
        <v>0</v>
      </c>
      <c r="EB4" s="399"/>
      <c r="EH4" s="400"/>
      <c r="EI4" s="409">
        <f>B15</f>
        <v>1130</v>
      </c>
      <c r="EJ4" s="406"/>
      <c r="EK4" s="410">
        <f>IF(EJ3=EJ5,EK3,((EK5-EK3)/(EJ5-EJ3))*(EI4-EJ3)+EK3)</f>
        <v>0</v>
      </c>
      <c r="EL4" s="411">
        <f>IF(EJ3=EJ5,EL3,((EL5-EL3)/(EJ5-EJ3))*(EI4-EJ3)+EL3)</f>
        <v>0</v>
      </c>
      <c r="EM4" s="399"/>
      <c r="ES4" s="400"/>
      <c r="ET4" s="409">
        <f>B16</f>
        <v>1130</v>
      </c>
      <c r="EU4" s="406"/>
      <c r="EV4" s="410">
        <f>IF(EU3=EU5,EV3,((EV5-EV3)/(EU5-EU3))*(ET4-EU3)+EV3)</f>
        <v>0</v>
      </c>
      <c r="EW4" s="411">
        <f>IF(EU3=EU5,EW3,((EW5-EW3)/(EU5-EU3))*(ET4-EU3)+EW3)</f>
        <v>0</v>
      </c>
      <c r="EX4" s="399"/>
      <c r="FD4" s="400"/>
      <c r="FE4" s="409">
        <f>B17</f>
        <v>1130</v>
      </c>
      <c r="FF4" s="406"/>
      <c r="FG4" s="410">
        <f>IF(FF3=FF5,FG3,((FG5-FG3)/(FF5-FF3))*(FE4-FF3)+FG3)</f>
        <v>0</v>
      </c>
      <c r="FH4" s="411">
        <f>IF(FF3=FF5,FH3,((FH5-FH3)/(FF5-FF3))*(FE4-FF3)+FH3)</f>
        <v>0</v>
      </c>
      <c r="FI4" s="399"/>
      <c r="FO4" s="400"/>
      <c r="FP4" s="409">
        <f>B18</f>
        <v>1130</v>
      </c>
      <c r="FQ4" s="406"/>
      <c r="FR4" s="410">
        <f>IF(FQ3=FQ5,FR3,((FR5-FR3)/(FQ5-FQ3))*(FP4-FQ3)+FR3)</f>
        <v>0</v>
      </c>
      <c r="FS4" s="411">
        <f>IF(FQ3=FQ5,FS3,((FS5-FS3)/(FQ5-FQ3))*(FP4-FQ3)+FS3)</f>
        <v>0</v>
      </c>
      <c r="FT4" s="399"/>
      <c r="FZ4" s="400"/>
      <c r="GA4" s="409">
        <f>B19</f>
        <v>0</v>
      </c>
      <c r="GB4" s="406"/>
      <c r="GC4" s="410" t="e">
        <f>IF(GB3=GB5,GC3,((GC5-GC3)/(GB5-GB3))*(GA4-GB3)+GC3)</f>
        <v>#N/A</v>
      </c>
      <c r="GD4" s="411" t="e">
        <f>IF(GB3=GB5,GD3,((GD5-GD3)/(GB5-GB3))*(GA4-GB3)+GD3)</f>
        <v>#N/A</v>
      </c>
      <c r="GE4" s="399"/>
      <c r="GK4" s="400"/>
      <c r="GL4" s="409">
        <f>B20</f>
        <v>1780</v>
      </c>
      <c r="GM4" s="406"/>
      <c r="GN4" s="410">
        <f>IF(GM3=GM5,GN3,((GN5-GN3)/(GM5-GM3))*(GL4-GM3)+GN3)</f>
        <v>0</v>
      </c>
      <c r="GO4" s="411">
        <f>IF(GM3=GM5,GO3,((GO5-GO3)/(GM5-GM3))*(GL4-GM3)+GO3)</f>
        <v>0</v>
      </c>
      <c r="GP4" s="399"/>
      <c r="GV4" s="400"/>
      <c r="GW4" s="241"/>
      <c r="GX4" s="242" t="s">
        <v>5</v>
      </c>
      <c r="GY4" s="243">
        <f>'[6]ULLAGE REP'!O20</f>
        <v>575.35478870804661</v>
      </c>
      <c r="GZ4" s="244">
        <f>'[6]ULLAGE REP'!D20</f>
        <v>701.87279999999998</v>
      </c>
      <c r="HA4" s="245">
        <f>'[6]ULLAGE REP'!P20</f>
        <v>0.88573779428986787</v>
      </c>
      <c r="HB4" s="237"/>
      <c r="HC4" s="234"/>
      <c r="HD4" s="246"/>
      <c r="HL4" s="236"/>
    </row>
    <row r="5" spans="1:220" ht="15.4" thickBot="1">
      <c r="A5" s="401" t="s">
        <v>6</v>
      </c>
      <c r="B5" s="272">
        <f>MASTER!F5</f>
        <v>1130</v>
      </c>
      <c r="C5" s="402">
        <f>B5</f>
        <v>1130</v>
      </c>
      <c r="D5" s="403">
        <f>CEILING(AC2,1)</f>
        <v>0</v>
      </c>
      <c r="E5" s="403">
        <f t="shared" ref="E5:E20" si="0">C5+D5</f>
        <v>1130</v>
      </c>
      <c r="F5" s="404">
        <v>22.6</v>
      </c>
      <c r="G5" s="415" t="s">
        <v>187</v>
      </c>
      <c r="H5" s="416">
        <f>IF(H3=G4,H3,H3+100)</f>
        <v>1100</v>
      </c>
      <c r="I5" s="417">
        <f>VLOOKUP(H5,G9:Q125,MATCH(I2,G8:Q8),FALSE)</f>
        <v>0</v>
      </c>
      <c r="J5" s="418">
        <f>VLOOKUP(H5,G9:Q125,MATCH(J2,G8:Q8),FALSE)</f>
        <v>0</v>
      </c>
      <c r="K5" s="419"/>
      <c r="L5" s="420"/>
      <c r="M5" s="420"/>
      <c r="N5" s="420"/>
      <c r="O5" s="420"/>
      <c r="P5" s="420"/>
      <c r="Q5" s="421"/>
      <c r="R5" s="422" t="s">
        <v>187</v>
      </c>
      <c r="S5" s="416">
        <f>IF(S3=R4*1,S3,S3+100)</f>
        <v>1100</v>
      </c>
      <c r="T5" s="417">
        <f>VLOOKUP(S5,R9:AB125,MATCH(T2,R8:AB8),FALSE)</f>
        <v>0</v>
      </c>
      <c r="U5" s="418">
        <f>VLOOKUP(S5,R9:AB125,MATCH(U2,R8:AB8),FALSE)</f>
        <v>0</v>
      </c>
      <c r="V5" s="423"/>
      <c r="W5" s="424"/>
      <c r="X5" s="424"/>
      <c r="Y5" s="425"/>
      <c r="Z5" s="424"/>
      <c r="AA5" s="426"/>
      <c r="AB5" s="427"/>
      <c r="AC5" s="415" t="s">
        <v>187</v>
      </c>
      <c r="AD5" s="416">
        <f>IF(AD3=AC4*1,AD3,AD3+100)</f>
        <v>1200</v>
      </c>
      <c r="AE5" s="417">
        <f>VLOOKUP(AD5,AC9:AM125,MATCH(AE2,AC8:AM8),FALSE)</f>
        <v>0</v>
      </c>
      <c r="AF5" s="418">
        <f>VLOOKUP(AD5,AC9:AM125,MATCH(AF2,AC8:AM8),FALSE)</f>
        <v>0</v>
      </c>
      <c r="AG5" s="423"/>
      <c r="AH5" s="424"/>
      <c r="AI5" s="424"/>
      <c r="AJ5" s="424"/>
      <c r="AK5" s="424"/>
      <c r="AL5" s="420"/>
      <c r="AM5" s="427"/>
      <c r="AN5" s="415" t="s">
        <v>187</v>
      </c>
      <c r="AO5" s="416">
        <f>IF(AO3=AN4*1,AO3,AO3+100)</f>
        <v>1200</v>
      </c>
      <c r="AP5" s="417">
        <f>VLOOKUP(AO5,AN9:AX125,MATCH(AP2,AN8:AX8),FALSE)</f>
        <v>0</v>
      </c>
      <c r="AQ5" s="418">
        <f>VLOOKUP(AO5,AN9:AX125,MATCH(AQ2,AN8:AX8),FALSE)</f>
        <v>0</v>
      </c>
      <c r="AR5" s="423"/>
      <c r="AS5" s="424"/>
      <c r="AT5" s="424"/>
      <c r="AU5" s="424"/>
      <c r="AV5" s="424"/>
      <c r="AW5" s="424"/>
      <c r="AX5" s="427"/>
      <c r="AY5" s="415" t="s">
        <v>187</v>
      </c>
      <c r="AZ5" s="416">
        <f>IF(AZ3=AY4*1,AZ3,AZ3+100)</f>
        <v>1200</v>
      </c>
      <c r="BA5" s="417">
        <f>VLOOKUP(AZ5,AY9:BI125,MATCH(BA2,AY8:BI8),FALSE)</f>
        <v>0</v>
      </c>
      <c r="BB5" s="418">
        <f>VLOOKUP(AZ5,AY9:BI125,MATCH(BB2,AY8:BI8),FALSE)</f>
        <v>0</v>
      </c>
      <c r="BC5" s="423"/>
      <c r="BD5" s="424"/>
      <c r="BE5" s="424"/>
      <c r="BF5" s="424"/>
      <c r="BG5" s="424"/>
      <c r="BH5" s="424"/>
      <c r="BI5" s="427"/>
      <c r="BJ5" s="415" t="s">
        <v>187</v>
      </c>
      <c r="BK5" s="416">
        <f>IF(BK3=BJ4*1,BK3,BK3+100)</f>
        <v>1200</v>
      </c>
      <c r="BL5" s="417">
        <f>VLOOKUP(BK5,BJ9:BT125,MATCH(BL2,BJ8:BT8),FALSE)</f>
        <v>0</v>
      </c>
      <c r="BM5" s="418">
        <f>VLOOKUP(BK5,BJ9:BT125,MATCH(BM2,BJ8:BT8),FALSE)</f>
        <v>0</v>
      </c>
      <c r="BN5" s="423"/>
      <c r="BO5" s="424"/>
      <c r="BP5" s="424"/>
      <c r="BQ5" s="424"/>
      <c r="BR5" s="424"/>
      <c r="BS5" s="424"/>
      <c r="BT5" s="427"/>
      <c r="BU5" s="415" t="s">
        <v>187</v>
      </c>
      <c r="BV5" s="416">
        <f>IF(BV3=BU4*1,BV3,BV3+100)</f>
        <v>1200</v>
      </c>
      <c r="BW5" s="417">
        <f>VLOOKUP(BV5,BU10:CE125,MATCH(BW2,BU8:CE8),FALSE)</f>
        <v>0</v>
      </c>
      <c r="BX5" s="418">
        <f>VLOOKUP(BV5,BU10:CE125,MATCH(BX2,BU8:CE8),FALSE)</f>
        <v>0</v>
      </c>
      <c r="BY5" s="423"/>
      <c r="BZ5" s="424"/>
      <c r="CA5" s="424"/>
      <c r="CB5" s="424"/>
      <c r="CC5" s="424"/>
      <c r="CD5" s="424"/>
      <c r="CE5" s="427"/>
      <c r="CF5" s="415" t="s">
        <v>187</v>
      </c>
      <c r="CG5" s="416">
        <f>IF(CG3=CF4*1,CG3,CG3+100)</f>
        <v>1200</v>
      </c>
      <c r="CH5" s="417">
        <f>VLOOKUP(CG5,CF9:CP125,MATCH(CH2,CF8:CP8),FALSE)</f>
        <v>0</v>
      </c>
      <c r="CI5" s="418">
        <f>VLOOKUP(CG5,CF9:CP125,MATCH(CI2,CF8:CP8),FALSE)</f>
        <v>0</v>
      </c>
      <c r="CJ5" s="423"/>
      <c r="CK5" s="424"/>
      <c r="CL5" s="424"/>
      <c r="CM5" s="424"/>
      <c r="CN5" s="424"/>
      <c r="CO5" s="424"/>
      <c r="CP5" s="427"/>
      <c r="CQ5" s="415" t="s">
        <v>187</v>
      </c>
      <c r="CR5" s="416">
        <f>IF(CR3=CQ4*1,CR3,CR3+100)</f>
        <v>1200</v>
      </c>
      <c r="CS5" s="417">
        <f>VLOOKUP(CR5,CQ9:DA125,MATCH(CS2,CQ8:DA8),FALSE)</f>
        <v>0</v>
      </c>
      <c r="CT5" s="418">
        <f>VLOOKUP(CR5,CQ9:DA125,MATCH(CT2,CQ8:DA8),FALSE)</f>
        <v>0</v>
      </c>
      <c r="CU5" s="423"/>
      <c r="CV5" s="424"/>
      <c r="CW5" s="424"/>
      <c r="CX5" s="424"/>
      <c r="CY5" s="424"/>
      <c r="CZ5" s="424"/>
      <c r="DA5" s="427"/>
      <c r="DB5" s="415" t="s">
        <v>187</v>
      </c>
      <c r="DC5" s="416">
        <f>IF(DC3=DB4*1,DC3,DC3+100)</f>
        <v>1200</v>
      </c>
      <c r="DD5" s="417">
        <f>VLOOKUP(DC5,DB9:DL125,MATCH(DD2,DB8:DL8),FALSE)</f>
        <v>0</v>
      </c>
      <c r="DE5" s="418">
        <f>VLOOKUP(DC5,DB9:DL125,MATCH(DE2,DB8:DL8),FALSE)</f>
        <v>0</v>
      </c>
      <c r="DF5" s="423"/>
      <c r="DG5" s="424"/>
      <c r="DH5" s="424"/>
      <c r="DI5" s="424"/>
      <c r="DJ5" s="424"/>
      <c r="DK5" s="424"/>
      <c r="DL5" s="427"/>
      <c r="DM5" s="415" t="s">
        <v>187</v>
      </c>
      <c r="DN5" s="416">
        <f>IF(DN3=DM4*1,DN3,DN3+100)</f>
        <v>1200</v>
      </c>
      <c r="DO5" s="417">
        <f>VLOOKUP(DN5,DM9:DW125,MATCH(DO2,DM8:DW8),FALSE)</f>
        <v>0</v>
      </c>
      <c r="DP5" s="418">
        <f>VLOOKUP(DN5,DM9:DW125,MATCH(DP2,DM8:DW8),FALSE)</f>
        <v>0</v>
      </c>
      <c r="DQ5" s="423"/>
      <c r="DR5" s="424"/>
      <c r="DS5" s="424"/>
      <c r="DT5" s="424"/>
      <c r="DU5" s="424"/>
      <c r="DV5" s="424"/>
      <c r="DW5" s="427"/>
      <c r="DX5" s="415" t="s">
        <v>187</v>
      </c>
      <c r="DY5" s="416">
        <f>IF(DY3=DX4*1,DY3,DY3+100)</f>
        <v>1200</v>
      </c>
      <c r="DZ5" s="417">
        <f>VLOOKUP(DY5,DX9:EH125,MATCH(DZ2,DX8:EH8),FALSE)</f>
        <v>0</v>
      </c>
      <c r="EA5" s="418">
        <f>VLOOKUP(DY5,DX9:EH125,MATCH(EA2,DX8:EH8),FALSE)</f>
        <v>0</v>
      </c>
      <c r="EB5" s="423"/>
      <c r="EC5" s="424"/>
      <c r="ED5" s="424"/>
      <c r="EE5" s="424"/>
      <c r="EF5" s="424"/>
      <c r="EG5" s="424"/>
      <c r="EH5" s="427"/>
      <c r="EI5" s="415" t="s">
        <v>187</v>
      </c>
      <c r="EJ5" s="416">
        <f>IF(EJ3=EI4*1,EJ3,EJ3+100)</f>
        <v>1200</v>
      </c>
      <c r="EK5" s="417">
        <f>VLOOKUP(EJ5,EI9:ES125,MATCH(EK2,EI8:ES8),FALSE)</f>
        <v>0</v>
      </c>
      <c r="EL5" s="418">
        <f>VLOOKUP(EJ5,EI9:ES125,MATCH(EL2,EI8:ES8),FALSE)</f>
        <v>0</v>
      </c>
      <c r="EM5" s="423"/>
      <c r="EN5" s="424"/>
      <c r="EO5" s="424"/>
      <c r="EP5" s="424"/>
      <c r="EQ5" s="424"/>
      <c r="ER5" s="424"/>
      <c r="ES5" s="427"/>
      <c r="ET5" s="415" t="s">
        <v>187</v>
      </c>
      <c r="EU5" s="416">
        <f>IF(EU3=ET4*1,EU3,EU3+100)</f>
        <v>1200</v>
      </c>
      <c r="EV5" s="417">
        <f>VLOOKUP(EU5,ET9:FD125,MATCH(EV2,ET8:FD8),FALSE)</f>
        <v>0</v>
      </c>
      <c r="EW5" s="418">
        <f>VLOOKUP(EU5,ET9:FD125,MATCH(EW2,ET8:FD8),FALSE)</f>
        <v>0</v>
      </c>
      <c r="EX5" s="423"/>
      <c r="EY5" s="424"/>
      <c r="EZ5" s="424"/>
      <c r="FA5" s="424"/>
      <c r="FB5" s="424"/>
      <c r="FC5" s="424"/>
      <c r="FD5" s="427"/>
      <c r="FE5" s="415" t="s">
        <v>187</v>
      </c>
      <c r="FF5" s="416">
        <f>IF(FF3=FE4*1,FF3,FF3+100)</f>
        <v>1200</v>
      </c>
      <c r="FG5" s="417">
        <f>VLOOKUP(FF5,FE9:FO125,MATCH(FG2,FE8:FO8),FALSE)</f>
        <v>0</v>
      </c>
      <c r="FH5" s="418">
        <f>VLOOKUP(FF5,FE9:FO125,MATCH(FH2,FE8:FO8),FALSE)</f>
        <v>0</v>
      </c>
      <c r="FI5" s="423"/>
      <c r="FJ5" s="424"/>
      <c r="FK5" s="424"/>
      <c r="FL5" s="424"/>
      <c r="FM5" s="424"/>
      <c r="FN5" s="424"/>
      <c r="FO5" s="427"/>
      <c r="FP5" s="415" t="s">
        <v>187</v>
      </c>
      <c r="FQ5" s="416">
        <f>IF(FQ3=FP4*1,FQ3,FQ3+100)</f>
        <v>1200</v>
      </c>
      <c r="FR5" s="417">
        <f>VLOOKUP(FQ5,FP9:FZ125,MATCH(FR2,FP8:FZ8),FALSE)</f>
        <v>0</v>
      </c>
      <c r="FS5" s="418">
        <f>VLOOKUP(FQ5,FP9:FZ125,MATCH(FS2,FP8:FZ8),FALSE)</f>
        <v>0</v>
      </c>
      <c r="FT5" s="423"/>
      <c r="FU5" s="424"/>
      <c r="FV5" s="424"/>
      <c r="FW5" s="424"/>
      <c r="FX5" s="424"/>
      <c r="FY5" s="424"/>
      <c r="FZ5" s="427"/>
      <c r="GA5" s="415" t="s">
        <v>187</v>
      </c>
      <c r="GB5" s="416">
        <f>IF(GB3=GA4*1,GB3,GB3+100)</f>
        <v>0</v>
      </c>
      <c r="GC5" s="417" t="e">
        <f>VLOOKUP(GB5,GA9:GK125,MATCH(GC2,GA8:GK8),FALSE)</f>
        <v>#N/A</v>
      </c>
      <c r="GD5" s="418" t="e">
        <f>VLOOKUP(GB5,GA9:GK125,MATCH(GD2,GA8:GK8),FALSE)</f>
        <v>#N/A</v>
      </c>
      <c r="GE5" s="423"/>
      <c r="GF5" s="424"/>
      <c r="GG5" s="424"/>
      <c r="GH5" s="424"/>
      <c r="GI5" s="424"/>
      <c r="GJ5" s="424"/>
      <c r="GK5" s="427"/>
      <c r="GL5" s="415" t="s">
        <v>187</v>
      </c>
      <c r="GM5" s="416">
        <f>IF(GM3=GL4*1,GM3,GM3+100)</f>
        <v>1800</v>
      </c>
      <c r="GN5" s="417">
        <f>VLOOKUP(GM5,GL9:GV125,MATCH(GN2,GL8:GV8),FALSE)</f>
        <v>0</v>
      </c>
      <c r="GO5" s="418">
        <f>VLOOKUP(GM5,GL9:GV125,MATCH(GO2,GL8:GV8),FALSE)</f>
        <v>0</v>
      </c>
      <c r="GP5" s="423"/>
      <c r="GQ5" s="424"/>
      <c r="GR5" s="424"/>
      <c r="GS5" s="424"/>
      <c r="GT5" s="424"/>
      <c r="GU5" s="424"/>
      <c r="GV5" s="427"/>
      <c r="GW5" s="241"/>
      <c r="GX5" s="242" t="s">
        <v>6</v>
      </c>
      <c r="GY5" s="243">
        <f>'[6]ULLAGE REP'!O21</f>
        <v>1205.8392111504522</v>
      </c>
      <c r="GZ5" s="244">
        <f>'[6]ULLAGE REP'!D21</f>
        <v>1470.998</v>
      </c>
      <c r="HA5" s="245">
        <f>'[6]ULLAGE REP'!P21</f>
        <v>0.89929419676290334</v>
      </c>
      <c r="HB5" s="237"/>
      <c r="HC5" s="234"/>
      <c r="HD5" s="235"/>
      <c r="HE5" s="247"/>
      <c r="HF5" s="247"/>
      <c r="HG5" s="247"/>
      <c r="HH5" s="247"/>
      <c r="HI5" s="247"/>
      <c r="HL5" s="236"/>
    </row>
    <row r="6" spans="1:220" ht="15.4" thickBot="1">
      <c r="A6" s="401" t="s">
        <v>7</v>
      </c>
      <c r="B6" s="272">
        <f>MASTER!F6</f>
        <v>1130</v>
      </c>
      <c r="C6" s="402">
        <f t="shared" ref="C6:C20" si="1">B6</f>
        <v>1130</v>
      </c>
      <c r="D6" s="403">
        <f>CEILING(AN2,1)</f>
        <v>0</v>
      </c>
      <c r="E6" s="403">
        <f t="shared" si="0"/>
        <v>1130</v>
      </c>
      <c r="F6" s="404">
        <v>22.6</v>
      </c>
      <c r="G6" s="423"/>
      <c r="GW6" s="241"/>
      <c r="GX6" s="242" t="s">
        <v>7</v>
      </c>
      <c r="GY6" s="243">
        <f>'[6]ULLAGE REP'!O22</f>
        <v>1205.3744172943611</v>
      </c>
      <c r="GZ6" s="244">
        <f>'[6]ULLAGE REP'!D22</f>
        <v>1470.431</v>
      </c>
      <c r="HA6" s="245">
        <f>'[6]ULLAGE REP'!P22</f>
        <v>0.89928127511286648</v>
      </c>
      <c r="HB6" s="237"/>
      <c r="HC6" s="234"/>
      <c r="HD6" s="235"/>
      <c r="HL6" s="236"/>
    </row>
    <row r="7" spans="1:220" ht="15">
      <c r="A7" s="401" t="s">
        <v>8</v>
      </c>
      <c r="B7" s="272">
        <f>MASTER!F7</f>
        <v>1130</v>
      </c>
      <c r="C7" s="402">
        <f t="shared" si="1"/>
        <v>1130</v>
      </c>
      <c r="D7" s="403">
        <f>CEILING(AY2,1)</f>
        <v>0</v>
      </c>
      <c r="E7" s="403">
        <f t="shared" si="0"/>
        <v>1130</v>
      </c>
      <c r="F7" s="404">
        <v>22.7</v>
      </c>
      <c r="G7" s="725" t="s">
        <v>4</v>
      </c>
      <c r="H7" s="726"/>
      <c r="I7" s="726"/>
      <c r="J7" s="726"/>
      <c r="K7" s="726"/>
      <c r="L7" s="726"/>
      <c r="M7" s="726"/>
      <c r="N7" s="726"/>
      <c r="O7" s="726"/>
      <c r="P7" s="726"/>
      <c r="Q7" s="727"/>
      <c r="R7" s="725" t="s">
        <v>5</v>
      </c>
      <c r="S7" s="726"/>
      <c r="T7" s="726"/>
      <c r="U7" s="726"/>
      <c r="V7" s="726"/>
      <c r="W7" s="726"/>
      <c r="X7" s="726"/>
      <c r="Y7" s="726"/>
      <c r="Z7" s="726"/>
      <c r="AA7" s="726"/>
      <c r="AB7" s="727"/>
      <c r="AC7" s="725" t="s">
        <v>6</v>
      </c>
      <c r="AD7" s="726"/>
      <c r="AE7" s="726"/>
      <c r="AF7" s="726"/>
      <c r="AG7" s="726"/>
      <c r="AH7" s="726"/>
      <c r="AI7" s="726"/>
      <c r="AJ7" s="726"/>
      <c r="AK7" s="726"/>
      <c r="AL7" s="726"/>
      <c r="AM7" s="727"/>
      <c r="AN7" s="725" t="s">
        <v>7</v>
      </c>
      <c r="AO7" s="726"/>
      <c r="AP7" s="726"/>
      <c r="AQ7" s="726"/>
      <c r="AR7" s="726"/>
      <c r="AS7" s="726"/>
      <c r="AT7" s="726"/>
      <c r="AU7" s="726"/>
      <c r="AV7" s="726"/>
      <c r="AW7" s="726"/>
      <c r="AX7" s="727"/>
      <c r="AY7" s="725" t="s">
        <v>8</v>
      </c>
      <c r="AZ7" s="726"/>
      <c r="BA7" s="726"/>
      <c r="BB7" s="726"/>
      <c r="BC7" s="726"/>
      <c r="BD7" s="726"/>
      <c r="BE7" s="726"/>
      <c r="BF7" s="726"/>
      <c r="BG7" s="726"/>
      <c r="BH7" s="726"/>
      <c r="BI7" s="727"/>
      <c r="BJ7" s="725" t="s">
        <v>9</v>
      </c>
      <c r="BK7" s="726"/>
      <c r="BL7" s="726"/>
      <c r="BM7" s="726"/>
      <c r="BN7" s="726"/>
      <c r="BO7" s="726"/>
      <c r="BP7" s="726"/>
      <c r="BQ7" s="726"/>
      <c r="BR7" s="726"/>
      <c r="BS7" s="726"/>
      <c r="BT7" s="726"/>
      <c r="BU7" s="725" t="s">
        <v>10</v>
      </c>
      <c r="BV7" s="726"/>
      <c r="BW7" s="726"/>
      <c r="BX7" s="726"/>
      <c r="BY7" s="726"/>
      <c r="BZ7" s="726"/>
      <c r="CA7" s="726"/>
      <c r="CB7" s="726"/>
      <c r="CC7" s="726"/>
      <c r="CD7" s="726"/>
      <c r="CE7" s="727"/>
      <c r="CF7" s="725" t="s">
        <v>11</v>
      </c>
      <c r="CG7" s="726"/>
      <c r="CH7" s="726"/>
      <c r="CI7" s="726"/>
      <c r="CJ7" s="726"/>
      <c r="CK7" s="726"/>
      <c r="CL7" s="726"/>
      <c r="CM7" s="726"/>
      <c r="CN7" s="726"/>
      <c r="CO7" s="726"/>
      <c r="CP7" s="727"/>
      <c r="CQ7" s="725" t="s">
        <v>12</v>
      </c>
      <c r="CR7" s="726"/>
      <c r="CS7" s="726"/>
      <c r="CT7" s="726"/>
      <c r="CU7" s="726"/>
      <c r="CV7" s="726"/>
      <c r="CW7" s="726"/>
      <c r="CX7" s="726"/>
      <c r="CY7" s="726"/>
      <c r="CZ7" s="726"/>
      <c r="DA7" s="727"/>
      <c r="DB7" s="725" t="s">
        <v>13</v>
      </c>
      <c r="DC7" s="726"/>
      <c r="DD7" s="726"/>
      <c r="DE7" s="726"/>
      <c r="DF7" s="726"/>
      <c r="DG7" s="726"/>
      <c r="DH7" s="726"/>
      <c r="DI7" s="726"/>
      <c r="DJ7" s="726"/>
      <c r="DK7" s="726"/>
      <c r="DL7" s="727"/>
      <c r="DM7" s="725" t="s">
        <v>14</v>
      </c>
      <c r="DN7" s="726"/>
      <c r="DO7" s="726"/>
      <c r="DP7" s="726"/>
      <c r="DQ7" s="726"/>
      <c r="DR7" s="726"/>
      <c r="DS7" s="726"/>
      <c r="DT7" s="726"/>
      <c r="DU7" s="726"/>
      <c r="DV7" s="726"/>
      <c r="DW7" s="727"/>
      <c r="DX7" s="725" t="s">
        <v>15</v>
      </c>
      <c r="DY7" s="726"/>
      <c r="DZ7" s="726"/>
      <c r="EA7" s="726"/>
      <c r="EB7" s="726"/>
      <c r="EC7" s="726"/>
      <c r="ED7" s="726"/>
      <c r="EE7" s="726"/>
      <c r="EF7" s="726"/>
      <c r="EG7" s="726"/>
      <c r="EH7" s="726"/>
      <c r="EI7" s="725" t="s">
        <v>16</v>
      </c>
      <c r="EJ7" s="726"/>
      <c r="EK7" s="726"/>
      <c r="EL7" s="726"/>
      <c r="EM7" s="726"/>
      <c r="EN7" s="726"/>
      <c r="EO7" s="726"/>
      <c r="EP7" s="726"/>
      <c r="EQ7" s="726"/>
      <c r="ER7" s="726"/>
      <c r="ES7" s="727"/>
      <c r="ET7" s="725" t="s">
        <v>17</v>
      </c>
      <c r="EU7" s="726"/>
      <c r="EV7" s="726"/>
      <c r="EW7" s="726"/>
      <c r="EX7" s="726"/>
      <c r="EY7" s="726"/>
      <c r="EZ7" s="726"/>
      <c r="FA7" s="726"/>
      <c r="FB7" s="726"/>
      <c r="FC7" s="726"/>
      <c r="FD7" s="726"/>
      <c r="FE7" s="725" t="s">
        <v>18</v>
      </c>
      <c r="FF7" s="726"/>
      <c r="FG7" s="726"/>
      <c r="FH7" s="726"/>
      <c r="FI7" s="726"/>
      <c r="FJ7" s="726"/>
      <c r="FK7" s="726"/>
      <c r="FL7" s="726"/>
      <c r="FM7" s="726"/>
      <c r="FN7" s="726"/>
      <c r="FO7" s="727"/>
      <c r="FP7" s="725" t="s">
        <v>19</v>
      </c>
      <c r="FQ7" s="726"/>
      <c r="FR7" s="726"/>
      <c r="FS7" s="726"/>
      <c r="FT7" s="726"/>
      <c r="FU7" s="726"/>
      <c r="FV7" s="726"/>
      <c r="FW7" s="726"/>
      <c r="FX7" s="726"/>
      <c r="FY7" s="726"/>
      <c r="FZ7" s="726"/>
      <c r="GA7" s="725" t="s">
        <v>192</v>
      </c>
      <c r="GB7" s="726"/>
      <c r="GC7" s="726"/>
      <c r="GD7" s="726"/>
      <c r="GE7" s="726"/>
      <c r="GF7" s="726"/>
      <c r="GG7" s="726"/>
      <c r="GH7" s="726"/>
      <c r="GI7" s="726"/>
      <c r="GJ7" s="726"/>
      <c r="GK7" s="727"/>
      <c r="GL7" s="725" t="s">
        <v>193</v>
      </c>
      <c r="GM7" s="726"/>
      <c r="GN7" s="726"/>
      <c r="GO7" s="726"/>
      <c r="GP7" s="726"/>
      <c r="GQ7" s="726"/>
      <c r="GR7" s="726"/>
      <c r="GS7" s="726"/>
      <c r="GT7" s="726"/>
      <c r="GU7" s="726"/>
      <c r="GV7" s="727"/>
      <c r="GW7" s="241"/>
      <c r="GX7" s="242" t="s">
        <v>8</v>
      </c>
      <c r="GY7" s="243">
        <f>'[6]ULLAGE REP'!O23</f>
        <v>1021.8986410997854</v>
      </c>
      <c r="GZ7" s="244">
        <f>'[6]ULLAGE REP'!D23</f>
        <v>1246.6097000000002</v>
      </c>
      <c r="HA7" s="245">
        <f>'[6]ULLAGE REP'!P23</f>
        <v>0.90235235188138219</v>
      </c>
      <c r="HB7" s="237"/>
      <c r="HC7" s="234"/>
      <c r="HD7" s="235"/>
      <c r="HL7" s="236"/>
    </row>
    <row r="8" spans="1:220" ht="15">
      <c r="A8" s="401" t="s">
        <v>9</v>
      </c>
      <c r="B8" s="272">
        <f>MASTER!F8</f>
        <v>1130</v>
      </c>
      <c r="C8" s="402">
        <f t="shared" si="1"/>
        <v>1130</v>
      </c>
      <c r="D8" s="403">
        <f>CEILING(BJ2,1)</f>
        <v>0</v>
      </c>
      <c r="E8" s="403">
        <f t="shared" si="0"/>
        <v>1130</v>
      </c>
      <c r="F8" s="404">
        <v>22.8</v>
      </c>
      <c r="G8" s="428" t="s">
        <v>194</v>
      </c>
      <c r="H8" s="429">
        <v>-3</v>
      </c>
      <c r="I8" s="429">
        <v>-2.5</v>
      </c>
      <c r="J8" s="429">
        <v>-2</v>
      </c>
      <c r="K8" s="429">
        <v>-1.5</v>
      </c>
      <c r="L8" s="429">
        <v>-1</v>
      </c>
      <c r="M8" s="429">
        <v>-0.5</v>
      </c>
      <c r="N8" s="429">
        <v>-0.25</v>
      </c>
      <c r="O8" s="430">
        <v>0</v>
      </c>
      <c r="P8" s="430">
        <v>0.25</v>
      </c>
      <c r="Q8" s="431">
        <v>0.5</v>
      </c>
      <c r="R8" s="428" t="s">
        <v>194</v>
      </c>
      <c r="S8" s="430">
        <v>-3</v>
      </c>
      <c r="T8" s="430">
        <v>-2.5</v>
      </c>
      <c r="U8" s="430">
        <v>-2</v>
      </c>
      <c r="V8" s="430">
        <v>-1.5</v>
      </c>
      <c r="W8" s="430">
        <v>-1</v>
      </c>
      <c r="X8" s="430">
        <v>-0.5</v>
      </c>
      <c r="Y8" s="430">
        <v>-0.25</v>
      </c>
      <c r="Z8" s="430">
        <v>0</v>
      </c>
      <c r="AA8" s="432">
        <v>0.25</v>
      </c>
      <c r="AB8" s="431">
        <v>0.5</v>
      </c>
      <c r="AC8" s="428" t="s">
        <v>194</v>
      </c>
      <c r="AD8" s="430">
        <v>-3</v>
      </c>
      <c r="AE8" s="430">
        <v>-2.5</v>
      </c>
      <c r="AF8" s="430">
        <v>-2</v>
      </c>
      <c r="AG8" s="430">
        <v>-1.5</v>
      </c>
      <c r="AH8" s="430">
        <v>-1</v>
      </c>
      <c r="AI8" s="430">
        <v>-0.5</v>
      </c>
      <c r="AJ8" s="430">
        <v>-0.25</v>
      </c>
      <c r="AK8" s="430">
        <v>0</v>
      </c>
      <c r="AL8" s="430">
        <v>0.25</v>
      </c>
      <c r="AM8" s="431">
        <v>0.5</v>
      </c>
      <c r="AN8" s="428" t="s">
        <v>194</v>
      </c>
      <c r="AO8" s="430">
        <v>-3</v>
      </c>
      <c r="AP8" s="430">
        <v>-2.5</v>
      </c>
      <c r="AQ8" s="430">
        <v>-2</v>
      </c>
      <c r="AR8" s="430">
        <v>-1.5</v>
      </c>
      <c r="AS8" s="430">
        <v>-1</v>
      </c>
      <c r="AT8" s="430">
        <v>-0.5</v>
      </c>
      <c r="AU8" s="430">
        <v>-0.25</v>
      </c>
      <c r="AV8" s="430">
        <v>0</v>
      </c>
      <c r="AW8" s="430">
        <v>0.25</v>
      </c>
      <c r="AX8" s="431">
        <v>0.5</v>
      </c>
      <c r="AY8" s="428" t="s">
        <v>194</v>
      </c>
      <c r="AZ8" s="430">
        <v>-3</v>
      </c>
      <c r="BA8" s="430">
        <v>-2.5</v>
      </c>
      <c r="BB8" s="430">
        <v>-2</v>
      </c>
      <c r="BC8" s="430">
        <v>-1.5</v>
      </c>
      <c r="BD8" s="430">
        <v>-1</v>
      </c>
      <c r="BE8" s="430">
        <v>-0.5</v>
      </c>
      <c r="BF8" s="430">
        <v>-0.25</v>
      </c>
      <c r="BG8" s="430">
        <v>0</v>
      </c>
      <c r="BH8" s="430">
        <v>0.25</v>
      </c>
      <c r="BI8" s="431">
        <v>0.5</v>
      </c>
      <c r="BJ8" s="433" t="s">
        <v>194</v>
      </c>
      <c r="BK8" s="430">
        <v>-3</v>
      </c>
      <c r="BL8" s="430">
        <v>-2.5</v>
      </c>
      <c r="BM8" s="430">
        <v>-2</v>
      </c>
      <c r="BN8" s="430">
        <v>-1.5</v>
      </c>
      <c r="BO8" s="430">
        <v>-1</v>
      </c>
      <c r="BP8" s="430">
        <v>-0.5</v>
      </c>
      <c r="BQ8" s="430">
        <v>-0.25</v>
      </c>
      <c r="BR8" s="430">
        <v>0</v>
      </c>
      <c r="BS8" s="430">
        <v>0.25</v>
      </c>
      <c r="BT8" s="434">
        <v>0.5</v>
      </c>
      <c r="BU8" s="428" t="s">
        <v>194</v>
      </c>
      <c r="BV8" s="430">
        <v>-3</v>
      </c>
      <c r="BW8" s="430">
        <v>-2.5</v>
      </c>
      <c r="BX8" s="430">
        <v>-2</v>
      </c>
      <c r="BY8" s="430">
        <v>-1.5</v>
      </c>
      <c r="BZ8" s="430">
        <v>-1</v>
      </c>
      <c r="CA8" s="430">
        <v>-0.5</v>
      </c>
      <c r="CB8" s="430">
        <v>-0.25</v>
      </c>
      <c r="CC8" s="430">
        <v>0</v>
      </c>
      <c r="CD8" s="430">
        <v>0.25</v>
      </c>
      <c r="CE8" s="431">
        <v>0.5</v>
      </c>
      <c r="CF8" s="428" t="s">
        <v>194</v>
      </c>
      <c r="CG8" s="430">
        <v>-3</v>
      </c>
      <c r="CH8" s="430">
        <v>-2.5</v>
      </c>
      <c r="CI8" s="430">
        <v>-2</v>
      </c>
      <c r="CJ8" s="430">
        <v>-1.5</v>
      </c>
      <c r="CK8" s="430">
        <v>-1</v>
      </c>
      <c r="CL8" s="430">
        <v>-0.5</v>
      </c>
      <c r="CM8" s="430">
        <v>-0.25</v>
      </c>
      <c r="CN8" s="430">
        <v>0</v>
      </c>
      <c r="CO8" s="430">
        <v>0.25</v>
      </c>
      <c r="CP8" s="431">
        <v>0.5</v>
      </c>
      <c r="CQ8" s="433" t="s">
        <v>194</v>
      </c>
      <c r="CR8" s="430">
        <v>-3</v>
      </c>
      <c r="CS8" s="430">
        <v>-2.5</v>
      </c>
      <c r="CT8" s="430">
        <v>-2</v>
      </c>
      <c r="CU8" s="430">
        <v>-1.5</v>
      </c>
      <c r="CV8" s="430">
        <v>-1</v>
      </c>
      <c r="CW8" s="430">
        <v>-0.5</v>
      </c>
      <c r="CX8" s="430">
        <v>-0.25</v>
      </c>
      <c r="CY8" s="430">
        <v>0</v>
      </c>
      <c r="CZ8" s="430">
        <v>0.25</v>
      </c>
      <c r="DA8" s="431">
        <v>0.5</v>
      </c>
      <c r="DB8" s="433" t="s">
        <v>194</v>
      </c>
      <c r="DC8" s="430">
        <v>-3</v>
      </c>
      <c r="DD8" s="430">
        <v>-2.5</v>
      </c>
      <c r="DE8" s="430">
        <v>-2</v>
      </c>
      <c r="DF8" s="430">
        <v>-1.5</v>
      </c>
      <c r="DG8" s="430">
        <v>-1</v>
      </c>
      <c r="DH8" s="430">
        <v>-0.5</v>
      </c>
      <c r="DI8" s="430">
        <v>-0.25</v>
      </c>
      <c r="DJ8" s="430">
        <v>0</v>
      </c>
      <c r="DK8" s="430">
        <v>0.25</v>
      </c>
      <c r="DL8" s="431">
        <v>0.5</v>
      </c>
      <c r="DM8" s="433" t="s">
        <v>194</v>
      </c>
      <c r="DN8" s="430">
        <v>-3</v>
      </c>
      <c r="DO8" s="430">
        <v>-2.5</v>
      </c>
      <c r="DP8" s="430">
        <v>-2</v>
      </c>
      <c r="DQ8" s="430">
        <v>-1.5</v>
      </c>
      <c r="DR8" s="430">
        <v>-1</v>
      </c>
      <c r="DS8" s="430">
        <v>-0.5</v>
      </c>
      <c r="DT8" s="430">
        <v>-0.25</v>
      </c>
      <c r="DU8" s="430">
        <v>0</v>
      </c>
      <c r="DV8" s="430">
        <v>0.25</v>
      </c>
      <c r="DW8" s="431">
        <v>0.5</v>
      </c>
      <c r="DX8" s="428" t="s">
        <v>194</v>
      </c>
      <c r="DY8" s="430">
        <v>-3</v>
      </c>
      <c r="DZ8" s="430">
        <v>-2.5</v>
      </c>
      <c r="EA8" s="430">
        <v>-2</v>
      </c>
      <c r="EB8" s="430">
        <v>-1.5</v>
      </c>
      <c r="EC8" s="430">
        <v>-1</v>
      </c>
      <c r="ED8" s="430">
        <v>-0.5</v>
      </c>
      <c r="EE8" s="430">
        <v>-0.25</v>
      </c>
      <c r="EF8" s="430">
        <v>0</v>
      </c>
      <c r="EG8" s="430">
        <v>0.25</v>
      </c>
      <c r="EH8" s="434">
        <v>0.5</v>
      </c>
      <c r="EI8" s="428" t="s">
        <v>194</v>
      </c>
      <c r="EJ8" s="430">
        <v>-3</v>
      </c>
      <c r="EK8" s="430">
        <v>-2.5</v>
      </c>
      <c r="EL8" s="430">
        <v>-2</v>
      </c>
      <c r="EM8" s="430">
        <v>-1.5</v>
      </c>
      <c r="EN8" s="430">
        <v>-1</v>
      </c>
      <c r="EO8" s="430">
        <v>-0.5</v>
      </c>
      <c r="EP8" s="430">
        <v>-0.25</v>
      </c>
      <c r="EQ8" s="430">
        <v>0</v>
      </c>
      <c r="ER8" s="430">
        <v>0.25</v>
      </c>
      <c r="ES8" s="431">
        <v>0.5</v>
      </c>
      <c r="ET8" s="428" t="s">
        <v>194</v>
      </c>
      <c r="EU8" s="430">
        <v>-3</v>
      </c>
      <c r="EV8" s="430">
        <v>-2.5</v>
      </c>
      <c r="EW8" s="430">
        <v>-2</v>
      </c>
      <c r="EX8" s="430">
        <v>-1.5</v>
      </c>
      <c r="EY8" s="430">
        <v>-1</v>
      </c>
      <c r="EZ8" s="430">
        <v>-0.5</v>
      </c>
      <c r="FA8" s="430">
        <v>-0.25</v>
      </c>
      <c r="FB8" s="430">
        <v>0</v>
      </c>
      <c r="FC8" s="430">
        <v>0.25</v>
      </c>
      <c r="FD8" s="434">
        <v>0.5</v>
      </c>
      <c r="FE8" s="428" t="s">
        <v>194</v>
      </c>
      <c r="FF8" s="430">
        <v>-3</v>
      </c>
      <c r="FG8" s="430">
        <v>-2.5</v>
      </c>
      <c r="FH8" s="430">
        <v>-2</v>
      </c>
      <c r="FI8" s="430">
        <v>-1.5</v>
      </c>
      <c r="FJ8" s="430">
        <v>-1</v>
      </c>
      <c r="FK8" s="430">
        <v>-0.5</v>
      </c>
      <c r="FL8" s="430">
        <v>-0.25</v>
      </c>
      <c r="FM8" s="430">
        <v>0</v>
      </c>
      <c r="FN8" s="430">
        <v>0.25</v>
      </c>
      <c r="FO8" s="431">
        <v>0.5</v>
      </c>
      <c r="FP8" s="428" t="s">
        <v>194</v>
      </c>
      <c r="FQ8" s="430">
        <v>-3</v>
      </c>
      <c r="FR8" s="430">
        <v>-2.5</v>
      </c>
      <c r="FS8" s="430">
        <v>-2</v>
      </c>
      <c r="FT8" s="430">
        <v>-1.5</v>
      </c>
      <c r="FU8" s="430">
        <v>-1</v>
      </c>
      <c r="FV8" s="430">
        <v>-0.5</v>
      </c>
      <c r="FW8" s="430">
        <v>-0.25</v>
      </c>
      <c r="FX8" s="430">
        <v>0</v>
      </c>
      <c r="FY8" s="430">
        <v>0.25</v>
      </c>
      <c r="FZ8" s="434">
        <v>0.5</v>
      </c>
      <c r="GA8" s="428" t="s">
        <v>194</v>
      </c>
      <c r="GB8" s="430">
        <v>-3</v>
      </c>
      <c r="GC8" s="430">
        <v>-2.5</v>
      </c>
      <c r="GD8" s="430">
        <v>-2</v>
      </c>
      <c r="GE8" s="430">
        <v>-1.5</v>
      </c>
      <c r="GF8" s="430">
        <v>-1</v>
      </c>
      <c r="GG8" s="430">
        <v>-0.5</v>
      </c>
      <c r="GH8" s="430">
        <v>-0.25</v>
      </c>
      <c r="GI8" s="430">
        <v>0</v>
      </c>
      <c r="GJ8" s="430">
        <v>0.25</v>
      </c>
      <c r="GK8" s="431">
        <v>0.5</v>
      </c>
      <c r="GL8" s="428" t="s">
        <v>194</v>
      </c>
      <c r="GM8" s="430">
        <v>-3</v>
      </c>
      <c r="GN8" s="430">
        <v>-2.5</v>
      </c>
      <c r="GO8" s="430">
        <v>-2</v>
      </c>
      <c r="GP8" s="430">
        <v>-1.5</v>
      </c>
      <c r="GQ8" s="430">
        <v>-1</v>
      </c>
      <c r="GR8" s="430">
        <v>-0.5</v>
      </c>
      <c r="GS8" s="430">
        <v>-0.25</v>
      </c>
      <c r="GT8" s="430">
        <v>0</v>
      </c>
      <c r="GU8" s="430">
        <v>0.25</v>
      </c>
      <c r="GV8" s="431">
        <v>0.5</v>
      </c>
      <c r="GW8" s="241"/>
      <c r="GX8" s="242" t="s">
        <v>9</v>
      </c>
      <c r="GY8" s="243">
        <f>'[6]ULLAGE REP'!O24</f>
        <v>1022.7571571588403</v>
      </c>
      <c r="GZ8" s="244">
        <f>'[6]ULLAGE REP'!D24</f>
        <v>1247.6569999999999</v>
      </c>
      <c r="HA8" s="245">
        <f>'[6]ULLAGE REP'!P24</f>
        <v>0.90253553444720047</v>
      </c>
      <c r="HB8" s="237"/>
      <c r="HC8" s="234"/>
      <c r="HD8" s="235"/>
      <c r="HL8" s="236"/>
    </row>
    <row r="9" spans="1:220" ht="15">
      <c r="A9" s="401" t="s">
        <v>10</v>
      </c>
      <c r="B9" s="272">
        <f>MASTER!F9</f>
        <v>1130</v>
      </c>
      <c r="C9" s="402">
        <f t="shared" si="1"/>
        <v>1130</v>
      </c>
      <c r="D9" s="403">
        <f>CEILING(BU2,1)</f>
        <v>0</v>
      </c>
      <c r="E9" s="403">
        <f t="shared" si="0"/>
        <v>1130</v>
      </c>
      <c r="F9" s="404">
        <v>22.8</v>
      </c>
      <c r="G9" s="435">
        <v>12319</v>
      </c>
      <c r="H9" s="436">
        <v>-8</v>
      </c>
      <c r="I9" s="437">
        <v>-6</v>
      </c>
      <c r="J9" s="437">
        <v>-4</v>
      </c>
      <c r="K9" s="437">
        <v>-1</v>
      </c>
      <c r="L9" s="437">
        <v>0</v>
      </c>
      <c r="M9" s="437">
        <v>0</v>
      </c>
      <c r="N9" s="437">
        <v>0</v>
      </c>
      <c r="O9" s="437">
        <v>0</v>
      </c>
      <c r="P9" s="437">
        <f>(O9+Q9)/2</f>
        <v>-1.5</v>
      </c>
      <c r="Q9" s="438">
        <v>-3</v>
      </c>
      <c r="R9" s="435">
        <v>12324</v>
      </c>
      <c r="S9" s="248">
        <v>-21</v>
      </c>
      <c r="T9" s="248">
        <v>-17</v>
      </c>
      <c r="U9" s="248">
        <v>-13</v>
      </c>
      <c r="V9" s="248">
        <v>-9</v>
      </c>
      <c r="W9" s="248">
        <v>-5</v>
      </c>
      <c r="X9" s="248">
        <v>-1</v>
      </c>
      <c r="Y9" s="249">
        <f>(X9+Z9)/2</f>
        <v>-0.5</v>
      </c>
      <c r="Z9" s="248">
        <v>0</v>
      </c>
      <c r="AA9" s="439">
        <f>(Z9+AB9)/2</f>
        <v>0</v>
      </c>
      <c r="AB9" s="248">
        <v>0</v>
      </c>
      <c r="AC9" s="435">
        <v>12323</v>
      </c>
      <c r="AD9" s="440">
        <v>-61</v>
      </c>
      <c r="AE9" s="440">
        <v>-50</v>
      </c>
      <c r="AF9" s="440">
        <v>-40</v>
      </c>
      <c r="AG9" s="440">
        <v>-29</v>
      </c>
      <c r="AH9" s="440">
        <v>-18</v>
      </c>
      <c r="AI9" s="440">
        <v>-8</v>
      </c>
      <c r="AJ9" s="249">
        <f>(AI9+AK9)/2</f>
        <v>-4</v>
      </c>
      <c r="AK9" s="248">
        <v>0</v>
      </c>
      <c r="AL9" s="439">
        <f>(AK9+AM9)/2</f>
        <v>0</v>
      </c>
      <c r="AM9" s="441">
        <v>0</v>
      </c>
      <c r="AN9" s="435">
        <v>12325</v>
      </c>
      <c r="AO9" s="440">
        <v>-79</v>
      </c>
      <c r="AP9" s="440">
        <v>-65</v>
      </c>
      <c r="AQ9" s="440">
        <v>-52</v>
      </c>
      <c r="AR9" s="440">
        <v>-38</v>
      </c>
      <c r="AS9" s="440">
        <v>-25</v>
      </c>
      <c r="AT9" s="440">
        <v>-12</v>
      </c>
      <c r="AU9" s="442">
        <f>(AV9+AT9)/2</f>
        <v>-6</v>
      </c>
      <c r="AV9" s="440">
        <v>0</v>
      </c>
      <c r="AW9" s="442">
        <v>0</v>
      </c>
      <c r="AX9" s="441">
        <v>7</v>
      </c>
      <c r="AY9" s="435">
        <v>12328</v>
      </c>
      <c r="AZ9" s="440">
        <v>-25</v>
      </c>
      <c r="BA9" s="440">
        <v>-20</v>
      </c>
      <c r="BB9" s="440">
        <v>-15</v>
      </c>
      <c r="BC9" s="440">
        <v>-10</v>
      </c>
      <c r="BD9" s="440">
        <v>-5</v>
      </c>
      <c r="BE9" s="440">
        <v>-1</v>
      </c>
      <c r="BF9" s="442">
        <f>(BG9+BE9)/2</f>
        <v>-0.5</v>
      </c>
      <c r="BG9" s="440">
        <v>0</v>
      </c>
      <c r="BH9" s="442">
        <f>(BI9+BG9)/2</f>
        <v>-0.5</v>
      </c>
      <c r="BI9" s="441">
        <v>-1</v>
      </c>
      <c r="BJ9" s="443">
        <v>12315</v>
      </c>
      <c r="BK9" s="440">
        <v>-46</v>
      </c>
      <c r="BL9" s="440">
        <v>-38</v>
      </c>
      <c r="BM9" s="440">
        <v>-30</v>
      </c>
      <c r="BN9" s="440">
        <v>-21</v>
      </c>
      <c r="BO9" s="440">
        <v>-13</v>
      </c>
      <c r="BP9" s="440">
        <v>-6</v>
      </c>
      <c r="BQ9" s="442">
        <f>(BR9+BP9)/2</f>
        <v>-3</v>
      </c>
      <c r="BR9" s="440">
        <v>0</v>
      </c>
      <c r="BS9" s="442">
        <v>0</v>
      </c>
      <c r="BT9" s="440" t="s">
        <v>195</v>
      </c>
      <c r="BU9" s="435">
        <v>12315</v>
      </c>
      <c r="BV9" s="440">
        <v>-25</v>
      </c>
      <c r="BW9" s="440">
        <v>-20</v>
      </c>
      <c r="BX9" s="440">
        <v>-15</v>
      </c>
      <c r="BY9" s="440">
        <v>-10</v>
      </c>
      <c r="BZ9" s="440">
        <v>-5</v>
      </c>
      <c r="CA9" s="440">
        <v>-1</v>
      </c>
      <c r="CB9" s="442">
        <f>(CC9+CA9)/2</f>
        <v>-0.5</v>
      </c>
      <c r="CC9" s="440">
        <v>0</v>
      </c>
      <c r="CD9" s="442">
        <f>(CE9+CC9)/2</f>
        <v>-0.5</v>
      </c>
      <c r="CE9" s="441">
        <v>-1</v>
      </c>
      <c r="CF9" s="435">
        <v>12319</v>
      </c>
      <c r="CG9" s="440">
        <v>-39</v>
      </c>
      <c r="CH9" s="440">
        <v>-32</v>
      </c>
      <c r="CI9" s="440">
        <v>-25</v>
      </c>
      <c r="CJ9" s="440">
        <v>-17</v>
      </c>
      <c r="CK9" s="440">
        <v>-10</v>
      </c>
      <c r="CL9" s="440">
        <v>-4</v>
      </c>
      <c r="CM9" s="442">
        <f>(CN9+CL9)/2</f>
        <v>-2</v>
      </c>
      <c r="CN9" s="440">
        <v>0</v>
      </c>
      <c r="CO9" s="442">
        <v>0</v>
      </c>
      <c r="CP9" s="441" t="s">
        <v>195</v>
      </c>
      <c r="CQ9" s="444">
        <v>12322</v>
      </c>
      <c r="CR9" s="440">
        <v>-26</v>
      </c>
      <c r="CS9" s="440">
        <v>-21</v>
      </c>
      <c r="CT9" s="440">
        <v>-15</v>
      </c>
      <c r="CU9" s="440">
        <v>-10</v>
      </c>
      <c r="CV9" s="440">
        <v>-5</v>
      </c>
      <c r="CW9" s="440">
        <v>-1</v>
      </c>
      <c r="CX9" s="442">
        <f>(CY9+CW9)/2</f>
        <v>-0.5</v>
      </c>
      <c r="CY9" s="440">
        <v>0</v>
      </c>
      <c r="CZ9" s="442">
        <f>(DA9+CY9)/2</f>
        <v>-0.5</v>
      </c>
      <c r="DA9" s="441">
        <v>-1</v>
      </c>
      <c r="DB9" s="444">
        <v>12326</v>
      </c>
      <c r="DC9" s="440">
        <v>-38</v>
      </c>
      <c r="DD9" s="440">
        <v>-31</v>
      </c>
      <c r="DE9" s="440">
        <v>-24</v>
      </c>
      <c r="DF9" s="440">
        <v>-17</v>
      </c>
      <c r="DG9" s="440">
        <v>-10</v>
      </c>
      <c r="DH9" s="440">
        <v>-4</v>
      </c>
      <c r="DI9" s="442">
        <f>(DJ9+DH9)/2</f>
        <v>-2</v>
      </c>
      <c r="DJ9" s="440">
        <v>0</v>
      </c>
      <c r="DK9" s="442">
        <v>0</v>
      </c>
      <c r="DL9" s="441" t="s">
        <v>195</v>
      </c>
      <c r="DM9" s="444">
        <v>12318</v>
      </c>
      <c r="DN9" s="440">
        <v>-26</v>
      </c>
      <c r="DO9" s="440">
        <v>-20</v>
      </c>
      <c r="DP9" s="440">
        <v>-15</v>
      </c>
      <c r="DQ9" s="440">
        <v>-10</v>
      </c>
      <c r="DR9" s="440">
        <v>-5</v>
      </c>
      <c r="DS9" s="440">
        <v>-1</v>
      </c>
      <c r="DT9" s="442">
        <f>(DU9+DS9)/2</f>
        <v>-0.5</v>
      </c>
      <c r="DU9" s="440">
        <v>0</v>
      </c>
      <c r="DV9" s="442">
        <f>(DW9+DU9)/2</f>
        <v>-0.5</v>
      </c>
      <c r="DW9" s="441">
        <v>-1</v>
      </c>
      <c r="DX9" s="435">
        <v>12321</v>
      </c>
      <c r="DY9" s="440">
        <v>-40</v>
      </c>
      <c r="DZ9" s="440">
        <v>-33</v>
      </c>
      <c r="EA9" s="440">
        <v>-25</v>
      </c>
      <c r="EB9" s="440">
        <v>-18</v>
      </c>
      <c r="EC9" s="440">
        <v>-11</v>
      </c>
      <c r="ED9" s="440">
        <v>-4</v>
      </c>
      <c r="EE9" s="442">
        <f>(EF9+ED9)/2</f>
        <v>-2</v>
      </c>
      <c r="EF9" s="440">
        <v>0</v>
      </c>
      <c r="EG9" s="442">
        <v>0</v>
      </c>
      <c r="EH9" s="440" t="s">
        <v>195</v>
      </c>
      <c r="EI9" s="435">
        <v>12321</v>
      </c>
      <c r="EJ9" s="440">
        <v>-22</v>
      </c>
      <c r="EK9" s="440">
        <v>-18</v>
      </c>
      <c r="EL9" s="440">
        <v>-13</v>
      </c>
      <c r="EM9" s="440">
        <v>-8</v>
      </c>
      <c r="EN9" s="440">
        <v>-4</v>
      </c>
      <c r="EO9" s="440">
        <v>0</v>
      </c>
      <c r="EP9" s="440">
        <f>(EQ9+EO9)/2</f>
        <v>0</v>
      </c>
      <c r="EQ9" s="440">
        <v>0</v>
      </c>
      <c r="ER9" s="440">
        <f>(ES9+EQ9)/2</f>
        <v>-1</v>
      </c>
      <c r="ES9" s="441">
        <v>-2</v>
      </c>
      <c r="ET9" s="435">
        <v>12328</v>
      </c>
      <c r="EU9" s="440">
        <v>-37</v>
      </c>
      <c r="EV9" s="440">
        <v>-30</v>
      </c>
      <c r="EW9" s="440">
        <v>-23</v>
      </c>
      <c r="EX9" s="440">
        <v>-16</v>
      </c>
      <c r="EY9" s="440">
        <v>-10</v>
      </c>
      <c r="EZ9" s="440">
        <v>-4</v>
      </c>
      <c r="FA9" s="440">
        <f>(FB9+EZ9)/2</f>
        <v>-2</v>
      </c>
      <c r="FB9" s="440">
        <v>0</v>
      </c>
      <c r="FC9" s="440">
        <f>(FD9+FB9)/2</f>
        <v>0</v>
      </c>
      <c r="FD9" s="440">
        <v>0</v>
      </c>
      <c r="FE9" s="435">
        <v>12304</v>
      </c>
      <c r="FF9" s="440">
        <v>-18</v>
      </c>
      <c r="FG9" s="440">
        <v>-14</v>
      </c>
      <c r="FH9" s="440">
        <v>-10</v>
      </c>
      <c r="FI9" s="440">
        <v>-6</v>
      </c>
      <c r="FJ9" s="440">
        <v>-2</v>
      </c>
      <c r="FK9" s="440">
        <v>0</v>
      </c>
      <c r="FL9" s="442">
        <f>(FM9+FK9)/2</f>
        <v>0</v>
      </c>
      <c r="FM9" s="440">
        <v>0</v>
      </c>
      <c r="FN9" s="442">
        <f>(FO9+FM9)/2</f>
        <v>-1.5</v>
      </c>
      <c r="FO9" s="441">
        <v>-3</v>
      </c>
      <c r="FP9" s="435">
        <v>12329</v>
      </c>
      <c r="FQ9" s="440">
        <v>-30</v>
      </c>
      <c r="FR9" s="440">
        <v>-24</v>
      </c>
      <c r="FS9" s="440">
        <v>-18</v>
      </c>
      <c r="FT9" s="440">
        <v>-12</v>
      </c>
      <c r="FU9" s="440">
        <v>-7</v>
      </c>
      <c r="FV9" s="440">
        <v>-2</v>
      </c>
      <c r="FW9" s="442">
        <f>(FX9+FV9)/2</f>
        <v>-1</v>
      </c>
      <c r="FX9" s="440">
        <v>0</v>
      </c>
      <c r="FY9" s="442">
        <f>(FZ9+FX9)/2</f>
        <v>0</v>
      </c>
      <c r="FZ9" s="440">
        <v>0</v>
      </c>
      <c r="GA9" s="435">
        <v>12301</v>
      </c>
      <c r="GB9" s="440">
        <v>-32</v>
      </c>
      <c r="GC9" s="440">
        <v>-27</v>
      </c>
      <c r="GD9" s="440">
        <v>-21</v>
      </c>
      <c r="GE9" s="440">
        <v>-16</v>
      </c>
      <c r="GF9" s="440">
        <v>-11</v>
      </c>
      <c r="GG9" s="440">
        <v>-5</v>
      </c>
      <c r="GH9" s="442">
        <f>(GI9+GG9)/2</f>
        <v>-2.5</v>
      </c>
      <c r="GI9" s="440">
        <v>0</v>
      </c>
      <c r="GJ9" s="442">
        <v>0</v>
      </c>
      <c r="GK9" s="441" t="s">
        <v>195</v>
      </c>
      <c r="GL9" s="435">
        <v>12302</v>
      </c>
      <c r="GM9" s="440">
        <v>-31</v>
      </c>
      <c r="GN9" s="440">
        <v>-26</v>
      </c>
      <c r="GO9" s="440">
        <v>-21</v>
      </c>
      <c r="GP9" s="440">
        <v>-16</v>
      </c>
      <c r="GQ9" s="440">
        <v>-10</v>
      </c>
      <c r="GR9" s="440">
        <v>-5</v>
      </c>
      <c r="GS9" s="442">
        <f>(GT9+GR9)/2</f>
        <v>-2.5</v>
      </c>
      <c r="GT9" s="440">
        <v>0</v>
      </c>
      <c r="GU9" s="442">
        <v>0</v>
      </c>
      <c r="GV9" s="441" t="s">
        <v>195</v>
      </c>
      <c r="GW9" s="241"/>
      <c r="GX9" s="242" t="s">
        <v>10</v>
      </c>
      <c r="GY9" s="243">
        <f>'[6]ULLAGE REP'!O25</f>
        <v>1021.7955994988845</v>
      </c>
      <c r="GZ9" s="244">
        <f>'[6]ULLAGE REP'!D25</f>
        <v>1246.4839999999999</v>
      </c>
      <c r="HA9" s="245">
        <f>'[6]ULLAGE REP'!P25</f>
        <v>0.90193689182696479</v>
      </c>
      <c r="HB9" s="237"/>
      <c r="HC9" s="234"/>
      <c r="HD9" s="235"/>
      <c r="HL9" s="236"/>
    </row>
    <row r="10" spans="1:220" ht="15">
      <c r="A10" s="401" t="s">
        <v>11</v>
      </c>
      <c r="B10" s="272">
        <f>MASTER!F10</f>
        <v>1130</v>
      </c>
      <c r="C10" s="402">
        <f>B10</f>
        <v>1130</v>
      </c>
      <c r="D10" s="403">
        <f>CEILING(CF2,1)</f>
        <v>0</v>
      </c>
      <c r="E10" s="403">
        <f t="shared" si="0"/>
        <v>1130</v>
      </c>
      <c r="F10" s="404">
        <v>22.8</v>
      </c>
      <c r="G10" s="435">
        <v>12300</v>
      </c>
      <c r="H10" s="445">
        <v>-2</v>
      </c>
      <c r="I10" s="249">
        <v>0</v>
      </c>
      <c r="J10" s="249">
        <v>2</v>
      </c>
      <c r="K10" s="249">
        <v>3</v>
      </c>
      <c r="L10" s="249">
        <v>3</v>
      </c>
      <c r="M10" s="249">
        <v>2</v>
      </c>
      <c r="N10" s="249">
        <f>(O10+M10)/2</f>
        <v>1</v>
      </c>
      <c r="O10" s="249">
        <v>0</v>
      </c>
      <c r="P10" s="249">
        <f>(O10+Q10)/2</f>
        <v>-2</v>
      </c>
      <c r="Q10" s="446">
        <v>-4</v>
      </c>
      <c r="R10" s="435">
        <v>12300</v>
      </c>
      <c r="S10" s="248">
        <v>-15</v>
      </c>
      <c r="T10" s="248">
        <v>-12</v>
      </c>
      <c r="U10" s="248">
        <v>-8</v>
      </c>
      <c r="V10" s="248">
        <v>-5</v>
      </c>
      <c r="W10" s="248">
        <v>-3</v>
      </c>
      <c r="X10" s="248">
        <v>-1</v>
      </c>
      <c r="Y10" s="249">
        <f>(X10+Z10)/2</f>
        <v>-0.5</v>
      </c>
      <c r="Z10" s="248">
        <v>0</v>
      </c>
      <c r="AA10" s="439">
        <f>(Z10+AB10)/2</f>
        <v>0</v>
      </c>
      <c r="AB10" s="248">
        <v>0</v>
      </c>
      <c r="AC10" s="435">
        <v>12300</v>
      </c>
      <c r="AD10" s="440">
        <v>-56</v>
      </c>
      <c r="AE10" s="440">
        <v>-46</v>
      </c>
      <c r="AF10" s="440">
        <v>-36</v>
      </c>
      <c r="AG10" s="440">
        <v>-26</v>
      </c>
      <c r="AH10" s="440">
        <v>-17</v>
      </c>
      <c r="AI10" s="440">
        <v>-8</v>
      </c>
      <c r="AJ10" s="249">
        <f>(AI10+AK10)/2</f>
        <v>-4</v>
      </c>
      <c r="AK10" s="248">
        <v>0</v>
      </c>
      <c r="AL10" s="439">
        <f>(AK10+AM10)/2</f>
        <v>2.5</v>
      </c>
      <c r="AM10" s="441">
        <v>5</v>
      </c>
      <c r="AN10" s="435">
        <v>12300</v>
      </c>
      <c r="AO10" s="440">
        <v>-75</v>
      </c>
      <c r="AP10" s="440">
        <v>-62</v>
      </c>
      <c r="AQ10" s="440">
        <v>-49</v>
      </c>
      <c r="AR10" s="440">
        <v>-36</v>
      </c>
      <c r="AS10" s="440">
        <v>-24</v>
      </c>
      <c r="AT10" s="440">
        <v>-11</v>
      </c>
      <c r="AU10" s="442">
        <f t="shared" ref="AU10:AU73" si="2">(AV10+AT10)/2</f>
        <v>-5.5</v>
      </c>
      <c r="AV10" s="440">
        <v>0</v>
      </c>
      <c r="AW10" s="442">
        <f>(AX10+AV10)/2</f>
        <v>4</v>
      </c>
      <c r="AX10" s="441">
        <v>8</v>
      </c>
      <c r="AY10" s="435">
        <v>12300</v>
      </c>
      <c r="AZ10" s="440">
        <v>-15</v>
      </c>
      <c r="BA10" s="440">
        <v>-11</v>
      </c>
      <c r="BB10" s="440">
        <v>-7</v>
      </c>
      <c r="BC10" s="440">
        <v>-4</v>
      </c>
      <c r="BD10" s="440">
        <v>-2</v>
      </c>
      <c r="BE10" s="440">
        <v>0</v>
      </c>
      <c r="BF10" s="442">
        <f t="shared" ref="BF10:BF73" si="3">(BG10+BE10)/2</f>
        <v>0</v>
      </c>
      <c r="BG10" s="440">
        <v>0</v>
      </c>
      <c r="BH10" s="442">
        <f>(BI10+BG10)/2</f>
        <v>-0.5</v>
      </c>
      <c r="BI10" s="441">
        <v>-1</v>
      </c>
      <c r="BJ10" s="447">
        <v>12300</v>
      </c>
      <c r="BK10" s="440">
        <v>-43</v>
      </c>
      <c r="BL10" s="440">
        <v>-35</v>
      </c>
      <c r="BM10" s="440">
        <v>-27</v>
      </c>
      <c r="BN10" s="440">
        <v>-20</v>
      </c>
      <c r="BO10" s="440">
        <v>-13</v>
      </c>
      <c r="BP10" s="440">
        <v>-6</v>
      </c>
      <c r="BQ10" s="442">
        <f t="shared" ref="BQ10:BQ73" si="4">(BR10+BP10)/2</f>
        <v>-3</v>
      </c>
      <c r="BR10" s="440">
        <v>0</v>
      </c>
      <c r="BS10" s="442">
        <f>(BT10+BR10)/2</f>
        <v>2</v>
      </c>
      <c r="BT10" s="440">
        <v>4</v>
      </c>
      <c r="BU10" s="435">
        <v>12300</v>
      </c>
      <c r="BV10" s="440">
        <v>-20</v>
      </c>
      <c r="BW10" s="440">
        <v>-15</v>
      </c>
      <c r="BX10" s="440">
        <v>-11</v>
      </c>
      <c r="BY10" s="440">
        <v>-7</v>
      </c>
      <c r="BZ10" s="440">
        <v>-3</v>
      </c>
      <c r="CA10" s="440">
        <v>0</v>
      </c>
      <c r="CB10" s="442">
        <f t="shared" ref="CB10:CB73" si="5">(CC10+CA10)/2</f>
        <v>0</v>
      </c>
      <c r="CC10" s="440">
        <v>0</v>
      </c>
      <c r="CD10" s="442">
        <f>(CE10+CC10)/2</f>
        <v>-0.5</v>
      </c>
      <c r="CE10" s="441">
        <v>-1</v>
      </c>
      <c r="CF10" s="435">
        <v>12300</v>
      </c>
      <c r="CG10" s="440">
        <v>-38</v>
      </c>
      <c r="CH10" s="440">
        <v>-31</v>
      </c>
      <c r="CI10" s="440">
        <v>-24</v>
      </c>
      <c r="CJ10" s="440">
        <v>-17</v>
      </c>
      <c r="CK10" s="440">
        <v>-10</v>
      </c>
      <c r="CL10" s="440">
        <v>-4</v>
      </c>
      <c r="CM10" s="442">
        <f t="shared" ref="CM10:CM73" si="6">(CN10+CL10)/2</f>
        <v>-2</v>
      </c>
      <c r="CN10" s="440">
        <v>0</v>
      </c>
      <c r="CO10" s="442">
        <f>(CP10+CN10)/2</f>
        <v>1</v>
      </c>
      <c r="CP10" s="441">
        <v>2</v>
      </c>
      <c r="CQ10" s="435">
        <v>12300</v>
      </c>
      <c r="CR10" s="440">
        <v>-18</v>
      </c>
      <c r="CS10" s="440">
        <v>-13</v>
      </c>
      <c r="CT10" s="440">
        <v>-9</v>
      </c>
      <c r="CU10" s="440">
        <v>-6</v>
      </c>
      <c r="CV10" s="440">
        <v>-3</v>
      </c>
      <c r="CW10" s="440">
        <v>0</v>
      </c>
      <c r="CX10" s="442">
        <f t="shared" ref="CX10:CX73" si="7">(CY10+CW10)/2</f>
        <v>0</v>
      </c>
      <c r="CY10" s="440">
        <v>0</v>
      </c>
      <c r="CZ10" s="442">
        <f>(DA10+CY10)/2</f>
        <v>-0.5</v>
      </c>
      <c r="DA10" s="441">
        <v>-1</v>
      </c>
      <c r="DB10" s="435">
        <v>12300</v>
      </c>
      <c r="DC10" s="440">
        <v>-31</v>
      </c>
      <c r="DD10" s="440">
        <v>-25</v>
      </c>
      <c r="DE10" s="440">
        <v>-19</v>
      </c>
      <c r="DF10" s="440">
        <v>-14</v>
      </c>
      <c r="DG10" s="440">
        <v>-9</v>
      </c>
      <c r="DH10" s="440">
        <v>-4</v>
      </c>
      <c r="DI10" s="442">
        <f t="shared" ref="DI10:DI73" si="8">(DJ10+DH10)/2</f>
        <v>-2</v>
      </c>
      <c r="DJ10" s="440">
        <v>0</v>
      </c>
      <c r="DK10" s="442">
        <f>(DL10+DJ10)/2</f>
        <v>1.5</v>
      </c>
      <c r="DL10" s="441">
        <v>3</v>
      </c>
      <c r="DM10" s="435">
        <v>12300</v>
      </c>
      <c r="DN10" s="440">
        <v>-19</v>
      </c>
      <c r="DO10" s="440">
        <v>-15</v>
      </c>
      <c r="DP10" s="440">
        <v>-10</v>
      </c>
      <c r="DQ10" s="440">
        <v>-6</v>
      </c>
      <c r="DR10" s="440">
        <v>-3</v>
      </c>
      <c r="DS10" s="440">
        <v>0</v>
      </c>
      <c r="DT10" s="442">
        <f t="shared" ref="DT10:DT73" si="9">(DU10+DS10)/2</f>
        <v>0</v>
      </c>
      <c r="DU10" s="440">
        <v>0</v>
      </c>
      <c r="DV10" s="442">
        <f>(DW10+DU10)/2</f>
        <v>-0.5</v>
      </c>
      <c r="DW10" s="441">
        <v>-1</v>
      </c>
      <c r="DX10" s="435">
        <v>12300</v>
      </c>
      <c r="DY10" s="440">
        <v>-35</v>
      </c>
      <c r="DZ10" s="440">
        <v>-28</v>
      </c>
      <c r="EA10" s="440">
        <v>-22</v>
      </c>
      <c r="EB10" s="440">
        <v>-16</v>
      </c>
      <c r="EC10" s="440">
        <v>-10</v>
      </c>
      <c r="ED10" s="440">
        <v>-4</v>
      </c>
      <c r="EE10" s="442">
        <f t="shared" ref="EE10:EE73" si="10">(EF10+ED10)/2</f>
        <v>-2</v>
      </c>
      <c r="EF10" s="440">
        <v>0</v>
      </c>
      <c r="EG10" s="442">
        <f>(EH10+EF10)/2</f>
        <v>1.5</v>
      </c>
      <c r="EH10" s="440">
        <v>3</v>
      </c>
      <c r="EI10" s="435">
        <v>12300</v>
      </c>
      <c r="EJ10" s="440">
        <v>-15</v>
      </c>
      <c r="EK10" s="440">
        <v>-11</v>
      </c>
      <c r="EL10" s="440">
        <v>-7</v>
      </c>
      <c r="EM10" s="440">
        <v>-4</v>
      </c>
      <c r="EN10" s="440">
        <v>-1</v>
      </c>
      <c r="EO10" s="440">
        <v>0</v>
      </c>
      <c r="EP10" s="442">
        <f>(EQ10+EO10)/2</f>
        <v>0</v>
      </c>
      <c r="EQ10" s="440">
        <v>0</v>
      </c>
      <c r="ER10" s="442">
        <f>(ES10+EQ10)/2</f>
        <v>-0.5</v>
      </c>
      <c r="ES10" s="441">
        <v>-1</v>
      </c>
      <c r="ET10" s="435">
        <v>12300</v>
      </c>
      <c r="EU10" s="440">
        <v>-30</v>
      </c>
      <c r="EV10" s="440">
        <v>-24</v>
      </c>
      <c r="EW10" s="440">
        <v>-18</v>
      </c>
      <c r="EX10" s="440">
        <v>-13</v>
      </c>
      <c r="EY10" s="440">
        <v>-8</v>
      </c>
      <c r="EZ10" s="440">
        <v>-3</v>
      </c>
      <c r="FA10" s="442">
        <f>(FB10+EZ10)/2</f>
        <v>-1.5</v>
      </c>
      <c r="FB10" s="440">
        <v>0</v>
      </c>
      <c r="FC10" s="442">
        <f>(FD10+FB10)/2</f>
        <v>1</v>
      </c>
      <c r="FD10" s="440">
        <v>2</v>
      </c>
      <c r="FE10" s="435">
        <v>12300</v>
      </c>
      <c r="FF10" s="440">
        <v>-16</v>
      </c>
      <c r="FG10" s="440">
        <v>-13</v>
      </c>
      <c r="FH10" s="440">
        <v>-9</v>
      </c>
      <c r="FI10" s="440">
        <v>-5</v>
      </c>
      <c r="FJ10" s="440">
        <v>-2</v>
      </c>
      <c r="FK10" s="440">
        <v>1</v>
      </c>
      <c r="FL10" s="442">
        <f t="shared" ref="FL10:FL73" si="11">(FM10+FK10)/2</f>
        <v>0.5</v>
      </c>
      <c r="FM10" s="440">
        <v>0</v>
      </c>
      <c r="FN10" s="442">
        <f>(FO10+FM10)/2</f>
        <v>-1.5</v>
      </c>
      <c r="FO10" s="441">
        <v>-3</v>
      </c>
      <c r="FP10" s="435">
        <v>12300</v>
      </c>
      <c r="FQ10" s="440">
        <v>-21</v>
      </c>
      <c r="FR10" s="440">
        <v>-16</v>
      </c>
      <c r="FS10" s="440">
        <v>-12</v>
      </c>
      <c r="FT10" s="440">
        <v>-8</v>
      </c>
      <c r="FU10" s="440">
        <v>-5</v>
      </c>
      <c r="FV10" s="440">
        <v>-2</v>
      </c>
      <c r="FW10" s="442">
        <f t="shared" ref="FW10:FW73" si="12">(FX10+FV10)/2</f>
        <v>-1</v>
      </c>
      <c r="FX10" s="440">
        <v>0</v>
      </c>
      <c r="FY10" s="442">
        <f>(FZ10+FX10)/2</f>
        <v>0.5</v>
      </c>
      <c r="FZ10" s="440">
        <v>1</v>
      </c>
      <c r="GA10" s="435">
        <v>12300</v>
      </c>
      <c r="GB10" s="440">
        <v>-32</v>
      </c>
      <c r="GC10" s="440">
        <v>-27</v>
      </c>
      <c r="GD10" s="440">
        <v>-21</v>
      </c>
      <c r="GE10" s="440">
        <v>-16</v>
      </c>
      <c r="GF10" s="440">
        <v>-11</v>
      </c>
      <c r="GG10" s="440">
        <v>-5</v>
      </c>
      <c r="GH10" s="442">
        <f t="shared" ref="GH10:GH73" si="13">(GI10+GG10)/2</f>
        <v>-2.5</v>
      </c>
      <c r="GI10" s="440">
        <v>0</v>
      </c>
      <c r="GJ10" s="442">
        <v>0</v>
      </c>
      <c r="GK10" s="441" t="s">
        <v>195</v>
      </c>
      <c r="GL10" s="435">
        <v>12300</v>
      </c>
      <c r="GM10" s="440">
        <v>-31</v>
      </c>
      <c r="GN10" s="440">
        <v>-26</v>
      </c>
      <c r="GO10" s="440">
        <v>-21</v>
      </c>
      <c r="GP10" s="440">
        <v>-16</v>
      </c>
      <c r="GQ10" s="440">
        <v>-10</v>
      </c>
      <c r="GR10" s="440">
        <v>-5</v>
      </c>
      <c r="GS10" s="442">
        <f t="shared" ref="GS10:GS73" si="14">(GT10+GR10)/2</f>
        <v>-2.5</v>
      </c>
      <c r="GT10" s="440">
        <v>0</v>
      </c>
      <c r="GU10" s="442">
        <v>0</v>
      </c>
      <c r="GV10" s="441" t="s">
        <v>195</v>
      </c>
      <c r="GW10" s="241"/>
      <c r="GX10" s="242" t="s">
        <v>11</v>
      </c>
      <c r="GY10" s="243">
        <f>'[6]ULLAGE REP'!O26</f>
        <v>1021.5321343395411</v>
      </c>
      <c r="GZ10" s="244">
        <f>'[6]ULLAGE REP'!D26</f>
        <v>1246.1625999999999</v>
      </c>
      <c r="HA10" s="245">
        <f>'[6]ULLAGE REP'!P26</f>
        <v>0.90150667975585808</v>
      </c>
      <c r="HB10" s="237"/>
      <c r="HC10" s="234"/>
      <c r="HD10" s="235"/>
      <c r="HL10" s="236"/>
    </row>
    <row r="11" spans="1:220" ht="15">
      <c r="A11" s="401" t="s">
        <v>12</v>
      </c>
      <c r="B11" s="272">
        <f>MASTER!F11</f>
        <v>1130</v>
      </c>
      <c r="C11" s="402">
        <f>B11</f>
        <v>1130</v>
      </c>
      <c r="D11" s="403">
        <f>CEILING(CQ2,1)</f>
        <v>0</v>
      </c>
      <c r="E11" s="403">
        <f>C11+D11</f>
        <v>1130</v>
      </c>
      <c r="F11" s="404">
        <v>22.9</v>
      </c>
      <c r="G11" s="435">
        <v>12200</v>
      </c>
      <c r="H11" s="445">
        <v>19</v>
      </c>
      <c r="I11" s="249">
        <v>17</v>
      </c>
      <c r="J11" s="249">
        <v>13</v>
      </c>
      <c r="K11" s="249">
        <v>10</v>
      </c>
      <c r="L11" s="249">
        <v>7</v>
      </c>
      <c r="M11" s="249">
        <v>3</v>
      </c>
      <c r="N11" s="249">
        <f t="shared" ref="N11:N74" si="15">(O11+M11)/2</f>
        <v>1.5</v>
      </c>
      <c r="O11" s="249">
        <v>0</v>
      </c>
      <c r="P11" s="249">
        <f t="shared" ref="P11:P74" si="16">(O11+Q11)/2</f>
        <v>-2</v>
      </c>
      <c r="Q11" s="446">
        <v>-4</v>
      </c>
      <c r="R11" s="435">
        <v>12200</v>
      </c>
      <c r="S11" s="248">
        <v>-3</v>
      </c>
      <c r="T11" s="248">
        <v>-2</v>
      </c>
      <c r="U11" s="248">
        <v>-2</v>
      </c>
      <c r="V11" s="248">
        <v>-1</v>
      </c>
      <c r="W11" s="248">
        <v>-1</v>
      </c>
      <c r="X11" s="248">
        <v>0</v>
      </c>
      <c r="Y11" s="249">
        <f t="shared" ref="Y11:Y74" si="17">(X11+Z11)/2</f>
        <v>0</v>
      </c>
      <c r="Z11" s="248">
        <v>0</v>
      </c>
      <c r="AA11" s="439">
        <f t="shared" ref="AA11:AA74" si="18">(Z11+AB11)/2</f>
        <v>0</v>
      </c>
      <c r="AB11" s="248">
        <v>0</v>
      </c>
      <c r="AC11" s="435">
        <v>12200</v>
      </c>
      <c r="AD11" s="440">
        <v>-45</v>
      </c>
      <c r="AE11" s="440">
        <v>-37</v>
      </c>
      <c r="AF11" s="440">
        <v>-30</v>
      </c>
      <c r="AG11" s="440">
        <v>-22</v>
      </c>
      <c r="AH11" s="440">
        <v>-15</v>
      </c>
      <c r="AI11" s="440">
        <v>-7</v>
      </c>
      <c r="AJ11" s="249">
        <f t="shared" ref="AJ11:AJ74" si="19">(AI11+AK11)/2</f>
        <v>-3.5</v>
      </c>
      <c r="AK11" s="248">
        <v>0</v>
      </c>
      <c r="AL11" s="439">
        <f t="shared" ref="AL11:AL74" si="20">(AK11+AM11)/2</f>
        <v>3.5</v>
      </c>
      <c r="AM11" s="441">
        <v>7</v>
      </c>
      <c r="AN11" s="435">
        <v>12200</v>
      </c>
      <c r="AO11" s="440">
        <v>-68</v>
      </c>
      <c r="AP11" s="440">
        <v>-57</v>
      </c>
      <c r="AQ11" s="440">
        <v>-45</v>
      </c>
      <c r="AR11" s="440">
        <v>-34</v>
      </c>
      <c r="AS11" s="440">
        <v>-23</v>
      </c>
      <c r="AT11" s="440">
        <v>-11</v>
      </c>
      <c r="AU11" s="442">
        <f t="shared" si="2"/>
        <v>-5.5</v>
      </c>
      <c r="AV11" s="440">
        <v>0</v>
      </c>
      <c r="AW11" s="442">
        <f t="shared" ref="AW11:AW74" si="21">(AX11+AV11)/2</f>
        <v>5.5</v>
      </c>
      <c r="AX11" s="441">
        <v>11</v>
      </c>
      <c r="AY11" s="435">
        <v>12200</v>
      </c>
      <c r="AZ11" s="440">
        <v>1</v>
      </c>
      <c r="BA11" s="440">
        <v>1</v>
      </c>
      <c r="BB11" s="440">
        <v>1</v>
      </c>
      <c r="BC11" s="440">
        <v>1</v>
      </c>
      <c r="BD11" s="440">
        <v>0</v>
      </c>
      <c r="BE11" s="440">
        <v>0</v>
      </c>
      <c r="BF11" s="442">
        <f t="shared" si="3"/>
        <v>0</v>
      </c>
      <c r="BG11" s="440">
        <v>0</v>
      </c>
      <c r="BH11" s="442">
        <f t="shared" ref="BH11:BH74" si="22">(BI11+BG11)/2</f>
        <v>0</v>
      </c>
      <c r="BI11" s="441">
        <v>0</v>
      </c>
      <c r="BJ11" s="447">
        <v>12200</v>
      </c>
      <c r="BK11" s="440">
        <v>-33</v>
      </c>
      <c r="BL11" s="440">
        <v>-28</v>
      </c>
      <c r="BM11" s="440">
        <v>-22</v>
      </c>
      <c r="BN11" s="440">
        <v>-17</v>
      </c>
      <c r="BO11" s="440">
        <v>-11</v>
      </c>
      <c r="BP11" s="440">
        <v>-6</v>
      </c>
      <c r="BQ11" s="442">
        <f t="shared" si="4"/>
        <v>-3</v>
      </c>
      <c r="BR11" s="440">
        <v>0</v>
      </c>
      <c r="BS11" s="442">
        <f t="shared" ref="BS11:BS74" si="23">(BT11+BR11)/2</f>
        <v>3</v>
      </c>
      <c r="BT11" s="440">
        <v>6</v>
      </c>
      <c r="BU11" s="435">
        <v>12200</v>
      </c>
      <c r="BV11" s="440">
        <v>1</v>
      </c>
      <c r="BW11" s="440">
        <v>1</v>
      </c>
      <c r="BX11" s="440">
        <v>1</v>
      </c>
      <c r="BY11" s="440">
        <v>1</v>
      </c>
      <c r="BZ11" s="440">
        <v>0</v>
      </c>
      <c r="CA11" s="440">
        <v>0</v>
      </c>
      <c r="CB11" s="442">
        <f t="shared" si="5"/>
        <v>0</v>
      </c>
      <c r="CC11" s="440">
        <v>0</v>
      </c>
      <c r="CD11" s="442">
        <f t="shared" ref="CD11:CD74" si="24">(CE11+CC11)/2</f>
        <v>0</v>
      </c>
      <c r="CE11" s="441">
        <v>0</v>
      </c>
      <c r="CF11" s="435">
        <v>12200</v>
      </c>
      <c r="CG11" s="440">
        <v>-23</v>
      </c>
      <c r="CH11" s="440">
        <v>-19</v>
      </c>
      <c r="CI11" s="440">
        <v>-15</v>
      </c>
      <c r="CJ11" s="440">
        <v>-11</v>
      </c>
      <c r="CK11" s="440">
        <v>-8</v>
      </c>
      <c r="CL11" s="440">
        <v>-4</v>
      </c>
      <c r="CM11" s="442">
        <f t="shared" si="6"/>
        <v>-2</v>
      </c>
      <c r="CN11" s="440">
        <v>0</v>
      </c>
      <c r="CO11" s="442">
        <f t="shared" ref="CO11:CO74" si="25">(CP11+CN11)/2</f>
        <v>2</v>
      </c>
      <c r="CP11" s="441">
        <v>4</v>
      </c>
      <c r="CQ11" s="435">
        <v>12200</v>
      </c>
      <c r="CR11" s="440">
        <v>1</v>
      </c>
      <c r="CS11" s="440">
        <v>1</v>
      </c>
      <c r="CT11" s="440">
        <v>1</v>
      </c>
      <c r="CU11" s="440">
        <v>1</v>
      </c>
      <c r="CV11" s="440">
        <v>0</v>
      </c>
      <c r="CW11" s="440">
        <v>0</v>
      </c>
      <c r="CX11" s="442">
        <f t="shared" si="7"/>
        <v>0</v>
      </c>
      <c r="CY11" s="440">
        <v>0</v>
      </c>
      <c r="CZ11" s="442">
        <f t="shared" ref="CZ11:CZ74" si="26">(DA11+CY11)/2</f>
        <v>0</v>
      </c>
      <c r="DA11" s="441">
        <v>0</v>
      </c>
      <c r="DB11" s="435">
        <v>12200</v>
      </c>
      <c r="DC11" s="440">
        <v>-21</v>
      </c>
      <c r="DD11" s="440">
        <v>-17</v>
      </c>
      <c r="DE11" s="440">
        <v>-14</v>
      </c>
      <c r="DF11" s="440">
        <v>-10</v>
      </c>
      <c r="DG11" s="440">
        <v>-7</v>
      </c>
      <c r="DH11" s="440">
        <v>-3</v>
      </c>
      <c r="DI11" s="442">
        <f t="shared" si="8"/>
        <v>-1.5</v>
      </c>
      <c r="DJ11" s="440">
        <v>0</v>
      </c>
      <c r="DK11" s="442">
        <f t="shared" ref="DK11:DK74" si="27">(DL11+DJ11)/2</f>
        <v>1.5</v>
      </c>
      <c r="DL11" s="441">
        <v>3</v>
      </c>
      <c r="DM11" s="435">
        <v>12200</v>
      </c>
      <c r="DN11" s="440">
        <v>1</v>
      </c>
      <c r="DO11" s="440">
        <v>1</v>
      </c>
      <c r="DP11" s="440">
        <v>1</v>
      </c>
      <c r="DQ11" s="440">
        <v>1</v>
      </c>
      <c r="DR11" s="440">
        <v>0</v>
      </c>
      <c r="DS11" s="440">
        <v>0</v>
      </c>
      <c r="DT11" s="442">
        <f t="shared" si="9"/>
        <v>0</v>
      </c>
      <c r="DU11" s="440">
        <v>0</v>
      </c>
      <c r="DV11" s="442">
        <f t="shared" ref="DV11:DV74" si="28">(DW11+DU11)/2</f>
        <v>0</v>
      </c>
      <c r="DW11" s="441">
        <v>0</v>
      </c>
      <c r="DX11" s="435">
        <v>12200</v>
      </c>
      <c r="DY11" s="440">
        <v>-24</v>
      </c>
      <c r="DZ11" s="440">
        <v>-20</v>
      </c>
      <c r="EA11" s="440">
        <v>-16</v>
      </c>
      <c r="EB11" s="440">
        <v>-12</v>
      </c>
      <c r="EC11" s="440">
        <v>-8</v>
      </c>
      <c r="ED11" s="440">
        <v>-4</v>
      </c>
      <c r="EE11" s="442">
        <f t="shared" si="10"/>
        <v>-2</v>
      </c>
      <c r="EF11" s="440">
        <v>0</v>
      </c>
      <c r="EG11" s="442">
        <f t="shared" ref="EG11:EG74" si="29">(EH11+EF11)/2</f>
        <v>2</v>
      </c>
      <c r="EH11" s="440">
        <v>4</v>
      </c>
      <c r="EI11" s="435">
        <v>12200</v>
      </c>
      <c r="EJ11" s="440">
        <v>5</v>
      </c>
      <c r="EK11" s="440">
        <v>4</v>
      </c>
      <c r="EL11" s="440">
        <v>4</v>
      </c>
      <c r="EM11" s="440">
        <v>3</v>
      </c>
      <c r="EN11" s="440">
        <v>2</v>
      </c>
      <c r="EO11" s="440">
        <v>1</v>
      </c>
      <c r="EP11" s="442">
        <f t="shared" ref="EP11:EP74" si="30">(EQ11+EO11)/2</f>
        <v>0.5</v>
      </c>
      <c r="EQ11" s="440">
        <v>0</v>
      </c>
      <c r="ER11" s="442">
        <f t="shared" ref="ER11:ER74" si="31">(ES11+EQ11)/2</f>
        <v>-0.5</v>
      </c>
      <c r="ES11" s="441">
        <v>-1</v>
      </c>
      <c r="ET11" s="435">
        <v>12200</v>
      </c>
      <c r="EU11" s="440">
        <v>-20</v>
      </c>
      <c r="EV11" s="440">
        <v>-17</v>
      </c>
      <c r="EW11" s="440">
        <v>-13</v>
      </c>
      <c r="EX11" s="440">
        <v>-10</v>
      </c>
      <c r="EY11" s="440">
        <v>-7</v>
      </c>
      <c r="EZ11" s="440">
        <v>-3</v>
      </c>
      <c r="FA11" s="442">
        <f t="shared" ref="FA11:FA74" si="32">(FB11+EZ11)/2</f>
        <v>-1.5</v>
      </c>
      <c r="FB11" s="440">
        <v>0</v>
      </c>
      <c r="FC11" s="442">
        <f t="shared" ref="FC11:FC74" si="33">(FD11+FB11)/2</f>
        <v>1.5</v>
      </c>
      <c r="FD11" s="440">
        <v>3</v>
      </c>
      <c r="FE11" s="435">
        <v>12200</v>
      </c>
      <c r="FF11" s="440">
        <v>13</v>
      </c>
      <c r="FG11" s="440">
        <v>12</v>
      </c>
      <c r="FH11" s="440">
        <v>9</v>
      </c>
      <c r="FI11" s="440">
        <v>7</v>
      </c>
      <c r="FJ11" s="440">
        <v>5</v>
      </c>
      <c r="FK11" s="440">
        <v>2</v>
      </c>
      <c r="FL11" s="442">
        <f t="shared" si="11"/>
        <v>1</v>
      </c>
      <c r="FM11" s="440">
        <v>0</v>
      </c>
      <c r="FN11" s="442">
        <f t="shared" ref="FN11:FN74" si="34">(FO11+FM11)/2</f>
        <v>-1</v>
      </c>
      <c r="FO11" s="441">
        <v>-2</v>
      </c>
      <c r="FP11" s="435">
        <v>12200</v>
      </c>
      <c r="FQ11" s="440">
        <v>-10</v>
      </c>
      <c r="FR11" s="440">
        <v>-8</v>
      </c>
      <c r="FS11" s="440">
        <v>-6</v>
      </c>
      <c r="FT11" s="440">
        <v>-5</v>
      </c>
      <c r="FU11" s="440">
        <v>-3</v>
      </c>
      <c r="FV11" s="440">
        <v>-2</v>
      </c>
      <c r="FW11" s="442">
        <f t="shared" si="12"/>
        <v>-1</v>
      </c>
      <c r="FX11" s="440">
        <v>0</v>
      </c>
      <c r="FY11" s="442">
        <f t="shared" ref="FY11:FY74" si="35">(FZ11+FX11)/2</f>
        <v>0.5</v>
      </c>
      <c r="FZ11" s="440">
        <v>1</v>
      </c>
      <c r="GA11" s="435">
        <v>12200</v>
      </c>
      <c r="GB11" s="440">
        <v>-32</v>
      </c>
      <c r="GC11" s="440">
        <v>-27</v>
      </c>
      <c r="GD11" s="440">
        <v>-22</v>
      </c>
      <c r="GE11" s="440">
        <v>-16</v>
      </c>
      <c r="GF11" s="440">
        <v>-11</v>
      </c>
      <c r="GG11" s="440">
        <v>-5</v>
      </c>
      <c r="GH11" s="442">
        <f t="shared" si="13"/>
        <v>-2.5</v>
      </c>
      <c r="GI11" s="440">
        <v>0</v>
      </c>
      <c r="GJ11" s="442">
        <f t="shared" ref="GJ11:GJ74" si="36">(GK11+GI11)/2</f>
        <v>2.5</v>
      </c>
      <c r="GK11" s="441">
        <v>5</v>
      </c>
      <c r="GL11" s="435">
        <v>12200</v>
      </c>
      <c r="GM11" s="440">
        <v>-31</v>
      </c>
      <c r="GN11" s="440">
        <v>-26</v>
      </c>
      <c r="GO11" s="440">
        <v>-21</v>
      </c>
      <c r="GP11" s="440">
        <v>-16</v>
      </c>
      <c r="GQ11" s="440">
        <v>-10</v>
      </c>
      <c r="GR11" s="440">
        <v>-5</v>
      </c>
      <c r="GS11" s="442">
        <f t="shared" si="14"/>
        <v>-2.5</v>
      </c>
      <c r="GT11" s="440">
        <v>0</v>
      </c>
      <c r="GU11" s="442">
        <f t="shared" ref="GU11:GU74" si="37">(GV11+GT11)/2</f>
        <v>2.5</v>
      </c>
      <c r="GV11" s="441">
        <v>5</v>
      </c>
      <c r="GW11" s="241"/>
      <c r="GX11" s="242" t="s">
        <v>12</v>
      </c>
      <c r="GY11" s="243">
        <f>'[6]ULLAGE REP'!O27</f>
        <v>1022.3407280955346</v>
      </c>
      <c r="GZ11" s="244">
        <f>'[6]ULLAGE REP'!D27</f>
        <v>1247.1489999999999</v>
      </c>
      <c r="HA11" s="245">
        <f>'[6]ULLAGE REP'!P27</f>
        <v>0.90234298973390925</v>
      </c>
      <c r="HB11" s="237"/>
      <c r="HC11" s="234"/>
      <c r="HD11" s="235"/>
      <c r="HL11" s="236"/>
    </row>
    <row r="12" spans="1:220" ht="15">
      <c r="A12" s="401" t="s">
        <v>13</v>
      </c>
      <c r="B12" s="272">
        <f>MASTER!F12</f>
        <v>1130</v>
      </c>
      <c r="C12" s="402">
        <f t="shared" si="1"/>
        <v>1130</v>
      </c>
      <c r="D12" s="403">
        <f>CEILING(DB2,1)</f>
        <v>0</v>
      </c>
      <c r="E12" s="403">
        <f t="shared" si="0"/>
        <v>1130</v>
      </c>
      <c r="F12" s="404">
        <v>23</v>
      </c>
      <c r="G12" s="435">
        <v>12100</v>
      </c>
      <c r="H12" s="445">
        <v>21</v>
      </c>
      <c r="I12" s="249">
        <v>17</v>
      </c>
      <c r="J12" s="249">
        <v>14</v>
      </c>
      <c r="K12" s="249">
        <v>11</v>
      </c>
      <c r="L12" s="249">
        <v>7</v>
      </c>
      <c r="M12" s="249">
        <v>3</v>
      </c>
      <c r="N12" s="249">
        <f t="shared" si="15"/>
        <v>1.5</v>
      </c>
      <c r="O12" s="249">
        <v>0</v>
      </c>
      <c r="P12" s="249">
        <f t="shared" si="16"/>
        <v>-2</v>
      </c>
      <c r="Q12" s="446">
        <v>-4</v>
      </c>
      <c r="R12" s="435">
        <v>12100</v>
      </c>
      <c r="S12" s="248">
        <v>-2</v>
      </c>
      <c r="T12" s="248">
        <v>-1</v>
      </c>
      <c r="U12" s="248">
        <v>-1</v>
      </c>
      <c r="V12" s="248">
        <v>-1</v>
      </c>
      <c r="W12" s="248">
        <v>-1</v>
      </c>
      <c r="X12" s="248">
        <v>0</v>
      </c>
      <c r="Y12" s="249">
        <f t="shared" si="17"/>
        <v>0</v>
      </c>
      <c r="Z12" s="248">
        <v>0</v>
      </c>
      <c r="AA12" s="439">
        <f t="shared" si="18"/>
        <v>0</v>
      </c>
      <c r="AB12" s="248">
        <v>0</v>
      </c>
      <c r="AC12" s="435">
        <v>12100</v>
      </c>
      <c r="AD12" s="440">
        <v>-44</v>
      </c>
      <c r="AE12" s="440">
        <v>-37</v>
      </c>
      <c r="AF12" s="440">
        <v>-30</v>
      </c>
      <c r="AG12" s="440">
        <v>-22</v>
      </c>
      <c r="AH12" s="440">
        <v>-15</v>
      </c>
      <c r="AI12" s="440">
        <v>-7</v>
      </c>
      <c r="AJ12" s="249">
        <f t="shared" si="19"/>
        <v>-3.5</v>
      </c>
      <c r="AK12" s="248">
        <v>0</v>
      </c>
      <c r="AL12" s="439">
        <f t="shared" si="20"/>
        <v>3.5</v>
      </c>
      <c r="AM12" s="441">
        <v>7</v>
      </c>
      <c r="AN12" s="435">
        <v>12100</v>
      </c>
      <c r="AO12" s="440">
        <v>-68</v>
      </c>
      <c r="AP12" s="440">
        <v>-56</v>
      </c>
      <c r="AQ12" s="440">
        <v>-45</v>
      </c>
      <c r="AR12" s="440">
        <v>-34</v>
      </c>
      <c r="AS12" s="440">
        <v>-23</v>
      </c>
      <c r="AT12" s="440">
        <v>-11</v>
      </c>
      <c r="AU12" s="442">
        <f t="shared" si="2"/>
        <v>-5.5</v>
      </c>
      <c r="AV12" s="440">
        <v>0</v>
      </c>
      <c r="AW12" s="442">
        <f t="shared" si="21"/>
        <v>5.5</v>
      </c>
      <c r="AX12" s="441">
        <v>11</v>
      </c>
      <c r="AY12" s="435">
        <v>12100</v>
      </c>
      <c r="AZ12" s="440">
        <v>2</v>
      </c>
      <c r="BA12" s="440">
        <v>1</v>
      </c>
      <c r="BB12" s="440">
        <v>1</v>
      </c>
      <c r="BC12" s="440">
        <v>1</v>
      </c>
      <c r="BD12" s="440">
        <v>1</v>
      </c>
      <c r="BE12" s="440">
        <v>0</v>
      </c>
      <c r="BF12" s="442">
        <f t="shared" si="3"/>
        <v>0</v>
      </c>
      <c r="BG12" s="440">
        <v>0</v>
      </c>
      <c r="BH12" s="442">
        <f t="shared" si="22"/>
        <v>0</v>
      </c>
      <c r="BI12" s="441">
        <v>0</v>
      </c>
      <c r="BJ12" s="447">
        <v>12100</v>
      </c>
      <c r="BK12" s="440">
        <v>-33</v>
      </c>
      <c r="BL12" s="440">
        <v>-28</v>
      </c>
      <c r="BM12" s="440">
        <v>-22</v>
      </c>
      <c r="BN12" s="440">
        <v>-16</v>
      </c>
      <c r="BO12" s="440">
        <v>-11</v>
      </c>
      <c r="BP12" s="440">
        <v>-6</v>
      </c>
      <c r="BQ12" s="442">
        <f t="shared" si="4"/>
        <v>-3</v>
      </c>
      <c r="BR12" s="440">
        <v>0</v>
      </c>
      <c r="BS12" s="442">
        <f t="shared" si="23"/>
        <v>2.5</v>
      </c>
      <c r="BT12" s="440">
        <v>5</v>
      </c>
      <c r="BU12" s="435">
        <v>12100</v>
      </c>
      <c r="BV12" s="440">
        <v>1</v>
      </c>
      <c r="BW12" s="440">
        <v>1</v>
      </c>
      <c r="BX12" s="440">
        <v>1</v>
      </c>
      <c r="BY12" s="440">
        <v>1</v>
      </c>
      <c r="BZ12" s="440">
        <v>0</v>
      </c>
      <c r="CA12" s="440">
        <v>0</v>
      </c>
      <c r="CB12" s="442">
        <f t="shared" si="5"/>
        <v>0</v>
      </c>
      <c r="CC12" s="440">
        <v>0</v>
      </c>
      <c r="CD12" s="442">
        <f t="shared" si="24"/>
        <v>0</v>
      </c>
      <c r="CE12" s="441">
        <v>0</v>
      </c>
      <c r="CF12" s="435">
        <v>12100</v>
      </c>
      <c r="CG12" s="440">
        <v>-23</v>
      </c>
      <c r="CH12" s="440">
        <v>-19</v>
      </c>
      <c r="CI12" s="440">
        <v>-15</v>
      </c>
      <c r="CJ12" s="440">
        <v>-11</v>
      </c>
      <c r="CK12" s="440">
        <v>-8</v>
      </c>
      <c r="CL12" s="440">
        <v>-4</v>
      </c>
      <c r="CM12" s="442">
        <f t="shared" si="6"/>
        <v>-2</v>
      </c>
      <c r="CN12" s="440">
        <v>0</v>
      </c>
      <c r="CO12" s="442">
        <f t="shared" si="25"/>
        <v>2</v>
      </c>
      <c r="CP12" s="441">
        <v>4</v>
      </c>
      <c r="CQ12" s="435">
        <v>12100</v>
      </c>
      <c r="CR12" s="440">
        <v>1</v>
      </c>
      <c r="CS12" s="440">
        <v>1</v>
      </c>
      <c r="CT12" s="440">
        <v>1</v>
      </c>
      <c r="CU12" s="440">
        <v>1</v>
      </c>
      <c r="CV12" s="440">
        <v>0</v>
      </c>
      <c r="CW12" s="440">
        <v>0</v>
      </c>
      <c r="CX12" s="442">
        <f t="shared" si="7"/>
        <v>0</v>
      </c>
      <c r="CY12" s="440">
        <v>0</v>
      </c>
      <c r="CZ12" s="442">
        <f t="shared" si="26"/>
        <v>0</v>
      </c>
      <c r="DA12" s="441">
        <v>0</v>
      </c>
      <c r="DB12" s="435">
        <v>12100</v>
      </c>
      <c r="DC12" s="440">
        <v>-21</v>
      </c>
      <c r="DD12" s="440">
        <v>-17</v>
      </c>
      <c r="DE12" s="440">
        <v>-14</v>
      </c>
      <c r="DF12" s="440">
        <v>-10</v>
      </c>
      <c r="DG12" s="440">
        <v>-7</v>
      </c>
      <c r="DH12" s="440">
        <v>-3</v>
      </c>
      <c r="DI12" s="442">
        <f t="shared" si="8"/>
        <v>-1.5</v>
      </c>
      <c r="DJ12" s="440">
        <v>0</v>
      </c>
      <c r="DK12" s="442">
        <f t="shared" si="27"/>
        <v>1.5</v>
      </c>
      <c r="DL12" s="441">
        <v>3</v>
      </c>
      <c r="DM12" s="435">
        <v>12100</v>
      </c>
      <c r="DN12" s="440">
        <v>1</v>
      </c>
      <c r="DO12" s="440">
        <v>1</v>
      </c>
      <c r="DP12" s="440">
        <v>1</v>
      </c>
      <c r="DQ12" s="440">
        <v>1</v>
      </c>
      <c r="DR12" s="440">
        <v>0</v>
      </c>
      <c r="DS12" s="440">
        <v>0</v>
      </c>
      <c r="DT12" s="442">
        <f t="shared" si="9"/>
        <v>0</v>
      </c>
      <c r="DU12" s="440">
        <v>0</v>
      </c>
      <c r="DV12" s="442">
        <f t="shared" si="28"/>
        <v>0</v>
      </c>
      <c r="DW12" s="441">
        <v>0</v>
      </c>
      <c r="DX12" s="435">
        <v>12100</v>
      </c>
      <c r="DY12" s="440">
        <v>-24</v>
      </c>
      <c r="DZ12" s="440">
        <v>-20</v>
      </c>
      <c r="EA12" s="440">
        <v>-16</v>
      </c>
      <c r="EB12" s="440">
        <v>-12</v>
      </c>
      <c r="EC12" s="440">
        <v>-8</v>
      </c>
      <c r="ED12" s="440">
        <v>-4</v>
      </c>
      <c r="EE12" s="442">
        <f t="shared" si="10"/>
        <v>-2</v>
      </c>
      <c r="EF12" s="440">
        <v>0</v>
      </c>
      <c r="EG12" s="442">
        <f t="shared" si="29"/>
        <v>2</v>
      </c>
      <c r="EH12" s="440">
        <v>4</v>
      </c>
      <c r="EI12" s="435">
        <v>12100</v>
      </c>
      <c r="EJ12" s="440">
        <v>5</v>
      </c>
      <c r="EK12" s="440">
        <v>4</v>
      </c>
      <c r="EL12" s="440">
        <v>3</v>
      </c>
      <c r="EM12" s="440">
        <v>2</v>
      </c>
      <c r="EN12" s="440">
        <v>2</v>
      </c>
      <c r="EO12" s="440">
        <v>1</v>
      </c>
      <c r="EP12" s="442">
        <f t="shared" si="30"/>
        <v>0.5</v>
      </c>
      <c r="EQ12" s="440">
        <v>0</v>
      </c>
      <c r="ER12" s="442">
        <f t="shared" si="31"/>
        <v>-0.5</v>
      </c>
      <c r="ES12" s="441">
        <v>-1</v>
      </c>
      <c r="ET12" s="435">
        <v>12100</v>
      </c>
      <c r="EU12" s="440">
        <v>-21</v>
      </c>
      <c r="EV12" s="440">
        <v>-17</v>
      </c>
      <c r="EW12" s="440">
        <v>-14</v>
      </c>
      <c r="EX12" s="440">
        <v>-10</v>
      </c>
      <c r="EY12" s="440">
        <v>-7</v>
      </c>
      <c r="EZ12" s="440">
        <v>-3</v>
      </c>
      <c r="FA12" s="442">
        <f t="shared" si="32"/>
        <v>-1.5</v>
      </c>
      <c r="FB12" s="440">
        <v>0</v>
      </c>
      <c r="FC12" s="442">
        <f t="shared" si="33"/>
        <v>1.5</v>
      </c>
      <c r="FD12" s="440">
        <v>3</v>
      </c>
      <c r="FE12" s="435">
        <v>12100</v>
      </c>
      <c r="FF12" s="440">
        <v>14</v>
      </c>
      <c r="FG12" s="440">
        <v>11</v>
      </c>
      <c r="FH12" s="440">
        <v>9</v>
      </c>
      <c r="FI12" s="440">
        <v>7</v>
      </c>
      <c r="FJ12" s="440">
        <v>5</v>
      </c>
      <c r="FK12" s="440">
        <v>2</v>
      </c>
      <c r="FL12" s="442">
        <f t="shared" si="11"/>
        <v>1</v>
      </c>
      <c r="FM12" s="440">
        <v>0</v>
      </c>
      <c r="FN12" s="442">
        <f t="shared" si="34"/>
        <v>-1</v>
      </c>
      <c r="FO12" s="441">
        <v>-2</v>
      </c>
      <c r="FP12" s="435">
        <v>12100</v>
      </c>
      <c r="FQ12" s="440">
        <v>-10</v>
      </c>
      <c r="FR12" s="440">
        <v>-8</v>
      </c>
      <c r="FS12" s="440">
        <v>-7</v>
      </c>
      <c r="FT12" s="440">
        <v>-5</v>
      </c>
      <c r="FU12" s="440">
        <v>-3</v>
      </c>
      <c r="FV12" s="440">
        <v>-2</v>
      </c>
      <c r="FW12" s="442">
        <f t="shared" si="12"/>
        <v>-1</v>
      </c>
      <c r="FX12" s="440">
        <v>0</v>
      </c>
      <c r="FY12" s="442">
        <f t="shared" si="35"/>
        <v>1</v>
      </c>
      <c r="FZ12" s="440">
        <v>2</v>
      </c>
      <c r="GA12" s="435">
        <v>12100</v>
      </c>
      <c r="GB12" s="440">
        <v>-32</v>
      </c>
      <c r="GC12" s="440">
        <v>-27</v>
      </c>
      <c r="GD12" s="440">
        <v>-22</v>
      </c>
      <c r="GE12" s="440">
        <v>-16</v>
      </c>
      <c r="GF12" s="440">
        <v>-11</v>
      </c>
      <c r="GG12" s="440">
        <v>-5</v>
      </c>
      <c r="GH12" s="442">
        <f t="shared" si="13"/>
        <v>-2.5</v>
      </c>
      <c r="GI12" s="440">
        <v>0</v>
      </c>
      <c r="GJ12" s="442">
        <f t="shared" si="36"/>
        <v>2.5</v>
      </c>
      <c r="GK12" s="441">
        <v>5</v>
      </c>
      <c r="GL12" s="435">
        <v>12100</v>
      </c>
      <c r="GM12" s="440">
        <v>-31</v>
      </c>
      <c r="GN12" s="440">
        <v>-26</v>
      </c>
      <c r="GO12" s="440">
        <v>-21</v>
      </c>
      <c r="GP12" s="440">
        <v>-16</v>
      </c>
      <c r="GQ12" s="440">
        <v>-10</v>
      </c>
      <c r="GR12" s="440">
        <v>-5</v>
      </c>
      <c r="GS12" s="442">
        <f t="shared" si="14"/>
        <v>-2.5</v>
      </c>
      <c r="GT12" s="440">
        <v>0</v>
      </c>
      <c r="GU12" s="442">
        <f t="shared" si="37"/>
        <v>2.5</v>
      </c>
      <c r="GV12" s="441">
        <v>5</v>
      </c>
      <c r="GW12" s="241"/>
      <c r="GX12" s="242" t="s">
        <v>13</v>
      </c>
      <c r="GY12" s="243">
        <f>'[6]ULLAGE REP'!O28</f>
        <v>1023.3116308171473</v>
      </c>
      <c r="GZ12" s="244">
        <f>'[6]ULLAGE REP'!D28</f>
        <v>1248.3334</v>
      </c>
      <c r="HA12" s="245">
        <f>'[6]ULLAGE REP'!P28</f>
        <v>0.9032620178462375</v>
      </c>
      <c r="HB12" s="237"/>
      <c r="HC12" s="234"/>
      <c r="HD12" s="235"/>
      <c r="HL12" s="236"/>
    </row>
    <row r="13" spans="1:220" ht="15">
      <c r="A13" s="401" t="s">
        <v>14</v>
      </c>
      <c r="B13" s="272">
        <f>MASTER!F13</f>
        <v>1130</v>
      </c>
      <c r="C13" s="402">
        <f t="shared" si="1"/>
        <v>1130</v>
      </c>
      <c r="D13" s="403">
        <f>CEILING(DM2,1)</f>
        <v>0</v>
      </c>
      <c r="E13" s="403">
        <f t="shared" si="0"/>
        <v>1130</v>
      </c>
      <c r="F13" s="404">
        <v>22.6</v>
      </c>
      <c r="G13" s="435">
        <v>12000</v>
      </c>
      <c r="H13" s="445">
        <v>21</v>
      </c>
      <c r="I13" s="249">
        <v>18</v>
      </c>
      <c r="J13" s="249">
        <v>14</v>
      </c>
      <c r="K13" s="249">
        <v>11</v>
      </c>
      <c r="L13" s="249">
        <v>7</v>
      </c>
      <c r="M13" s="249">
        <v>4</v>
      </c>
      <c r="N13" s="249">
        <f t="shared" si="15"/>
        <v>2</v>
      </c>
      <c r="O13" s="249">
        <v>0</v>
      </c>
      <c r="P13" s="249">
        <f t="shared" si="16"/>
        <v>-2</v>
      </c>
      <c r="Q13" s="446">
        <v>-4</v>
      </c>
      <c r="R13" s="435">
        <v>12000</v>
      </c>
      <c r="S13" s="248">
        <v>-1</v>
      </c>
      <c r="T13" s="248">
        <v>-1</v>
      </c>
      <c r="U13" s="248">
        <v>-1</v>
      </c>
      <c r="V13" s="248">
        <v>-1</v>
      </c>
      <c r="W13" s="248">
        <v>0</v>
      </c>
      <c r="X13" s="248">
        <v>0</v>
      </c>
      <c r="Y13" s="249">
        <f t="shared" si="17"/>
        <v>0</v>
      </c>
      <c r="Z13" s="248">
        <v>0</v>
      </c>
      <c r="AA13" s="439">
        <f t="shared" si="18"/>
        <v>0</v>
      </c>
      <c r="AB13" s="248">
        <v>0</v>
      </c>
      <c r="AC13" s="435">
        <v>12000</v>
      </c>
      <c r="AD13" s="440">
        <v>-44</v>
      </c>
      <c r="AE13" s="440">
        <v>-37</v>
      </c>
      <c r="AF13" s="440">
        <v>-29</v>
      </c>
      <c r="AG13" s="440">
        <v>-22</v>
      </c>
      <c r="AH13" s="440">
        <v>-15</v>
      </c>
      <c r="AI13" s="440">
        <v>-7</v>
      </c>
      <c r="AJ13" s="249">
        <f t="shared" si="19"/>
        <v>-3.5</v>
      </c>
      <c r="AK13" s="248">
        <v>0</v>
      </c>
      <c r="AL13" s="439">
        <f t="shared" si="20"/>
        <v>3.5</v>
      </c>
      <c r="AM13" s="441">
        <v>7</v>
      </c>
      <c r="AN13" s="435">
        <v>12000</v>
      </c>
      <c r="AO13" s="440">
        <v>-68</v>
      </c>
      <c r="AP13" s="440">
        <v>-56</v>
      </c>
      <c r="AQ13" s="440">
        <v>-45</v>
      </c>
      <c r="AR13" s="440">
        <v>-34</v>
      </c>
      <c r="AS13" s="440">
        <v>-22</v>
      </c>
      <c r="AT13" s="440">
        <v>-11</v>
      </c>
      <c r="AU13" s="442">
        <f t="shared" si="2"/>
        <v>-5.5</v>
      </c>
      <c r="AV13" s="440">
        <v>0</v>
      </c>
      <c r="AW13" s="442">
        <f t="shared" si="21"/>
        <v>5.5</v>
      </c>
      <c r="AX13" s="441">
        <v>11</v>
      </c>
      <c r="AY13" s="435">
        <v>12000</v>
      </c>
      <c r="AZ13" s="440">
        <v>2</v>
      </c>
      <c r="BA13" s="440">
        <v>2</v>
      </c>
      <c r="BB13" s="440">
        <v>1</v>
      </c>
      <c r="BC13" s="440">
        <v>1</v>
      </c>
      <c r="BD13" s="440">
        <v>1</v>
      </c>
      <c r="BE13" s="440">
        <v>0</v>
      </c>
      <c r="BF13" s="442">
        <f t="shared" si="3"/>
        <v>0</v>
      </c>
      <c r="BG13" s="440">
        <v>0</v>
      </c>
      <c r="BH13" s="442">
        <f t="shared" si="22"/>
        <v>0</v>
      </c>
      <c r="BI13" s="441">
        <v>0</v>
      </c>
      <c r="BJ13" s="447">
        <v>12000</v>
      </c>
      <c r="BK13" s="440">
        <v>-33</v>
      </c>
      <c r="BL13" s="440">
        <v>-27</v>
      </c>
      <c r="BM13" s="440">
        <v>-22</v>
      </c>
      <c r="BN13" s="440">
        <v>-16</v>
      </c>
      <c r="BO13" s="440">
        <v>-11</v>
      </c>
      <c r="BP13" s="440">
        <v>-5</v>
      </c>
      <c r="BQ13" s="442">
        <f t="shared" si="4"/>
        <v>-2.5</v>
      </c>
      <c r="BR13" s="440">
        <v>0</v>
      </c>
      <c r="BS13" s="442">
        <f t="shared" si="23"/>
        <v>2.5</v>
      </c>
      <c r="BT13" s="440">
        <v>5</v>
      </c>
      <c r="BU13" s="435">
        <v>12000</v>
      </c>
      <c r="BV13" s="440">
        <v>1</v>
      </c>
      <c r="BW13" s="440">
        <v>1</v>
      </c>
      <c r="BX13" s="440">
        <v>1</v>
      </c>
      <c r="BY13" s="440">
        <v>1</v>
      </c>
      <c r="BZ13" s="440">
        <v>0</v>
      </c>
      <c r="CA13" s="440">
        <v>0</v>
      </c>
      <c r="CB13" s="442">
        <f t="shared" si="5"/>
        <v>0</v>
      </c>
      <c r="CC13" s="440">
        <v>0</v>
      </c>
      <c r="CD13" s="442">
        <f t="shared" si="24"/>
        <v>0</v>
      </c>
      <c r="CE13" s="441">
        <v>0</v>
      </c>
      <c r="CF13" s="435">
        <v>12000</v>
      </c>
      <c r="CG13" s="440">
        <v>-23</v>
      </c>
      <c r="CH13" s="440">
        <v>-19</v>
      </c>
      <c r="CI13" s="440">
        <v>-15</v>
      </c>
      <c r="CJ13" s="440">
        <v>-11</v>
      </c>
      <c r="CK13" s="440">
        <v>-8</v>
      </c>
      <c r="CL13" s="440">
        <v>-4</v>
      </c>
      <c r="CM13" s="442">
        <f t="shared" si="6"/>
        <v>-2</v>
      </c>
      <c r="CN13" s="440">
        <v>0</v>
      </c>
      <c r="CO13" s="442">
        <f t="shared" si="25"/>
        <v>2</v>
      </c>
      <c r="CP13" s="441">
        <v>4</v>
      </c>
      <c r="CQ13" s="435">
        <v>12000</v>
      </c>
      <c r="CR13" s="440">
        <v>1</v>
      </c>
      <c r="CS13" s="440">
        <v>1</v>
      </c>
      <c r="CT13" s="440">
        <v>1</v>
      </c>
      <c r="CU13" s="440">
        <v>1</v>
      </c>
      <c r="CV13" s="440">
        <v>0</v>
      </c>
      <c r="CW13" s="440">
        <v>0</v>
      </c>
      <c r="CX13" s="442">
        <f t="shared" si="7"/>
        <v>0</v>
      </c>
      <c r="CY13" s="440">
        <v>0</v>
      </c>
      <c r="CZ13" s="442">
        <f t="shared" si="26"/>
        <v>0</v>
      </c>
      <c r="DA13" s="441">
        <v>0</v>
      </c>
      <c r="DB13" s="435">
        <v>12000</v>
      </c>
      <c r="DC13" s="440">
        <v>-21</v>
      </c>
      <c r="DD13" s="440">
        <v>-17</v>
      </c>
      <c r="DE13" s="440">
        <v>-14</v>
      </c>
      <c r="DF13" s="440">
        <v>-10</v>
      </c>
      <c r="DG13" s="440">
        <v>-7</v>
      </c>
      <c r="DH13" s="440">
        <v>-3</v>
      </c>
      <c r="DI13" s="442">
        <f t="shared" si="8"/>
        <v>-1.5</v>
      </c>
      <c r="DJ13" s="440">
        <v>0</v>
      </c>
      <c r="DK13" s="442">
        <f t="shared" si="27"/>
        <v>1.5</v>
      </c>
      <c r="DL13" s="441">
        <v>3</v>
      </c>
      <c r="DM13" s="435">
        <v>12000</v>
      </c>
      <c r="DN13" s="440">
        <v>1</v>
      </c>
      <c r="DO13" s="440">
        <v>1</v>
      </c>
      <c r="DP13" s="440">
        <v>1</v>
      </c>
      <c r="DQ13" s="440">
        <v>1</v>
      </c>
      <c r="DR13" s="440">
        <v>0</v>
      </c>
      <c r="DS13" s="440">
        <v>0</v>
      </c>
      <c r="DT13" s="442">
        <f t="shared" si="9"/>
        <v>0</v>
      </c>
      <c r="DU13" s="440">
        <v>0</v>
      </c>
      <c r="DV13" s="442">
        <f t="shared" si="28"/>
        <v>0</v>
      </c>
      <c r="DW13" s="441">
        <v>0</v>
      </c>
      <c r="DX13" s="435">
        <v>12000</v>
      </c>
      <c r="DY13" s="440">
        <v>-24</v>
      </c>
      <c r="DZ13" s="440">
        <v>-20</v>
      </c>
      <c r="EA13" s="440">
        <v>-16</v>
      </c>
      <c r="EB13" s="440">
        <v>-12</v>
      </c>
      <c r="EC13" s="440">
        <v>-8</v>
      </c>
      <c r="ED13" s="440">
        <v>-4</v>
      </c>
      <c r="EE13" s="442">
        <f t="shared" si="10"/>
        <v>-2</v>
      </c>
      <c r="EF13" s="440">
        <v>0</v>
      </c>
      <c r="EG13" s="442">
        <f t="shared" si="29"/>
        <v>2</v>
      </c>
      <c r="EH13" s="440">
        <v>4</v>
      </c>
      <c r="EI13" s="435">
        <v>12000</v>
      </c>
      <c r="EJ13" s="440">
        <v>4</v>
      </c>
      <c r="EK13" s="440">
        <v>4</v>
      </c>
      <c r="EL13" s="440">
        <v>3</v>
      </c>
      <c r="EM13" s="440">
        <v>2</v>
      </c>
      <c r="EN13" s="440">
        <v>1</v>
      </c>
      <c r="EO13" s="440">
        <v>1</v>
      </c>
      <c r="EP13" s="442">
        <f t="shared" si="30"/>
        <v>0.5</v>
      </c>
      <c r="EQ13" s="440">
        <v>0</v>
      </c>
      <c r="ER13" s="442">
        <f t="shared" si="31"/>
        <v>-0.5</v>
      </c>
      <c r="ES13" s="441">
        <v>-1</v>
      </c>
      <c r="ET13" s="435">
        <v>12000</v>
      </c>
      <c r="EU13" s="440">
        <v>-21</v>
      </c>
      <c r="EV13" s="440">
        <v>-18</v>
      </c>
      <c r="EW13" s="440">
        <v>-14</v>
      </c>
      <c r="EX13" s="440">
        <v>-11</v>
      </c>
      <c r="EY13" s="440">
        <v>-7</v>
      </c>
      <c r="EZ13" s="440">
        <v>-3</v>
      </c>
      <c r="FA13" s="442">
        <f t="shared" si="32"/>
        <v>-1.5</v>
      </c>
      <c r="FB13" s="440">
        <v>0</v>
      </c>
      <c r="FC13" s="442">
        <f t="shared" si="33"/>
        <v>1.5</v>
      </c>
      <c r="FD13" s="440">
        <v>3</v>
      </c>
      <c r="FE13" s="435">
        <v>12000</v>
      </c>
      <c r="FF13" s="440">
        <v>13</v>
      </c>
      <c r="FG13" s="440">
        <v>11</v>
      </c>
      <c r="FH13" s="440">
        <v>9</v>
      </c>
      <c r="FI13" s="440">
        <v>7</v>
      </c>
      <c r="FJ13" s="440">
        <v>5</v>
      </c>
      <c r="FK13" s="440">
        <v>2</v>
      </c>
      <c r="FL13" s="442">
        <f t="shared" si="11"/>
        <v>1</v>
      </c>
      <c r="FM13" s="440">
        <v>0</v>
      </c>
      <c r="FN13" s="442">
        <f t="shared" si="34"/>
        <v>-1</v>
      </c>
      <c r="FO13" s="441">
        <v>-2</v>
      </c>
      <c r="FP13" s="435">
        <v>12000</v>
      </c>
      <c r="FQ13" s="440">
        <v>-10</v>
      </c>
      <c r="FR13" s="440">
        <v>-9</v>
      </c>
      <c r="FS13" s="440">
        <v>-7</v>
      </c>
      <c r="FT13" s="440">
        <v>-5</v>
      </c>
      <c r="FU13" s="440">
        <v>-3</v>
      </c>
      <c r="FV13" s="440">
        <v>-2</v>
      </c>
      <c r="FW13" s="442">
        <f t="shared" si="12"/>
        <v>-1</v>
      </c>
      <c r="FX13" s="440">
        <v>0</v>
      </c>
      <c r="FY13" s="442">
        <f t="shared" si="35"/>
        <v>1</v>
      </c>
      <c r="FZ13" s="440">
        <v>2</v>
      </c>
      <c r="GA13" s="435">
        <v>12000</v>
      </c>
      <c r="GB13" s="440">
        <v>-33</v>
      </c>
      <c r="GC13" s="440">
        <v>-27</v>
      </c>
      <c r="GD13" s="440">
        <v>-22</v>
      </c>
      <c r="GE13" s="440">
        <v>-16</v>
      </c>
      <c r="GF13" s="440">
        <v>-11</v>
      </c>
      <c r="GG13" s="440">
        <v>-5</v>
      </c>
      <c r="GH13" s="442">
        <f t="shared" si="13"/>
        <v>-2.5</v>
      </c>
      <c r="GI13" s="440">
        <v>0</v>
      </c>
      <c r="GJ13" s="442">
        <f t="shared" si="36"/>
        <v>2.5</v>
      </c>
      <c r="GK13" s="441">
        <v>5</v>
      </c>
      <c r="GL13" s="435">
        <v>12000</v>
      </c>
      <c r="GM13" s="440">
        <v>-32</v>
      </c>
      <c r="GN13" s="440">
        <v>-26</v>
      </c>
      <c r="GO13" s="440">
        <v>-21</v>
      </c>
      <c r="GP13" s="440">
        <v>-16</v>
      </c>
      <c r="GQ13" s="440">
        <v>-11</v>
      </c>
      <c r="GR13" s="440">
        <v>-5</v>
      </c>
      <c r="GS13" s="442">
        <f t="shared" si="14"/>
        <v>-2.5</v>
      </c>
      <c r="GT13" s="440">
        <v>0</v>
      </c>
      <c r="GU13" s="442">
        <f t="shared" si="37"/>
        <v>2.5</v>
      </c>
      <c r="GV13" s="441">
        <v>5</v>
      </c>
      <c r="GW13" s="241"/>
      <c r="GX13" s="242" t="s">
        <v>14</v>
      </c>
      <c r="GY13" s="243">
        <f>'[6]ULLAGE REP'!O29</f>
        <v>1020.2577630367562</v>
      </c>
      <c r="GZ13" s="244">
        <f>'[6]ULLAGE REP'!D29</f>
        <v>1244.6079999999999</v>
      </c>
      <c r="HA13" s="245">
        <f>'[6]ULLAGE REP'!P29</f>
        <v>0.90200685451228824</v>
      </c>
      <c r="HB13" s="237"/>
      <c r="HC13" s="234"/>
      <c r="HD13" s="235"/>
      <c r="HL13" s="236"/>
    </row>
    <row r="14" spans="1:220" ht="15">
      <c r="A14" s="401" t="s">
        <v>15</v>
      </c>
      <c r="B14" s="272">
        <f>MASTER!F14</f>
        <v>1130</v>
      </c>
      <c r="C14" s="402">
        <f t="shared" si="1"/>
        <v>1130</v>
      </c>
      <c r="D14" s="403">
        <f>CEILING(DX2,1)</f>
        <v>0</v>
      </c>
      <c r="E14" s="403">
        <f t="shared" si="0"/>
        <v>1130</v>
      </c>
      <c r="F14" s="404">
        <v>22.6</v>
      </c>
      <c r="G14" s="435">
        <v>11900</v>
      </c>
      <c r="H14" s="445">
        <v>22</v>
      </c>
      <c r="I14" s="249">
        <v>18</v>
      </c>
      <c r="J14" s="249">
        <v>15</v>
      </c>
      <c r="K14" s="249">
        <v>11</v>
      </c>
      <c r="L14" s="249">
        <v>7</v>
      </c>
      <c r="M14" s="249">
        <v>4</v>
      </c>
      <c r="N14" s="249">
        <f t="shared" si="15"/>
        <v>2</v>
      </c>
      <c r="O14" s="249">
        <v>0</v>
      </c>
      <c r="P14" s="249">
        <f t="shared" si="16"/>
        <v>-2</v>
      </c>
      <c r="Q14" s="446">
        <v>-4</v>
      </c>
      <c r="R14" s="435">
        <v>11900</v>
      </c>
      <c r="S14" s="248">
        <v>-1</v>
      </c>
      <c r="T14" s="248">
        <v>-1</v>
      </c>
      <c r="U14" s="248">
        <v>0</v>
      </c>
      <c r="V14" s="248">
        <v>0</v>
      </c>
      <c r="W14" s="248">
        <v>0</v>
      </c>
      <c r="X14" s="248">
        <v>0</v>
      </c>
      <c r="Y14" s="249">
        <f t="shared" si="17"/>
        <v>0</v>
      </c>
      <c r="Z14" s="248">
        <v>0</v>
      </c>
      <c r="AA14" s="439">
        <f t="shared" si="18"/>
        <v>0</v>
      </c>
      <c r="AB14" s="248">
        <v>0</v>
      </c>
      <c r="AC14" s="435">
        <v>11900</v>
      </c>
      <c r="AD14" s="440">
        <v>-44</v>
      </c>
      <c r="AE14" s="440">
        <v>-37</v>
      </c>
      <c r="AF14" s="440">
        <v>-29</v>
      </c>
      <c r="AG14" s="440">
        <v>-22</v>
      </c>
      <c r="AH14" s="440">
        <v>-15</v>
      </c>
      <c r="AI14" s="440">
        <v>-7</v>
      </c>
      <c r="AJ14" s="249">
        <f t="shared" si="19"/>
        <v>-3.5</v>
      </c>
      <c r="AK14" s="248">
        <v>0</v>
      </c>
      <c r="AL14" s="439">
        <f t="shared" si="20"/>
        <v>3.5</v>
      </c>
      <c r="AM14" s="441">
        <v>7</v>
      </c>
      <c r="AN14" s="435">
        <v>11900</v>
      </c>
      <c r="AO14" s="440">
        <v>-67</v>
      </c>
      <c r="AP14" s="440">
        <v>-56</v>
      </c>
      <c r="AQ14" s="440">
        <v>-45</v>
      </c>
      <c r="AR14" s="440">
        <v>-34</v>
      </c>
      <c r="AS14" s="440">
        <v>-22</v>
      </c>
      <c r="AT14" s="440">
        <v>-11</v>
      </c>
      <c r="AU14" s="442">
        <f t="shared" si="2"/>
        <v>-5.5</v>
      </c>
      <c r="AV14" s="440">
        <v>0</v>
      </c>
      <c r="AW14" s="442">
        <f t="shared" si="21"/>
        <v>5.5</v>
      </c>
      <c r="AX14" s="441">
        <v>11</v>
      </c>
      <c r="AY14" s="435">
        <v>11900</v>
      </c>
      <c r="AZ14" s="440">
        <v>2</v>
      </c>
      <c r="BA14" s="440">
        <v>2</v>
      </c>
      <c r="BB14" s="440">
        <v>2</v>
      </c>
      <c r="BC14" s="440">
        <v>1</v>
      </c>
      <c r="BD14" s="440">
        <v>1</v>
      </c>
      <c r="BE14" s="440">
        <v>0</v>
      </c>
      <c r="BF14" s="442">
        <f t="shared" si="3"/>
        <v>0</v>
      </c>
      <c r="BG14" s="440">
        <v>0</v>
      </c>
      <c r="BH14" s="442">
        <f t="shared" si="22"/>
        <v>0</v>
      </c>
      <c r="BI14" s="441">
        <v>0</v>
      </c>
      <c r="BJ14" s="447">
        <v>11900</v>
      </c>
      <c r="BK14" s="440">
        <v>-32</v>
      </c>
      <c r="BL14" s="440">
        <v>-27</v>
      </c>
      <c r="BM14" s="440">
        <v>-22</v>
      </c>
      <c r="BN14" s="440">
        <v>-16</v>
      </c>
      <c r="BO14" s="440">
        <v>-11</v>
      </c>
      <c r="BP14" s="440">
        <v>-5</v>
      </c>
      <c r="BQ14" s="442">
        <f t="shared" si="4"/>
        <v>-2.5</v>
      </c>
      <c r="BR14" s="440">
        <v>0</v>
      </c>
      <c r="BS14" s="442">
        <f t="shared" si="23"/>
        <v>2.5</v>
      </c>
      <c r="BT14" s="440">
        <v>5</v>
      </c>
      <c r="BU14" s="435">
        <v>11900</v>
      </c>
      <c r="BV14" s="440">
        <v>1</v>
      </c>
      <c r="BW14" s="440">
        <v>1</v>
      </c>
      <c r="BX14" s="440">
        <v>1</v>
      </c>
      <c r="BY14" s="440">
        <v>1</v>
      </c>
      <c r="BZ14" s="440">
        <v>0</v>
      </c>
      <c r="CA14" s="440">
        <v>0</v>
      </c>
      <c r="CB14" s="442">
        <f t="shared" si="5"/>
        <v>0</v>
      </c>
      <c r="CC14" s="440">
        <v>0</v>
      </c>
      <c r="CD14" s="442">
        <f t="shared" si="24"/>
        <v>0</v>
      </c>
      <c r="CE14" s="441">
        <v>0</v>
      </c>
      <c r="CF14" s="435">
        <v>11900</v>
      </c>
      <c r="CG14" s="440">
        <v>-23</v>
      </c>
      <c r="CH14" s="440">
        <v>-19</v>
      </c>
      <c r="CI14" s="440">
        <v>-15</v>
      </c>
      <c r="CJ14" s="440">
        <v>-11</v>
      </c>
      <c r="CK14" s="440">
        <v>-8</v>
      </c>
      <c r="CL14" s="440">
        <v>-4</v>
      </c>
      <c r="CM14" s="442">
        <f t="shared" si="6"/>
        <v>-2</v>
      </c>
      <c r="CN14" s="440">
        <v>0</v>
      </c>
      <c r="CO14" s="442">
        <f t="shared" si="25"/>
        <v>2</v>
      </c>
      <c r="CP14" s="441">
        <v>4</v>
      </c>
      <c r="CQ14" s="435">
        <v>11900</v>
      </c>
      <c r="CR14" s="440">
        <v>1</v>
      </c>
      <c r="CS14" s="440">
        <v>1</v>
      </c>
      <c r="CT14" s="440">
        <v>1</v>
      </c>
      <c r="CU14" s="440">
        <v>1</v>
      </c>
      <c r="CV14" s="440">
        <v>0</v>
      </c>
      <c r="CW14" s="440">
        <v>0</v>
      </c>
      <c r="CX14" s="442">
        <f t="shared" si="7"/>
        <v>0</v>
      </c>
      <c r="CY14" s="440">
        <v>0</v>
      </c>
      <c r="CZ14" s="442">
        <f t="shared" si="26"/>
        <v>0</v>
      </c>
      <c r="DA14" s="441">
        <v>0</v>
      </c>
      <c r="DB14" s="435">
        <v>11900</v>
      </c>
      <c r="DC14" s="440">
        <v>-21</v>
      </c>
      <c r="DD14" s="440">
        <v>-17</v>
      </c>
      <c r="DE14" s="440">
        <v>-14</v>
      </c>
      <c r="DF14" s="440">
        <v>-10</v>
      </c>
      <c r="DG14" s="440">
        <v>-7</v>
      </c>
      <c r="DH14" s="440">
        <v>-3</v>
      </c>
      <c r="DI14" s="442">
        <f t="shared" si="8"/>
        <v>-1.5</v>
      </c>
      <c r="DJ14" s="440">
        <v>0</v>
      </c>
      <c r="DK14" s="442">
        <f t="shared" si="27"/>
        <v>1.5</v>
      </c>
      <c r="DL14" s="441">
        <v>3</v>
      </c>
      <c r="DM14" s="435">
        <v>11900</v>
      </c>
      <c r="DN14" s="440">
        <v>1</v>
      </c>
      <c r="DO14" s="440">
        <v>1</v>
      </c>
      <c r="DP14" s="440">
        <v>1</v>
      </c>
      <c r="DQ14" s="440">
        <v>1</v>
      </c>
      <c r="DR14" s="440">
        <v>0</v>
      </c>
      <c r="DS14" s="440">
        <v>0</v>
      </c>
      <c r="DT14" s="442">
        <f t="shared" si="9"/>
        <v>0</v>
      </c>
      <c r="DU14" s="440">
        <v>0</v>
      </c>
      <c r="DV14" s="442">
        <f t="shared" si="28"/>
        <v>0</v>
      </c>
      <c r="DW14" s="441">
        <v>0</v>
      </c>
      <c r="DX14" s="435">
        <v>11900</v>
      </c>
      <c r="DY14" s="440">
        <v>-24</v>
      </c>
      <c r="DZ14" s="440">
        <v>-20</v>
      </c>
      <c r="EA14" s="440">
        <v>-16</v>
      </c>
      <c r="EB14" s="440">
        <v>-12</v>
      </c>
      <c r="EC14" s="440">
        <v>-8</v>
      </c>
      <c r="ED14" s="440">
        <v>-4</v>
      </c>
      <c r="EE14" s="442">
        <f t="shared" si="10"/>
        <v>-2</v>
      </c>
      <c r="EF14" s="440">
        <v>0</v>
      </c>
      <c r="EG14" s="442">
        <f t="shared" si="29"/>
        <v>2</v>
      </c>
      <c r="EH14" s="440">
        <v>4</v>
      </c>
      <c r="EI14" s="435">
        <v>11900</v>
      </c>
      <c r="EJ14" s="440">
        <v>4</v>
      </c>
      <c r="EK14" s="440">
        <v>3</v>
      </c>
      <c r="EL14" s="440">
        <v>3</v>
      </c>
      <c r="EM14" s="440">
        <v>2</v>
      </c>
      <c r="EN14" s="440">
        <v>1</v>
      </c>
      <c r="EO14" s="440">
        <v>1</v>
      </c>
      <c r="EP14" s="442">
        <f t="shared" si="30"/>
        <v>0.5</v>
      </c>
      <c r="EQ14" s="440">
        <v>0</v>
      </c>
      <c r="ER14" s="442">
        <f t="shared" si="31"/>
        <v>-0.5</v>
      </c>
      <c r="ES14" s="441">
        <v>-1</v>
      </c>
      <c r="ET14" s="435">
        <v>11900</v>
      </c>
      <c r="EU14" s="440">
        <v>-21</v>
      </c>
      <c r="EV14" s="440">
        <v>-18</v>
      </c>
      <c r="EW14" s="440">
        <v>-14</v>
      </c>
      <c r="EX14" s="440">
        <v>-11</v>
      </c>
      <c r="EY14" s="440">
        <v>-7</v>
      </c>
      <c r="EZ14" s="440">
        <v>-4</v>
      </c>
      <c r="FA14" s="442">
        <f t="shared" si="32"/>
        <v>-2</v>
      </c>
      <c r="FB14" s="440">
        <v>0</v>
      </c>
      <c r="FC14" s="442">
        <f t="shared" si="33"/>
        <v>2</v>
      </c>
      <c r="FD14" s="440">
        <v>4</v>
      </c>
      <c r="FE14" s="435">
        <v>11900</v>
      </c>
      <c r="FF14" s="440">
        <v>13</v>
      </c>
      <c r="FG14" s="440">
        <v>11</v>
      </c>
      <c r="FH14" s="440">
        <v>9</v>
      </c>
      <c r="FI14" s="440">
        <v>7</v>
      </c>
      <c r="FJ14" s="440">
        <v>4</v>
      </c>
      <c r="FK14" s="440">
        <v>2</v>
      </c>
      <c r="FL14" s="442">
        <f t="shared" si="11"/>
        <v>1</v>
      </c>
      <c r="FM14" s="440">
        <v>0</v>
      </c>
      <c r="FN14" s="442">
        <f t="shared" si="34"/>
        <v>-1</v>
      </c>
      <c r="FO14" s="441">
        <v>-2</v>
      </c>
      <c r="FP14" s="435">
        <v>11900</v>
      </c>
      <c r="FQ14" s="440">
        <v>-11</v>
      </c>
      <c r="FR14" s="440">
        <v>-9</v>
      </c>
      <c r="FS14" s="440">
        <v>-7</v>
      </c>
      <c r="FT14" s="440">
        <v>-5</v>
      </c>
      <c r="FU14" s="440">
        <v>-4</v>
      </c>
      <c r="FV14" s="440">
        <v>-2</v>
      </c>
      <c r="FW14" s="442">
        <f t="shared" si="12"/>
        <v>-1</v>
      </c>
      <c r="FX14" s="440">
        <v>0</v>
      </c>
      <c r="FY14" s="442">
        <f t="shared" si="35"/>
        <v>1</v>
      </c>
      <c r="FZ14" s="440">
        <v>2</v>
      </c>
      <c r="GA14" s="435">
        <v>11900</v>
      </c>
      <c r="GB14" s="440">
        <v>-33</v>
      </c>
      <c r="GC14" s="440">
        <v>-27</v>
      </c>
      <c r="GD14" s="440">
        <v>-22</v>
      </c>
      <c r="GE14" s="440">
        <v>-16</v>
      </c>
      <c r="GF14" s="440">
        <v>-11</v>
      </c>
      <c r="GG14" s="440">
        <v>-5</v>
      </c>
      <c r="GH14" s="442">
        <f t="shared" si="13"/>
        <v>-2.5</v>
      </c>
      <c r="GI14" s="440">
        <v>0</v>
      </c>
      <c r="GJ14" s="442">
        <f t="shared" si="36"/>
        <v>2.5</v>
      </c>
      <c r="GK14" s="441">
        <v>5</v>
      </c>
      <c r="GL14" s="435">
        <v>11900</v>
      </c>
      <c r="GM14" s="440">
        <v>-32</v>
      </c>
      <c r="GN14" s="440">
        <v>-27</v>
      </c>
      <c r="GO14" s="440">
        <v>-21</v>
      </c>
      <c r="GP14" s="440">
        <v>-16</v>
      </c>
      <c r="GQ14" s="440">
        <v>-11</v>
      </c>
      <c r="GR14" s="440">
        <v>-5</v>
      </c>
      <c r="GS14" s="442">
        <f t="shared" si="14"/>
        <v>-2.5</v>
      </c>
      <c r="GT14" s="440">
        <v>0</v>
      </c>
      <c r="GU14" s="442">
        <f t="shared" si="37"/>
        <v>2.5</v>
      </c>
      <c r="GV14" s="441">
        <v>5</v>
      </c>
      <c r="GW14" s="241"/>
      <c r="GX14" s="242" t="s">
        <v>15</v>
      </c>
      <c r="GY14" s="243">
        <f>'[6]ULLAGE REP'!O30</f>
        <v>1021.8957720019082</v>
      </c>
      <c r="GZ14" s="244">
        <f>'[6]ULLAGE REP'!D30</f>
        <v>1246.6061999999999</v>
      </c>
      <c r="HA14" s="245">
        <f>'[6]ULLAGE REP'!P30</f>
        <v>0.90301457304414223</v>
      </c>
      <c r="HB14" s="237"/>
      <c r="HC14" s="234"/>
      <c r="HD14" s="235"/>
      <c r="HL14" s="236"/>
    </row>
    <row r="15" spans="1:220" ht="15">
      <c r="A15" s="401" t="s">
        <v>16</v>
      </c>
      <c r="B15" s="272">
        <f>MASTER!F15</f>
        <v>1130</v>
      </c>
      <c r="C15" s="402">
        <f t="shared" si="1"/>
        <v>1130</v>
      </c>
      <c r="D15" s="403">
        <f>CEILING(EI2,1)</f>
        <v>0</v>
      </c>
      <c r="E15" s="403">
        <f t="shared" si="0"/>
        <v>1130</v>
      </c>
      <c r="F15" s="404">
        <v>23</v>
      </c>
      <c r="G15" s="435">
        <v>11800</v>
      </c>
      <c r="H15" s="445">
        <v>23</v>
      </c>
      <c r="I15" s="249">
        <v>19</v>
      </c>
      <c r="J15" s="249">
        <v>15</v>
      </c>
      <c r="K15" s="249">
        <v>11</v>
      </c>
      <c r="L15" s="249">
        <v>8</v>
      </c>
      <c r="M15" s="249">
        <v>4</v>
      </c>
      <c r="N15" s="249">
        <f t="shared" si="15"/>
        <v>2</v>
      </c>
      <c r="O15" s="249">
        <v>0</v>
      </c>
      <c r="P15" s="249">
        <f t="shared" si="16"/>
        <v>-2</v>
      </c>
      <c r="Q15" s="446">
        <v>-4</v>
      </c>
      <c r="R15" s="435">
        <v>11800</v>
      </c>
      <c r="S15" s="248">
        <v>0</v>
      </c>
      <c r="T15" s="248">
        <v>0</v>
      </c>
      <c r="U15" s="248">
        <v>0</v>
      </c>
      <c r="V15" s="248">
        <v>0</v>
      </c>
      <c r="W15" s="248">
        <v>0</v>
      </c>
      <c r="X15" s="248">
        <v>0</v>
      </c>
      <c r="Y15" s="249">
        <f t="shared" si="17"/>
        <v>0</v>
      </c>
      <c r="Z15" s="248">
        <v>0</v>
      </c>
      <c r="AA15" s="439">
        <f t="shared" si="18"/>
        <v>0</v>
      </c>
      <c r="AB15" s="248">
        <v>0</v>
      </c>
      <c r="AC15" s="435">
        <v>11800</v>
      </c>
      <c r="AD15" s="440">
        <v>-44</v>
      </c>
      <c r="AE15" s="440">
        <v>-37</v>
      </c>
      <c r="AF15" s="440">
        <v>-29</v>
      </c>
      <c r="AG15" s="440">
        <v>-22</v>
      </c>
      <c r="AH15" s="440">
        <v>-15</v>
      </c>
      <c r="AI15" s="440">
        <v>-7</v>
      </c>
      <c r="AJ15" s="249">
        <f t="shared" si="19"/>
        <v>-3.5</v>
      </c>
      <c r="AK15" s="248">
        <v>0</v>
      </c>
      <c r="AL15" s="439">
        <f t="shared" si="20"/>
        <v>3.5</v>
      </c>
      <c r="AM15" s="441">
        <v>7</v>
      </c>
      <c r="AN15" s="435">
        <v>11800</v>
      </c>
      <c r="AO15" s="440">
        <v>-67</v>
      </c>
      <c r="AP15" s="440">
        <v>-56</v>
      </c>
      <c r="AQ15" s="440">
        <v>-45</v>
      </c>
      <c r="AR15" s="440">
        <v>-34</v>
      </c>
      <c r="AS15" s="440">
        <v>-22</v>
      </c>
      <c r="AT15" s="440">
        <v>-11</v>
      </c>
      <c r="AU15" s="442">
        <f t="shared" si="2"/>
        <v>-5.5</v>
      </c>
      <c r="AV15" s="440">
        <v>0</v>
      </c>
      <c r="AW15" s="442">
        <f t="shared" si="21"/>
        <v>5.5</v>
      </c>
      <c r="AX15" s="441">
        <v>11</v>
      </c>
      <c r="AY15" s="435">
        <v>11800</v>
      </c>
      <c r="AZ15" s="440">
        <v>3</v>
      </c>
      <c r="BA15" s="440">
        <v>2</v>
      </c>
      <c r="BB15" s="440">
        <v>2</v>
      </c>
      <c r="BC15" s="440">
        <v>1</v>
      </c>
      <c r="BD15" s="440">
        <v>1</v>
      </c>
      <c r="BE15" s="440">
        <v>0</v>
      </c>
      <c r="BF15" s="442">
        <f t="shared" si="3"/>
        <v>0</v>
      </c>
      <c r="BG15" s="440">
        <v>0</v>
      </c>
      <c r="BH15" s="442">
        <f t="shared" si="22"/>
        <v>0</v>
      </c>
      <c r="BI15" s="441">
        <v>0</v>
      </c>
      <c r="BJ15" s="447">
        <v>11800</v>
      </c>
      <c r="BK15" s="440">
        <v>-32</v>
      </c>
      <c r="BL15" s="440">
        <v>-27</v>
      </c>
      <c r="BM15" s="440">
        <v>-21</v>
      </c>
      <c r="BN15" s="440">
        <v>-16</v>
      </c>
      <c r="BO15" s="440">
        <v>-11</v>
      </c>
      <c r="BP15" s="440">
        <v>-5</v>
      </c>
      <c r="BQ15" s="442">
        <f t="shared" si="4"/>
        <v>-2.5</v>
      </c>
      <c r="BR15" s="440">
        <v>0</v>
      </c>
      <c r="BS15" s="442">
        <f t="shared" si="23"/>
        <v>2.5</v>
      </c>
      <c r="BT15" s="440">
        <v>5</v>
      </c>
      <c r="BU15" s="435">
        <v>11800</v>
      </c>
      <c r="BV15" s="440">
        <v>1</v>
      </c>
      <c r="BW15" s="440">
        <v>1</v>
      </c>
      <c r="BX15" s="440">
        <v>1</v>
      </c>
      <c r="BY15" s="440">
        <v>1</v>
      </c>
      <c r="BZ15" s="440">
        <v>0</v>
      </c>
      <c r="CA15" s="440">
        <v>0</v>
      </c>
      <c r="CB15" s="442">
        <f t="shared" si="5"/>
        <v>0</v>
      </c>
      <c r="CC15" s="440">
        <v>0</v>
      </c>
      <c r="CD15" s="442">
        <f t="shared" si="24"/>
        <v>0</v>
      </c>
      <c r="CE15" s="441">
        <v>0</v>
      </c>
      <c r="CF15" s="435">
        <v>11800</v>
      </c>
      <c r="CG15" s="440">
        <v>-23</v>
      </c>
      <c r="CH15" s="440">
        <v>-19</v>
      </c>
      <c r="CI15" s="440">
        <v>-15</v>
      </c>
      <c r="CJ15" s="440">
        <v>-11</v>
      </c>
      <c r="CK15" s="440">
        <v>-8</v>
      </c>
      <c r="CL15" s="440">
        <v>-4</v>
      </c>
      <c r="CM15" s="442">
        <f t="shared" si="6"/>
        <v>-2</v>
      </c>
      <c r="CN15" s="440">
        <v>0</v>
      </c>
      <c r="CO15" s="442">
        <f t="shared" si="25"/>
        <v>2</v>
      </c>
      <c r="CP15" s="441">
        <v>4</v>
      </c>
      <c r="CQ15" s="435">
        <v>11800</v>
      </c>
      <c r="CR15" s="440">
        <v>1</v>
      </c>
      <c r="CS15" s="440">
        <v>1</v>
      </c>
      <c r="CT15" s="440">
        <v>1</v>
      </c>
      <c r="CU15" s="440">
        <v>1</v>
      </c>
      <c r="CV15" s="440">
        <v>0</v>
      </c>
      <c r="CW15" s="440">
        <v>0</v>
      </c>
      <c r="CX15" s="442">
        <f t="shared" si="7"/>
        <v>0</v>
      </c>
      <c r="CY15" s="440">
        <v>0</v>
      </c>
      <c r="CZ15" s="442">
        <f t="shared" si="26"/>
        <v>0</v>
      </c>
      <c r="DA15" s="441">
        <v>0</v>
      </c>
      <c r="DB15" s="435">
        <v>11800</v>
      </c>
      <c r="DC15" s="440">
        <v>-21</v>
      </c>
      <c r="DD15" s="440">
        <v>-17</v>
      </c>
      <c r="DE15" s="440">
        <v>-14</v>
      </c>
      <c r="DF15" s="440">
        <v>-10</v>
      </c>
      <c r="DG15" s="440">
        <v>-7</v>
      </c>
      <c r="DH15" s="440">
        <v>-3</v>
      </c>
      <c r="DI15" s="442">
        <f t="shared" si="8"/>
        <v>-1.5</v>
      </c>
      <c r="DJ15" s="440">
        <v>0</v>
      </c>
      <c r="DK15" s="442">
        <f t="shared" si="27"/>
        <v>1.5</v>
      </c>
      <c r="DL15" s="441">
        <v>3</v>
      </c>
      <c r="DM15" s="435">
        <v>11800</v>
      </c>
      <c r="DN15" s="440">
        <v>1</v>
      </c>
      <c r="DO15" s="440">
        <v>1</v>
      </c>
      <c r="DP15" s="440">
        <v>1</v>
      </c>
      <c r="DQ15" s="440">
        <v>1</v>
      </c>
      <c r="DR15" s="440">
        <v>0</v>
      </c>
      <c r="DS15" s="440">
        <v>0</v>
      </c>
      <c r="DT15" s="442">
        <f t="shared" si="9"/>
        <v>0</v>
      </c>
      <c r="DU15" s="440">
        <v>0</v>
      </c>
      <c r="DV15" s="442">
        <f t="shared" si="28"/>
        <v>0</v>
      </c>
      <c r="DW15" s="441">
        <v>0</v>
      </c>
      <c r="DX15" s="435">
        <v>11800</v>
      </c>
      <c r="DY15" s="440">
        <v>-24</v>
      </c>
      <c r="DZ15" s="440">
        <v>-20</v>
      </c>
      <c r="EA15" s="440">
        <v>-16</v>
      </c>
      <c r="EB15" s="440">
        <v>-12</v>
      </c>
      <c r="EC15" s="440">
        <v>-8</v>
      </c>
      <c r="ED15" s="440">
        <v>-4</v>
      </c>
      <c r="EE15" s="442">
        <f t="shared" si="10"/>
        <v>-2</v>
      </c>
      <c r="EF15" s="440">
        <v>0</v>
      </c>
      <c r="EG15" s="442">
        <f t="shared" si="29"/>
        <v>2</v>
      </c>
      <c r="EH15" s="440">
        <v>4</v>
      </c>
      <c r="EI15" s="435">
        <v>11800</v>
      </c>
      <c r="EJ15" s="440">
        <v>4</v>
      </c>
      <c r="EK15" s="440">
        <v>3</v>
      </c>
      <c r="EL15" s="440">
        <v>2</v>
      </c>
      <c r="EM15" s="440">
        <v>2</v>
      </c>
      <c r="EN15" s="440">
        <v>1</v>
      </c>
      <c r="EO15" s="440">
        <v>1</v>
      </c>
      <c r="EP15" s="442">
        <f t="shared" si="30"/>
        <v>0.5</v>
      </c>
      <c r="EQ15" s="440">
        <v>0</v>
      </c>
      <c r="ER15" s="442">
        <f t="shared" si="31"/>
        <v>-0.5</v>
      </c>
      <c r="ES15" s="441">
        <v>-1</v>
      </c>
      <c r="ET15" s="435">
        <v>11800</v>
      </c>
      <c r="EU15" s="440">
        <v>-22</v>
      </c>
      <c r="EV15" s="440">
        <v>-18</v>
      </c>
      <c r="EW15" s="440">
        <v>-14</v>
      </c>
      <c r="EX15" s="440">
        <v>-11</v>
      </c>
      <c r="EY15" s="440">
        <v>-7</v>
      </c>
      <c r="EZ15" s="440">
        <v>-4</v>
      </c>
      <c r="FA15" s="442">
        <f t="shared" si="32"/>
        <v>-2</v>
      </c>
      <c r="FB15" s="440">
        <v>0</v>
      </c>
      <c r="FC15" s="442">
        <f t="shared" si="33"/>
        <v>2</v>
      </c>
      <c r="FD15" s="440">
        <v>4</v>
      </c>
      <c r="FE15" s="435">
        <v>11800</v>
      </c>
      <c r="FF15" s="440">
        <v>12</v>
      </c>
      <c r="FG15" s="440">
        <v>10</v>
      </c>
      <c r="FH15" s="440">
        <v>8</v>
      </c>
      <c r="FI15" s="440">
        <v>6</v>
      </c>
      <c r="FJ15" s="440">
        <v>4</v>
      </c>
      <c r="FK15" s="440">
        <v>2</v>
      </c>
      <c r="FL15" s="442">
        <f t="shared" si="11"/>
        <v>1</v>
      </c>
      <c r="FM15" s="440">
        <v>0</v>
      </c>
      <c r="FN15" s="442">
        <f t="shared" si="34"/>
        <v>-1</v>
      </c>
      <c r="FO15" s="441">
        <v>-2</v>
      </c>
      <c r="FP15" s="435">
        <v>11800</v>
      </c>
      <c r="FQ15" s="440">
        <v>-11</v>
      </c>
      <c r="FR15" s="440">
        <v>-9</v>
      </c>
      <c r="FS15" s="440">
        <v>-7</v>
      </c>
      <c r="FT15" s="440">
        <v>-6</v>
      </c>
      <c r="FU15" s="440">
        <v>-4</v>
      </c>
      <c r="FV15" s="440">
        <v>-2</v>
      </c>
      <c r="FW15" s="442">
        <f t="shared" si="12"/>
        <v>-1</v>
      </c>
      <c r="FX15" s="440">
        <v>0</v>
      </c>
      <c r="FY15" s="442">
        <f t="shared" si="35"/>
        <v>1</v>
      </c>
      <c r="FZ15" s="440">
        <v>2</v>
      </c>
      <c r="GA15" s="435">
        <v>11800</v>
      </c>
      <c r="GB15" s="440">
        <v>-33</v>
      </c>
      <c r="GC15" s="440">
        <v>-28</v>
      </c>
      <c r="GD15" s="440">
        <v>-22</v>
      </c>
      <c r="GE15" s="440">
        <v>-17</v>
      </c>
      <c r="GF15" s="440">
        <v>-11</v>
      </c>
      <c r="GG15" s="440">
        <v>-6</v>
      </c>
      <c r="GH15" s="442">
        <f t="shared" si="13"/>
        <v>-3</v>
      </c>
      <c r="GI15" s="440">
        <v>0</v>
      </c>
      <c r="GJ15" s="442">
        <f t="shared" si="36"/>
        <v>2.5</v>
      </c>
      <c r="GK15" s="441">
        <v>5</v>
      </c>
      <c r="GL15" s="435">
        <v>11800</v>
      </c>
      <c r="GM15" s="440">
        <v>-32</v>
      </c>
      <c r="GN15" s="440">
        <v>-27</v>
      </c>
      <c r="GO15" s="440">
        <v>-21</v>
      </c>
      <c r="GP15" s="440">
        <v>-16</v>
      </c>
      <c r="GQ15" s="440">
        <v>-11</v>
      </c>
      <c r="GR15" s="440">
        <v>-5</v>
      </c>
      <c r="GS15" s="442">
        <f t="shared" si="14"/>
        <v>-2.5</v>
      </c>
      <c r="GT15" s="440">
        <v>0</v>
      </c>
      <c r="GU15" s="442">
        <f t="shared" si="37"/>
        <v>2.5</v>
      </c>
      <c r="GV15" s="441">
        <v>5</v>
      </c>
      <c r="GW15" s="241"/>
      <c r="GX15" s="242" t="s">
        <v>16</v>
      </c>
      <c r="GY15" s="243">
        <f>'[6]ULLAGE REP'!O31</f>
        <v>1019.9674923058179</v>
      </c>
      <c r="GZ15" s="244">
        <f>'[6]ULLAGE REP'!D31</f>
        <v>1244.2538999999999</v>
      </c>
      <c r="HA15" s="245">
        <f>'[6]ULLAGE REP'!P31</f>
        <v>0.90255019955055782</v>
      </c>
      <c r="HB15" s="237"/>
      <c r="HC15" s="234"/>
      <c r="HD15" s="235"/>
      <c r="HL15" s="236"/>
    </row>
    <row r="16" spans="1:220" ht="15">
      <c r="A16" s="401" t="s">
        <v>17</v>
      </c>
      <c r="B16" s="272">
        <f>MASTER!F16</f>
        <v>1130</v>
      </c>
      <c r="C16" s="402">
        <f t="shared" si="1"/>
        <v>1130</v>
      </c>
      <c r="D16" s="403">
        <f>CEILING(ET2,1)</f>
        <v>0</v>
      </c>
      <c r="E16" s="403">
        <f t="shared" si="0"/>
        <v>1130</v>
      </c>
      <c r="F16" s="404">
        <v>23</v>
      </c>
      <c r="G16" s="435">
        <v>11700</v>
      </c>
      <c r="H16" s="445">
        <v>24</v>
      </c>
      <c r="I16" s="249">
        <v>19</v>
      </c>
      <c r="J16" s="249">
        <v>15</v>
      </c>
      <c r="K16" s="249">
        <v>11</v>
      </c>
      <c r="L16" s="249">
        <v>8</v>
      </c>
      <c r="M16" s="249">
        <v>4</v>
      </c>
      <c r="N16" s="249">
        <f t="shared" si="15"/>
        <v>2</v>
      </c>
      <c r="O16" s="249">
        <v>0</v>
      </c>
      <c r="P16" s="249">
        <f t="shared" si="16"/>
        <v>-2</v>
      </c>
      <c r="Q16" s="446">
        <v>-4</v>
      </c>
      <c r="R16" s="435">
        <v>11700</v>
      </c>
      <c r="S16" s="248">
        <v>1</v>
      </c>
      <c r="T16" s="248">
        <v>0</v>
      </c>
      <c r="U16" s="248">
        <v>0</v>
      </c>
      <c r="V16" s="248">
        <v>0</v>
      </c>
      <c r="W16" s="248">
        <v>0</v>
      </c>
      <c r="X16" s="248">
        <v>0</v>
      </c>
      <c r="Y16" s="249">
        <f t="shared" si="17"/>
        <v>0</v>
      </c>
      <c r="Z16" s="248">
        <v>0</v>
      </c>
      <c r="AA16" s="439">
        <f t="shared" si="18"/>
        <v>0</v>
      </c>
      <c r="AB16" s="248">
        <v>0</v>
      </c>
      <c r="AC16" s="435">
        <v>11700</v>
      </c>
      <c r="AD16" s="440">
        <v>-44</v>
      </c>
      <c r="AE16" s="440">
        <v>-37</v>
      </c>
      <c r="AF16" s="440">
        <v>-29</v>
      </c>
      <c r="AG16" s="440">
        <v>-22</v>
      </c>
      <c r="AH16" s="440">
        <v>-15</v>
      </c>
      <c r="AI16" s="440">
        <v>-7</v>
      </c>
      <c r="AJ16" s="249">
        <f t="shared" si="19"/>
        <v>-3.5</v>
      </c>
      <c r="AK16" s="248">
        <v>0</v>
      </c>
      <c r="AL16" s="439">
        <f t="shared" si="20"/>
        <v>3.5</v>
      </c>
      <c r="AM16" s="441">
        <v>7</v>
      </c>
      <c r="AN16" s="435">
        <v>11700</v>
      </c>
      <c r="AO16" s="440">
        <v>-67</v>
      </c>
      <c r="AP16" s="440">
        <v>-56</v>
      </c>
      <c r="AQ16" s="440">
        <v>-45</v>
      </c>
      <c r="AR16" s="440">
        <v>-34</v>
      </c>
      <c r="AS16" s="440">
        <v>-22</v>
      </c>
      <c r="AT16" s="440">
        <v>-11</v>
      </c>
      <c r="AU16" s="442">
        <f t="shared" si="2"/>
        <v>-5.5</v>
      </c>
      <c r="AV16" s="440">
        <v>0</v>
      </c>
      <c r="AW16" s="442">
        <f t="shared" si="21"/>
        <v>5.5</v>
      </c>
      <c r="AX16" s="441">
        <v>11</v>
      </c>
      <c r="AY16" s="435">
        <v>11700</v>
      </c>
      <c r="AZ16" s="440">
        <v>3</v>
      </c>
      <c r="BA16" s="440">
        <v>2</v>
      </c>
      <c r="BB16" s="440">
        <v>2</v>
      </c>
      <c r="BC16" s="440">
        <v>1</v>
      </c>
      <c r="BD16" s="440">
        <v>1</v>
      </c>
      <c r="BE16" s="440">
        <v>0</v>
      </c>
      <c r="BF16" s="442">
        <f t="shared" si="3"/>
        <v>0</v>
      </c>
      <c r="BG16" s="440">
        <v>0</v>
      </c>
      <c r="BH16" s="442">
        <f t="shared" si="22"/>
        <v>-0.5</v>
      </c>
      <c r="BI16" s="441">
        <v>-1</v>
      </c>
      <c r="BJ16" s="447">
        <v>11700</v>
      </c>
      <c r="BK16" s="440">
        <v>-32</v>
      </c>
      <c r="BL16" s="440">
        <v>-27</v>
      </c>
      <c r="BM16" s="440">
        <v>-21</v>
      </c>
      <c r="BN16" s="440">
        <v>-16</v>
      </c>
      <c r="BO16" s="440">
        <v>-11</v>
      </c>
      <c r="BP16" s="440">
        <v>-5</v>
      </c>
      <c r="BQ16" s="442">
        <f t="shared" si="4"/>
        <v>-2.5</v>
      </c>
      <c r="BR16" s="440">
        <v>0</v>
      </c>
      <c r="BS16" s="442">
        <f t="shared" si="23"/>
        <v>2.5</v>
      </c>
      <c r="BT16" s="440">
        <v>5</v>
      </c>
      <c r="BU16" s="435">
        <v>11700</v>
      </c>
      <c r="BV16" s="440">
        <v>1</v>
      </c>
      <c r="BW16" s="440">
        <v>1</v>
      </c>
      <c r="BX16" s="440">
        <v>1</v>
      </c>
      <c r="BY16" s="440">
        <v>1</v>
      </c>
      <c r="BZ16" s="440">
        <v>0</v>
      </c>
      <c r="CA16" s="440">
        <v>0</v>
      </c>
      <c r="CB16" s="442">
        <f t="shared" si="5"/>
        <v>0</v>
      </c>
      <c r="CC16" s="440">
        <v>0</v>
      </c>
      <c r="CD16" s="442">
        <f t="shared" si="24"/>
        <v>0</v>
      </c>
      <c r="CE16" s="441">
        <v>0</v>
      </c>
      <c r="CF16" s="435">
        <v>11700</v>
      </c>
      <c r="CG16" s="440">
        <v>-23</v>
      </c>
      <c r="CH16" s="440">
        <v>-19</v>
      </c>
      <c r="CI16" s="440">
        <v>-15</v>
      </c>
      <c r="CJ16" s="440">
        <v>-11</v>
      </c>
      <c r="CK16" s="440">
        <v>-8</v>
      </c>
      <c r="CL16" s="440">
        <v>-4</v>
      </c>
      <c r="CM16" s="442">
        <f t="shared" si="6"/>
        <v>-2</v>
      </c>
      <c r="CN16" s="440">
        <v>0</v>
      </c>
      <c r="CO16" s="442">
        <f t="shared" si="25"/>
        <v>2</v>
      </c>
      <c r="CP16" s="441">
        <v>4</v>
      </c>
      <c r="CQ16" s="435">
        <v>11700</v>
      </c>
      <c r="CR16" s="440">
        <v>1</v>
      </c>
      <c r="CS16" s="440">
        <v>1</v>
      </c>
      <c r="CT16" s="440">
        <v>1</v>
      </c>
      <c r="CU16" s="440">
        <v>1</v>
      </c>
      <c r="CV16" s="440">
        <v>0</v>
      </c>
      <c r="CW16" s="440">
        <v>0</v>
      </c>
      <c r="CX16" s="442">
        <f t="shared" si="7"/>
        <v>0</v>
      </c>
      <c r="CY16" s="440">
        <v>0</v>
      </c>
      <c r="CZ16" s="442">
        <f t="shared" si="26"/>
        <v>0</v>
      </c>
      <c r="DA16" s="441">
        <v>0</v>
      </c>
      <c r="DB16" s="435">
        <v>11700</v>
      </c>
      <c r="DC16" s="440">
        <v>-21</v>
      </c>
      <c r="DD16" s="440">
        <v>-17</v>
      </c>
      <c r="DE16" s="440">
        <v>-14</v>
      </c>
      <c r="DF16" s="440">
        <v>-10</v>
      </c>
      <c r="DG16" s="440">
        <v>-7</v>
      </c>
      <c r="DH16" s="440">
        <v>-3</v>
      </c>
      <c r="DI16" s="442">
        <f t="shared" si="8"/>
        <v>-1.5</v>
      </c>
      <c r="DJ16" s="440">
        <v>0</v>
      </c>
      <c r="DK16" s="442">
        <f t="shared" si="27"/>
        <v>1.5</v>
      </c>
      <c r="DL16" s="441">
        <v>3</v>
      </c>
      <c r="DM16" s="435">
        <v>11700</v>
      </c>
      <c r="DN16" s="440">
        <v>1</v>
      </c>
      <c r="DO16" s="440">
        <v>1</v>
      </c>
      <c r="DP16" s="440">
        <v>1</v>
      </c>
      <c r="DQ16" s="440">
        <v>1</v>
      </c>
      <c r="DR16" s="440">
        <v>0</v>
      </c>
      <c r="DS16" s="440">
        <v>0</v>
      </c>
      <c r="DT16" s="442">
        <f t="shared" si="9"/>
        <v>0</v>
      </c>
      <c r="DU16" s="440">
        <v>0</v>
      </c>
      <c r="DV16" s="442">
        <f t="shared" si="28"/>
        <v>0</v>
      </c>
      <c r="DW16" s="441">
        <v>0</v>
      </c>
      <c r="DX16" s="435">
        <v>11700</v>
      </c>
      <c r="DY16" s="440">
        <v>-24</v>
      </c>
      <c r="DZ16" s="440">
        <v>-20</v>
      </c>
      <c r="EA16" s="440">
        <v>-16</v>
      </c>
      <c r="EB16" s="440">
        <v>-12</v>
      </c>
      <c r="EC16" s="440">
        <v>-8</v>
      </c>
      <c r="ED16" s="440">
        <v>-4</v>
      </c>
      <c r="EE16" s="442">
        <f t="shared" si="10"/>
        <v>-2</v>
      </c>
      <c r="EF16" s="440">
        <v>0</v>
      </c>
      <c r="EG16" s="442">
        <f t="shared" si="29"/>
        <v>2</v>
      </c>
      <c r="EH16" s="440">
        <v>4</v>
      </c>
      <c r="EI16" s="435">
        <v>11700</v>
      </c>
      <c r="EJ16" s="440">
        <v>4</v>
      </c>
      <c r="EK16" s="440">
        <v>3</v>
      </c>
      <c r="EL16" s="440">
        <v>2</v>
      </c>
      <c r="EM16" s="440">
        <v>2</v>
      </c>
      <c r="EN16" s="440">
        <v>1</v>
      </c>
      <c r="EO16" s="440">
        <v>1</v>
      </c>
      <c r="EP16" s="442">
        <f t="shared" si="30"/>
        <v>0.5</v>
      </c>
      <c r="EQ16" s="440">
        <v>0</v>
      </c>
      <c r="ER16" s="442">
        <f t="shared" si="31"/>
        <v>-0.5</v>
      </c>
      <c r="ES16" s="441">
        <v>-1</v>
      </c>
      <c r="ET16" s="435">
        <v>11700</v>
      </c>
      <c r="EU16" s="440">
        <v>-22</v>
      </c>
      <c r="EV16" s="440">
        <v>-18</v>
      </c>
      <c r="EW16" s="440">
        <v>-14</v>
      </c>
      <c r="EX16" s="440">
        <v>-11</v>
      </c>
      <c r="EY16" s="440">
        <v>-7</v>
      </c>
      <c r="EZ16" s="440">
        <v>-4</v>
      </c>
      <c r="FA16" s="442">
        <f t="shared" si="32"/>
        <v>-2</v>
      </c>
      <c r="FB16" s="440">
        <v>0</v>
      </c>
      <c r="FC16" s="442">
        <f t="shared" si="33"/>
        <v>2</v>
      </c>
      <c r="FD16" s="440">
        <v>4</v>
      </c>
      <c r="FE16" s="435">
        <v>11700</v>
      </c>
      <c r="FF16" s="440">
        <v>12</v>
      </c>
      <c r="FG16" s="440">
        <v>10</v>
      </c>
      <c r="FH16" s="440">
        <v>8</v>
      </c>
      <c r="FI16" s="440">
        <v>6</v>
      </c>
      <c r="FJ16" s="440">
        <v>4</v>
      </c>
      <c r="FK16" s="440">
        <v>2</v>
      </c>
      <c r="FL16" s="442">
        <f t="shared" si="11"/>
        <v>1</v>
      </c>
      <c r="FM16" s="440">
        <v>0</v>
      </c>
      <c r="FN16" s="442">
        <f t="shared" si="34"/>
        <v>-1</v>
      </c>
      <c r="FO16" s="441">
        <v>-2</v>
      </c>
      <c r="FP16" s="435">
        <v>11700</v>
      </c>
      <c r="FQ16" s="440">
        <v>-11</v>
      </c>
      <c r="FR16" s="440">
        <v>-9</v>
      </c>
      <c r="FS16" s="440">
        <v>-7</v>
      </c>
      <c r="FT16" s="440">
        <v>-6</v>
      </c>
      <c r="FU16" s="440">
        <v>-4</v>
      </c>
      <c r="FV16" s="440">
        <v>-2</v>
      </c>
      <c r="FW16" s="442">
        <f t="shared" si="12"/>
        <v>-1</v>
      </c>
      <c r="FX16" s="440">
        <v>0</v>
      </c>
      <c r="FY16" s="442">
        <f t="shared" si="35"/>
        <v>1</v>
      </c>
      <c r="FZ16" s="440">
        <v>2</v>
      </c>
      <c r="GA16" s="435">
        <v>11700</v>
      </c>
      <c r="GB16" s="440">
        <v>-33</v>
      </c>
      <c r="GC16" s="440">
        <v>-28</v>
      </c>
      <c r="GD16" s="440">
        <v>-22</v>
      </c>
      <c r="GE16" s="440">
        <v>-17</v>
      </c>
      <c r="GF16" s="440">
        <v>-11</v>
      </c>
      <c r="GG16" s="440">
        <v>-6</v>
      </c>
      <c r="GH16" s="442">
        <f t="shared" si="13"/>
        <v>-3</v>
      </c>
      <c r="GI16" s="440">
        <v>0</v>
      </c>
      <c r="GJ16" s="442">
        <f t="shared" si="36"/>
        <v>3</v>
      </c>
      <c r="GK16" s="441">
        <v>6</v>
      </c>
      <c r="GL16" s="435">
        <v>11700</v>
      </c>
      <c r="GM16" s="440">
        <v>-32</v>
      </c>
      <c r="GN16" s="440">
        <v>-27</v>
      </c>
      <c r="GO16" s="440">
        <v>-22</v>
      </c>
      <c r="GP16" s="440">
        <v>-16</v>
      </c>
      <c r="GQ16" s="440">
        <v>-11</v>
      </c>
      <c r="GR16" s="440">
        <v>-5</v>
      </c>
      <c r="GS16" s="442">
        <f t="shared" si="14"/>
        <v>-2.5</v>
      </c>
      <c r="GT16" s="440">
        <v>0</v>
      </c>
      <c r="GU16" s="442">
        <f t="shared" si="37"/>
        <v>2.5</v>
      </c>
      <c r="GV16" s="441">
        <v>5</v>
      </c>
      <c r="GW16" s="241"/>
      <c r="GX16" s="242" t="s">
        <v>17</v>
      </c>
      <c r="GY16" s="243">
        <f>'[6]ULLAGE REP'!O32</f>
        <v>1020.2605501604081</v>
      </c>
      <c r="GZ16" s="244">
        <f>'[6]ULLAGE REP'!D32</f>
        <v>1244.6114</v>
      </c>
      <c r="HA16" s="245">
        <f>'[6]ULLAGE REP'!P32</f>
        <v>0.90355604050646876</v>
      </c>
      <c r="HB16" s="250"/>
      <c r="HC16" s="234"/>
      <c r="HD16" s="235"/>
      <c r="HL16" s="236"/>
    </row>
    <row r="17" spans="1:220" ht="15">
      <c r="A17" s="401" t="s">
        <v>18</v>
      </c>
      <c r="B17" s="272">
        <f>MASTER!F17</f>
        <v>1130</v>
      </c>
      <c r="C17" s="402">
        <f t="shared" si="1"/>
        <v>1130</v>
      </c>
      <c r="D17" s="403">
        <f>CEILING(FE2,1)</f>
        <v>0</v>
      </c>
      <c r="E17" s="403">
        <f t="shared" si="0"/>
        <v>1130</v>
      </c>
      <c r="F17" s="404">
        <v>23.3</v>
      </c>
      <c r="G17" s="435">
        <v>11600</v>
      </c>
      <c r="H17" s="445">
        <v>25</v>
      </c>
      <c r="I17" s="249">
        <v>20</v>
      </c>
      <c r="J17" s="249">
        <v>16</v>
      </c>
      <c r="K17" s="249">
        <v>12</v>
      </c>
      <c r="L17" s="249">
        <v>8</v>
      </c>
      <c r="M17" s="249">
        <v>4</v>
      </c>
      <c r="N17" s="249">
        <f t="shared" si="15"/>
        <v>2</v>
      </c>
      <c r="O17" s="249">
        <v>0</v>
      </c>
      <c r="P17" s="249">
        <f t="shared" si="16"/>
        <v>-2</v>
      </c>
      <c r="Q17" s="446">
        <v>-4</v>
      </c>
      <c r="R17" s="435">
        <v>11600</v>
      </c>
      <c r="S17" s="248">
        <v>2</v>
      </c>
      <c r="T17" s="248">
        <v>1</v>
      </c>
      <c r="U17" s="248">
        <v>1</v>
      </c>
      <c r="V17" s="248">
        <v>0</v>
      </c>
      <c r="W17" s="248">
        <v>0</v>
      </c>
      <c r="X17" s="248">
        <v>0</v>
      </c>
      <c r="Y17" s="249">
        <f t="shared" si="17"/>
        <v>0</v>
      </c>
      <c r="Z17" s="248">
        <v>0</v>
      </c>
      <c r="AA17" s="439">
        <f t="shared" si="18"/>
        <v>0</v>
      </c>
      <c r="AB17" s="248">
        <v>0</v>
      </c>
      <c r="AC17" s="435">
        <v>11600</v>
      </c>
      <c r="AD17" s="440">
        <v>-44</v>
      </c>
      <c r="AE17" s="440">
        <v>-36</v>
      </c>
      <c r="AF17" s="440">
        <v>-29</v>
      </c>
      <c r="AG17" s="440">
        <v>-22</v>
      </c>
      <c r="AH17" s="440">
        <v>-15</v>
      </c>
      <c r="AI17" s="440">
        <v>-7</v>
      </c>
      <c r="AJ17" s="249">
        <f t="shared" si="19"/>
        <v>-3.5</v>
      </c>
      <c r="AK17" s="248">
        <v>0</v>
      </c>
      <c r="AL17" s="439">
        <f t="shared" si="20"/>
        <v>3.5</v>
      </c>
      <c r="AM17" s="441">
        <v>7</v>
      </c>
      <c r="AN17" s="435">
        <v>11600</v>
      </c>
      <c r="AO17" s="440">
        <v>-67</v>
      </c>
      <c r="AP17" s="440">
        <v>-56</v>
      </c>
      <c r="AQ17" s="440">
        <v>-45</v>
      </c>
      <c r="AR17" s="440">
        <v>-34</v>
      </c>
      <c r="AS17" s="440">
        <v>-22</v>
      </c>
      <c r="AT17" s="440">
        <v>-11</v>
      </c>
      <c r="AU17" s="442">
        <f t="shared" si="2"/>
        <v>-5.5</v>
      </c>
      <c r="AV17" s="440">
        <v>0</v>
      </c>
      <c r="AW17" s="442">
        <f t="shared" si="21"/>
        <v>5.5</v>
      </c>
      <c r="AX17" s="441">
        <v>11</v>
      </c>
      <c r="AY17" s="435">
        <v>11600</v>
      </c>
      <c r="AZ17" s="440">
        <v>3</v>
      </c>
      <c r="BA17" s="440">
        <v>2</v>
      </c>
      <c r="BB17" s="440">
        <v>2</v>
      </c>
      <c r="BC17" s="440">
        <v>1</v>
      </c>
      <c r="BD17" s="440">
        <v>1</v>
      </c>
      <c r="BE17" s="440">
        <v>0</v>
      </c>
      <c r="BF17" s="442">
        <f t="shared" si="3"/>
        <v>0</v>
      </c>
      <c r="BG17" s="440">
        <v>0</v>
      </c>
      <c r="BH17" s="442">
        <f t="shared" si="22"/>
        <v>-0.5</v>
      </c>
      <c r="BI17" s="441">
        <v>-1</v>
      </c>
      <c r="BJ17" s="447">
        <v>11600</v>
      </c>
      <c r="BK17" s="440">
        <v>-32</v>
      </c>
      <c r="BL17" s="440">
        <v>-27</v>
      </c>
      <c r="BM17" s="440">
        <v>-21</v>
      </c>
      <c r="BN17" s="440">
        <v>-16</v>
      </c>
      <c r="BO17" s="440">
        <v>-11</v>
      </c>
      <c r="BP17" s="440">
        <v>-5</v>
      </c>
      <c r="BQ17" s="442">
        <f t="shared" si="4"/>
        <v>-2.5</v>
      </c>
      <c r="BR17" s="440">
        <v>0</v>
      </c>
      <c r="BS17" s="442">
        <f t="shared" si="23"/>
        <v>2.5</v>
      </c>
      <c r="BT17" s="440">
        <v>5</v>
      </c>
      <c r="BU17" s="435">
        <v>11600</v>
      </c>
      <c r="BV17" s="440">
        <v>1</v>
      </c>
      <c r="BW17" s="440">
        <v>1</v>
      </c>
      <c r="BX17" s="440">
        <v>1</v>
      </c>
      <c r="BY17" s="440">
        <v>1</v>
      </c>
      <c r="BZ17" s="440">
        <v>0</v>
      </c>
      <c r="CA17" s="440">
        <v>0</v>
      </c>
      <c r="CB17" s="442">
        <f t="shared" si="5"/>
        <v>0</v>
      </c>
      <c r="CC17" s="440">
        <v>0</v>
      </c>
      <c r="CD17" s="442">
        <f t="shared" si="24"/>
        <v>0</v>
      </c>
      <c r="CE17" s="441">
        <v>0</v>
      </c>
      <c r="CF17" s="435">
        <v>11600</v>
      </c>
      <c r="CG17" s="440">
        <v>-23</v>
      </c>
      <c r="CH17" s="440">
        <v>-19</v>
      </c>
      <c r="CI17" s="440">
        <v>-15</v>
      </c>
      <c r="CJ17" s="440">
        <v>-11</v>
      </c>
      <c r="CK17" s="440">
        <v>-8</v>
      </c>
      <c r="CL17" s="440">
        <v>-4</v>
      </c>
      <c r="CM17" s="442">
        <f t="shared" si="6"/>
        <v>-2</v>
      </c>
      <c r="CN17" s="440">
        <v>0</v>
      </c>
      <c r="CO17" s="442">
        <f t="shared" si="25"/>
        <v>2</v>
      </c>
      <c r="CP17" s="441">
        <v>4</v>
      </c>
      <c r="CQ17" s="435">
        <v>11600</v>
      </c>
      <c r="CR17" s="440">
        <v>1</v>
      </c>
      <c r="CS17" s="440">
        <v>1</v>
      </c>
      <c r="CT17" s="440">
        <v>1</v>
      </c>
      <c r="CU17" s="440">
        <v>1</v>
      </c>
      <c r="CV17" s="440">
        <v>0</v>
      </c>
      <c r="CW17" s="440">
        <v>0</v>
      </c>
      <c r="CX17" s="442">
        <f t="shared" si="7"/>
        <v>0</v>
      </c>
      <c r="CY17" s="440">
        <v>0</v>
      </c>
      <c r="CZ17" s="442">
        <f t="shared" si="26"/>
        <v>0</v>
      </c>
      <c r="DA17" s="441">
        <v>0</v>
      </c>
      <c r="DB17" s="435">
        <v>11600</v>
      </c>
      <c r="DC17" s="440">
        <v>-21</v>
      </c>
      <c r="DD17" s="440">
        <v>-17</v>
      </c>
      <c r="DE17" s="440">
        <v>-14</v>
      </c>
      <c r="DF17" s="440">
        <v>-10</v>
      </c>
      <c r="DG17" s="440">
        <v>-7</v>
      </c>
      <c r="DH17" s="440">
        <v>-3</v>
      </c>
      <c r="DI17" s="442">
        <f t="shared" si="8"/>
        <v>-1.5</v>
      </c>
      <c r="DJ17" s="440">
        <v>0</v>
      </c>
      <c r="DK17" s="442">
        <f t="shared" si="27"/>
        <v>1.5</v>
      </c>
      <c r="DL17" s="441">
        <v>3</v>
      </c>
      <c r="DM17" s="435">
        <v>11600</v>
      </c>
      <c r="DN17" s="440">
        <v>1</v>
      </c>
      <c r="DO17" s="440">
        <v>1</v>
      </c>
      <c r="DP17" s="440">
        <v>1</v>
      </c>
      <c r="DQ17" s="440">
        <v>1</v>
      </c>
      <c r="DR17" s="440">
        <v>0</v>
      </c>
      <c r="DS17" s="440">
        <v>0</v>
      </c>
      <c r="DT17" s="442">
        <f t="shared" si="9"/>
        <v>0</v>
      </c>
      <c r="DU17" s="440">
        <v>0</v>
      </c>
      <c r="DV17" s="442">
        <f t="shared" si="28"/>
        <v>0</v>
      </c>
      <c r="DW17" s="441">
        <v>0</v>
      </c>
      <c r="DX17" s="435">
        <v>11600</v>
      </c>
      <c r="DY17" s="440">
        <v>-24</v>
      </c>
      <c r="DZ17" s="440">
        <v>-20</v>
      </c>
      <c r="EA17" s="440">
        <v>-16</v>
      </c>
      <c r="EB17" s="440">
        <v>-12</v>
      </c>
      <c r="EC17" s="440">
        <v>-8</v>
      </c>
      <c r="ED17" s="440">
        <v>-4</v>
      </c>
      <c r="EE17" s="442">
        <f t="shared" si="10"/>
        <v>-2</v>
      </c>
      <c r="EF17" s="440">
        <v>0</v>
      </c>
      <c r="EG17" s="442">
        <f t="shared" si="29"/>
        <v>2</v>
      </c>
      <c r="EH17" s="440">
        <v>4</v>
      </c>
      <c r="EI17" s="435">
        <v>11600</v>
      </c>
      <c r="EJ17" s="440">
        <v>4</v>
      </c>
      <c r="EK17" s="440">
        <v>3</v>
      </c>
      <c r="EL17" s="440">
        <v>2</v>
      </c>
      <c r="EM17" s="440">
        <v>2</v>
      </c>
      <c r="EN17" s="440">
        <v>1</v>
      </c>
      <c r="EO17" s="440">
        <v>1</v>
      </c>
      <c r="EP17" s="442">
        <f t="shared" si="30"/>
        <v>0.5</v>
      </c>
      <c r="EQ17" s="440">
        <v>0</v>
      </c>
      <c r="ER17" s="442">
        <f t="shared" si="31"/>
        <v>-0.5</v>
      </c>
      <c r="ES17" s="441">
        <v>-1</v>
      </c>
      <c r="ET17" s="435">
        <v>11600</v>
      </c>
      <c r="EU17" s="440">
        <v>-22</v>
      </c>
      <c r="EV17" s="440">
        <v>-18</v>
      </c>
      <c r="EW17" s="440">
        <v>-14</v>
      </c>
      <c r="EX17" s="440">
        <v>-11</v>
      </c>
      <c r="EY17" s="440">
        <v>-7</v>
      </c>
      <c r="EZ17" s="440">
        <v>-4</v>
      </c>
      <c r="FA17" s="442">
        <f t="shared" si="32"/>
        <v>-2</v>
      </c>
      <c r="FB17" s="440">
        <v>0</v>
      </c>
      <c r="FC17" s="442">
        <f t="shared" si="33"/>
        <v>2</v>
      </c>
      <c r="FD17" s="440">
        <v>4</v>
      </c>
      <c r="FE17" s="435">
        <v>11600</v>
      </c>
      <c r="FF17" s="440">
        <v>12</v>
      </c>
      <c r="FG17" s="440">
        <v>10</v>
      </c>
      <c r="FH17" s="440">
        <v>8</v>
      </c>
      <c r="FI17" s="440">
        <v>6</v>
      </c>
      <c r="FJ17" s="440">
        <v>4</v>
      </c>
      <c r="FK17" s="440">
        <v>2</v>
      </c>
      <c r="FL17" s="442">
        <f t="shared" si="11"/>
        <v>1</v>
      </c>
      <c r="FM17" s="440">
        <v>0</v>
      </c>
      <c r="FN17" s="442">
        <f t="shared" si="34"/>
        <v>-1</v>
      </c>
      <c r="FO17" s="441">
        <v>-2</v>
      </c>
      <c r="FP17" s="435">
        <v>11600</v>
      </c>
      <c r="FQ17" s="440">
        <v>-11</v>
      </c>
      <c r="FR17" s="440">
        <v>-9</v>
      </c>
      <c r="FS17" s="440">
        <v>-7</v>
      </c>
      <c r="FT17" s="440">
        <v>-6</v>
      </c>
      <c r="FU17" s="440">
        <v>-4</v>
      </c>
      <c r="FV17" s="440">
        <v>-2</v>
      </c>
      <c r="FW17" s="442">
        <f t="shared" si="12"/>
        <v>-1</v>
      </c>
      <c r="FX17" s="440">
        <v>0</v>
      </c>
      <c r="FY17" s="442">
        <f t="shared" si="35"/>
        <v>1</v>
      </c>
      <c r="FZ17" s="440">
        <v>2</v>
      </c>
      <c r="GA17" s="435">
        <v>11600</v>
      </c>
      <c r="GB17" s="440">
        <v>-33</v>
      </c>
      <c r="GC17" s="440">
        <v>-28</v>
      </c>
      <c r="GD17" s="440">
        <v>-22</v>
      </c>
      <c r="GE17" s="440">
        <v>-17</v>
      </c>
      <c r="GF17" s="440">
        <v>-11</v>
      </c>
      <c r="GG17" s="440">
        <v>-6</v>
      </c>
      <c r="GH17" s="442">
        <f t="shared" si="13"/>
        <v>-3</v>
      </c>
      <c r="GI17" s="440">
        <v>0</v>
      </c>
      <c r="GJ17" s="442">
        <f t="shared" si="36"/>
        <v>3</v>
      </c>
      <c r="GK17" s="441">
        <v>6</v>
      </c>
      <c r="GL17" s="435">
        <v>11600</v>
      </c>
      <c r="GM17" s="440">
        <v>-32</v>
      </c>
      <c r="GN17" s="440">
        <v>-27</v>
      </c>
      <c r="GO17" s="440">
        <v>-22</v>
      </c>
      <c r="GP17" s="440">
        <v>-16</v>
      </c>
      <c r="GQ17" s="440">
        <v>-11</v>
      </c>
      <c r="GR17" s="440">
        <v>-5</v>
      </c>
      <c r="GS17" s="442">
        <f t="shared" si="14"/>
        <v>-2.5</v>
      </c>
      <c r="GT17" s="440">
        <v>0</v>
      </c>
      <c r="GU17" s="442">
        <f t="shared" si="37"/>
        <v>2.5</v>
      </c>
      <c r="GV17" s="441">
        <v>5</v>
      </c>
      <c r="GW17" s="241"/>
      <c r="GX17" s="242" t="s">
        <v>18</v>
      </c>
      <c r="GY17" s="243">
        <f>'[6]ULLAGE REP'!O33</f>
        <v>956.5769060410214</v>
      </c>
      <c r="GZ17" s="244">
        <f>'[6]ULLAGE REP'!D33</f>
        <v>1166.924</v>
      </c>
      <c r="HA17" s="245">
        <f>'[6]ULLAGE REP'!P33</f>
        <v>0.89586554539270946</v>
      </c>
      <c r="HB17" s="237"/>
      <c r="HC17" s="234"/>
      <c r="HD17" s="251"/>
      <c r="HE17" s="252"/>
      <c r="HL17" s="236"/>
    </row>
    <row r="18" spans="1:220" ht="15">
      <c r="A18" s="401" t="s">
        <v>19</v>
      </c>
      <c r="B18" s="272">
        <f>MASTER!F18</f>
        <v>1130</v>
      </c>
      <c r="C18" s="402">
        <f t="shared" si="1"/>
        <v>1130</v>
      </c>
      <c r="D18" s="403">
        <f>CEILING(FP2,1)</f>
        <v>0</v>
      </c>
      <c r="E18" s="403">
        <f t="shared" si="0"/>
        <v>1130</v>
      </c>
      <c r="F18" s="404">
        <v>23.3</v>
      </c>
      <c r="G18" s="435">
        <v>11500</v>
      </c>
      <c r="H18" s="445">
        <v>25</v>
      </c>
      <c r="I18" s="249">
        <v>20</v>
      </c>
      <c r="J18" s="249">
        <v>16</v>
      </c>
      <c r="K18" s="249">
        <v>12</v>
      </c>
      <c r="L18" s="249">
        <v>9</v>
      </c>
      <c r="M18" s="249">
        <v>4</v>
      </c>
      <c r="N18" s="249">
        <f t="shared" si="15"/>
        <v>2</v>
      </c>
      <c r="O18" s="249">
        <v>0</v>
      </c>
      <c r="P18" s="249">
        <f t="shared" si="16"/>
        <v>-2</v>
      </c>
      <c r="Q18" s="446">
        <v>-4</v>
      </c>
      <c r="R18" s="435">
        <v>11500</v>
      </c>
      <c r="S18" s="248">
        <v>2</v>
      </c>
      <c r="T18" s="248">
        <v>1</v>
      </c>
      <c r="U18" s="248">
        <v>1</v>
      </c>
      <c r="V18" s="248">
        <v>1</v>
      </c>
      <c r="W18" s="248">
        <v>1</v>
      </c>
      <c r="X18" s="248">
        <v>0</v>
      </c>
      <c r="Y18" s="249">
        <f t="shared" si="17"/>
        <v>0</v>
      </c>
      <c r="Z18" s="248">
        <v>0</v>
      </c>
      <c r="AA18" s="439">
        <f t="shared" si="18"/>
        <v>-0.5</v>
      </c>
      <c r="AB18" s="248">
        <v>-1</v>
      </c>
      <c r="AC18" s="435">
        <v>11500</v>
      </c>
      <c r="AD18" s="440">
        <v>-43</v>
      </c>
      <c r="AE18" s="440">
        <v>-36</v>
      </c>
      <c r="AF18" s="440">
        <v>-28</v>
      </c>
      <c r="AG18" s="440">
        <v>-21</v>
      </c>
      <c r="AH18" s="440">
        <v>-14</v>
      </c>
      <c r="AI18" s="440">
        <v>-7</v>
      </c>
      <c r="AJ18" s="249">
        <f t="shared" si="19"/>
        <v>-3.5</v>
      </c>
      <c r="AK18" s="248">
        <v>0</v>
      </c>
      <c r="AL18" s="439">
        <f t="shared" si="20"/>
        <v>3.5</v>
      </c>
      <c r="AM18" s="441">
        <v>7</v>
      </c>
      <c r="AN18" s="435">
        <v>11500</v>
      </c>
      <c r="AO18" s="440">
        <v>-66</v>
      </c>
      <c r="AP18" s="440">
        <v>-55</v>
      </c>
      <c r="AQ18" s="440">
        <v>-44</v>
      </c>
      <c r="AR18" s="440">
        <v>-33</v>
      </c>
      <c r="AS18" s="440">
        <v>-22</v>
      </c>
      <c r="AT18" s="440">
        <v>-11</v>
      </c>
      <c r="AU18" s="442">
        <f t="shared" si="2"/>
        <v>-5.5</v>
      </c>
      <c r="AV18" s="440">
        <v>0</v>
      </c>
      <c r="AW18" s="442">
        <f t="shared" si="21"/>
        <v>5.5</v>
      </c>
      <c r="AX18" s="441">
        <v>11</v>
      </c>
      <c r="AY18" s="435">
        <v>11500</v>
      </c>
      <c r="AZ18" s="440">
        <v>4</v>
      </c>
      <c r="BA18" s="440">
        <v>3</v>
      </c>
      <c r="BB18" s="440">
        <v>2</v>
      </c>
      <c r="BC18" s="440">
        <v>2</v>
      </c>
      <c r="BD18" s="440">
        <v>1</v>
      </c>
      <c r="BE18" s="440">
        <v>1</v>
      </c>
      <c r="BF18" s="442">
        <f t="shared" si="3"/>
        <v>0.5</v>
      </c>
      <c r="BG18" s="440">
        <v>0</v>
      </c>
      <c r="BH18" s="442">
        <f t="shared" si="22"/>
        <v>-0.5</v>
      </c>
      <c r="BI18" s="441">
        <v>-1</v>
      </c>
      <c r="BJ18" s="447">
        <v>11500</v>
      </c>
      <c r="BK18" s="440">
        <v>-31</v>
      </c>
      <c r="BL18" s="440">
        <v>-26</v>
      </c>
      <c r="BM18" s="440">
        <v>-21</v>
      </c>
      <c r="BN18" s="440">
        <v>-16</v>
      </c>
      <c r="BO18" s="440">
        <v>-10</v>
      </c>
      <c r="BP18" s="440">
        <v>-5</v>
      </c>
      <c r="BQ18" s="442">
        <f t="shared" si="4"/>
        <v>-2.5</v>
      </c>
      <c r="BR18" s="440">
        <v>0</v>
      </c>
      <c r="BS18" s="442">
        <f t="shared" si="23"/>
        <v>2.5</v>
      </c>
      <c r="BT18" s="440">
        <v>5</v>
      </c>
      <c r="BU18" s="435">
        <v>11500</v>
      </c>
      <c r="BV18" s="440">
        <v>1</v>
      </c>
      <c r="BW18" s="440">
        <v>1</v>
      </c>
      <c r="BX18" s="440">
        <v>1</v>
      </c>
      <c r="BY18" s="440">
        <v>1</v>
      </c>
      <c r="BZ18" s="440">
        <v>0</v>
      </c>
      <c r="CA18" s="440">
        <v>0</v>
      </c>
      <c r="CB18" s="442">
        <f t="shared" si="5"/>
        <v>0</v>
      </c>
      <c r="CC18" s="440">
        <v>0</v>
      </c>
      <c r="CD18" s="442">
        <f t="shared" si="24"/>
        <v>0</v>
      </c>
      <c r="CE18" s="441">
        <v>0</v>
      </c>
      <c r="CF18" s="435">
        <v>11500</v>
      </c>
      <c r="CG18" s="440">
        <v>-23</v>
      </c>
      <c r="CH18" s="440">
        <v>-19</v>
      </c>
      <c r="CI18" s="440">
        <v>-15</v>
      </c>
      <c r="CJ18" s="440">
        <v>-11</v>
      </c>
      <c r="CK18" s="440">
        <v>-8</v>
      </c>
      <c r="CL18" s="440">
        <v>-4</v>
      </c>
      <c r="CM18" s="442">
        <f t="shared" si="6"/>
        <v>-2</v>
      </c>
      <c r="CN18" s="440">
        <v>0</v>
      </c>
      <c r="CO18" s="442">
        <f t="shared" si="25"/>
        <v>2</v>
      </c>
      <c r="CP18" s="441">
        <v>4</v>
      </c>
      <c r="CQ18" s="435">
        <v>11500</v>
      </c>
      <c r="CR18" s="440">
        <v>1</v>
      </c>
      <c r="CS18" s="440">
        <v>1</v>
      </c>
      <c r="CT18" s="440">
        <v>1</v>
      </c>
      <c r="CU18" s="440">
        <v>1</v>
      </c>
      <c r="CV18" s="440">
        <v>0</v>
      </c>
      <c r="CW18" s="440">
        <v>0</v>
      </c>
      <c r="CX18" s="442">
        <f t="shared" si="7"/>
        <v>0</v>
      </c>
      <c r="CY18" s="440">
        <v>0</v>
      </c>
      <c r="CZ18" s="442">
        <f t="shared" si="26"/>
        <v>0</v>
      </c>
      <c r="DA18" s="441">
        <v>0</v>
      </c>
      <c r="DB18" s="435">
        <v>11500</v>
      </c>
      <c r="DC18" s="440">
        <v>-21</v>
      </c>
      <c r="DD18" s="440">
        <v>-17</v>
      </c>
      <c r="DE18" s="440">
        <v>-14</v>
      </c>
      <c r="DF18" s="440">
        <v>-10</v>
      </c>
      <c r="DG18" s="440">
        <v>-7</v>
      </c>
      <c r="DH18" s="440">
        <v>-3</v>
      </c>
      <c r="DI18" s="442">
        <f t="shared" si="8"/>
        <v>-1.5</v>
      </c>
      <c r="DJ18" s="440">
        <v>0</v>
      </c>
      <c r="DK18" s="442">
        <f t="shared" si="27"/>
        <v>1.5</v>
      </c>
      <c r="DL18" s="441">
        <v>3</v>
      </c>
      <c r="DM18" s="435">
        <v>11500</v>
      </c>
      <c r="DN18" s="440">
        <v>1</v>
      </c>
      <c r="DO18" s="440">
        <v>1</v>
      </c>
      <c r="DP18" s="440">
        <v>1</v>
      </c>
      <c r="DQ18" s="440">
        <v>1</v>
      </c>
      <c r="DR18" s="440">
        <v>0</v>
      </c>
      <c r="DS18" s="440">
        <v>0</v>
      </c>
      <c r="DT18" s="442">
        <f t="shared" si="9"/>
        <v>0</v>
      </c>
      <c r="DU18" s="440">
        <v>0</v>
      </c>
      <c r="DV18" s="442">
        <f t="shared" si="28"/>
        <v>0</v>
      </c>
      <c r="DW18" s="441">
        <v>0</v>
      </c>
      <c r="DX18" s="435">
        <v>11500</v>
      </c>
      <c r="DY18" s="440">
        <v>-24</v>
      </c>
      <c r="DZ18" s="440">
        <v>-20</v>
      </c>
      <c r="EA18" s="440">
        <v>-16</v>
      </c>
      <c r="EB18" s="440">
        <v>-12</v>
      </c>
      <c r="EC18" s="440">
        <v>-8</v>
      </c>
      <c r="ED18" s="440">
        <v>-4</v>
      </c>
      <c r="EE18" s="442">
        <f t="shared" si="10"/>
        <v>-2</v>
      </c>
      <c r="EF18" s="440">
        <v>0</v>
      </c>
      <c r="EG18" s="442">
        <f t="shared" si="29"/>
        <v>2</v>
      </c>
      <c r="EH18" s="440">
        <v>4</v>
      </c>
      <c r="EI18" s="435">
        <v>11500</v>
      </c>
      <c r="EJ18" s="440">
        <v>3</v>
      </c>
      <c r="EK18" s="440">
        <v>3</v>
      </c>
      <c r="EL18" s="440">
        <v>2</v>
      </c>
      <c r="EM18" s="440">
        <v>2</v>
      </c>
      <c r="EN18" s="440">
        <v>1</v>
      </c>
      <c r="EO18" s="440">
        <v>1</v>
      </c>
      <c r="EP18" s="442">
        <f t="shared" si="30"/>
        <v>0.5</v>
      </c>
      <c r="EQ18" s="440">
        <v>0</v>
      </c>
      <c r="ER18" s="442">
        <f t="shared" si="31"/>
        <v>-0.5</v>
      </c>
      <c r="ES18" s="441">
        <v>-1</v>
      </c>
      <c r="ET18" s="435">
        <v>11500</v>
      </c>
      <c r="EU18" s="440">
        <v>-22</v>
      </c>
      <c r="EV18" s="440">
        <v>-19</v>
      </c>
      <c r="EW18" s="440">
        <v>-15</v>
      </c>
      <c r="EX18" s="440">
        <v>-11</v>
      </c>
      <c r="EY18" s="440">
        <v>-7</v>
      </c>
      <c r="EZ18" s="440">
        <v>-4</v>
      </c>
      <c r="FA18" s="442">
        <f t="shared" si="32"/>
        <v>-2</v>
      </c>
      <c r="FB18" s="440">
        <v>0</v>
      </c>
      <c r="FC18" s="442">
        <f t="shared" si="33"/>
        <v>2</v>
      </c>
      <c r="FD18" s="440">
        <v>4</v>
      </c>
      <c r="FE18" s="435">
        <v>11500</v>
      </c>
      <c r="FF18" s="440">
        <v>11</v>
      </c>
      <c r="FG18" s="440">
        <v>10</v>
      </c>
      <c r="FH18" s="440">
        <v>8</v>
      </c>
      <c r="FI18" s="440">
        <v>6</v>
      </c>
      <c r="FJ18" s="440">
        <v>4</v>
      </c>
      <c r="FK18" s="440">
        <v>2</v>
      </c>
      <c r="FL18" s="442">
        <f t="shared" si="11"/>
        <v>1</v>
      </c>
      <c r="FM18" s="440">
        <v>0</v>
      </c>
      <c r="FN18" s="442">
        <f t="shared" si="34"/>
        <v>-1</v>
      </c>
      <c r="FO18" s="441">
        <v>-2</v>
      </c>
      <c r="FP18" s="435">
        <v>11500</v>
      </c>
      <c r="FQ18" s="440">
        <v>-12</v>
      </c>
      <c r="FR18" s="440">
        <v>-10</v>
      </c>
      <c r="FS18" s="440">
        <v>-8</v>
      </c>
      <c r="FT18" s="440">
        <v>-6</v>
      </c>
      <c r="FU18" s="440">
        <v>-4</v>
      </c>
      <c r="FV18" s="440">
        <v>-2</v>
      </c>
      <c r="FW18" s="442">
        <f t="shared" si="12"/>
        <v>-1</v>
      </c>
      <c r="FX18" s="440">
        <v>0</v>
      </c>
      <c r="FY18" s="442">
        <f t="shared" si="35"/>
        <v>1</v>
      </c>
      <c r="FZ18" s="440">
        <v>2</v>
      </c>
      <c r="GA18" s="435">
        <v>11500</v>
      </c>
      <c r="GB18" s="440">
        <v>-34</v>
      </c>
      <c r="GC18" s="440">
        <v>-28</v>
      </c>
      <c r="GD18" s="440">
        <v>-22</v>
      </c>
      <c r="GE18" s="440">
        <v>-17</v>
      </c>
      <c r="GF18" s="440">
        <v>-11</v>
      </c>
      <c r="GG18" s="440">
        <v>-6</v>
      </c>
      <c r="GH18" s="442">
        <f t="shared" si="13"/>
        <v>-3</v>
      </c>
      <c r="GI18" s="440">
        <v>0</v>
      </c>
      <c r="GJ18" s="442">
        <f t="shared" si="36"/>
        <v>3</v>
      </c>
      <c r="GK18" s="441">
        <v>6</v>
      </c>
      <c r="GL18" s="435">
        <v>11500</v>
      </c>
      <c r="GM18" s="440">
        <v>-33</v>
      </c>
      <c r="GN18" s="440">
        <v>-27</v>
      </c>
      <c r="GO18" s="440">
        <v>-22</v>
      </c>
      <c r="GP18" s="440">
        <v>-16</v>
      </c>
      <c r="GQ18" s="440">
        <v>-11</v>
      </c>
      <c r="GR18" s="440">
        <v>-5</v>
      </c>
      <c r="GS18" s="442">
        <f t="shared" si="14"/>
        <v>-2.5</v>
      </c>
      <c r="GT18" s="440">
        <v>0</v>
      </c>
      <c r="GU18" s="442">
        <f t="shared" si="37"/>
        <v>2.5</v>
      </c>
      <c r="GV18" s="441">
        <v>5</v>
      </c>
      <c r="GW18" s="241"/>
      <c r="GX18" s="242" t="s">
        <v>19</v>
      </c>
      <c r="GY18" s="243">
        <f>'[6]ULLAGE REP'!O34</f>
        <v>786.82921331598072</v>
      </c>
      <c r="GZ18" s="244">
        <f>'[6]ULLAGE REP'!D34</f>
        <v>1169.9921999999999</v>
      </c>
      <c r="HA18" s="245">
        <f>'[6]ULLAGE REP'!P34</f>
        <v>0.89825553006642511</v>
      </c>
      <c r="HB18" s="237"/>
      <c r="HC18" s="234"/>
      <c r="HD18" s="251"/>
      <c r="HE18" s="252"/>
      <c r="HL18" s="236"/>
    </row>
    <row r="19" spans="1:220" ht="15">
      <c r="A19" s="401" t="s">
        <v>196</v>
      </c>
      <c r="B19" s="273">
        <f>MASTER!F19</f>
        <v>0</v>
      </c>
      <c r="C19" s="402">
        <f t="shared" si="1"/>
        <v>0</v>
      </c>
      <c r="D19" s="403">
        <f>CEILING(GA2,1)</f>
        <v>0</v>
      </c>
      <c r="E19" s="403">
        <f t="shared" si="0"/>
        <v>0</v>
      </c>
      <c r="F19" s="404">
        <v>0</v>
      </c>
      <c r="G19" s="435">
        <v>11400</v>
      </c>
      <c r="H19" s="445">
        <v>26</v>
      </c>
      <c r="I19" s="249">
        <v>21</v>
      </c>
      <c r="J19" s="249">
        <v>17</v>
      </c>
      <c r="K19" s="249">
        <v>13</v>
      </c>
      <c r="L19" s="249">
        <v>9</v>
      </c>
      <c r="M19" s="249">
        <v>4</v>
      </c>
      <c r="N19" s="249">
        <f t="shared" si="15"/>
        <v>2</v>
      </c>
      <c r="O19" s="249">
        <v>0</v>
      </c>
      <c r="P19" s="249">
        <f t="shared" si="16"/>
        <v>-2</v>
      </c>
      <c r="Q19" s="446">
        <v>-4</v>
      </c>
      <c r="R19" s="435">
        <v>11400</v>
      </c>
      <c r="S19" s="248">
        <v>3</v>
      </c>
      <c r="T19" s="248">
        <v>2</v>
      </c>
      <c r="U19" s="248">
        <v>2</v>
      </c>
      <c r="V19" s="248">
        <v>1</v>
      </c>
      <c r="W19" s="248">
        <v>1</v>
      </c>
      <c r="X19" s="248">
        <v>0</v>
      </c>
      <c r="Y19" s="249">
        <f t="shared" si="17"/>
        <v>0</v>
      </c>
      <c r="Z19" s="248">
        <v>0</v>
      </c>
      <c r="AA19" s="439">
        <f t="shared" si="18"/>
        <v>-0.5</v>
      </c>
      <c r="AB19" s="248">
        <v>-1</v>
      </c>
      <c r="AC19" s="435">
        <v>11400</v>
      </c>
      <c r="AD19" s="440">
        <v>-43</v>
      </c>
      <c r="AE19" s="440">
        <v>-35</v>
      </c>
      <c r="AF19" s="440">
        <v>-28</v>
      </c>
      <c r="AG19" s="440">
        <v>-21</v>
      </c>
      <c r="AH19" s="440">
        <v>-14</v>
      </c>
      <c r="AI19" s="440">
        <v>-7</v>
      </c>
      <c r="AJ19" s="249">
        <f t="shared" si="19"/>
        <v>-3.5</v>
      </c>
      <c r="AK19" s="248">
        <v>0</v>
      </c>
      <c r="AL19" s="439">
        <f t="shared" si="20"/>
        <v>3.5</v>
      </c>
      <c r="AM19" s="441">
        <v>7</v>
      </c>
      <c r="AN19" s="435">
        <v>11400</v>
      </c>
      <c r="AO19" s="440">
        <v>-66</v>
      </c>
      <c r="AP19" s="440">
        <v>-55</v>
      </c>
      <c r="AQ19" s="440">
        <v>-44</v>
      </c>
      <c r="AR19" s="440">
        <v>-33</v>
      </c>
      <c r="AS19" s="440">
        <v>-22</v>
      </c>
      <c r="AT19" s="440">
        <v>-11</v>
      </c>
      <c r="AU19" s="442">
        <f t="shared" si="2"/>
        <v>-5.5</v>
      </c>
      <c r="AV19" s="440">
        <v>0</v>
      </c>
      <c r="AW19" s="442">
        <f t="shared" si="21"/>
        <v>5.5</v>
      </c>
      <c r="AX19" s="441">
        <v>11</v>
      </c>
      <c r="AY19" s="435">
        <v>11400</v>
      </c>
      <c r="AZ19" s="440">
        <v>4</v>
      </c>
      <c r="BA19" s="440">
        <v>3</v>
      </c>
      <c r="BB19" s="440">
        <v>2</v>
      </c>
      <c r="BC19" s="440">
        <v>2</v>
      </c>
      <c r="BD19" s="440">
        <v>1</v>
      </c>
      <c r="BE19" s="440">
        <v>1</v>
      </c>
      <c r="BF19" s="442">
        <f t="shared" si="3"/>
        <v>0.5</v>
      </c>
      <c r="BG19" s="440">
        <v>0</v>
      </c>
      <c r="BH19" s="442">
        <f t="shared" si="22"/>
        <v>-0.5</v>
      </c>
      <c r="BI19" s="441">
        <v>-1</v>
      </c>
      <c r="BJ19" s="447">
        <v>11400</v>
      </c>
      <c r="BK19" s="440">
        <v>-31</v>
      </c>
      <c r="BL19" s="440">
        <v>-26</v>
      </c>
      <c r="BM19" s="440">
        <v>-21</v>
      </c>
      <c r="BN19" s="440">
        <v>-16</v>
      </c>
      <c r="BO19" s="440">
        <v>-10</v>
      </c>
      <c r="BP19" s="440">
        <v>-5</v>
      </c>
      <c r="BQ19" s="442">
        <f t="shared" si="4"/>
        <v>-2.5</v>
      </c>
      <c r="BR19" s="440">
        <v>0</v>
      </c>
      <c r="BS19" s="442">
        <f t="shared" si="23"/>
        <v>2.5</v>
      </c>
      <c r="BT19" s="440">
        <v>5</v>
      </c>
      <c r="BU19" s="435">
        <v>11400</v>
      </c>
      <c r="BV19" s="440">
        <v>1</v>
      </c>
      <c r="BW19" s="440">
        <v>1</v>
      </c>
      <c r="BX19" s="440">
        <v>1</v>
      </c>
      <c r="BY19" s="440">
        <v>1</v>
      </c>
      <c r="BZ19" s="440">
        <v>0</v>
      </c>
      <c r="CA19" s="440">
        <v>0</v>
      </c>
      <c r="CB19" s="442">
        <f t="shared" si="5"/>
        <v>0</v>
      </c>
      <c r="CC19" s="440">
        <v>0</v>
      </c>
      <c r="CD19" s="442">
        <f t="shared" si="24"/>
        <v>0</v>
      </c>
      <c r="CE19" s="441">
        <v>0</v>
      </c>
      <c r="CF19" s="435">
        <v>11400</v>
      </c>
      <c r="CG19" s="440">
        <v>-23</v>
      </c>
      <c r="CH19" s="440">
        <v>-19</v>
      </c>
      <c r="CI19" s="440">
        <v>-15</v>
      </c>
      <c r="CJ19" s="440">
        <v>-11</v>
      </c>
      <c r="CK19" s="440">
        <v>-8</v>
      </c>
      <c r="CL19" s="440">
        <v>-4</v>
      </c>
      <c r="CM19" s="442">
        <f t="shared" si="6"/>
        <v>-2</v>
      </c>
      <c r="CN19" s="440">
        <v>0</v>
      </c>
      <c r="CO19" s="442">
        <f t="shared" si="25"/>
        <v>2</v>
      </c>
      <c r="CP19" s="441">
        <v>4</v>
      </c>
      <c r="CQ19" s="435">
        <v>11400</v>
      </c>
      <c r="CR19" s="440">
        <v>1</v>
      </c>
      <c r="CS19" s="440">
        <v>1</v>
      </c>
      <c r="CT19" s="440">
        <v>1</v>
      </c>
      <c r="CU19" s="440">
        <v>1</v>
      </c>
      <c r="CV19" s="440">
        <v>0</v>
      </c>
      <c r="CW19" s="440">
        <v>0</v>
      </c>
      <c r="CX19" s="442">
        <f t="shared" si="7"/>
        <v>0</v>
      </c>
      <c r="CY19" s="440">
        <v>0</v>
      </c>
      <c r="CZ19" s="442">
        <f t="shared" si="26"/>
        <v>0</v>
      </c>
      <c r="DA19" s="441">
        <v>0</v>
      </c>
      <c r="DB19" s="435">
        <v>11400</v>
      </c>
      <c r="DC19" s="440">
        <v>-21</v>
      </c>
      <c r="DD19" s="440">
        <v>-17</v>
      </c>
      <c r="DE19" s="440">
        <v>-14</v>
      </c>
      <c r="DF19" s="440">
        <v>-10</v>
      </c>
      <c r="DG19" s="440">
        <v>-7</v>
      </c>
      <c r="DH19" s="440">
        <v>-3</v>
      </c>
      <c r="DI19" s="442">
        <f t="shared" si="8"/>
        <v>-1.5</v>
      </c>
      <c r="DJ19" s="440">
        <v>0</v>
      </c>
      <c r="DK19" s="442">
        <f t="shared" si="27"/>
        <v>1.5</v>
      </c>
      <c r="DL19" s="441">
        <v>3</v>
      </c>
      <c r="DM19" s="435">
        <v>11400</v>
      </c>
      <c r="DN19" s="440">
        <v>1</v>
      </c>
      <c r="DO19" s="440">
        <v>1</v>
      </c>
      <c r="DP19" s="440">
        <v>1</v>
      </c>
      <c r="DQ19" s="440">
        <v>1</v>
      </c>
      <c r="DR19" s="440">
        <v>0</v>
      </c>
      <c r="DS19" s="440">
        <v>0</v>
      </c>
      <c r="DT19" s="442">
        <f t="shared" si="9"/>
        <v>0</v>
      </c>
      <c r="DU19" s="440">
        <v>0</v>
      </c>
      <c r="DV19" s="442">
        <f t="shared" si="28"/>
        <v>0</v>
      </c>
      <c r="DW19" s="441">
        <v>0</v>
      </c>
      <c r="DX19" s="435">
        <v>11400</v>
      </c>
      <c r="DY19" s="440">
        <v>-24</v>
      </c>
      <c r="DZ19" s="440">
        <v>-20</v>
      </c>
      <c r="EA19" s="440">
        <v>-16</v>
      </c>
      <c r="EB19" s="440">
        <v>-12</v>
      </c>
      <c r="EC19" s="440">
        <v>-8</v>
      </c>
      <c r="ED19" s="440">
        <v>-4</v>
      </c>
      <c r="EE19" s="442">
        <f t="shared" si="10"/>
        <v>-2</v>
      </c>
      <c r="EF19" s="440">
        <v>0</v>
      </c>
      <c r="EG19" s="442">
        <f t="shared" si="29"/>
        <v>2</v>
      </c>
      <c r="EH19" s="440">
        <v>4</v>
      </c>
      <c r="EI19" s="435">
        <v>11400</v>
      </c>
      <c r="EJ19" s="440">
        <v>3</v>
      </c>
      <c r="EK19" s="440">
        <v>3</v>
      </c>
      <c r="EL19" s="440">
        <v>2</v>
      </c>
      <c r="EM19" s="440">
        <v>2</v>
      </c>
      <c r="EN19" s="440">
        <v>1</v>
      </c>
      <c r="EO19" s="440">
        <v>1</v>
      </c>
      <c r="EP19" s="442">
        <f t="shared" si="30"/>
        <v>0.5</v>
      </c>
      <c r="EQ19" s="440">
        <v>0</v>
      </c>
      <c r="ER19" s="442">
        <f t="shared" si="31"/>
        <v>-0.5</v>
      </c>
      <c r="ES19" s="441">
        <v>-1</v>
      </c>
      <c r="ET19" s="435">
        <v>11400</v>
      </c>
      <c r="EU19" s="440">
        <v>-22</v>
      </c>
      <c r="EV19" s="440">
        <v>-19</v>
      </c>
      <c r="EW19" s="440">
        <v>-15</v>
      </c>
      <c r="EX19" s="440">
        <v>-11</v>
      </c>
      <c r="EY19" s="440">
        <v>-7</v>
      </c>
      <c r="EZ19" s="440">
        <v>-4</v>
      </c>
      <c r="FA19" s="442">
        <f t="shared" si="32"/>
        <v>-2</v>
      </c>
      <c r="FB19" s="440">
        <v>0</v>
      </c>
      <c r="FC19" s="442">
        <f t="shared" si="33"/>
        <v>2</v>
      </c>
      <c r="FD19" s="440">
        <v>4</v>
      </c>
      <c r="FE19" s="435">
        <v>11400</v>
      </c>
      <c r="FF19" s="440">
        <v>11</v>
      </c>
      <c r="FG19" s="440">
        <v>10</v>
      </c>
      <c r="FH19" s="440">
        <v>8</v>
      </c>
      <c r="FI19" s="440">
        <v>6</v>
      </c>
      <c r="FJ19" s="440">
        <v>4</v>
      </c>
      <c r="FK19" s="440">
        <v>2</v>
      </c>
      <c r="FL19" s="442">
        <f t="shared" si="11"/>
        <v>1</v>
      </c>
      <c r="FM19" s="440">
        <v>0</v>
      </c>
      <c r="FN19" s="442">
        <f t="shared" si="34"/>
        <v>-1</v>
      </c>
      <c r="FO19" s="441">
        <v>-2</v>
      </c>
      <c r="FP19" s="435">
        <v>11400</v>
      </c>
      <c r="FQ19" s="440">
        <v>-12</v>
      </c>
      <c r="FR19" s="440">
        <v>-10</v>
      </c>
      <c r="FS19" s="440">
        <v>-8</v>
      </c>
      <c r="FT19" s="440">
        <v>-6</v>
      </c>
      <c r="FU19" s="440">
        <v>-4</v>
      </c>
      <c r="FV19" s="440">
        <v>-2</v>
      </c>
      <c r="FW19" s="442">
        <f t="shared" si="12"/>
        <v>-1</v>
      </c>
      <c r="FX19" s="440">
        <v>0</v>
      </c>
      <c r="FY19" s="442">
        <f t="shared" si="35"/>
        <v>1</v>
      </c>
      <c r="FZ19" s="440">
        <v>2</v>
      </c>
      <c r="GA19" s="435">
        <v>11400</v>
      </c>
      <c r="GB19" s="440">
        <v>-34</v>
      </c>
      <c r="GC19" s="440">
        <v>-28</v>
      </c>
      <c r="GD19" s="440">
        <v>-22</v>
      </c>
      <c r="GE19" s="440">
        <v>-17</v>
      </c>
      <c r="GF19" s="440">
        <v>-11</v>
      </c>
      <c r="GG19" s="440">
        <v>-6</v>
      </c>
      <c r="GH19" s="442">
        <f t="shared" si="13"/>
        <v>-3</v>
      </c>
      <c r="GI19" s="440">
        <v>0</v>
      </c>
      <c r="GJ19" s="442">
        <f t="shared" si="36"/>
        <v>3</v>
      </c>
      <c r="GK19" s="441">
        <v>6</v>
      </c>
      <c r="GL19" s="435">
        <v>11400</v>
      </c>
      <c r="GM19" s="440">
        <v>-33</v>
      </c>
      <c r="GN19" s="440">
        <v>-27</v>
      </c>
      <c r="GO19" s="440">
        <v>-22</v>
      </c>
      <c r="GP19" s="440">
        <v>-16</v>
      </c>
      <c r="GQ19" s="440">
        <v>-11</v>
      </c>
      <c r="GR19" s="440">
        <v>-5</v>
      </c>
      <c r="GS19" s="442">
        <f t="shared" si="14"/>
        <v>-2.5</v>
      </c>
      <c r="GT19" s="440">
        <v>0</v>
      </c>
      <c r="GU19" s="442">
        <f t="shared" si="37"/>
        <v>2.5</v>
      </c>
      <c r="GV19" s="441">
        <v>5</v>
      </c>
      <c r="GW19" s="241"/>
      <c r="GX19" s="242" t="s">
        <v>188</v>
      </c>
      <c r="GY19" s="243">
        <f>'[6]ULLAGE REP'!O35</f>
        <v>277.22813988560466</v>
      </c>
      <c r="GZ19" s="244">
        <f>'[6]ULLAGE REP'!D35</f>
        <v>338.18939999999998</v>
      </c>
      <c r="HA19" s="245">
        <f>'[6]ULLAGE REP'!P35</f>
        <v>0.88498127664251336</v>
      </c>
      <c r="HB19" s="237"/>
      <c r="HC19" s="234"/>
      <c r="HD19" s="251"/>
      <c r="HE19" s="252"/>
      <c r="HG19" s="253"/>
      <c r="HH19" s="253"/>
      <c r="HL19" s="236"/>
    </row>
    <row r="20" spans="1:220" ht="15.4" thickBot="1">
      <c r="A20" s="401" t="s">
        <v>197</v>
      </c>
      <c r="B20" s="273">
        <f>MASTER!F20</f>
        <v>1780</v>
      </c>
      <c r="C20" s="402">
        <f t="shared" si="1"/>
        <v>1780</v>
      </c>
      <c r="D20" s="403">
        <f>CEILING(GL2,1)</f>
        <v>0</v>
      </c>
      <c r="E20" s="403">
        <f t="shared" si="0"/>
        <v>1780</v>
      </c>
      <c r="F20" s="404">
        <v>0</v>
      </c>
      <c r="G20" s="435">
        <v>11300</v>
      </c>
      <c r="H20" s="445">
        <v>26</v>
      </c>
      <c r="I20" s="249">
        <v>21</v>
      </c>
      <c r="J20" s="249">
        <v>17</v>
      </c>
      <c r="K20" s="249">
        <v>13</v>
      </c>
      <c r="L20" s="249">
        <v>9</v>
      </c>
      <c r="M20" s="249">
        <v>4</v>
      </c>
      <c r="N20" s="249">
        <f t="shared" si="15"/>
        <v>2</v>
      </c>
      <c r="O20" s="249">
        <v>0</v>
      </c>
      <c r="P20" s="249">
        <f t="shared" si="16"/>
        <v>-2</v>
      </c>
      <c r="Q20" s="446">
        <v>-4</v>
      </c>
      <c r="R20" s="435">
        <v>11300</v>
      </c>
      <c r="S20" s="248">
        <v>3</v>
      </c>
      <c r="T20" s="248">
        <v>2</v>
      </c>
      <c r="U20" s="248">
        <v>2</v>
      </c>
      <c r="V20" s="248">
        <v>1</v>
      </c>
      <c r="W20" s="248">
        <v>1</v>
      </c>
      <c r="X20" s="248">
        <v>0</v>
      </c>
      <c r="Y20" s="249">
        <f t="shared" si="17"/>
        <v>0</v>
      </c>
      <c r="Z20" s="248">
        <v>0</v>
      </c>
      <c r="AA20" s="439">
        <f t="shared" si="18"/>
        <v>-0.5</v>
      </c>
      <c r="AB20" s="248">
        <v>-1</v>
      </c>
      <c r="AC20" s="435">
        <v>11300</v>
      </c>
      <c r="AD20" s="440">
        <v>-43</v>
      </c>
      <c r="AE20" s="440">
        <v>-35</v>
      </c>
      <c r="AF20" s="440">
        <v>-28</v>
      </c>
      <c r="AG20" s="440">
        <v>-21</v>
      </c>
      <c r="AH20" s="440">
        <v>-14</v>
      </c>
      <c r="AI20" s="440">
        <v>-7</v>
      </c>
      <c r="AJ20" s="249">
        <f t="shared" si="19"/>
        <v>-3.5</v>
      </c>
      <c r="AK20" s="248">
        <v>0</v>
      </c>
      <c r="AL20" s="439">
        <f t="shared" si="20"/>
        <v>3.5</v>
      </c>
      <c r="AM20" s="441">
        <v>7</v>
      </c>
      <c r="AN20" s="435">
        <v>11300</v>
      </c>
      <c r="AO20" s="440">
        <v>-66</v>
      </c>
      <c r="AP20" s="440">
        <v>-55</v>
      </c>
      <c r="AQ20" s="440">
        <v>-44</v>
      </c>
      <c r="AR20" s="440">
        <v>-33</v>
      </c>
      <c r="AS20" s="440">
        <v>-22</v>
      </c>
      <c r="AT20" s="440">
        <v>-11</v>
      </c>
      <c r="AU20" s="442">
        <f t="shared" si="2"/>
        <v>-5.5</v>
      </c>
      <c r="AV20" s="440">
        <v>0</v>
      </c>
      <c r="AW20" s="442">
        <f t="shared" si="21"/>
        <v>5.5</v>
      </c>
      <c r="AX20" s="441">
        <v>11</v>
      </c>
      <c r="AY20" s="435">
        <v>11300</v>
      </c>
      <c r="AZ20" s="440">
        <v>4</v>
      </c>
      <c r="BA20" s="440">
        <v>3</v>
      </c>
      <c r="BB20" s="440">
        <v>2</v>
      </c>
      <c r="BC20" s="440">
        <v>2</v>
      </c>
      <c r="BD20" s="440">
        <v>1</v>
      </c>
      <c r="BE20" s="440">
        <v>1</v>
      </c>
      <c r="BF20" s="442">
        <f t="shared" si="3"/>
        <v>0.5</v>
      </c>
      <c r="BG20" s="440">
        <v>0</v>
      </c>
      <c r="BH20" s="442">
        <f t="shared" si="22"/>
        <v>-0.5</v>
      </c>
      <c r="BI20" s="441">
        <v>-1</v>
      </c>
      <c r="BJ20" s="447">
        <v>11300</v>
      </c>
      <c r="BK20" s="440">
        <v>-31</v>
      </c>
      <c r="BL20" s="440">
        <v>-26</v>
      </c>
      <c r="BM20" s="440">
        <v>-21</v>
      </c>
      <c r="BN20" s="440">
        <v>-16</v>
      </c>
      <c r="BO20" s="440">
        <v>-10</v>
      </c>
      <c r="BP20" s="440">
        <v>-5</v>
      </c>
      <c r="BQ20" s="442">
        <f t="shared" si="4"/>
        <v>-2.5</v>
      </c>
      <c r="BR20" s="440">
        <v>0</v>
      </c>
      <c r="BS20" s="442">
        <f t="shared" si="23"/>
        <v>2.5</v>
      </c>
      <c r="BT20" s="440">
        <v>5</v>
      </c>
      <c r="BU20" s="435">
        <v>11300</v>
      </c>
      <c r="BV20" s="440">
        <v>1</v>
      </c>
      <c r="BW20" s="440">
        <v>1</v>
      </c>
      <c r="BX20" s="440">
        <v>1</v>
      </c>
      <c r="BY20" s="440">
        <v>1</v>
      </c>
      <c r="BZ20" s="440">
        <v>0</v>
      </c>
      <c r="CA20" s="440">
        <v>0</v>
      </c>
      <c r="CB20" s="442">
        <f t="shared" si="5"/>
        <v>0</v>
      </c>
      <c r="CC20" s="440">
        <v>0</v>
      </c>
      <c r="CD20" s="442">
        <f t="shared" si="24"/>
        <v>0</v>
      </c>
      <c r="CE20" s="441">
        <v>0</v>
      </c>
      <c r="CF20" s="435">
        <v>11300</v>
      </c>
      <c r="CG20" s="440">
        <v>-23</v>
      </c>
      <c r="CH20" s="440">
        <v>-19</v>
      </c>
      <c r="CI20" s="440">
        <v>-15</v>
      </c>
      <c r="CJ20" s="440">
        <v>-11</v>
      </c>
      <c r="CK20" s="440">
        <v>-8</v>
      </c>
      <c r="CL20" s="440">
        <v>-4</v>
      </c>
      <c r="CM20" s="442">
        <f t="shared" si="6"/>
        <v>-2</v>
      </c>
      <c r="CN20" s="440">
        <v>0</v>
      </c>
      <c r="CO20" s="442">
        <f t="shared" si="25"/>
        <v>2</v>
      </c>
      <c r="CP20" s="441">
        <v>4</v>
      </c>
      <c r="CQ20" s="435">
        <v>11300</v>
      </c>
      <c r="CR20" s="440">
        <v>1</v>
      </c>
      <c r="CS20" s="440">
        <v>1</v>
      </c>
      <c r="CT20" s="440">
        <v>1</v>
      </c>
      <c r="CU20" s="440">
        <v>1</v>
      </c>
      <c r="CV20" s="440">
        <v>0</v>
      </c>
      <c r="CW20" s="440">
        <v>0</v>
      </c>
      <c r="CX20" s="442">
        <f t="shared" si="7"/>
        <v>0</v>
      </c>
      <c r="CY20" s="440">
        <v>0</v>
      </c>
      <c r="CZ20" s="442">
        <f t="shared" si="26"/>
        <v>0</v>
      </c>
      <c r="DA20" s="441">
        <v>0</v>
      </c>
      <c r="DB20" s="435">
        <v>11300</v>
      </c>
      <c r="DC20" s="440">
        <v>-21</v>
      </c>
      <c r="DD20" s="440">
        <v>-17</v>
      </c>
      <c r="DE20" s="440">
        <v>-14</v>
      </c>
      <c r="DF20" s="440">
        <v>-10</v>
      </c>
      <c r="DG20" s="440">
        <v>-7</v>
      </c>
      <c r="DH20" s="440">
        <v>-3</v>
      </c>
      <c r="DI20" s="442">
        <f t="shared" si="8"/>
        <v>-1.5</v>
      </c>
      <c r="DJ20" s="440">
        <v>0</v>
      </c>
      <c r="DK20" s="442">
        <f t="shared" si="27"/>
        <v>1.5</v>
      </c>
      <c r="DL20" s="441">
        <v>3</v>
      </c>
      <c r="DM20" s="435">
        <v>11300</v>
      </c>
      <c r="DN20" s="440">
        <v>1</v>
      </c>
      <c r="DO20" s="440">
        <v>1</v>
      </c>
      <c r="DP20" s="440">
        <v>1</v>
      </c>
      <c r="DQ20" s="440">
        <v>1</v>
      </c>
      <c r="DR20" s="440">
        <v>0</v>
      </c>
      <c r="DS20" s="440">
        <v>0</v>
      </c>
      <c r="DT20" s="442">
        <f t="shared" si="9"/>
        <v>0</v>
      </c>
      <c r="DU20" s="440">
        <v>0</v>
      </c>
      <c r="DV20" s="442">
        <f t="shared" si="28"/>
        <v>0</v>
      </c>
      <c r="DW20" s="441">
        <v>0</v>
      </c>
      <c r="DX20" s="435">
        <v>11300</v>
      </c>
      <c r="DY20" s="440">
        <v>-24</v>
      </c>
      <c r="DZ20" s="440">
        <v>-20</v>
      </c>
      <c r="EA20" s="440">
        <v>-16</v>
      </c>
      <c r="EB20" s="440">
        <v>-12</v>
      </c>
      <c r="EC20" s="440">
        <v>-8</v>
      </c>
      <c r="ED20" s="440">
        <v>-4</v>
      </c>
      <c r="EE20" s="442">
        <f t="shared" si="10"/>
        <v>-2</v>
      </c>
      <c r="EF20" s="440">
        <v>0</v>
      </c>
      <c r="EG20" s="442">
        <f t="shared" si="29"/>
        <v>2</v>
      </c>
      <c r="EH20" s="440">
        <v>4</v>
      </c>
      <c r="EI20" s="435">
        <v>11300</v>
      </c>
      <c r="EJ20" s="440">
        <v>3</v>
      </c>
      <c r="EK20" s="440">
        <v>3</v>
      </c>
      <c r="EL20" s="440">
        <v>2</v>
      </c>
      <c r="EM20" s="440">
        <v>2</v>
      </c>
      <c r="EN20" s="440">
        <v>1</v>
      </c>
      <c r="EO20" s="440">
        <v>1</v>
      </c>
      <c r="EP20" s="442">
        <f t="shared" si="30"/>
        <v>0.5</v>
      </c>
      <c r="EQ20" s="440">
        <v>0</v>
      </c>
      <c r="ER20" s="442">
        <f t="shared" si="31"/>
        <v>-0.5</v>
      </c>
      <c r="ES20" s="441">
        <v>-1</v>
      </c>
      <c r="ET20" s="435">
        <v>11300</v>
      </c>
      <c r="EU20" s="440">
        <v>-22</v>
      </c>
      <c r="EV20" s="440">
        <v>-19</v>
      </c>
      <c r="EW20" s="440">
        <v>-15</v>
      </c>
      <c r="EX20" s="440">
        <v>-11</v>
      </c>
      <c r="EY20" s="440">
        <v>-7</v>
      </c>
      <c r="EZ20" s="440">
        <v>-4</v>
      </c>
      <c r="FA20" s="442">
        <f t="shared" si="32"/>
        <v>-2</v>
      </c>
      <c r="FB20" s="440">
        <v>0</v>
      </c>
      <c r="FC20" s="442">
        <f t="shared" si="33"/>
        <v>2</v>
      </c>
      <c r="FD20" s="440">
        <v>4</v>
      </c>
      <c r="FE20" s="435">
        <v>11300</v>
      </c>
      <c r="FF20" s="440">
        <v>11</v>
      </c>
      <c r="FG20" s="440">
        <v>10</v>
      </c>
      <c r="FH20" s="440">
        <v>8</v>
      </c>
      <c r="FI20" s="440">
        <v>6</v>
      </c>
      <c r="FJ20" s="440">
        <v>4</v>
      </c>
      <c r="FK20" s="440">
        <v>2</v>
      </c>
      <c r="FL20" s="442">
        <f t="shared" si="11"/>
        <v>1</v>
      </c>
      <c r="FM20" s="440">
        <v>0</v>
      </c>
      <c r="FN20" s="442">
        <f t="shared" si="34"/>
        <v>-1</v>
      </c>
      <c r="FO20" s="441">
        <v>-2</v>
      </c>
      <c r="FP20" s="435">
        <v>11300</v>
      </c>
      <c r="FQ20" s="440">
        <v>-12</v>
      </c>
      <c r="FR20" s="440">
        <v>-10</v>
      </c>
      <c r="FS20" s="440">
        <v>-8</v>
      </c>
      <c r="FT20" s="440">
        <v>-6</v>
      </c>
      <c r="FU20" s="440">
        <v>-4</v>
      </c>
      <c r="FV20" s="440">
        <v>-2</v>
      </c>
      <c r="FW20" s="442">
        <f t="shared" si="12"/>
        <v>-1</v>
      </c>
      <c r="FX20" s="440">
        <v>0</v>
      </c>
      <c r="FY20" s="442">
        <f t="shared" si="35"/>
        <v>1</v>
      </c>
      <c r="FZ20" s="440">
        <v>2</v>
      </c>
      <c r="GA20" s="435">
        <v>11300</v>
      </c>
      <c r="GB20" s="440">
        <v>-34</v>
      </c>
      <c r="GC20" s="440">
        <v>-28</v>
      </c>
      <c r="GD20" s="440">
        <v>-22</v>
      </c>
      <c r="GE20" s="440">
        <v>-17</v>
      </c>
      <c r="GF20" s="440">
        <v>-11</v>
      </c>
      <c r="GG20" s="440">
        <v>-6</v>
      </c>
      <c r="GH20" s="442">
        <f t="shared" si="13"/>
        <v>-3</v>
      </c>
      <c r="GI20" s="440">
        <v>0</v>
      </c>
      <c r="GJ20" s="442">
        <f t="shared" si="36"/>
        <v>3</v>
      </c>
      <c r="GK20" s="441">
        <v>6</v>
      </c>
      <c r="GL20" s="435">
        <v>11300</v>
      </c>
      <c r="GM20" s="440">
        <v>-33</v>
      </c>
      <c r="GN20" s="440">
        <v>-27</v>
      </c>
      <c r="GO20" s="440">
        <v>-22</v>
      </c>
      <c r="GP20" s="440">
        <v>-16</v>
      </c>
      <c r="GQ20" s="440">
        <v>-11</v>
      </c>
      <c r="GR20" s="440">
        <v>-5</v>
      </c>
      <c r="GS20" s="442">
        <f t="shared" si="14"/>
        <v>-2.5</v>
      </c>
      <c r="GT20" s="440">
        <v>0</v>
      </c>
      <c r="GU20" s="442">
        <f t="shared" si="37"/>
        <v>2.5</v>
      </c>
      <c r="GV20" s="441">
        <v>5</v>
      </c>
      <c r="GW20" s="241"/>
      <c r="GX20" s="254" t="s">
        <v>189</v>
      </c>
      <c r="GY20" s="243">
        <f>'[6]ULLAGE REP'!O36</f>
        <v>289.21342738320061</v>
      </c>
      <c r="GZ20" s="244">
        <f>'[6]ULLAGE REP'!D36</f>
        <v>352.81020000000001</v>
      </c>
      <c r="HA20" s="255">
        <f>'[6]ULLAGE REP'!P36</f>
        <v>0.88514119701348748</v>
      </c>
      <c r="HB20" s="237"/>
      <c r="HC20" s="234"/>
      <c r="HD20" s="251"/>
      <c r="HE20" s="256"/>
      <c r="HG20" s="253"/>
      <c r="HL20" s="236"/>
    </row>
    <row r="21" spans="1:220" ht="15" thickTop="1" thickBot="1">
      <c r="A21" s="448" t="s">
        <v>27</v>
      </c>
      <c r="B21" s="274">
        <f>MASTER!$AA$17</f>
        <v>8.6</v>
      </c>
      <c r="F21" s="449"/>
      <c r="G21" s="435">
        <v>11200</v>
      </c>
      <c r="H21" s="445">
        <v>26</v>
      </c>
      <c r="I21" s="249">
        <v>22</v>
      </c>
      <c r="J21" s="249">
        <v>17</v>
      </c>
      <c r="K21" s="249">
        <v>13</v>
      </c>
      <c r="L21" s="249">
        <v>9</v>
      </c>
      <c r="M21" s="249">
        <v>4</v>
      </c>
      <c r="N21" s="249">
        <f t="shared" si="15"/>
        <v>2</v>
      </c>
      <c r="O21" s="249">
        <v>0</v>
      </c>
      <c r="P21" s="249">
        <f t="shared" si="16"/>
        <v>-2</v>
      </c>
      <c r="Q21" s="446">
        <v>-4</v>
      </c>
      <c r="R21" s="435">
        <v>11200</v>
      </c>
      <c r="S21" s="248">
        <v>3</v>
      </c>
      <c r="T21" s="248">
        <v>2</v>
      </c>
      <c r="U21" s="248">
        <v>2</v>
      </c>
      <c r="V21" s="248">
        <v>1</v>
      </c>
      <c r="W21" s="248">
        <v>1</v>
      </c>
      <c r="X21" s="248">
        <v>1</v>
      </c>
      <c r="Y21" s="249">
        <f t="shared" si="17"/>
        <v>0.5</v>
      </c>
      <c r="Z21" s="248">
        <v>0</v>
      </c>
      <c r="AA21" s="439">
        <f t="shared" si="18"/>
        <v>-0.5</v>
      </c>
      <c r="AB21" s="248">
        <v>-1</v>
      </c>
      <c r="AC21" s="435">
        <v>11200</v>
      </c>
      <c r="AD21" s="440">
        <v>-43</v>
      </c>
      <c r="AE21" s="440">
        <v>-35</v>
      </c>
      <c r="AF21" s="440">
        <v>-28</v>
      </c>
      <c r="AG21" s="440">
        <v>-21</v>
      </c>
      <c r="AH21" s="440">
        <v>-14</v>
      </c>
      <c r="AI21" s="440">
        <v>-7</v>
      </c>
      <c r="AJ21" s="249">
        <f t="shared" si="19"/>
        <v>-3.5</v>
      </c>
      <c r="AK21" s="248">
        <v>0</v>
      </c>
      <c r="AL21" s="439">
        <f t="shared" si="20"/>
        <v>3.5</v>
      </c>
      <c r="AM21" s="441">
        <v>7</v>
      </c>
      <c r="AN21" s="435">
        <v>11200</v>
      </c>
      <c r="AO21" s="440">
        <v>-66</v>
      </c>
      <c r="AP21" s="440">
        <v>-55</v>
      </c>
      <c r="AQ21" s="440">
        <v>-44</v>
      </c>
      <c r="AR21" s="440">
        <v>-33</v>
      </c>
      <c r="AS21" s="440">
        <v>-22</v>
      </c>
      <c r="AT21" s="440">
        <v>-11</v>
      </c>
      <c r="AU21" s="442">
        <f t="shared" si="2"/>
        <v>-5.5</v>
      </c>
      <c r="AV21" s="440">
        <v>0</v>
      </c>
      <c r="AW21" s="442">
        <f t="shared" si="21"/>
        <v>5.5</v>
      </c>
      <c r="AX21" s="441">
        <v>11</v>
      </c>
      <c r="AY21" s="435">
        <v>11200</v>
      </c>
      <c r="AZ21" s="440">
        <v>4</v>
      </c>
      <c r="BA21" s="440">
        <v>3</v>
      </c>
      <c r="BB21" s="440">
        <v>2</v>
      </c>
      <c r="BC21" s="440">
        <v>2</v>
      </c>
      <c r="BD21" s="440">
        <v>1</v>
      </c>
      <c r="BE21" s="440">
        <v>1</v>
      </c>
      <c r="BF21" s="442">
        <f t="shared" si="3"/>
        <v>0.5</v>
      </c>
      <c r="BG21" s="440">
        <v>0</v>
      </c>
      <c r="BH21" s="442">
        <f t="shared" si="22"/>
        <v>-0.5</v>
      </c>
      <c r="BI21" s="441">
        <v>-1</v>
      </c>
      <c r="BJ21" s="447">
        <v>11200</v>
      </c>
      <c r="BK21" s="440">
        <v>-31</v>
      </c>
      <c r="BL21" s="440">
        <v>-26</v>
      </c>
      <c r="BM21" s="440">
        <v>-21</v>
      </c>
      <c r="BN21" s="440">
        <v>-16</v>
      </c>
      <c r="BO21" s="440">
        <v>-10</v>
      </c>
      <c r="BP21" s="440">
        <v>-5</v>
      </c>
      <c r="BQ21" s="442">
        <f t="shared" si="4"/>
        <v>-2.5</v>
      </c>
      <c r="BR21" s="440">
        <v>0</v>
      </c>
      <c r="BS21" s="442">
        <f t="shared" si="23"/>
        <v>2.5</v>
      </c>
      <c r="BT21" s="440">
        <v>5</v>
      </c>
      <c r="BU21" s="435">
        <v>11200</v>
      </c>
      <c r="BV21" s="440">
        <v>1</v>
      </c>
      <c r="BW21" s="440">
        <v>1</v>
      </c>
      <c r="BX21" s="440">
        <v>1</v>
      </c>
      <c r="BY21" s="440">
        <v>1</v>
      </c>
      <c r="BZ21" s="440">
        <v>0</v>
      </c>
      <c r="CA21" s="440">
        <v>0</v>
      </c>
      <c r="CB21" s="442">
        <f t="shared" si="5"/>
        <v>0</v>
      </c>
      <c r="CC21" s="440">
        <v>0</v>
      </c>
      <c r="CD21" s="442">
        <f t="shared" si="24"/>
        <v>0</v>
      </c>
      <c r="CE21" s="441">
        <v>0</v>
      </c>
      <c r="CF21" s="435">
        <v>11200</v>
      </c>
      <c r="CG21" s="440">
        <v>-23</v>
      </c>
      <c r="CH21" s="440">
        <v>-19</v>
      </c>
      <c r="CI21" s="440">
        <v>-15</v>
      </c>
      <c r="CJ21" s="440">
        <v>-11</v>
      </c>
      <c r="CK21" s="440">
        <v>-8</v>
      </c>
      <c r="CL21" s="440">
        <v>-4</v>
      </c>
      <c r="CM21" s="442">
        <f t="shared" si="6"/>
        <v>-2</v>
      </c>
      <c r="CN21" s="440">
        <v>0</v>
      </c>
      <c r="CO21" s="442">
        <f t="shared" si="25"/>
        <v>2</v>
      </c>
      <c r="CP21" s="441">
        <v>4</v>
      </c>
      <c r="CQ21" s="435">
        <v>11200</v>
      </c>
      <c r="CR21" s="440">
        <v>1</v>
      </c>
      <c r="CS21" s="440">
        <v>1</v>
      </c>
      <c r="CT21" s="440">
        <v>1</v>
      </c>
      <c r="CU21" s="440">
        <v>1</v>
      </c>
      <c r="CV21" s="440">
        <v>0</v>
      </c>
      <c r="CW21" s="440">
        <v>0</v>
      </c>
      <c r="CX21" s="442">
        <f t="shared" si="7"/>
        <v>0</v>
      </c>
      <c r="CY21" s="440">
        <v>0</v>
      </c>
      <c r="CZ21" s="442">
        <f t="shared" si="26"/>
        <v>0</v>
      </c>
      <c r="DA21" s="441">
        <v>0</v>
      </c>
      <c r="DB21" s="435">
        <v>11200</v>
      </c>
      <c r="DC21" s="440">
        <v>-21</v>
      </c>
      <c r="DD21" s="440">
        <v>-17</v>
      </c>
      <c r="DE21" s="440">
        <v>-14</v>
      </c>
      <c r="DF21" s="440">
        <v>-10</v>
      </c>
      <c r="DG21" s="440">
        <v>-7</v>
      </c>
      <c r="DH21" s="440">
        <v>-3</v>
      </c>
      <c r="DI21" s="442">
        <f t="shared" si="8"/>
        <v>-1.5</v>
      </c>
      <c r="DJ21" s="440">
        <v>0</v>
      </c>
      <c r="DK21" s="442">
        <f t="shared" si="27"/>
        <v>1.5</v>
      </c>
      <c r="DL21" s="441">
        <v>3</v>
      </c>
      <c r="DM21" s="435">
        <v>11200</v>
      </c>
      <c r="DN21" s="440">
        <v>1</v>
      </c>
      <c r="DO21" s="440">
        <v>1</v>
      </c>
      <c r="DP21" s="440">
        <v>1</v>
      </c>
      <c r="DQ21" s="440">
        <v>1</v>
      </c>
      <c r="DR21" s="440">
        <v>0</v>
      </c>
      <c r="DS21" s="440">
        <v>0</v>
      </c>
      <c r="DT21" s="442">
        <f t="shared" si="9"/>
        <v>0</v>
      </c>
      <c r="DU21" s="440">
        <v>0</v>
      </c>
      <c r="DV21" s="442">
        <f t="shared" si="28"/>
        <v>0</v>
      </c>
      <c r="DW21" s="441">
        <v>0</v>
      </c>
      <c r="DX21" s="435">
        <v>11200</v>
      </c>
      <c r="DY21" s="440">
        <v>-24</v>
      </c>
      <c r="DZ21" s="440">
        <v>-20</v>
      </c>
      <c r="EA21" s="440">
        <v>-16</v>
      </c>
      <c r="EB21" s="440">
        <v>-12</v>
      </c>
      <c r="EC21" s="440">
        <v>-8</v>
      </c>
      <c r="ED21" s="440">
        <v>-4</v>
      </c>
      <c r="EE21" s="442">
        <f t="shared" si="10"/>
        <v>-2</v>
      </c>
      <c r="EF21" s="440">
        <v>0</v>
      </c>
      <c r="EG21" s="442">
        <f t="shared" si="29"/>
        <v>2</v>
      </c>
      <c r="EH21" s="440">
        <v>4</v>
      </c>
      <c r="EI21" s="435">
        <v>11200</v>
      </c>
      <c r="EJ21" s="440">
        <v>3</v>
      </c>
      <c r="EK21" s="440">
        <v>3</v>
      </c>
      <c r="EL21" s="440">
        <v>2</v>
      </c>
      <c r="EM21" s="440">
        <v>2</v>
      </c>
      <c r="EN21" s="440">
        <v>1</v>
      </c>
      <c r="EO21" s="440">
        <v>1</v>
      </c>
      <c r="EP21" s="442">
        <f t="shared" si="30"/>
        <v>0.5</v>
      </c>
      <c r="EQ21" s="440">
        <v>0</v>
      </c>
      <c r="ER21" s="442">
        <f t="shared" si="31"/>
        <v>-0.5</v>
      </c>
      <c r="ES21" s="441">
        <v>-1</v>
      </c>
      <c r="ET21" s="435">
        <v>11200</v>
      </c>
      <c r="EU21" s="440">
        <v>-22</v>
      </c>
      <c r="EV21" s="440">
        <v>-19</v>
      </c>
      <c r="EW21" s="440">
        <v>-15</v>
      </c>
      <c r="EX21" s="440">
        <v>-11</v>
      </c>
      <c r="EY21" s="440">
        <v>-7</v>
      </c>
      <c r="EZ21" s="440">
        <v>-4</v>
      </c>
      <c r="FA21" s="442">
        <f t="shared" si="32"/>
        <v>-2</v>
      </c>
      <c r="FB21" s="440">
        <v>0</v>
      </c>
      <c r="FC21" s="442">
        <f t="shared" si="33"/>
        <v>2</v>
      </c>
      <c r="FD21" s="440">
        <v>4</v>
      </c>
      <c r="FE21" s="435">
        <v>11200</v>
      </c>
      <c r="FF21" s="440">
        <v>11</v>
      </c>
      <c r="FG21" s="440">
        <v>10</v>
      </c>
      <c r="FH21" s="440">
        <v>8</v>
      </c>
      <c r="FI21" s="440">
        <v>6</v>
      </c>
      <c r="FJ21" s="440">
        <v>4</v>
      </c>
      <c r="FK21" s="440">
        <v>2</v>
      </c>
      <c r="FL21" s="442">
        <f t="shared" si="11"/>
        <v>1</v>
      </c>
      <c r="FM21" s="440">
        <v>0</v>
      </c>
      <c r="FN21" s="442">
        <f t="shared" si="34"/>
        <v>-0.5</v>
      </c>
      <c r="FO21" s="441">
        <v>-1</v>
      </c>
      <c r="FP21" s="435">
        <v>11200</v>
      </c>
      <c r="FQ21" s="440">
        <v>-12</v>
      </c>
      <c r="FR21" s="440">
        <v>-10</v>
      </c>
      <c r="FS21" s="440">
        <v>-8</v>
      </c>
      <c r="FT21" s="440">
        <v>-6</v>
      </c>
      <c r="FU21" s="440">
        <v>-4</v>
      </c>
      <c r="FV21" s="440">
        <v>-2</v>
      </c>
      <c r="FW21" s="442">
        <f t="shared" si="12"/>
        <v>-1</v>
      </c>
      <c r="FX21" s="440">
        <v>0</v>
      </c>
      <c r="FY21" s="442">
        <f t="shared" si="35"/>
        <v>1</v>
      </c>
      <c r="FZ21" s="440">
        <v>2</v>
      </c>
      <c r="GA21" s="435">
        <v>11200</v>
      </c>
      <c r="GB21" s="440">
        <v>-34</v>
      </c>
      <c r="GC21" s="440">
        <v>-28</v>
      </c>
      <c r="GD21" s="440">
        <v>-22</v>
      </c>
      <c r="GE21" s="440">
        <v>-17</v>
      </c>
      <c r="GF21" s="440">
        <v>-11</v>
      </c>
      <c r="GG21" s="440">
        <v>-6</v>
      </c>
      <c r="GH21" s="442">
        <f t="shared" si="13"/>
        <v>-3</v>
      </c>
      <c r="GI21" s="440">
        <v>0</v>
      </c>
      <c r="GJ21" s="442">
        <f t="shared" si="36"/>
        <v>3</v>
      </c>
      <c r="GK21" s="441">
        <v>6</v>
      </c>
      <c r="GL21" s="435">
        <v>11200</v>
      </c>
      <c r="GM21" s="440">
        <v>-33</v>
      </c>
      <c r="GN21" s="440">
        <v>-27</v>
      </c>
      <c r="GO21" s="440">
        <v>-22</v>
      </c>
      <c r="GP21" s="440">
        <v>-16</v>
      </c>
      <c r="GQ21" s="440">
        <v>-11</v>
      </c>
      <c r="GR21" s="440">
        <v>-5</v>
      </c>
      <c r="GS21" s="442">
        <f t="shared" si="14"/>
        <v>-2.5</v>
      </c>
      <c r="GT21" s="440">
        <v>0</v>
      </c>
      <c r="GU21" s="442">
        <f t="shared" si="37"/>
        <v>2.5</v>
      </c>
      <c r="GV21" s="441">
        <v>5</v>
      </c>
      <c r="GX21" s="257">
        <f>'[6]LİMAN BİLGİLERİ'!C37</f>
        <v>0.82509999999999994</v>
      </c>
      <c r="GY21" s="258">
        <f>SUM(GY3:GY20)</f>
        <v>16090.986503417835</v>
      </c>
      <c r="GZ21" s="259">
        <f>SUM(GZ3:GZ20)</f>
        <v>19839.466999999997</v>
      </c>
      <c r="HA21" s="260"/>
      <c r="HB21" s="234"/>
      <c r="HC21" s="235"/>
      <c r="HG21" s="253"/>
    </row>
    <row r="22" spans="1:220" ht="14.65" thickTop="1">
      <c r="A22" s="448" t="s">
        <v>28</v>
      </c>
      <c r="B22" s="274">
        <f>MASTER!$Y$17</f>
        <v>8.6</v>
      </c>
      <c r="G22" s="435">
        <v>11100</v>
      </c>
      <c r="H22" s="445">
        <v>27</v>
      </c>
      <c r="I22" s="249">
        <v>23</v>
      </c>
      <c r="J22" s="249">
        <v>18</v>
      </c>
      <c r="K22" s="249">
        <v>13</v>
      </c>
      <c r="L22" s="249">
        <v>9</v>
      </c>
      <c r="M22" s="249">
        <v>4</v>
      </c>
      <c r="N22" s="249">
        <f t="shared" si="15"/>
        <v>2</v>
      </c>
      <c r="O22" s="249">
        <v>0</v>
      </c>
      <c r="P22" s="249">
        <f t="shared" si="16"/>
        <v>-2</v>
      </c>
      <c r="Q22" s="446">
        <v>-4</v>
      </c>
      <c r="R22" s="435">
        <v>11100</v>
      </c>
      <c r="S22" s="248">
        <v>4</v>
      </c>
      <c r="T22" s="248">
        <v>3</v>
      </c>
      <c r="U22" s="248">
        <v>3</v>
      </c>
      <c r="V22" s="248">
        <v>2</v>
      </c>
      <c r="W22" s="248">
        <v>1</v>
      </c>
      <c r="X22" s="248">
        <v>1</v>
      </c>
      <c r="Y22" s="249">
        <f t="shared" si="17"/>
        <v>0.5</v>
      </c>
      <c r="Z22" s="248">
        <v>0</v>
      </c>
      <c r="AA22" s="439">
        <f t="shared" si="18"/>
        <v>-0.5</v>
      </c>
      <c r="AB22" s="248">
        <v>-1</v>
      </c>
      <c r="AC22" s="435">
        <v>11100</v>
      </c>
      <c r="AD22" s="440">
        <v>-42</v>
      </c>
      <c r="AE22" s="440">
        <v>-35</v>
      </c>
      <c r="AF22" s="440">
        <v>-28</v>
      </c>
      <c r="AG22" s="440">
        <v>-21</v>
      </c>
      <c r="AH22" s="440">
        <v>-14</v>
      </c>
      <c r="AI22" s="440">
        <v>-7</v>
      </c>
      <c r="AJ22" s="249">
        <f t="shared" si="19"/>
        <v>-3.5</v>
      </c>
      <c r="AK22" s="248">
        <v>0</v>
      </c>
      <c r="AL22" s="439">
        <f t="shared" si="20"/>
        <v>3.5</v>
      </c>
      <c r="AM22" s="441">
        <v>7</v>
      </c>
      <c r="AN22" s="435">
        <v>11100</v>
      </c>
      <c r="AO22" s="440">
        <v>-65</v>
      </c>
      <c r="AP22" s="440">
        <v>-54</v>
      </c>
      <c r="AQ22" s="440">
        <v>-44</v>
      </c>
      <c r="AR22" s="440">
        <v>-33</v>
      </c>
      <c r="AS22" s="440">
        <v>-22</v>
      </c>
      <c r="AT22" s="440">
        <v>-11</v>
      </c>
      <c r="AU22" s="442">
        <f t="shared" si="2"/>
        <v>-5.5</v>
      </c>
      <c r="AV22" s="440">
        <v>0</v>
      </c>
      <c r="AW22" s="442">
        <f t="shared" si="21"/>
        <v>5.5</v>
      </c>
      <c r="AX22" s="441">
        <v>11</v>
      </c>
      <c r="AY22" s="435">
        <v>11100</v>
      </c>
      <c r="AZ22" s="440">
        <v>4</v>
      </c>
      <c r="BA22" s="440">
        <v>3</v>
      </c>
      <c r="BB22" s="440">
        <v>2</v>
      </c>
      <c r="BC22" s="440">
        <v>2</v>
      </c>
      <c r="BD22" s="440">
        <v>1</v>
      </c>
      <c r="BE22" s="440">
        <v>1</v>
      </c>
      <c r="BF22" s="442">
        <f t="shared" si="3"/>
        <v>0.5</v>
      </c>
      <c r="BG22" s="440">
        <v>0</v>
      </c>
      <c r="BH22" s="442">
        <f t="shared" si="22"/>
        <v>-0.5</v>
      </c>
      <c r="BI22" s="441">
        <v>-1</v>
      </c>
      <c r="BJ22" s="447">
        <v>11100</v>
      </c>
      <c r="BK22" s="440">
        <v>-31</v>
      </c>
      <c r="BL22" s="440">
        <v>-26</v>
      </c>
      <c r="BM22" s="440">
        <v>-21</v>
      </c>
      <c r="BN22" s="440">
        <v>-16</v>
      </c>
      <c r="BO22" s="440">
        <v>-10</v>
      </c>
      <c r="BP22" s="440">
        <v>-5</v>
      </c>
      <c r="BQ22" s="442">
        <f t="shared" si="4"/>
        <v>-2.5</v>
      </c>
      <c r="BR22" s="440">
        <v>0</v>
      </c>
      <c r="BS22" s="442">
        <f t="shared" si="23"/>
        <v>2.5</v>
      </c>
      <c r="BT22" s="440">
        <v>5</v>
      </c>
      <c r="BU22" s="435">
        <v>11100</v>
      </c>
      <c r="BV22" s="440">
        <v>1</v>
      </c>
      <c r="BW22" s="440">
        <v>1</v>
      </c>
      <c r="BX22" s="440">
        <v>1</v>
      </c>
      <c r="BY22" s="440">
        <v>1</v>
      </c>
      <c r="BZ22" s="440">
        <v>0</v>
      </c>
      <c r="CA22" s="440">
        <v>0</v>
      </c>
      <c r="CB22" s="442">
        <f t="shared" si="5"/>
        <v>0</v>
      </c>
      <c r="CC22" s="440">
        <v>0</v>
      </c>
      <c r="CD22" s="442">
        <f t="shared" si="24"/>
        <v>0</v>
      </c>
      <c r="CE22" s="441">
        <v>0</v>
      </c>
      <c r="CF22" s="435">
        <v>11100</v>
      </c>
      <c r="CG22" s="440">
        <v>-23</v>
      </c>
      <c r="CH22" s="440">
        <v>-19</v>
      </c>
      <c r="CI22" s="440">
        <v>-15</v>
      </c>
      <c r="CJ22" s="440">
        <v>-11</v>
      </c>
      <c r="CK22" s="440">
        <v>-8</v>
      </c>
      <c r="CL22" s="440">
        <v>-4</v>
      </c>
      <c r="CM22" s="442">
        <f t="shared" si="6"/>
        <v>-2</v>
      </c>
      <c r="CN22" s="440">
        <v>0</v>
      </c>
      <c r="CO22" s="442">
        <f t="shared" si="25"/>
        <v>2</v>
      </c>
      <c r="CP22" s="441">
        <v>4</v>
      </c>
      <c r="CQ22" s="435">
        <v>11100</v>
      </c>
      <c r="CR22" s="440">
        <v>1</v>
      </c>
      <c r="CS22" s="440">
        <v>1</v>
      </c>
      <c r="CT22" s="440">
        <v>1</v>
      </c>
      <c r="CU22" s="440">
        <v>1</v>
      </c>
      <c r="CV22" s="440">
        <v>0</v>
      </c>
      <c r="CW22" s="440">
        <v>0</v>
      </c>
      <c r="CX22" s="442">
        <f t="shared" si="7"/>
        <v>0</v>
      </c>
      <c r="CY22" s="440">
        <v>0</v>
      </c>
      <c r="CZ22" s="442">
        <f t="shared" si="26"/>
        <v>0</v>
      </c>
      <c r="DA22" s="441">
        <v>0</v>
      </c>
      <c r="DB22" s="435">
        <v>11100</v>
      </c>
      <c r="DC22" s="440">
        <v>-21</v>
      </c>
      <c r="DD22" s="440">
        <v>-17</v>
      </c>
      <c r="DE22" s="440">
        <v>-14</v>
      </c>
      <c r="DF22" s="440">
        <v>-10</v>
      </c>
      <c r="DG22" s="440">
        <v>-7</v>
      </c>
      <c r="DH22" s="440">
        <v>-3</v>
      </c>
      <c r="DI22" s="442">
        <f t="shared" si="8"/>
        <v>-1.5</v>
      </c>
      <c r="DJ22" s="440">
        <v>0</v>
      </c>
      <c r="DK22" s="442">
        <f t="shared" si="27"/>
        <v>1.5</v>
      </c>
      <c r="DL22" s="441">
        <v>3</v>
      </c>
      <c r="DM22" s="435">
        <v>11100</v>
      </c>
      <c r="DN22" s="440">
        <v>1</v>
      </c>
      <c r="DO22" s="440">
        <v>1</v>
      </c>
      <c r="DP22" s="440">
        <v>1</v>
      </c>
      <c r="DQ22" s="440">
        <v>1</v>
      </c>
      <c r="DR22" s="440">
        <v>0</v>
      </c>
      <c r="DS22" s="440">
        <v>0</v>
      </c>
      <c r="DT22" s="442">
        <f t="shared" si="9"/>
        <v>0</v>
      </c>
      <c r="DU22" s="440">
        <v>0</v>
      </c>
      <c r="DV22" s="442">
        <f t="shared" si="28"/>
        <v>0</v>
      </c>
      <c r="DW22" s="441">
        <v>0</v>
      </c>
      <c r="DX22" s="435">
        <v>11100</v>
      </c>
      <c r="DY22" s="440">
        <v>-24</v>
      </c>
      <c r="DZ22" s="440">
        <v>-20</v>
      </c>
      <c r="EA22" s="440">
        <v>-16</v>
      </c>
      <c r="EB22" s="440">
        <v>-12</v>
      </c>
      <c r="EC22" s="440">
        <v>-8</v>
      </c>
      <c r="ED22" s="440">
        <v>-4</v>
      </c>
      <c r="EE22" s="442">
        <f t="shared" si="10"/>
        <v>-2</v>
      </c>
      <c r="EF22" s="440">
        <v>0</v>
      </c>
      <c r="EG22" s="442">
        <f t="shared" si="29"/>
        <v>2</v>
      </c>
      <c r="EH22" s="440">
        <v>4</v>
      </c>
      <c r="EI22" s="435">
        <v>11100</v>
      </c>
      <c r="EJ22" s="440">
        <v>3</v>
      </c>
      <c r="EK22" s="440">
        <v>3</v>
      </c>
      <c r="EL22" s="440">
        <v>2</v>
      </c>
      <c r="EM22" s="440">
        <v>2</v>
      </c>
      <c r="EN22" s="440">
        <v>1</v>
      </c>
      <c r="EO22" s="440">
        <v>1</v>
      </c>
      <c r="EP22" s="442">
        <f t="shared" si="30"/>
        <v>0.5</v>
      </c>
      <c r="EQ22" s="440">
        <v>0</v>
      </c>
      <c r="ER22" s="442">
        <f t="shared" si="31"/>
        <v>-0.5</v>
      </c>
      <c r="ES22" s="441">
        <v>-1</v>
      </c>
      <c r="ET22" s="435">
        <v>11100</v>
      </c>
      <c r="EU22" s="440">
        <v>-22</v>
      </c>
      <c r="EV22" s="440">
        <v>-19</v>
      </c>
      <c r="EW22" s="440">
        <v>-15</v>
      </c>
      <c r="EX22" s="440">
        <v>-11</v>
      </c>
      <c r="EY22" s="440">
        <v>-7</v>
      </c>
      <c r="EZ22" s="440">
        <v>-4</v>
      </c>
      <c r="FA22" s="442">
        <f t="shared" si="32"/>
        <v>-2</v>
      </c>
      <c r="FB22" s="440">
        <v>0</v>
      </c>
      <c r="FC22" s="442">
        <f t="shared" si="33"/>
        <v>2</v>
      </c>
      <c r="FD22" s="440">
        <v>4</v>
      </c>
      <c r="FE22" s="435">
        <v>11100</v>
      </c>
      <c r="FF22" s="440">
        <v>12</v>
      </c>
      <c r="FG22" s="440">
        <v>10</v>
      </c>
      <c r="FH22" s="440">
        <v>9</v>
      </c>
      <c r="FI22" s="440">
        <v>7</v>
      </c>
      <c r="FJ22" s="440">
        <v>5</v>
      </c>
      <c r="FK22" s="440">
        <v>2</v>
      </c>
      <c r="FL22" s="442">
        <f t="shared" si="11"/>
        <v>1</v>
      </c>
      <c r="FM22" s="440">
        <v>0</v>
      </c>
      <c r="FN22" s="442">
        <f t="shared" si="34"/>
        <v>-0.5</v>
      </c>
      <c r="FO22" s="441">
        <v>-1</v>
      </c>
      <c r="FP22" s="435">
        <v>11100</v>
      </c>
      <c r="FQ22" s="440">
        <v>-12</v>
      </c>
      <c r="FR22" s="440">
        <v>-10</v>
      </c>
      <c r="FS22" s="440">
        <v>-8</v>
      </c>
      <c r="FT22" s="440">
        <v>-6</v>
      </c>
      <c r="FU22" s="440">
        <v>-4</v>
      </c>
      <c r="FV22" s="440">
        <v>-2</v>
      </c>
      <c r="FW22" s="442">
        <f t="shared" si="12"/>
        <v>-1</v>
      </c>
      <c r="FX22" s="440">
        <v>0</v>
      </c>
      <c r="FY22" s="442">
        <f t="shared" si="35"/>
        <v>1</v>
      </c>
      <c r="FZ22" s="440">
        <v>2</v>
      </c>
      <c r="GA22" s="435">
        <v>11100</v>
      </c>
      <c r="GB22" s="440">
        <v>-34</v>
      </c>
      <c r="GC22" s="440">
        <v>-28</v>
      </c>
      <c r="GD22" s="440">
        <v>-22</v>
      </c>
      <c r="GE22" s="440">
        <v>-17</v>
      </c>
      <c r="GF22" s="440">
        <v>-11</v>
      </c>
      <c r="GG22" s="440">
        <v>-6</v>
      </c>
      <c r="GH22" s="442">
        <f t="shared" si="13"/>
        <v>-3</v>
      </c>
      <c r="GI22" s="440">
        <v>0</v>
      </c>
      <c r="GJ22" s="442">
        <f t="shared" si="36"/>
        <v>3</v>
      </c>
      <c r="GK22" s="441">
        <v>6</v>
      </c>
      <c r="GL22" s="435">
        <v>11100</v>
      </c>
      <c r="GM22" s="440">
        <v>-33</v>
      </c>
      <c r="GN22" s="440">
        <v>-27</v>
      </c>
      <c r="GO22" s="440">
        <v>-22</v>
      </c>
      <c r="GP22" s="440">
        <v>-16</v>
      </c>
      <c r="GQ22" s="440">
        <v>-11</v>
      </c>
      <c r="GR22" s="440">
        <v>-5</v>
      </c>
      <c r="GS22" s="442">
        <f t="shared" si="14"/>
        <v>-2.5</v>
      </c>
      <c r="GT22" s="440">
        <v>0</v>
      </c>
      <c r="GU22" s="442">
        <f t="shared" si="37"/>
        <v>2.5</v>
      </c>
      <c r="GV22" s="441">
        <v>5</v>
      </c>
      <c r="GX22" s="261"/>
      <c r="GY22" s="234"/>
      <c r="GZ22" s="262"/>
      <c r="HA22" s="237"/>
      <c r="HB22" s="234"/>
      <c r="HC22" s="235"/>
      <c r="HG22" s="253"/>
    </row>
    <row r="23" spans="1:220" ht="15">
      <c r="A23" s="401" t="s">
        <v>198</v>
      </c>
      <c r="B23" s="275">
        <f>B21-B22</f>
        <v>0</v>
      </c>
      <c r="G23" s="435">
        <v>11000</v>
      </c>
      <c r="H23" s="445">
        <v>27</v>
      </c>
      <c r="I23" s="249">
        <v>23</v>
      </c>
      <c r="J23" s="249">
        <v>18</v>
      </c>
      <c r="K23" s="249">
        <v>14</v>
      </c>
      <c r="L23" s="249">
        <v>10</v>
      </c>
      <c r="M23" s="249">
        <v>5</v>
      </c>
      <c r="N23" s="249">
        <f t="shared" si="15"/>
        <v>2.5</v>
      </c>
      <c r="O23" s="249">
        <v>0</v>
      </c>
      <c r="P23" s="249">
        <f t="shared" si="16"/>
        <v>-2.5</v>
      </c>
      <c r="Q23" s="446">
        <v>-5</v>
      </c>
      <c r="R23" s="435">
        <v>11000</v>
      </c>
      <c r="S23" s="248">
        <v>4</v>
      </c>
      <c r="T23" s="248">
        <v>4</v>
      </c>
      <c r="U23" s="248">
        <v>3</v>
      </c>
      <c r="V23" s="248">
        <v>2</v>
      </c>
      <c r="W23" s="248">
        <v>2</v>
      </c>
      <c r="X23" s="248">
        <v>1</v>
      </c>
      <c r="Y23" s="249">
        <f t="shared" si="17"/>
        <v>0.5</v>
      </c>
      <c r="Z23" s="248">
        <v>0</v>
      </c>
      <c r="AA23" s="439">
        <f t="shared" si="18"/>
        <v>-0.5</v>
      </c>
      <c r="AB23" s="248">
        <v>-1</v>
      </c>
      <c r="AC23" s="435">
        <v>11000</v>
      </c>
      <c r="AD23" s="440">
        <v>-42</v>
      </c>
      <c r="AE23" s="440">
        <v>-34</v>
      </c>
      <c r="AF23" s="440">
        <v>-27</v>
      </c>
      <c r="AG23" s="440">
        <v>-20</v>
      </c>
      <c r="AH23" s="440">
        <v>-13</v>
      </c>
      <c r="AI23" s="440">
        <v>-7</v>
      </c>
      <c r="AJ23" s="249">
        <f t="shared" si="19"/>
        <v>-3.5</v>
      </c>
      <c r="AK23" s="248">
        <v>0</v>
      </c>
      <c r="AL23" s="439">
        <f t="shared" si="20"/>
        <v>3.5</v>
      </c>
      <c r="AM23" s="441">
        <v>7</v>
      </c>
      <c r="AN23" s="435">
        <v>11000</v>
      </c>
      <c r="AO23" s="440">
        <v>-65</v>
      </c>
      <c r="AP23" s="440">
        <v>-54</v>
      </c>
      <c r="AQ23" s="440">
        <v>-43</v>
      </c>
      <c r="AR23" s="440">
        <v>-32</v>
      </c>
      <c r="AS23" s="440">
        <v>-21</v>
      </c>
      <c r="AT23" s="440">
        <v>-11</v>
      </c>
      <c r="AU23" s="442">
        <f t="shared" si="2"/>
        <v>-5.5</v>
      </c>
      <c r="AV23" s="440">
        <v>0</v>
      </c>
      <c r="AW23" s="442">
        <f t="shared" si="21"/>
        <v>5.5</v>
      </c>
      <c r="AX23" s="441">
        <v>11</v>
      </c>
      <c r="AY23" s="435">
        <v>11000</v>
      </c>
      <c r="AZ23" s="440">
        <v>4</v>
      </c>
      <c r="BA23" s="440">
        <v>3</v>
      </c>
      <c r="BB23" s="440">
        <v>2</v>
      </c>
      <c r="BC23" s="440">
        <v>2</v>
      </c>
      <c r="BD23" s="440">
        <v>1</v>
      </c>
      <c r="BE23" s="440">
        <v>1</v>
      </c>
      <c r="BF23" s="442">
        <f t="shared" si="3"/>
        <v>0.5</v>
      </c>
      <c r="BG23" s="440">
        <v>0</v>
      </c>
      <c r="BH23" s="442">
        <f t="shared" si="22"/>
        <v>-0.5</v>
      </c>
      <c r="BI23" s="441">
        <v>-1</v>
      </c>
      <c r="BJ23" s="447">
        <v>11000</v>
      </c>
      <c r="BK23" s="440">
        <v>-31</v>
      </c>
      <c r="BL23" s="440">
        <v>-26</v>
      </c>
      <c r="BM23" s="440">
        <v>-21</v>
      </c>
      <c r="BN23" s="440">
        <v>-16</v>
      </c>
      <c r="BO23" s="440">
        <v>-10</v>
      </c>
      <c r="BP23" s="440">
        <v>-5</v>
      </c>
      <c r="BQ23" s="442">
        <f t="shared" si="4"/>
        <v>-2.5</v>
      </c>
      <c r="BR23" s="440">
        <v>0</v>
      </c>
      <c r="BS23" s="442">
        <f t="shared" si="23"/>
        <v>2.5</v>
      </c>
      <c r="BT23" s="440">
        <v>5</v>
      </c>
      <c r="BU23" s="435">
        <v>11000</v>
      </c>
      <c r="BV23" s="440">
        <v>1</v>
      </c>
      <c r="BW23" s="440">
        <v>1</v>
      </c>
      <c r="BX23" s="440">
        <v>1</v>
      </c>
      <c r="BY23" s="440">
        <v>1</v>
      </c>
      <c r="BZ23" s="440">
        <v>0</v>
      </c>
      <c r="CA23" s="440">
        <v>0</v>
      </c>
      <c r="CB23" s="442">
        <f t="shared" si="5"/>
        <v>0</v>
      </c>
      <c r="CC23" s="440">
        <v>0</v>
      </c>
      <c r="CD23" s="442">
        <f t="shared" si="24"/>
        <v>0</v>
      </c>
      <c r="CE23" s="441">
        <v>0</v>
      </c>
      <c r="CF23" s="435">
        <v>11000</v>
      </c>
      <c r="CG23" s="440">
        <v>-23</v>
      </c>
      <c r="CH23" s="440">
        <v>-19</v>
      </c>
      <c r="CI23" s="440">
        <v>-15</v>
      </c>
      <c r="CJ23" s="440">
        <v>-11</v>
      </c>
      <c r="CK23" s="440">
        <v>-8</v>
      </c>
      <c r="CL23" s="440">
        <v>-4</v>
      </c>
      <c r="CM23" s="442">
        <f t="shared" si="6"/>
        <v>-2</v>
      </c>
      <c r="CN23" s="440">
        <v>0</v>
      </c>
      <c r="CO23" s="442">
        <f t="shared" si="25"/>
        <v>2</v>
      </c>
      <c r="CP23" s="441">
        <v>4</v>
      </c>
      <c r="CQ23" s="435">
        <v>11000</v>
      </c>
      <c r="CR23" s="440">
        <v>1</v>
      </c>
      <c r="CS23" s="440">
        <v>1</v>
      </c>
      <c r="CT23" s="440">
        <v>1</v>
      </c>
      <c r="CU23" s="440">
        <v>1</v>
      </c>
      <c r="CV23" s="440">
        <v>0</v>
      </c>
      <c r="CW23" s="440">
        <v>0</v>
      </c>
      <c r="CX23" s="442">
        <f t="shared" si="7"/>
        <v>0</v>
      </c>
      <c r="CY23" s="440">
        <v>0</v>
      </c>
      <c r="CZ23" s="442">
        <f t="shared" si="26"/>
        <v>0</v>
      </c>
      <c r="DA23" s="441">
        <v>0</v>
      </c>
      <c r="DB23" s="435">
        <v>11000</v>
      </c>
      <c r="DC23" s="440">
        <v>-21</v>
      </c>
      <c r="DD23" s="440">
        <v>-17</v>
      </c>
      <c r="DE23" s="440">
        <v>-14</v>
      </c>
      <c r="DF23" s="440">
        <v>-10</v>
      </c>
      <c r="DG23" s="440">
        <v>-7</v>
      </c>
      <c r="DH23" s="440">
        <v>-3</v>
      </c>
      <c r="DI23" s="442">
        <f t="shared" si="8"/>
        <v>-1.5</v>
      </c>
      <c r="DJ23" s="440">
        <v>0</v>
      </c>
      <c r="DK23" s="442">
        <f t="shared" si="27"/>
        <v>1.5</v>
      </c>
      <c r="DL23" s="441">
        <v>3</v>
      </c>
      <c r="DM23" s="435">
        <v>11000</v>
      </c>
      <c r="DN23" s="440">
        <v>1</v>
      </c>
      <c r="DO23" s="440">
        <v>1</v>
      </c>
      <c r="DP23" s="440">
        <v>1</v>
      </c>
      <c r="DQ23" s="440">
        <v>1</v>
      </c>
      <c r="DR23" s="440">
        <v>0</v>
      </c>
      <c r="DS23" s="440">
        <v>0</v>
      </c>
      <c r="DT23" s="442">
        <f t="shared" si="9"/>
        <v>0</v>
      </c>
      <c r="DU23" s="440">
        <v>0</v>
      </c>
      <c r="DV23" s="442">
        <f t="shared" si="28"/>
        <v>0</v>
      </c>
      <c r="DW23" s="441">
        <v>0</v>
      </c>
      <c r="DX23" s="435">
        <v>11000</v>
      </c>
      <c r="DY23" s="440">
        <v>-24</v>
      </c>
      <c r="DZ23" s="440">
        <v>-20</v>
      </c>
      <c r="EA23" s="440">
        <v>-16</v>
      </c>
      <c r="EB23" s="440">
        <v>-12</v>
      </c>
      <c r="EC23" s="440">
        <v>-8</v>
      </c>
      <c r="ED23" s="440">
        <v>-4</v>
      </c>
      <c r="EE23" s="442">
        <f t="shared" si="10"/>
        <v>-2</v>
      </c>
      <c r="EF23" s="440">
        <v>0</v>
      </c>
      <c r="EG23" s="442">
        <f t="shared" si="29"/>
        <v>2</v>
      </c>
      <c r="EH23" s="440">
        <v>4</v>
      </c>
      <c r="EI23" s="435">
        <v>11000</v>
      </c>
      <c r="EJ23" s="440">
        <v>3</v>
      </c>
      <c r="EK23" s="440">
        <v>3</v>
      </c>
      <c r="EL23" s="440">
        <v>2</v>
      </c>
      <c r="EM23" s="440">
        <v>2</v>
      </c>
      <c r="EN23" s="440">
        <v>1</v>
      </c>
      <c r="EO23" s="440">
        <v>1</v>
      </c>
      <c r="EP23" s="442">
        <f t="shared" si="30"/>
        <v>0.5</v>
      </c>
      <c r="EQ23" s="440">
        <v>0</v>
      </c>
      <c r="ER23" s="442">
        <f t="shared" si="31"/>
        <v>-0.5</v>
      </c>
      <c r="ES23" s="441">
        <v>-1</v>
      </c>
      <c r="ET23" s="435">
        <v>11000</v>
      </c>
      <c r="EU23" s="440">
        <v>-22</v>
      </c>
      <c r="EV23" s="440">
        <v>-19</v>
      </c>
      <c r="EW23" s="440">
        <v>-15</v>
      </c>
      <c r="EX23" s="440">
        <v>-11</v>
      </c>
      <c r="EY23" s="440">
        <v>-7</v>
      </c>
      <c r="EZ23" s="440">
        <v>-4</v>
      </c>
      <c r="FA23" s="442">
        <f t="shared" si="32"/>
        <v>-2</v>
      </c>
      <c r="FB23" s="440">
        <v>0</v>
      </c>
      <c r="FC23" s="442">
        <f t="shared" si="33"/>
        <v>2</v>
      </c>
      <c r="FD23" s="440">
        <v>4</v>
      </c>
      <c r="FE23" s="435">
        <v>11000</v>
      </c>
      <c r="FF23" s="440">
        <v>12</v>
      </c>
      <c r="FG23" s="440">
        <v>11</v>
      </c>
      <c r="FH23" s="440">
        <v>9</v>
      </c>
      <c r="FI23" s="440">
        <v>7</v>
      </c>
      <c r="FJ23" s="440">
        <v>5</v>
      </c>
      <c r="FK23" s="440">
        <v>1</v>
      </c>
      <c r="FL23" s="442">
        <f t="shared" si="11"/>
        <v>0.5</v>
      </c>
      <c r="FM23" s="440">
        <v>0</v>
      </c>
      <c r="FN23" s="442">
        <f t="shared" si="34"/>
        <v>0</v>
      </c>
      <c r="FO23" s="441">
        <v>0</v>
      </c>
      <c r="FP23" s="435">
        <v>11000</v>
      </c>
      <c r="FQ23" s="440">
        <v>-12</v>
      </c>
      <c r="FR23" s="440">
        <v>-10</v>
      </c>
      <c r="FS23" s="440">
        <v>-9</v>
      </c>
      <c r="FT23" s="440">
        <v>-6</v>
      </c>
      <c r="FU23" s="440">
        <v>-4</v>
      </c>
      <c r="FV23" s="440">
        <v>-3</v>
      </c>
      <c r="FW23" s="442">
        <f t="shared" si="12"/>
        <v>-1.5</v>
      </c>
      <c r="FX23" s="440">
        <v>0</v>
      </c>
      <c r="FY23" s="442">
        <f t="shared" si="35"/>
        <v>1</v>
      </c>
      <c r="FZ23" s="440">
        <v>2</v>
      </c>
      <c r="GA23" s="435">
        <v>11000</v>
      </c>
      <c r="GB23" s="440">
        <v>-34</v>
      </c>
      <c r="GC23" s="440">
        <v>-29</v>
      </c>
      <c r="GD23" s="440">
        <v>-23</v>
      </c>
      <c r="GE23" s="440">
        <v>-17</v>
      </c>
      <c r="GF23" s="440">
        <v>-11</v>
      </c>
      <c r="GG23" s="440">
        <v>-6</v>
      </c>
      <c r="GH23" s="442">
        <f t="shared" si="13"/>
        <v>-3</v>
      </c>
      <c r="GI23" s="440">
        <v>0</v>
      </c>
      <c r="GJ23" s="442">
        <f t="shared" si="36"/>
        <v>3</v>
      </c>
      <c r="GK23" s="441">
        <v>6</v>
      </c>
      <c r="GL23" s="435">
        <v>11000</v>
      </c>
      <c r="GM23" s="440">
        <v>-33</v>
      </c>
      <c r="GN23" s="440">
        <v>-28</v>
      </c>
      <c r="GO23" s="440">
        <v>-22</v>
      </c>
      <c r="GP23" s="440">
        <v>-17</v>
      </c>
      <c r="GQ23" s="440">
        <v>-11</v>
      </c>
      <c r="GR23" s="440">
        <v>-6</v>
      </c>
      <c r="GS23" s="442">
        <f t="shared" si="14"/>
        <v>-3</v>
      </c>
      <c r="GT23" s="440">
        <v>0</v>
      </c>
      <c r="GU23" s="442">
        <f t="shared" si="37"/>
        <v>3</v>
      </c>
      <c r="GV23" s="441">
        <v>6</v>
      </c>
      <c r="GX23" s="237"/>
      <c r="GY23" s="234"/>
      <c r="GZ23" s="262"/>
      <c r="HA23" s="237"/>
      <c r="HB23" s="234"/>
      <c r="HC23" s="235"/>
      <c r="HD23" s="253"/>
      <c r="HG23" s="253"/>
    </row>
    <row r="24" spans="1:220">
      <c r="G24" s="435">
        <v>10900</v>
      </c>
      <c r="H24" s="445">
        <v>28</v>
      </c>
      <c r="I24" s="249">
        <v>24</v>
      </c>
      <c r="J24" s="249">
        <v>19</v>
      </c>
      <c r="K24" s="249">
        <v>14</v>
      </c>
      <c r="L24" s="249">
        <v>10</v>
      </c>
      <c r="M24" s="249">
        <v>5</v>
      </c>
      <c r="N24" s="249">
        <f t="shared" si="15"/>
        <v>2.5</v>
      </c>
      <c r="O24" s="249">
        <v>0</v>
      </c>
      <c r="P24" s="249">
        <f t="shared" si="16"/>
        <v>-2.5</v>
      </c>
      <c r="Q24" s="446">
        <v>-5</v>
      </c>
      <c r="R24" s="435">
        <v>10900</v>
      </c>
      <c r="S24" s="248">
        <v>5</v>
      </c>
      <c r="T24" s="248">
        <v>5</v>
      </c>
      <c r="U24" s="248">
        <v>4</v>
      </c>
      <c r="V24" s="248">
        <v>3</v>
      </c>
      <c r="W24" s="248">
        <v>2</v>
      </c>
      <c r="X24" s="248">
        <v>1</v>
      </c>
      <c r="Y24" s="249">
        <f t="shared" si="17"/>
        <v>0.5</v>
      </c>
      <c r="Z24" s="248">
        <v>0</v>
      </c>
      <c r="AA24" s="439">
        <f t="shared" si="18"/>
        <v>-0.5</v>
      </c>
      <c r="AB24" s="248">
        <v>-1</v>
      </c>
      <c r="AC24" s="435">
        <v>10900</v>
      </c>
      <c r="AD24" s="440">
        <v>-41</v>
      </c>
      <c r="AE24" s="440">
        <v>-34</v>
      </c>
      <c r="AF24" s="440">
        <v>-27</v>
      </c>
      <c r="AG24" s="440">
        <v>-20</v>
      </c>
      <c r="AH24" s="440">
        <v>-13</v>
      </c>
      <c r="AI24" s="440">
        <v>-7</v>
      </c>
      <c r="AJ24" s="249">
        <f t="shared" si="19"/>
        <v>-3.5</v>
      </c>
      <c r="AK24" s="248">
        <v>0</v>
      </c>
      <c r="AL24" s="439">
        <f t="shared" si="20"/>
        <v>3.5</v>
      </c>
      <c r="AM24" s="441">
        <v>7</v>
      </c>
      <c r="AN24" s="435">
        <v>10900</v>
      </c>
      <c r="AO24" s="440">
        <v>-64</v>
      </c>
      <c r="AP24" s="440">
        <v>-53</v>
      </c>
      <c r="AQ24" s="440">
        <v>-43</v>
      </c>
      <c r="AR24" s="440">
        <v>-32</v>
      </c>
      <c r="AS24" s="440">
        <v>-21</v>
      </c>
      <c r="AT24" s="440">
        <v>-11</v>
      </c>
      <c r="AU24" s="442">
        <f t="shared" si="2"/>
        <v>-5.5</v>
      </c>
      <c r="AV24" s="440">
        <v>0</v>
      </c>
      <c r="AW24" s="442">
        <f t="shared" si="21"/>
        <v>5.5</v>
      </c>
      <c r="AX24" s="441">
        <v>11</v>
      </c>
      <c r="AY24" s="435">
        <v>10900</v>
      </c>
      <c r="AZ24" s="440">
        <v>4</v>
      </c>
      <c r="BA24" s="440">
        <v>3</v>
      </c>
      <c r="BB24" s="440">
        <v>2</v>
      </c>
      <c r="BC24" s="440">
        <v>2</v>
      </c>
      <c r="BD24" s="440">
        <v>1</v>
      </c>
      <c r="BE24" s="440">
        <v>1</v>
      </c>
      <c r="BF24" s="442">
        <f t="shared" si="3"/>
        <v>0.5</v>
      </c>
      <c r="BG24" s="440">
        <v>0</v>
      </c>
      <c r="BH24" s="442">
        <f t="shared" si="22"/>
        <v>-0.5</v>
      </c>
      <c r="BI24" s="441">
        <v>-1</v>
      </c>
      <c r="BJ24" s="447">
        <v>10900</v>
      </c>
      <c r="BK24" s="440">
        <v>-31</v>
      </c>
      <c r="BL24" s="440">
        <v>-26</v>
      </c>
      <c r="BM24" s="440">
        <v>-21</v>
      </c>
      <c r="BN24" s="440">
        <v>-16</v>
      </c>
      <c r="BO24" s="440">
        <v>-10</v>
      </c>
      <c r="BP24" s="440">
        <v>-5</v>
      </c>
      <c r="BQ24" s="442">
        <f t="shared" si="4"/>
        <v>-2.5</v>
      </c>
      <c r="BR24" s="440">
        <v>0</v>
      </c>
      <c r="BS24" s="442">
        <f t="shared" si="23"/>
        <v>2.5</v>
      </c>
      <c r="BT24" s="440">
        <v>5</v>
      </c>
      <c r="BU24" s="435">
        <v>10900</v>
      </c>
      <c r="BV24" s="440">
        <v>1</v>
      </c>
      <c r="BW24" s="440">
        <v>1</v>
      </c>
      <c r="BX24" s="440">
        <v>1</v>
      </c>
      <c r="BY24" s="440">
        <v>1</v>
      </c>
      <c r="BZ24" s="440">
        <v>0</v>
      </c>
      <c r="CA24" s="440">
        <v>0</v>
      </c>
      <c r="CB24" s="442">
        <f t="shared" si="5"/>
        <v>0</v>
      </c>
      <c r="CC24" s="440">
        <v>0</v>
      </c>
      <c r="CD24" s="442">
        <f t="shared" si="24"/>
        <v>0</v>
      </c>
      <c r="CE24" s="441">
        <v>0</v>
      </c>
      <c r="CF24" s="435">
        <v>10900</v>
      </c>
      <c r="CG24" s="440">
        <v>-23</v>
      </c>
      <c r="CH24" s="440">
        <v>-19</v>
      </c>
      <c r="CI24" s="440">
        <v>-15</v>
      </c>
      <c r="CJ24" s="440">
        <v>-11</v>
      </c>
      <c r="CK24" s="440">
        <v>-8</v>
      </c>
      <c r="CL24" s="440">
        <v>-4</v>
      </c>
      <c r="CM24" s="442">
        <f t="shared" si="6"/>
        <v>-2</v>
      </c>
      <c r="CN24" s="440">
        <v>0</v>
      </c>
      <c r="CO24" s="442">
        <f t="shared" si="25"/>
        <v>2</v>
      </c>
      <c r="CP24" s="441">
        <v>4</v>
      </c>
      <c r="CQ24" s="435">
        <v>10900</v>
      </c>
      <c r="CR24" s="440">
        <v>1</v>
      </c>
      <c r="CS24" s="440">
        <v>1</v>
      </c>
      <c r="CT24" s="440">
        <v>1</v>
      </c>
      <c r="CU24" s="440">
        <v>1</v>
      </c>
      <c r="CV24" s="440">
        <v>0</v>
      </c>
      <c r="CW24" s="440">
        <v>0</v>
      </c>
      <c r="CX24" s="442">
        <f t="shared" si="7"/>
        <v>0</v>
      </c>
      <c r="CY24" s="440">
        <v>0</v>
      </c>
      <c r="CZ24" s="442">
        <f t="shared" si="26"/>
        <v>0</v>
      </c>
      <c r="DA24" s="441">
        <v>0</v>
      </c>
      <c r="DB24" s="435">
        <v>10900</v>
      </c>
      <c r="DC24" s="440">
        <v>-21</v>
      </c>
      <c r="DD24" s="440">
        <v>-17</v>
      </c>
      <c r="DE24" s="440">
        <v>-14</v>
      </c>
      <c r="DF24" s="440">
        <v>-10</v>
      </c>
      <c r="DG24" s="440">
        <v>-7</v>
      </c>
      <c r="DH24" s="440">
        <v>-3</v>
      </c>
      <c r="DI24" s="442">
        <f t="shared" si="8"/>
        <v>-1.5</v>
      </c>
      <c r="DJ24" s="440">
        <v>0</v>
      </c>
      <c r="DK24" s="442">
        <f t="shared" si="27"/>
        <v>1.5</v>
      </c>
      <c r="DL24" s="441">
        <v>3</v>
      </c>
      <c r="DM24" s="435">
        <v>10900</v>
      </c>
      <c r="DN24" s="440">
        <v>1</v>
      </c>
      <c r="DO24" s="440">
        <v>1</v>
      </c>
      <c r="DP24" s="440">
        <v>1</v>
      </c>
      <c r="DQ24" s="440">
        <v>1</v>
      </c>
      <c r="DR24" s="440">
        <v>0</v>
      </c>
      <c r="DS24" s="440">
        <v>0</v>
      </c>
      <c r="DT24" s="442">
        <f t="shared" si="9"/>
        <v>0</v>
      </c>
      <c r="DU24" s="440">
        <v>0</v>
      </c>
      <c r="DV24" s="442">
        <f t="shared" si="28"/>
        <v>0</v>
      </c>
      <c r="DW24" s="441">
        <v>0</v>
      </c>
      <c r="DX24" s="435">
        <v>10900</v>
      </c>
      <c r="DY24" s="440">
        <v>-24</v>
      </c>
      <c r="DZ24" s="440">
        <v>-20</v>
      </c>
      <c r="EA24" s="440">
        <v>-16</v>
      </c>
      <c r="EB24" s="440">
        <v>-12</v>
      </c>
      <c r="EC24" s="440">
        <v>-8</v>
      </c>
      <c r="ED24" s="440">
        <v>-4</v>
      </c>
      <c r="EE24" s="442">
        <f t="shared" si="10"/>
        <v>-2</v>
      </c>
      <c r="EF24" s="440">
        <v>0</v>
      </c>
      <c r="EG24" s="442">
        <f t="shared" si="29"/>
        <v>2</v>
      </c>
      <c r="EH24" s="440">
        <v>4</v>
      </c>
      <c r="EI24" s="435">
        <v>10900</v>
      </c>
      <c r="EJ24" s="440">
        <v>3</v>
      </c>
      <c r="EK24" s="440">
        <v>3</v>
      </c>
      <c r="EL24" s="440">
        <v>2</v>
      </c>
      <c r="EM24" s="440">
        <v>2</v>
      </c>
      <c r="EN24" s="440">
        <v>1</v>
      </c>
      <c r="EO24" s="440">
        <v>1</v>
      </c>
      <c r="EP24" s="442">
        <f t="shared" si="30"/>
        <v>0.5</v>
      </c>
      <c r="EQ24" s="440">
        <v>0</v>
      </c>
      <c r="ER24" s="442">
        <f t="shared" si="31"/>
        <v>-0.5</v>
      </c>
      <c r="ES24" s="441">
        <v>-1</v>
      </c>
      <c r="ET24" s="435">
        <v>10900</v>
      </c>
      <c r="EU24" s="440">
        <v>-22</v>
      </c>
      <c r="EV24" s="440">
        <v>-19</v>
      </c>
      <c r="EW24" s="440">
        <v>-15</v>
      </c>
      <c r="EX24" s="440">
        <v>-11</v>
      </c>
      <c r="EY24" s="440">
        <v>-7</v>
      </c>
      <c r="EZ24" s="440">
        <v>-4</v>
      </c>
      <c r="FA24" s="442">
        <f t="shared" si="32"/>
        <v>-2</v>
      </c>
      <c r="FB24" s="440">
        <v>0</v>
      </c>
      <c r="FC24" s="442">
        <f t="shared" si="33"/>
        <v>2</v>
      </c>
      <c r="FD24" s="440">
        <v>4</v>
      </c>
      <c r="FE24" s="435">
        <v>10900</v>
      </c>
      <c r="FF24" s="440">
        <v>13</v>
      </c>
      <c r="FG24" s="440">
        <v>11</v>
      </c>
      <c r="FH24" s="440">
        <v>10</v>
      </c>
      <c r="FI24" s="440">
        <v>8</v>
      </c>
      <c r="FJ24" s="440">
        <v>6</v>
      </c>
      <c r="FK24" s="440">
        <v>1</v>
      </c>
      <c r="FL24" s="442">
        <f t="shared" si="11"/>
        <v>0.5</v>
      </c>
      <c r="FM24" s="440">
        <v>0</v>
      </c>
      <c r="FN24" s="442">
        <f t="shared" si="34"/>
        <v>0.5</v>
      </c>
      <c r="FO24" s="441">
        <v>1</v>
      </c>
      <c r="FP24" s="435">
        <v>10900</v>
      </c>
      <c r="FQ24" s="440">
        <v>-12</v>
      </c>
      <c r="FR24" s="440">
        <v>-10</v>
      </c>
      <c r="FS24" s="440">
        <v>-9</v>
      </c>
      <c r="FT24" s="440">
        <v>-6</v>
      </c>
      <c r="FU24" s="440">
        <v>-4</v>
      </c>
      <c r="FV24" s="440">
        <v>-3</v>
      </c>
      <c r="FW24" s="442">
        <f t="shared" si="12"/>
        <v>-1.5</v>
      </c>
      <c r="FX24" s="440">
        <v>0</v>
      </c>
      <c r="FY24" s="442">
        <f t="shared" si="35"/>
        <v>1</v>
      </c>
      <c r="FZ24" s="440">
        <v>2</v>
      </c>
      <c r="GA24" s="435">
        <v>10900</v>
      </c>
      <c r="GB24" s="440">
        <v>-34</v>
      </c>
      <c r="GC24" s="440">
        <v>-29</v>
      </c>
      <c r="GD24" s="440">
        <v>-23</v>
      </c>
      <c r="GE24" s="440">
        <v>-17</v>
      </c>
      <c r="GF24" s="440">
        <v>-11</v>
      </c>
      <c r="GG24" s="440">
        <v>-6</v>
      </c>
      <c r="GH24" s="442">
        <f t="shared" si="13"/>
        <v>-3</v>
      </c>
      <c r="GI24" s="440">
        <v>0</v>
      </c>
      <c r="GJ24" s="442">
        <f t="shared" si="36"/>
        <v>3</v>
      </c>
      <c r="GK24" s="441">
        <v>6</v>
      </c>
      <c r="GL24" s="435">
        <v>10900</v>
      </c>
      <c r="GM24" s="440">
        <v>-33</v>
      </c>
      <c r="GN24" s="440">
        <v>-28</v>
      </c>
      <c r="GO24" s="440">
        <v>-22</v>
      </c>
      <c r="GP24" s="440">
        <v>-17</v>
      </c>
      <c r="GQ24" s="440">
        <v>-11</v>
      </c>
      <c r="GR24" s="440">
        <v>-6</v>
      </c>
      <c r="GS24" s="442">
        <f t="shared" si="14"/>
        <v>-3</v>
      </c>
      <c r="GT24" s="440">
        <v>0</v>
      </c>
      <c r="GU24" s="442">
        <f t="shared" si="37"/>
        <v>3</v>
      </c>
      <c r="GV24" s="441">
        <v>6</v>
      </c>
      <c r="GX24" s="234"/>
      <c r="GY24" s="234"/>
      <c r="GZ24" s="262"/>
      <c r="HA24" s="237"/>
      <c r="HB24" s="234"/>
      <c r="HC24" s="235"/>
      <c r="HD24" s="253"/>
      <c r="HG24" s="253"/>
      <c r="HH24" s="253"/>
    </row>
    <row r="25" spans="1:220" ht="15" customHeight="1">
      <c r="G25" s="435">
        <v>10800</v>
      </c>
      <c r="H25" s="445">
        <v>28</v>
      </c>
      <c r="I25" s="249">
        <v>24</v>
      </c>
      <c r="J25" s="249">
        <v>19</v>
      </c>
      <c r="K25" s="249">
        <v>14</v>
      </c>
      <c r="L25" s="249">
        <v>10</v>
      </c>
      <c r="M25" s="249">
        <v>5</v>
      </c>
      <c r="N25" s="249">
        <f t="shared" si="15"/>
        <v>2.5</v>
      </c>
      <c r="O25" s="249">
        <v>0</v>
      </c>
      <c r="P25" s="249">
        <f t="shared" si="16"/>
        <v>-2.5</v>
      </c>
      <c r="Q25" s="446">
        <v>-5</v>
      </c>
      <c r="R25" s="435">
        <v>10800</v>
      </c>
      <c r="S25" s="248">
        <v>5</v>
      </c>
      <c r="T25" s="248">
        <v>5</v>
      </c>
      <c r="U25" s="248">
        <v>4</v>
      </c>
      <c r="V25" s="248">
        <v>3</v>
      </c>
      <c r="W25" s="248">
        <v>2</v>
      </c>
      <c r="X25" s="248">
        <v>1</v>
      </c>
      <c r="Y25" s="249">
        <f t="shared" si="17"/>
        <v>0.5</v>
      </c>
      <c r="Z25" s="248">
        <v>0</v>
      </c>
      <c r="AA25" s="439">
        <f t="shared" si="18"/>
        <v>-0.5</v>
      </c>
      <c r="AB25" s="248">
        <v>-1</v>
      </c>
      <c r="AC25" s="435">
        <v>10800</v>
      </c>
      <c r="AD25" s="440">
        <v>-41</v>
      </c>
      <c r="AE25" s="440">
        <v>-34</v>
      </c>
      <c r="AF25" s="440">
        <v>-27</v>
      </c>
      <c r="AG25" s="440">
        <v>-20</v>
      </c>
      <c r="AH25" s="440">
        <v>-13</v>
      </c>
      <c r="AI25" s="440">
        <v>-7</v>
      </c>
      <c r="AJ25" s="249">
        <f t="shared" si="19"/>
        <v>-3.5</v>
      </c>
      <c r="AK25" s="248">
        <v>0</v>
      </c>
      <c r="AL25" s="439">
        <f t="shared" si="20"/>
        <v>3.5</v>
      </c>
      <c r="AM25" s="441">
        <v>7</v>
      </c>
      <c r="AN25" s="435">
        <v>10800</v>
      </c>
      <c r="AO25" s="440">
        <v>-64</v>
      </c>
      <c r="AP25" s="440">
        <v>-53</v>
      </c>
      <c r="AQ25" s="440">
        <v>-43</v>
      </c>
      <c r="AR25" s="440">
        <v>-32</v>
      </c>
      <c r="AS25" s="440">
        <v>-21</v>
      </c>
      <c r="AT25" s="440">
        <v>-11</v>
      </c>
      <c r="AU25" s="442">
        <f t="shared" si="2"/>
        <v>-5.5</v>
      </c>
      <c r="AV25" s="440">
        <v>0</v>
      </c>
      <c r="AW25" s="442">
        <f t="shared" si="21"/>
        <v>5.5</v>
      </c>
      <c r="AX25" s="441">
        <v>11</v>
      </c>
      <c r="AY25" s="435">
        <v>10800</v>
      </c>
      <c r="AZ25" s="440">
        <v>4</v>
      </c>
      <c r="BA25" s="440">
        <v>3</v>
      </c>
      <c r="BB25" s="440">
        <v>2</v>
      </c>
      <c r="BC25" s="440">
        <v>2</v>
      </c>
      <c r="BD25" s="440">
        <v>1</v>
      </c>
      <c r="BE25" s="440">
        <v>1</v>
      </c>
      <c r="BF25" s="442">
        <f t="shared" si="3"/>
        <v>0.5</v>
      </c>
      <c r="BG25" s="440">
        <v>0</v>
      </c>
      <c r="BH25" s="442">
        <f t="shared" si="22"/>
        <v>-0.5</v>
      </c>
      <c r="BI25" s="441">
        <v>-1</v>
      </c>
      <c r="BJ25" s="447">
        <v>10800</v>
      </c>
      <c r="BK25" s="440">
        <v>-31</v>
      </c>
      <c r="BL25" s="440">
        <v>-26</v>
      </c>
      <c r="BM25" s="440">
        <v>-21</v>
      </c>
      <c r="BN25" s="440">
        <v>-16</v>
      </c>
      <c r="BO25" s="440">
        <v>-10</v>
      </c>
      <c r="BP25" s="440">
        <v>-5</v>
      </c>
      <c r="BQ25" s="442">
        <f t="shared" si="4"/>
        <v>-2.5</v>
      </c>
      <c r="BR25" s="440">
        <v>0</v>
      </c>
      <c r="BS25" s="442">
        <f t="shared" si="23"/>
        <v>2.5</v>
      </c>
      <c r="BT25" s="440">
        <v>5</v>
      </c>
      <c r="BU25" s="435">
        <v>10800</v>
      </c>
      <c r="BV25" s="440">
        <v>1</v>
      </c>
      <c r="BW25" s="440">
        <v>1</v>
      </c>
      <c r="BX25" s="440">
        <v>1</v>
      </c>
      <c r="BY25" s="440">
        <v>1</v>
      </c>
      <c r="BZ25" s="440">
        <v>0</v>
      </c>
      <c r="CA25" s="440">
        <v>0</v>
      </c>
      <c r="CB25" s="442">
        <f t="shared" si="5"/>
        <v>0</v>
      </c>
      <c r="CC25" s="440">
        <v>0</v>
      </c>
      <c r="CD25" s="442">
        <f t="shared" si="24"/>
        <v>0</v>
      </c>
      <c r="CE25" s="441">
        <v>0</v>
      </c>
      <c r="CF25" s="435">
        <v>10800</v>
      </c>
      <c r="CG25" s="440">
        <v>-23</v>
      </c>
      <c r="CH25" s="440">
        <v>-19</v>
      </c>
      <c r="CI25" s="440">
        <v>-15</v>
      </c>
      <c r="CJ25" s="440">
        <v>-11</v>
      </c>
      <c r="CK25" s="440">
        <v>-8</v>
      </c>
      <c r="CL25" s="440">
        <v>-4</v>
      </c>
      <c r="CM25" s="442">
        <f t="shared" si="6"/>
        <v>-2</v>
      </c>
      <c r="CN25" s="440">
        <v>0</v>
      </c>
      <c r="CO25" s="442">
        <f t="shared" si="25"/>
        <v>2</v>
      </c>
      <c r="CP25" s="441">
        <v>4</v>
      </c>
      <c r="CQ25" s="435">
        <v>10800</v>
      </c>
      <c r="CR25" s="440">
        <v>1</v>
      </c>
      <c r="CS25" s="440">
        <v>1</v>
      </c>
      <c r="CT25" s="440">
        <v>1</v>
      </c>
      <c r="CU25" s="440">
        <v>1</v>
      </c>
      <c r="CV25" s="440">
        <v>0</v>
      </c>
      <c r="CW25" s="440">
        <v>0</v>
      </c>
      <c r="CX25" s="442">
        <f t="shared" si="7"/>
        <v>0</v>
      </c>
      <c r="CY25" s="440">
        <v>0</v>
      </c>
      <c r="CZ25" s="442">
        <f t="shared" si="26"/>
        <v>0</v>
      </c>
      <c r="DA25" s="441">
        <v>0</v>
      </c>
      <c r="DB25" s="435">
        <v>10800</v>
      </c>
      <c r="DC25" s="440">
        <v>-21</v>
      </c>
      <c r="DD25" s="440">
        <v>-17</v>
      </c>
      <c r="DE25" s="440">
        <v>-14</v>
      </c>
      <c r="DF25" s="440">
        <v>-10</v>
      </c>
      <c r="DG25" s="440">
        <v>-7</v>
      </c>
      <c r="DH25" s="440">
        <v>-3</v>
      </c>
      <c r="DI25" s="442">
        <f t="shared" si="8"/>
        <v>-1.5</v>
      </c>
      <c r="DJ25" s="440">
        <v>0</v>
      </c>
      <c r="DK25" s="442">
        <f t="shared" si="27"/>
        <v>1.5</v>
      </c>
      <c r="DL25" s="441">
        <v>3</v>
      </c>
      <c r="DM25" s="435">
        <v>10800</v>
      </c>
      <c r="DN25" s="440">
        <v>1</v>
      </c>
      <c r="DO25" s="440">
        <v>1</v>
      </c>
      <c r="DP25" s="440">
        <v>1</v>
      </c>
      <c r="DQ25" s="440">
        <v>1</v>
      </c>
      <c r="DR25" s="440">
        <v>0</v>
      </c>
      <c r="DS25" s="440">
        <v>0</v>
      </c>
      <c r="DT25" s="442">
        <f t="shared" si="9"/>
        <v>0</v>
      </c>
      <c r="DU25" s="440">
        <v>0</v>
      </c>
      <c r="DV25" s="442">
        <f t="shared" si="28"/>
        <v>0</v>
      </c>
      <c r="DW25" s="441">
        <v>0</v>
      </c>
      <c r="DX25" s="435">
        <v>10800</v>
      </c>
      <c r="DY25" s="440">
        <v>-24</v>
      </c>
      <c r="DZ25" s="440">
        <v>-20</v>
      </c>
      <c r="EA25" s="440">
        <v>-16</v>
      </c>
      <c r="EB25" s="440">
        <v>-12</v>
      </c>
      <c r="EC25" s="440">
        <v>-8</v>
      </c>
      <c r="ED25" s="440">
        <v>-4</v>
      </c>
      <c r="EE25" s="442">
        <f t="shared" si="10"/>
        <v>-2</v>
      </c>
      <c r="EF25" s="440">
        <v>0</v>
      </c>
      <c r="EG25" s="442">
        <f t="shared" si="29"/>
        <v>2</v>
      </c>
      <c r="EH25" s="440">
        <v>4</v>
      </c>
      <c r="EI25" s="435">
        <v>10800</v>
      </c>
      <c r="EJ25" s="440">
        <v>3</v>
      </c>
      <c r="EK25" s="440">
        <v>3</v>
      </c>
      <c r="EL25" s="440">
        <v>2</v>
      </c>
      <c r="EM25" s="440">
        <v>2</v>
      </c>
      <c r="EN25" s="440">
        <v>1</v>
      </c>
      <c r="EO25" s="440">
        <v>1</v>
      </c>
      <c r="EP25" s="442">
        <f t="shared" si="30"/>
        <v>0.5</v>
      </c>
      <c r="EQ25" s="440">
        <v>0</v>
      </c>
      <c r="ER25" s="442">
        <f t="shared" si="31"/>
        <v>-0.5</v>
      </c>
      <c r="ES25" s="441">
        <v>-1</v>
      </c>
      <c r="ET25" s="435">
        <v>10800</v>
      </c>
      <c r="EU25" s="440">
        <v>-22</v>
      </c>
      <c r="EV25" s="440">
        <v>-19</v>
      </c>
      <c r="EW25" s="440">
        <v>-15</v>
      </c>
      <c r="EX25" s="440">
        <v>-11</v>
      </c>
      <c r="EY25" s="440">
        <v>-7</v>
      </c>
      <c r="EZ25" s="440">
        <v>-4</v>
      </c>
      <c r="FA25" s="442">
        <f t="shared" si="32"/>
        <v>-2</v>
      </c>
      <c r="FB25" s="440">
        <v>0</v>
      </c>
      <c r="FC25" s="442">
        <f t="shared" si="33"/>
        <v>2</v>
      </c>
      <c r="FD25" s="440">
        <v>4</v>
      </c>
      <c r="FE25" s="435">
        <v>10800</v>
      </c>
      <c r="FF25" s="440">
        <v>13</v>
      </c>
      <c r="FG25" s="440">
        <v>11</v>
      </c>
      <c r="FH25" s="440">
        <v>10</v>
      </c>
      <c r="FI25" s="440">
        <v>8</v>
      </c>
      <c r="FJ25" s="440">
        <v>6</v>
      </c>
      <c r="FK25" s="440">
        <v>1</v>
      </c>
      <c r="FL25" s="442">
        <f t="shared" si="11"/>
        <v>0.5</v>
      </c>
      <c r="FM25" s="440">
        <v>0</v>
      </c>
      <c r="FN25" s="442">
        <f t="shared" si="34"/>
        <v>0.5</v>
      </c>
      <c r="FO25" s="441">
        <v>1</v>
      </c>
      <c r="FP25" s="435">
        <v>10800</v>
      </c>
      <c r="FQ25" s="440">
        <v>-12</v>
      </c>
      <c r="FR25" s="440">
        <v>-10</v>
      </c>
      <c r="FS25" s="440">
        <v>-9</v>
      </c>
      <c r="FT25" s="440">
        <v>-6</v>
      </c>
      <c r="FU25" s="440">
        <v>-4</v>
      </c>
      <c r="FV25" s="440">
        <v>-3</v>
      </c>
      <c r="FW25" s="442">
        <f t="shared" si="12"/>
        <v>-1.5</v>
      </c>
      <c r="FX25" s="440">
        <v>0</v>
      </c>
      <c r="FY25" s="442">
        <f t="shared" si="35"/>
        <v>1</v>
      </c>
      <c r="FZ25" s="440">
        <v>2</v>
      </c>
      <c r="GA25" s="435">
        <v>10800</v>
      </c>
      <c r="GB25" s="440">
        <v>-34</v>
      </c>
      <c r="GC25" s="440">
        <v>-29</v>
      </c>
      <c r="GD25" s="440">
        <v>-23</v>
      </c>
      <c r="GE25" s="440">
        <v>-17</v>
      </c>
      <c r="GF25" s="440">
        <v>-11</v>
      </c>
      <c r="GG25" s="440">
        <v>-6</v>
      </c>
      <c r="GH25" s="442">
        <f t="shared" si="13"/>
        <v>-3</v>
      </c>
      <c r="GI25" s="440">
        <v>0</v>
      </c>
      <c r="GJ25" s="442">
        <f t="shared" si="36"/>
        <v>3</v>
      </c>
      <c r="GK25" s="441">
        <v>6</v>
      </c>
      <c r="GL25" s="435">
        <v>10800</v>
      </c>
      <c r="GM25" s="440">
        <v>-33</v>
      </c>
      <c r="GN25" s="440">
        <v>-28</v>
      </c>
      <c r="GO25" s="440">
        <v>-22</v>
      </c>
      <c r="GP25" s="440">
        <v>-17</v>
      </c>
      <c r="GQ25" s="440">
        <v>-11</v>
      </c>
      <c r="GR25" s="440">
        <v>-6</v>
      </c>
      <c r="GS25" s="442">
        <f t="shared" si="14"/>
        <v>-3</v>
      </c>
      <c r="GT25" s="440">
        <v>0</v>
      </c>
      <c r="GU25" s="442">
        <f t="shared" si="37"/>
        <v>3</v>
      </c>
      <c r="GV25" s="441">
        <v>6</v>
      </c>
      <c r="GW25" s="263"/>
      <c r="GX25" s="263"/>
      <c r="GY25" s="264"/>
      <c r="GZ25" s="265"/>
      <c r="HA25" s="263"/>
      <c r="HB25" s="234"/>
      <c r="HC25" s="235"/>
      <c r="HD25" s="253"/>
    </row>
    <row r="26" spans="1:220">
      <c r="G26" s="435">
        <v>10700</v>
      </c>
      <c r="H26" s="445">
        <v>29</v>
      </c>
      <c r="I26" s="249">
        <v>24</v>
      </c>
      <c r="J26" s="249">
        <v>19</v>
      </c>
      <c r="K26" s="249">
        <v>14</v>
      </c>
      <c r="L26" s="249">
        <v>10</v>
      </c>
      <c r="M26" s="249">
        <v>5</v>
      </c>
      <c r="N26" s="249">
        <f t="shared" si="15"/>
        <v>2.5</v>
      </c>
      <c r="O26" s="249">
        <v>0</v>
      </c>
      <c r="P26" s="249">
        <f t="shared" si="16"/>
        <v>-2.5</v>
      </c>
      <c r="Q26" s="446">
        <v>-5</v>
      </c>
      <c r="R26" s="435">
        <v>10700</v>
      </c>
      <c r="S26" s="248">
        <v>5</v>
      </c>
      <c r="T26" s="248">
        <v>5</v>
      </c>
      <c r="U26" s="248">
        <v>4</v>
      </c>
      <c r="V26" s="248">
        <v>3</v>
      </c>
      <c r="W26" s="248">
        <v>2</v>
      </c>
      <c r="X26" s="248">
        <v>1</v>
      </c>
      <c r="Y26" s="249">
        <f t="shared" si="17"/>
        <v>0.5</v>
      </c>
      <c r="Z26" s="248">
        <v>0</v>
      </c>
      <c r="AA26" s="439">
        <f t="shared" si="18"/>
        <v>-0.5</v>
      </c>
      <c r="AB26" s="248">
        <v>-1</v>
      </c>
      <c r="AC26" s="435">
        <v>10700</v>
      </c>
      <c r="AD26" s="440">
        <v>-41</v>
      </c>
      <c r="AE26" s="440">
        <v>-33</v>
      </c>
      <c r="AF26" s="440">
        <v>-27</v>
      </c>
      <c r="AG26" s="440">
        <v>-20</v>
      </c>
      <c r="AH26" s="440">
        <v>-13</v>
      </c>
      <c r="AI26" s="440">
        <v>-7</v>
      </c>
      <c r="AJ26" s="249">
        <f t="shared" si="19"/>
        <v>-3.5</v>
      </c>
      <c r="AK26" s="248">
        <v>0</v>
      </c>
      <c r="AL26" s="439">
        <f t="shared" si="20"/>
        <v>3.5</v>
      </c>
      <c r="AM26" s="441">
        <v>7</v>
      </c>
      <c r="AN26" s="435">
        <v>10700</v>
      </c>
      <c r="AO26" s="440">
        <v>-63</v>
      </c>
      <c r="AP26" s="440">
        <v>-53</v>
      </c>
      <c r="AQ26" s="440">
        <v>-43</v>
      </c>
      <c r="AR26" s="440">
        <v>-32</v>
      </c>
      <c r="AS26" s="440">
        <v>-21</v>
      </c>
      <c r="AT26" s="440">
        <v>-11</v>
      </c>
      <c r="AU26" s="442">
        <f t="shared" si="2"/>
        <v>-5.5</v>
      </c>
      <c r="AV26" s="440">
        <v>0</v>
      </c>
      <c r="AW26" s="442">
        <f t="shared" si="21"/>
        <v>5.5</v>
      </c>
      <c r="AX26" s="441">
        <v>11</v>
      </c>
      <c r="AY26" s="435">
        <v>10700</v>
      </c>
      <c r="AZ26" s="440">
        <v>4</v>
      </c>
      <c r="BA26" s="440">
        <v>3</v>
      </c>
      <c r="BB26" s="440">
        <v>2</v>
      </c>
      <c r="BC26" s="440">
        <v>2</v>
      </c>
      <c r="BD26" s="440">
        <v>1</v>
      </c>
      <c r="BE26" s="440">
        <v>1</v>
      </c>
      <c r="BF26" s="442">
        <f t="shared" si="3"/>
        <v>0.5</v>
      </c>
      <c r="BG26" s="440">
        <v>0</v>
      </c>
      <c r="BH26" s="442">
        <f t="shared" si="22"/>
        <v>-0.5</v>
      </c>
      <c r="BI26" s="441">
        <v>-1</v>
      </c>
      <c r="BJ26" s="447">
        <v>10700</v>
      </c>
      <c r="BK26" s="440">
        <v>-31</v>
      </c>
      <c r="BL26" s="440">
        <v>-26</v>
      </c>
      <c r="BM26" s="440">
        <v>-21</v>
      </c>
      <c r="BN26" s="440">
        <v>-16</v>
      </c>
      <c r="BO26" s="440">
        <v>-10</v>
      </c>
      <c r="BP26" s="440">
        <v>-5</v>
      </c>
      <c r="BQ26" s="442">
        <f t="shared" si="4"/>
        <v>-2.5</v>
      </c>
      <c r="BR26" s="440">
        <v>0</v>
      </c>
      <c r="BS26" s="442">
        <f t="shared" si="23"/>
        <v>2.5</v>
      </c>
      <c r="BT26" s="440">
        <v>5</v>
      </c>
      <c r="BU26" s="435">
        <v>10700</v>
      </c>
      <c r="BV26" s="440">
        <v>1</v>
      </c>
      <c r="BW26" s="440">
        <v>1</v>
      </c>
      <c r="BX26" s="440">
        <v>1</v>
      </c>
      <c r="BY26" s="440">
        <v>1</v>
      </c>
      <c r="BZ26" s="440">
        <v>0</v>
      </c>
      <c r="CA26" s="440">
        <v>0</v>
      </c>
      <c r="CB26" s="442">
        <f t="shared" si="5"/>
        <v>0</v>
      </c>
      <c r="CC26" s="440">
        <v>0</v>
      </c>
      <c r="CD26" s="442">
        <f t="shared" si="24"/>
        <v>0</v>
      </c>
      <c r="CE26" s="441">
        <v>0</v>
      </c>
      <c r="CF26" s="435">
        <v>10700</v>
      </c>
      <c r="CG26" s="440">
        <v>-23</v>
      </c>
      <c r="CH26" s="440">
        <v>-19</v>
      </c>
      <c r="CI26" s="440">
        <v>-15</v>
      </c>
      <c r="CJ26" s="440">
        <v>-11</v>
      </c>
      <c r="CK26" s="440">
        <v>-8</v>
      </c>
      <c r="CL26" s="440">
        <v>-4</v>
      </c>
      <c r="CM26" s="442">
        <f t="shared" si="6"/>
        <v>-2</v>
      </c>
      <c r="CN26" s="440">
        <v>0</v>
      </c>
      <c r="CO26" s="442">
        <f t="shared" si="25"/>
        <v>2</v>
      </c>
      <c r="CP26" s="441">
        <v>4</v>
      </c>
      <c r="CQ26" s="435">
        <v>10700</v>
      </c>
      <c r="CR26" s="440">
        <v>1</v>
      </c>
      <c r="CS26" s="440">
        <v>1</v>
      </c>
      <c r="CT26" s="440">
        <v>1</v>
      </c>
      <c r="CU26" s="440">
        <v>1</v>
      </c>
      <c r="CV26" s="440">
        <v>0</v>
      </c>
      <c r="CW26" s="440">
        <v>0</v>
      </c>
      <c r="CX26" s="442">
        <f t="shared" si="7"/>
        <v>0</v>
      </c>
      <c r="CY26" s="440">
        <v>0</v>
      </c>
      <c r="CZ26" s="442">
        <f t="shared" si="26"/>
        <v>0</v>
      </c>
      <c r="DA26" s="441">
        <v>0</v>
      </c>
      <c r="DB26" s="435">
        <v>10700</v>
      </c>
      <c r="DC26" s="440">
        <v>-21</v>
      </c>
      <c r="DD26" s="440">
        <v>-17</v>
      </c>
      <c r="DE26" s="440">
        <v>-14</v>
      </c>
      <c r="DF26" s="440">
        <v>-10</v>
      </c>
      <c r="DG26" s="440">
        <v>-7</v>
      </c>
      <c r="DH26" s="440">
        <v>-3</v>
      </c>
      <c r="DI26" s="442">
        <f t="shared" si="8"/>
        <v>-1.5</v>
      </c>
      <c r="DJ26" s="440">
        <v>0</v>
      </c>
      <c r="DK26" s="442">
        <f t="shared" si="27"/>
        <v>1.5</v>
      </c>
      <c r="DL26" s="441">
        <v>3</v>
      </c>
      <c r="DM26" s="435">
        <v>10700</v>
      </c>
      <c r="DN26" s="440">
        <v>1</v>
      </c>
      <c r="DO26" s="440">
        <v>1</v>
      </c>
      <c r="DP26" s="440">
        <v>1</v>
      </c>
      <c r="DQ26" s="440">
        <v>1</v>
      </c>
      <c r="DR26" s="440">
        <v>0</v>
      </c>
      <c r="DS26" s="440">
        <v>0</v>
      </c>
      <c r="DT26" s="442">
        <f t="shared" si="9"/>
        <v>0</v>
      </c>
      <c r="DU26" s="440">
        <v>0</v>
      </c>
      <c r="DV26" s="442">
        <f t="shared" si="28"/>
        <v>0</v>
      </c>
      <c r="DW26" s="441">
        <v>0</v>
      </c>
      <c r="DX26" s="435">
        <v>10700</v>
      </c>
      <c r="DY26" s="440">
        <v>-24</v>
      </c>
      <c r="DZ26" s="440">
        <v>-20</v>
      </c>
      <c r="EA26" s="440">
        <v>-16</v>
      </c>
      <c r="EB26" s="440">
        <v>-12</v>
      </c>
      <c r="EC26" s="440">
        <v>-8</v>
      </c>
      <c r="ED26" s="440">
        <v>-4</v>
      </c>
      <c r="EE26" s="442">
        <f t="shared" si="10"/>
        <v>-2</v>
      </c>
      <c r="EF26" s="440">
        <v>0</v>
      </c>
      <c r="EG26" s="442">
        <f t="shared" si="29"/>
        <v>2</v>
      </c>
      <c r="EH26" s="440">
        <v>4</v>
      </c>
      <c r="EI26" s="435">
        <v>10700</v>
      </c>
      <c r="EJ26" s="440">
        <v>3</v>
      </c>
      <c r="EK26" s="440">
        <v>3</v>
      </c>
      <c r="EL26" s="440">
        <v>2</v>
      </c>
      <c r="EM26" s="440">
        <v>2</v>
      </c>
      <c r="EN26" s="440">
        <v>1</v>
      </c>
      <c r="EO26" s="440">
        <v>1</v>
      </c>
      <c r="EP26" s="442">
        <f t="shared" si="30"/>
        <v>0.5</v>
      </c>
      <c r="EQ26" s="440">
        <v>0</v>
      </c>
      <c r="ER26" s="442">
        <f t="shared" si="31"/>
        <v>-0.5</v>
      </c>
      <c r="ES26" s="441">
        <v>-1</v>
      </c>
      <c r="ET26" s="435">
        <v>10700</v>
      </c>
      <c r="EU26" s="440">
        <v>-22</v>
      </c>
      <c r="EV26" s="440">
        <v>-19</v>
      </c>
      <c r="EW26" s="440">
        <v>-15</v>
      </c>
      <c r="EX26" s="440">
        <v>-11</v>
      </c>
      <c r="EY26" s="440">
        <v>-7</v>
      </c>
      <c r="EZ26" s="440">
        <v>-4</v>
      </c>
      <c r="FA26" s="442">
        <f t="shared" si="32"/>
        <v>-2</v>
      </c>
      <c r="FB26" s="440">
        <v>0</v>
      </c>
      <c r="FC26" s="442">
        <f t="shared" si="33"/>
        <v>2</v>
      </c>
      <c r="FD26" s="440">
        <v>4</v>
      </c>
      <c r="FE26" s="435">
        <v>10700</v>
      </c>
      <c r="FF26" s="440">
        <v>13</v>
      </c>
      <c r="FG26" s="440">
        <v>11</v>
      </c>
      <c r="FH26" s="440">
        <v>10</v>
      </c>
      <c r="FI26" s="440">
        <v>8</v>
      </c>
      <c r="FJ26" s="440">
        <v>6</v>
      </c>
      <c r="FK26" s="440">
        <v>1</v>
      </c>
      <c r="FL26" s="442">
        <f t="shared" si="11"/>
        <v>0.5</v>
      </c>
      <c r="FM26" s="440">
        <v>0</v>
      </c>
      <c r="FN26" s="442">
        <f t="shared" si="34"/>
        <v>2.5</v>
      </c>
      <c r="FO26" s="441">
        <v>5</v>
      </c>
      <c r="FP26" s="435">
        <v>10700</v>
      </c>
      <c r="FQ26" s="440">
        <v>-12</v>
      </c>
      <c r="FR26" s="440">
        <v>-10</v>
      </c>
      <c r="FS26" s="440">
        <v>-9</v>
      </c>
      <c r="FT26" s="440">
        <v>-6</v>
      </c>
      <c r="FU26" s="440">
        <v>-4</v>
      </c>
      <c r="FV26" s="440">
        <v>-3</v>
      </c>
      <c r="FW26" s="442">
        <f t="shared" si="12"/>
        <v>-1.5</v>
      </c>
      <c r="FX26" s="440">
        <v>0</v>
      </c>
      <c r="FY26" s="442">
        <f t="shared" si="35"/>
        <v>1</v>
      </c>
      <c r="FZ26" s="440">
        <v>2</v>
      </c>
      <c r="GA26" s="435">
        <v>10700</v>
      </c>
      <c r="GB26" s="440">
        <v>-34</v>
      </c>
      <c r="GC26" s="440">
        <v>-29</v>
      </c>
      <c r="GD26" s="440">
        <v>-23</v>
      </c>
      <c r="GE26" s="440">
        <v>-17</v>
      </c>
      <c r="GF26" s="440">
        <v>-11</v>
      </c>
      <c r="GG26" s="440">
        <v>-6</v>
      </c>
      <c r="GH26" s="442">
        <f t="shared" si="13"/>
        <v>-3</v>
      </c>
      <c r="GI26" s="440">
        <v>0</v>
      </c>
      <c r="GJ26" s="442">
        <f t="shared" si="36"/>
        <v>3</v>
      </c>
      <c r="GK26" s="441">
        <v>6</v>
      </c>
      <c r="GL26" s="435">
        <v>10700</v>
      </c>
      <c r="GM26" s="440">
        <v>-33</v>
      </c>
      <c r="GN26" s="440">
        <v>-28</v>
      </c>
      <c r="GO26" s="440">
        <v>-22</v>
      </c>
      <c r="GP26" s="440">
        <v>-17</v>
      </c>
      <c r="GQ26" s="440">
        <v>-11</v>
      </c>
      <c r="GR26" s="440">
        <v>-6</v>
      </c>
      <c r="GS26" s="442">
        <f t="shared" si="14"/>
        <v>-3</v>
      </c>
      <c r="GT26" s="440">
        <v>0</v>
      </c>
      <c r="GU26" s="442">
        <f t="shared" si="37"/>
        <v>3</v>
      </c>
      <c r="GV26" s="441">
        <v>6</v>
      </c>
      <c r="GW26" s="263"/>
      <c r="GX26" s="263"/>
      <c r="GY26" s="266"/>
      <c r="GZ26" s="267"/>
      <c r="HA26" s="263"/>
      <c r="HB26" s="234"/>
      <c r="HC26" s="251"/>
      <c r="HH26" s="253"/>
    </row>
    <row r="27" spans="1:220">
      <c r="G27" s="435">
        <v>10600</v>
      </c>
      <c r="H27" s="445">
        <v>29</v>
      </c>
      <c r="I27" s="249">
        <v>25</v>
      </c>
      <c r="J27" s="249">
        <v>20</v>
      </c>
      <c r="K27" s="249">
        <v>14</v>
      </c>
      <c r="L27" s="249">
        <v>10</v>
      </c>
      <c r="M27" s="249">
        <v>5</v>
      </c>
      <c r="N27" s="249">
        <f t="shared" si="15"/>
        <v>2.5</v>
      </c>
      <c r="O27" s="249">
        <v>0</v>
      </c>
      <c r="P27" s="249">
        <f t="shared" si="16"/>
        <v>-2.5</v>
      </c>
      <c r="Q27" s="446">
        <v>-5</v>
      </c>
      <c r="R27" s="435">
        <v>10600</v>
      </c>
      <c r="S27" s="248">
        <v>6</v>
      </c>
      <c r="T27" s="248">
        <v>5</v>
      </c>
      <c r="U27" s="248">
        <v>4</v>
      </c>
      <c r="V27" s="248">
        <v>3</v>
      </c>
      <c r="W27" s="248">
        <v>2</v>
      </c>
      <c r="X27" s="248">
        <v>1</v>
      </c>
      <c r="Y27" s="249">
        <f t="shared" si="17"/>
        <v>0.5</v>
      </c>
      <c r="Z27" s="248">
        <v>0</v>
      </c>
      <c r="AA27" s="439">
        <f t="shared" si="18"/>
        <v>-0.5</v>
      </c>
      <c r="AB27" s="248">
        <v>-1</v>
      </c>
      <c r="AC27" s="435">
        <v>10600</v>
      </c>
      <c r="AD27" s="440">
        <v>-41</v>
      </c>
      <c r="AE27" s="440">
        <v>-33</v>
      </c>
      <c r="AF27" s="440">
        <v>-26</v>
      </c>
      <c r="AG27" s="440">
        <v>-20</v>
      </c>
      <c r="AH27" s="440">
        <v>-13</v>
      </c>
      <c r="AI27" s="440">
        <v>-7</v>
      </c>
      <c r="AJ27" s="249">
        <f t="shared" si="19"/>
        <v>-3.5</v>
      </c>
      <c r="AK27" s="248">
        <v>0</v>
      </c>
      <c r="AL27" s="439">
        <f t="shared" si="20"/>
        <v>3.5</v>
      </c>
      <c r="AM27" s="441">
        <v>7</v>
      </c>
      <c r="AN27" s="435">
        <v>10600</v>
      </c>
      <c r="AO27" s="440">
        <v>-63</v>
      </c>
      <c r="AP27" s="440">
        <v>-52</v>
      </c>
      <c r="AQ27" s="440">
        <v>-42</v>
      </c>
      <c r="AR27" s="440">
        <v>-32</v>
      </c>
      <c r="AS27" s="440">
        <v>-21</v>
      </c>
      <c r="AT27" s="440">
        <v>-11</v>
      </c>
      <c r="AU27" s="442">
        <f t="shared" si="2"/>
        <v>-5.5</v>
      </c>
      <c r="AV27" s="440">
        <v>0</v>
      </c>
      <c r="AW27" s="442">
        <f t="shared" si="21"/>
        <v>5.5</v>
      </c>
      <c r="AX27" s="441">
        <v>11</v>
      </c>
      <c r="AY27" s="435">
        <v>10600</v>
      </c>
      <c r="AZ27" s="440">
        <v>4</v>
      </c>
      <c r="BA27" s="440">
        <v>3</v>
      </c>
      <c r="BB27" s="440">
        <v>2</v>
      </c>
      <c r="BC27" s="440">
        <v>2</v>
      </c>
      <c r="BD27" s="440">
        <v>1</v>
      </c>
      <c r="BE27" s="440">
        <v>1</v>
      </c>
      <c r="BF27" s="442">
        <f t="shared" si="3"/>
        <v>0.5</v>
      </c>
      <c r="BG27" s="440">
        <v>0</v>
      </c>
      <c r="BH27" s="442">
        <f t="shared" si="22"/>
        <v>-0.5</v>
      </c>
      <c r="BI27" s="441">
        <v>-1</v>
      </c>
      <c r="BJ27" s="447">
        <v>10600</v>
      </c>
      <c r="BK27" s="440">
        <v>-31</v>
      </c>
      <c r="BL27" s="440">
        <v>-26</v>
      </c>
      <c r="BM27" s="440">
        <v>-21</v>
      </c>
      <c r="BN27" s="440">
        <v>-16</v>
      </c>
      <c r="BO27" s="440">
        <v>-10</v>
      </c>
      <c r="BP27" s="440">
        <v>-5</v>
      </c>
      <c r="BQ27" s="442">
        <f t="shared" si="4"/>
        <v>-2.5</v>
      </c>
      <c r="BR27" s="440">
        <v>0</v>
      </c>
      <c r="BS27" s="442">
        <f t="shared" si="23"/>
        <v>2.5</v>
      </c>
      <c r="BT27" s="440">
        <v>5</v>
      </c>
      <c r="BU27" s="435">
        <v>10600</v>
      </c>
      <c r="BV27" s="440">
        <v>1</v>
      </c>
      <c r="BW27" s="440">
        <v>1</v>
      </c>
      <c r="BX27" s="440">
        <v>1</v>
      </c>
      <c r="BY27" s="440">
        <v>1</v>
      </c>
      <c r="BZ27" s="440">
        <v>0</v>
      </c>
      <c r="CA27" s="440">
        <v>0</v>
      </c>
      <c r="CB27" s="442">
        <f t="shared" si="5"/>
        <v>0</v>
      </c>
      <c r="CC27" s="440">
        <v>0</v>
      </c>
      <c r="CD27" s="442">
        <f t="shared" si="24"/>
        <v>0</v>
      </c>
      <c r="CE27" s="441">
        <v>0</v>
      </c>
      <c r="CF27" s="435">
        <v>10600</v>
      </c>
      <c r="CG27" s="440">
        <v>-23</v>
      </c>
      <c r="CH27" s="440">
        <v>-19</v>
      </c>
      <c r="CI27" s="440">
        <v>-15</v>
      </c>
      <c r="CJ27" s="440">
        <v>-11</v>
      </c>
      <c r="CK27" s="440">
        <v>-8</v>
      </c>
      <c r="CL27" s="440">
        <v>-4</v>
      </c>
      <c r="CM27" s="442">
        <f t="shared" si="6"/>
        <v>-2</v>
      </c>
      <c r="CN27" s="440">
        <v>0</v>
      </c>
      <c r="CO27" s="442">
        <f t="shared" si="25"/>
        <v>2</v>
      </c>
      <c r="CP27" s="441">
        <v>4</v>
      </c>
      <c r="CQ27" s="435">
        <v>10600</v>
      </c>
      <c r="CR27" s="440">
        <v>1</v>
      </c>
      <c r="CS27" s="440">
        <v>1</v>
      </c>
      <c r="CT27" s="440">
        <v>1</v>
      </c>
      <c r="CU27" s="440">
        <v>1</v>
      </c>
      <c r="CV27" s="440">
        <v>0</v>
      </c>
      <c r="CW27" s="440">
        <v>0</v>
      </c>
      <c r="CX27" s="442">
        <f t="shared" si="7"/>
        <v>0</v>
      </c>
      <c r="CY27" s="440">
        <v>0</v>
      </c>
      <c r="CZ27" s="442">
        <f t="shared" si="26"/>
        <v>0</v>
      </c>
      <c r="DA27" s="441">
        <v>0</v>
      </c>
      <c r="DB27" s="435">
        <v>10600</v>
      </c>
      <c r="DC27" s="440">
        <v>-21</v>
      </c>
      <c r="DD27" s="440">
        <v>-17</v>
      </c>
      <c r="DE27" s="440">
        <v>-14</v>
      </c>
      <c r="DF27" s="440">
        <v>-10</v>
      </c>
      <c r="DG27" s="440">
        <v>-7</v>
      </c>
      <c r="DH27" s="440">
        <v>-3</v>
      </c>
      <c r="DI27" s="442">
        <f t="shared" si="8"/>
        <v>-1.5</v>
      </c>
      <c r="DJ27" s="440">
        <v>0</v>
      </c>
      <c r="DK27" s="442">
        <f t="shared" si="27"/>
        <v>1.5</v>
      </c>
      <c r="DL27" s="441">
        <v>3</v>
      </c>
      <c r="DM27" s="435">
        <v>10600</v>
      </c>
      <c r="DN27" s="440">
        <v>1</v>
      </c>
      <c r="DO27" s="440">
        <v>1</v>
      </c>
      <c r="DP27" s="440">
        <v>1</v>
      </c>
      <c r="DQ27" s="440">
        <v>1</v>
      </c>
      <c r="DR27" s="440">
        <v>0</v>
      </c>
      <c r="DS27" s="440">
        <v>0</v>
      </c>
      <c r="DT27" s="442">
        <f t="shared" si="9"/>
        <v>0</v>
      </c>
      <c r="DU27" s="440">
        <v>0</v>
      </c>
      <c r="DV27" s="442">
        <f t="shared" si="28"/>
        <v>0</v>
      </c>
      <c r="DW27" s="441">
        <v>0</v>
      </c>
      <c r="DX27" s="435">
        <v>10600</v>
      </c>
      <c r="DY27" s="440">
        <v>-24</v>
      </c>
      <c r="DZ27" s="440">
        <v>-20</v>
      </c>
      <c r="EA27" s="440">
        <v>-16</v>
      </c>
      <c r="EB27" s="440">
        <v>-12</v>
      </c>
      <c r="EC27" s="440">
        <v>-8</v>
      </c>
      <c r="ED27" s="440">
        <v>-4</v>
      </c>
      <c r="EE27" s="442">
        <f t="shared" si="10"/>
        <v>-2</v>
      </c>
      <c r="EF27" s="440">
        <v>0</v>
      </c>
      <c r="EG27" s="442">
        <f t="shared" si="29"/>
        <v>2</v>
      </c>
      <c r="EH27" s="440">
        <v>4</v>
      </c>
      <c r="EI27" s="435">
        <v>10600</v>
      </c>
      <c r="EJ27" s="440">
        <v>3</v>
      </c>
      <c r="EK27" s="440">
        <v>3</v>
      </c>
      <c r="EL27" s="440">
        <v>2</v>
      </c>
      <c r="EM27" s="440">
        <v>2</v>
      </c>
      <c r="EN27" s="440">
        <v>1</v>
      </c>
      <c r="EO27" s="440">
        <v>1</v>
      </c>
      <c r="EP27" s="442">
        <f t="shared" si="30"/>
        <v>0.5</v>
      </c>
      <c r="EQ27" s="440">
        <v>0</v>
      </c>
      <c r="ER27" s="442">
        <f t="shared" si="31"/>
        <v>-0.5</v>
      </c>
      <c r="ES27" s="441">
        <v>-1</v>
      </c>
      <c r="ET27" s="435">
        <v>10600</v>
      </c>
      <c r="EU27" s="440">
        <v>-22</v>
      </c>
      <c r="EV27" s="440">
        <v>-19</v>
      </c>
      <c r="EW27" s="440">
        <v>-15</v>
      </c>
      <c r="EX27" s="440">
        <v>-11</v>
      </c>
      <c r="EY27" s="440">
        <v>-7</v>
      </c>
      <c r="EZ27" s="440">
        <v>-4</v>
      </c>
      <c r="FA27" s="442">
        <f t="shared" si="32"/>
        <v>-2</v>
      </c>
      <c r="FB27" s="440">
        <v>0</v>
      </c>
      <c r="FC27" s="442">
        <f t="shared" si="33"/>
        <v>2</v>
      </c>
      <c r="FD27" s="440">
        <v>4</v>
      </c>
      <c r="FE27" s="435">
        <v>10600</v>
      </c>
      <c r="FF27" s="440">
        <v>13</v>
      </c>
      <c r="FG27" s="440">
        <v>11</v>
      </c>
      <c r="FH27" s="440">
        <v>10</v>
      </c>
      <c r="FI27" s="440">
        <v>7</v>
      </c>
      <c r="FJ27" s="440">
        <v>5</v>
      </c>
      <c r="FK27" s="440">
        <v>1</v>
      </c>
      <c r="FL27" s="442">
        <f t="shared" si="11"/>
        <v>0.5</v>
      </c>
      <c r="FM27" s="440">
        <v>0</v>
      </c>
      <c r="FN27" s="442">
        <f t="shared" si="34"/>
        <v>4.5</v>
      </c>
      <c r="FO27" s="441">
        <v>9</v>
      </c>
      <c r="FP27" s="435">
        <v>10600</v>
      </c>
      <c r="FQ27" s="440">
        <v>-12</v>
      </c>
      <c r="FR27" s="440">
        <v>-11</v>
      </c>
      <c r="FS27" s="440">
        <v>-9</v>
      </c>
      <c r="FT27" s="440">
        <v>-6</v>
      </c>
      <c r="FU27" s="440">
        <v>-5</v>
      </c>
      <c r="FV27" s="440">
        <v>-3</v>
      </c>
      <c r="FW27" s="442">
        <f t="shared" si="12"/>
        <v>-1.5</v>
      </c>
      <c r="FX27" s="440">
        <v>0</v>
      </c>
      <c r="FY27" s="442">
        <f t="shared" si="35"/>
        <v>1</v>
      </c>
      <c r="FZ27" s="440">
        <v>2</v>
      </c>
      <c r="GA27" s="435">
        <v>10600</v>
      </c>
      <c r="GB27" s="440">
        <v>-34</v>
      </c>
      <c r="GC27" s="440">
        <v>-29</v>
      </c>
      <c r="GD27" s="440">
        <v>-23</v>
      </c>
      <c r="GE27" s="440">
        <v>-17</v>
      </c>
      <c r="GF27" s="440">
        <v>-11</v>
      </c>
      <c r="GG27" s="440">
        <v>-6</v>
      </c>
      <c r="GH27" s="442">
        <f t="shared" si="13"/>
        <v>-3</v>
      </c>
      <c r="GI27" s="440">
        <v>0</v>
      </c>
      <c r="GJ27" s="442">
        <f t="shared" si="36"/>
        <v>3</v>
      </c>
      <c r="GK27" s="441">
        <v>6</v>
      </c>
      <c r="GL27" s="435">
        <v>10600</v>
      </c>
      <c r="GM27" s="440">
        <v>-33</v>
      </c>
      <c r="GN27" s="440">
        <v>-28</v>
      </c>
      <c r="GO27" s="440">
        <v>-22</v>
      </c>
      <c r="GP27" s="440">
        <v>-17</v>
      </c>
      <c r="GQ27" s="440">
        <v>-11</v>
      </c>
      <c r="GR27" s="440">
        <v>-6</v>
      </c>
      <c r="GS27" s="442">
        <f t="shared" si="14"/>
        <v>-3</v>
      </c>
      <c r="GT27" s="440">
        <v>0</v>
      </c>
      <c r="GU27" s="442">
        <f t="shared" si="37"/>
        <v>3</v>
      </c>
      <c r="GV27" s="441">
        <v>6</v>
      </c>
      <c r="GW27" s="263"/>
      <c r="GX27" s="263"/>
      <c r="GY27" s="268"/>
      <c r="GZ27" s="267"/>
      <c r="HA27" s="263"/>
      <c r="HB27" s="234"/>
      <c r="HC27" s="251"/>
      <c r="HH27" s="253"/>
    </row>
    <row r="28" spans="1:220">
      <c r="G28" s="435">
        <v>10500</v>
      </c>
      <c r="H28" s="445">
        <v>30</v>
      </c>
      <c r="I28" s="249">
        <v>26</v>
      </c>
      <c r="J28" s="249">
        <v>20</v>
      </c>
      <c r="K28" s="249">
        <v>15</v>
      </c>
      <c r="L28" s="249">
        <v>10</v>
      </c>
      <c r="M28" s="249">
        <v>5</v>
      </c>
      <c r="N28" s="249">
        <f t="shared" si="15"/>
        <v>2.5</v>
      </c>
      <c r="O28" s="249">
        <v>0</v>
      </c>
      <c r="P28" s="249">
        <f t="shared" si="16"/>
        <v>-2.5</v>
      </c>
      <c r="Q28" s="446">
        <v>-5</v>
      </c>
      <c r="R28" s="435">
        <v>10500</v>
      </c>
      <c r="S28" s="248">
        <v>7</v>
      </c>
      <c r="T28" s="248"/>
      <c r="U28" s="248">
        <v>5</v>
      </c>
      <c r="V28" s="248">
        <v>4</v>
      </c>
      <c r="W28" s="248">
        <v>3</v>
      </c>
      <c r="X28" s="248">
        <v>1</v>
      </c>
      <c r="Y28" s="249">
        <f t="shared" si="17"/>
        <v>0.5</v>
      </c>
      <c r="Z28" s="248">
        <v>0</v>
      </c>
      <c r="AA28" s="439">
        <f t="shared" si="18"/>
        <v>-0.5</v>
      </c>
      <c r="AB28" s="248">
        <v>-1</v>
      </c>
      <c r="AC28" s="435">
        <v>10500</v>
      </c>
      <c r="AD28" s="440">
        <v>-39</v>
      </c>
      <c r="AE28" s="440">
        <v>-32</v>
      </c>
      <c r="AF28" s="440">
        <v>-25</v>
      </c>
      <c r="AG28" s="440">
        <v>-19</v>
      </c>
      <c r="AH28" s="440">
        <v>-13</v>
      </c>
      <c r="AI28" s="440">
        <v>-6</v>
      </c>
      <c r="AJ28" s="249">
        <f t="shared" si="19"/>
        <v>-3</v>
      </c>
      <c r="AK28" s="248">
        <v>0</v>
      </c>
      <c r="AL28" s="439">
        <f t="shared" si="20"/>
        <v>3</v>
      </c>
      <c r="AM28" s="441">
        <v>6</v>
      </c>
      <c r="AN28" s="435">
        <v>10500</v>
      </c>
      <c r="AO28" s="440">
        <v>-62</v>
      </c>
      <c r="AP28" s="440">
        <v>-52</v>
      </c>
      <c r="AQ28" s="440">
        <v>-42</v>
      </c>
      <c r="AR28" s="440">
        <v>-31</v>
      </c>
      <c r="AS28" s="440">
        <v>-20</v>
      </c>
      <c r="AT28" s="440">
        <v>-10</v>
      </c>
      <c r="AU28" s="442">
        <f t="shared" si="2"/>
        <v>-5</v>
      </c>
      <c r="AV28" s="440">
        <v>0</v>
      </c>
      <c r="AW28" s="442">
        <f t="shared" si="21"/>
        <v>5</v>
      </c>
      <c r="AX28" s="441">
        <v>10</v>
      </c>
      <c r="AY28" s="435">
        <v>10500</v>
      </c>
      <c r="AZ28" s="440">
        <v>4</v>
      </c>
      <c r="BA28" s="440">
        <v>3</v>
      </c>
      <c r="BB28" s="440">
        <v>2</v>
      </c>
      <c r="BC28" s="440">
        <v>2</v>
      </c>
      <c r="BD28" s="440">
        <v>1</v>
      </c>
      <c r="BE28" s="440">
        <v>1</v>
      </c>
      <c r="BF28" s="442">
        <f t="shared" si="3"/>
        <v>0.5</v>
      </c>
      <c r="BG28" s="440">
        <v>0</v>
      </c>
      <c r="BH28" s="442">
        <f t="shared" si="22"/>
        <v>-0.5</v>
      </c>
      <c r="BI28" s="441">
        <v>-1</v>
      </c>
      <c r="BJ28" s="447">
        <v>10500</v>
      </c>
      <c r="BK28" s="440">
        <v>-31</v>
      </c>
      <c r="BL28" s="440">
        <v>-26</v>
      </c>
      <c r="BM28" s="440">
        <v>-21</v>
      </c>
      <c r="BN28" s="440">
        <v>-16</v>
      </c>
      <c r="BO28" s="440">
        <v>-10</v>
      </c>
      <c r="BP28" s="440">
        <v>-5</v>
      </c>
      <c r="BQ28" s="442">
        <f t="shared" si="4"/>
        <v>-2.5</v>
      </c>
      <c r="BR28" s="440">
        <v>0</v>
      </c>
      <c r="BS28" s="442">
        <f t="shared" si="23"/>
        <v>2.5</v>
      </c>
      <c r="BT28" s="440">
        <v>5</v>
      </c>
      <c r="BU28" s="435">
        <v>10500</v>
      </c>
      <c r="BV28" s="440">
        <v>1</v>
      </c>
      <c r="BW28" s="440">
        <v>1</v>
      </c>
      <c r="BX28" s="440">
        <v>1</v>
      </c>
      <c r="BY28" s="440">
        <v>1</v>
      </c>
      <c r="BZ28" s="440">
        <v>0</v>
      </c>
      <c r="CA28" s="440">
        <v>0</v>
      </c>
      <c r="CB28" s="442">
        <f t="shared" si="5"/>
        <v>0</v>
      </c>
      <c r="CC28" s="440">
        <v>0</v>
      </c>
      <c r="CD28" s="442">
        <f t="shared" si="24"/>
        <v>0</v>
      </c>
      <c r="CE28" s="441">
        <v>0</v>
      </c>
      <c r="CF28" s="435">
        <v>10500</v>
      </c>
      <c r="CG28" s="440">
        <v>-23</v>
      </c>
      <c r="CH28" s="440">
        <v>-19</v>
      </c>
      <c r="CI28" s="440">
        <v>-15</v>
      </c>
      <c r="CJ28" s="440">
        <v>-11</v>
      </c>
      <c r="CK28" s="440">
        <v>-8</v>
      </c>
      <c r="CL28" s="440">
        <v>-4</v>
      </c>
      <c r="CM28" s="442">
        <f t="shared" si="6"/>
        <v>-2</v>
      </c>
      <c r="CN28" s="440">
        <v>0</v>
      </c>
      <c r="CO28" s="442">
        <f t="shared" si="25"/>
        <v>2</v>
      </c>
      <c r="CP28" s="441">
        <v>4</v>
      </c>
      <c r="CQ28" s="435">
        <v>10500</v>
      </c>
      <c r="CR28" s="440">
        <v>1</v>
      </c>
      <c r="CS28" s="440">
        <v>1</v>
      </c>
      <c r="CT28" s="440">
        <v>1</v>
      </c>
      <c r="CU28" s="440">
        <v>1</v>
      </c>
      <c r="CV28" s="440">
        <v>0</v>
      </c>
      <c r="CW28" s="440">
        <v>0</v>
      </c>
      <c r="CX28" s="442">
        <f t="shared" si="7"/>
        <v>0</v>
      </c>
      <c r="CY28" s="440">
        <v>0</v>
      </c>
      <c r="CZ28" s="442">
        <f t="shared" si="26"/>
        <v>0</v>
      </c>
      <c r="DA28" s="441">
        <v>0</v>
      </c>
      <c r="DB28" s="435">
        <v>10500</v>
      </c>
      <c r="DC28" s="440">
        <v>-21</v>
      </c>
      <c r="DD28" s="440">
        <v>-17</v>
      </c>
      <c r="DE28" s="440">
        <v>-14</v>
      </c>
      <c r="DF28" s="440">
        <v>-10</v>
      </c>
      <c r="DG28" s="440">
        <v>-7</v>
      </c>
      <c r="DH28" s="440">
        <v>-3</v>
      </c>
      <c r="DI28" s="442">
        <f t="shared" si="8"/>
        <v>-1.5</v>
      </c>
      <c r="DJ28" s="440">
        <v>0</v>
      </c>
      <c r="DK28" s="442">
        <f t="shared" si="27"/>
        <v>1.5</v>
      </c>
      <c r="DL28" s="441">
        <v>3</v>
      </c>
      <c r="DM28" s="435">
        <v>10500</v>
      </c>
      <c r="DN28" s="440">
        <v>1</v>
      </c>
      <c r="DO28" s="440">
        <v>1</v>
      </c>
      <c r="DP28" s="440">
        <v>1</v>
      </c>
      <c r="DQ28" s="440">
        <v>1</v>
      </c>
      <c r="DR28" s="440">
        <v>0</v>
      </c>
      <c r="DS28" s="440">
        <v>0</v>
      </c>
      <c r="DT28" s="442">
        <f t="shared" si="9"/>
        <v>0</v>
      </c>
      <c r="DU28" s="440">
        <v>0</v>
      </c>
      <c r="DV28" s="442">
        <f t="shared" si="28"/>
        <v>0</v>
      </c>
      <c r="DW28" s="441">
        <v>0</v>
      </c>
      <c r="DX28" s="435">
        <v>10500</v>
      </c>
      <c r="DY28" s="440">
        <v>-24</v>
      </c>
      <c r="DZ28" s="440">
        <v>-20</v>
      </c>
      <c r="EA28" s="440">
        <v>-16</v>
      </c>
      <c r="EB28" s="440">
        <v>-12</v>
      </c>
      <c r="EC28" s="440">
        <v>-8</v>
      </c>
      <c r="ED28" s="440">
        <v>-4</v>
      </c>
      <c r="EE28" s="442">
        <f t="shared" si="10"/>
        <v>-2</v>
      </c>
      <c r="EF28" s="440">
        <v>0</v>
      </c>
      <c r="EG28" s="442">
        <f t="shared" si="29"/>
        <v>2</v>
      </c>
      <c r="EH28" s="440">
        <v>4</v>
      </c>
      <c r="EI28" s="435">
        <v>10500</v>
      </c>
      <c r="EJ28" s="440">
        <v>3</v>
      </c>
      <c r="EK28" s="440">
        <v>3</v>
      </c>
      <c r="EL28" s="440">
        <v>2</v>
      </c>
      <c r="EM28" s="440">
        <v>2</v>
      </c>
      <c r="EN28" s="440">
        <v>1</v>
      </c>
      <c r="EO28" s="440">
        <v>1</v>
      </c>
      <c r="EP28" s="442">
        <f t="shared" si="30"/>
        <v>0.5</v>
      </c>
      <c r="EQ28" s="440">
        <v>0</v>
      </c>
      <c r="ER28" s="442">
        <f t="shared" si="31"/>
        <v>-0.5</v>
      </c>
      <c r="ES28" s="441">
        <v>-1</v>
      </c>
      <c r="ET28" s="435">
        <v>10500</v>
      </c>
      <c r="EU28" s="440">
        <v>-22</v>
      </c>
      <c r="EV28" s="440">
        <v>-19</v>
      </c>
      <c r="EW28" s="440">
        <v>-15</v>
      </c>
      <c r="EX28" s="440">
        <v>-11</v>
      </c>
      <c r="EY28" s="440">
        <v>-7</v>
      </c>
      <c r="EZ28" s="440">
        <v>-4</v>
      </c>
      <c r="FA28" s="442">
        <f t="shared" si="32"/>
        <v>-2</v>
      </c>
      <c r="FB28" s="440">
        <v>0</v>
      </c>
      <c r="FC28" s="442">
        <f t="shared" si="33"/>
        <v>2</v>
      </c>
      <c r="FD28" s="440">
        <v>4</v>
      </c>
      <c r="FE28" s="435">
        <v>10500</v>
      </c>
      <c r="FF28" s="440">
        <v>12</v>
      </c>
      <c r="FG28" s="440">
        <v>10</v>
      </c>
      <c r="FH28" s="440">
        <v>9</v>
      </c>
      <c r="FI28" s="440">
        <v>6</v>
      </c>
      <c r="FJ28" s="440">
        <v>5</v>
      </c>
      <c r="FK28" s="440">
        <v>0</v>
      </c>
      <c r="FL28" s="442">
        <f t="shared" si="11"/>
        <v>0</v>
      </c>
      <c r="FM28" s="440">
        <v>0</v>
      </c>
      <c r="FN28" s="442">
        <f t="shared" si="34"/>
        <v>6.5</v>
      </c>
      <c r="FO28" s="441">
        <v>13</v>
      </c>
      <c r="FP28" s="435">
        <v>10500</v>
      </c>
      <c r="FQ28" s="440">
        <v>-13</v>
      </c>
      <c r="FR28" s="440">
        <v>-11</v>
      </c>
      <c r="FS28" s="440">
        <v>-9</v>
      </c>
      <c r="FT28" s="440">
        <v>-7</v>
      </c>
      <c r="FU28" s="440">
        <v>-5</v>
      </c>
      <c r="FV28" s="440">
        <v>-3</v>
      </c>
      <c r="FW28" s="442">
        <f t="shared" si="12"/>
        <v>-1.5</v>
      </c>
      <c r="FX28" s="440">
        <v>0</v>
      </c>
      <c r="FY28" s="442">
        <f t="shared" si="35"/>
        <v>1</v>
      </c>
      <c r="FZ28" s="440">
        <v>2</v>
      </c>
      <c r="GA28" s="435">
        <v>10500</v>
      </c>
      <c r="GB28" s="440">
        <v>-34</v>
      </c>
      <c r="GC28" s="440">
        <v>-28</v>
      </c>
      <c r="GD28" s="440">
        <v>-23</v>
      </c>
      <c r="GE28" s="440">
        <v>-17</v>
      </c>
      <c r="GF28" s="440">
        <v>-11</v>
      </c>
      <c r="GG28" s="440">
        <v>-6</v>
      </c>
      <c r="GH28" s="442">
        <f t="shared" si="13"/>
        <v>-3</v>
      </c>
      <c r="GI28" s="440">
        <v>0</v>
      </c>
      <c r="GJ28" s="442">
        <f t="shared" si="36"/>
        <v>3</v>
      </c>
      <c r="GK28" s="441">
        <v>6</v>
      </c>
      <c r="GL28" s="435">
        <v>10500</v>
      </c>
      <c r="GM28" s="440">
        <v>-33</v>
      </c>
      <c r="GN28" s="440">
        <v>-28</v>
      </c>
      <c r="GO28" s="440">
        <v>-22</v>
      </c>
      <c r="GP28" s="440">
        <v>-17</v>
      </c>
      <c r="GQ28" s="440">
        <v>-11</v>
      </c>
      <c r="GR28" s="440">
        <v>-6</v>
      </c>
      <c r="GS28" s="442">
        <f t="shared" si="14"/>
        <v>-3</v>
      </c>
      <c r="GT28" s="440">
        <v>0</v>
      </c>
      <c r="GU28" s="442">
        <f t="shared" si="37"/>
        <v>3</v>
      </c>
      <c r="GV28" s="441">
        <v>6</v>
      </c>
      <c r="GW28" s="263"/>
      <c r="GX28" s="263"/>
      <c r="GY28" s="264"/>
      <c r="GZ28" s="267"/>
      <c r="HA28" s="263"/>
      <c r="HB28" s="234"/>
      <c r="HC28" s="251"/>
      <c r="HH28" s="253"/>
    </row>
    <row r="29" spans="1:220">
      <c r="G29" s="435">
        <v>10400</v>
      </c>
      <c r="H29" s="445">
        <v>30</v>
      </c>
      <c r="I29" s="249">
        <v>26</v>
      </c>
      <c r="J29" s="249">
        <v>20</v>
      </c>
      <c r="K29" s="249">
        <v>15</v>
      </c>
      <c r="L29" s="249">
        <v>10</v>
      </c>
      <c r="M29" s="249">
        <v>5</v>
      </c>
      <c r="N29" s="249">
        <f t="shared" si="15"/>
        <v>2.5</v>
      </c>
      <c r="O29" s="249">
        <v>0</v>
      </c>
      <c r="P29" s="249">
        <f t="shared" si="16"/>
        <v>-2.5</v>
      </c>
      <c r="Q29" s="446">
        <v>-5</v>
      </c>
      <c r="R29" s="435">
        <v>10400</v>
      </c>
      <c r="S29" s="248">
        <v>8</v>
      </c>
      <c r="T29" s="248">
        <v>6</v>
      </c>
      <c r="U29" s="248">
        <v>5</v>
      </c>
      <c r="V29" s="248">
        <v>4</v>
      </c>
      <c r="W29" s="248">
        <v>3</v>
      </c>
      <c r="X29" s="248">
        <v>1</v>
      </c>
      <c r="Y29" s="249">
        <f t="shared" si="17"/>
        <v>0.5</v>
      </c>
      <c r="Z29" s="248">
        <v>0</v>
      </c>
      <c r="AA29" s="439">
        <f t="shared" si="18"/>
        <v>-0.5</v>
      </c>
      <c r="AB29" s="248">
        <v>-1</v>
      </c>
      <c r="AC29" s="435">
        <v>10400</v>
      </c>
      <c r="AD29" s="440">
        <v>-39</v>
      </c>
      <c r="AE29" s="440">
        <v>-32</v>
      </c>
      <c r="AF29" s="440">
        <v>-25</v>
      </c>
      <c r="AG29" s="440">
        <v>-19</v>
      </c>
      <c r="AH29" s="440">
        <v>-13</v>
      </c>
      <c r="AI29" s="440">
        <v>-6</v>
      </c>
      <c r="AJ29" s="249">
        <f t="shared" si="19"/>
        <v>-3</v>
      </c>
      <c r="AK29" s="248">
        <v>0</v>
      </c>
      <c r="AL29" s="439">
        <f t="shared" si="20"/>
        <v>3</v>
      </c>
      <c r="AM29" s="441">
        <v>6</v>
      </c>
      <c r="AN29" s="435">
        <v>10400</v>
      </c>
      <c r="AO29" s="440">
        <v>-62</v>
      </c>
      <c r="AP29" s="440">
        <v>-51</v>
      </c>
      <c r="AQ29" s="440">
        <v>-41</v>
      </c>
      <c r="AR29" s="440">
        <v>-31</v>
      </c>
      <c r="AS29" s="440">
        <v>-20</v>
      </c>
      <c r="AT29" s="440">
        <v>-10</v>
      </c>
      <c r="AU29" s="442">
        <f t="shared" si="2"/>
        <v>-5</v>
      </c>
      <c r="AV29" s="440">
        <v>0</v>
      </c>
      <c r="AW29" s="442">
        <f t="shared" si="21"/>
        <v>5</v>
      </c>
      <c r="AX29" s="441">
        <v>10</v>
      </c>
      <c r="AY29" s="435">
        <v>10400</v>
      </c>
      <c r="AZ29" s="440">
        <v>4</v>
      </c>
      <c r="BA29" s="440">
        <v>3</v>
      </c>
      <c r="BB29" s="440">
        <v>2</v>
      </c>
      <c r="BC29" s="440">
        <v>2</v>
      </c>
      <c r="BD29" s="440">
        <v>1</v>
      </c>
      <c r="BE29" s="440">
        <v>1</v>
      </c>
      <c r="BF29" s="442">
        <f t="shared" si="3"/>
        <v>0.5</v>
      </c>
      <c r="BG29" s="440">
        <v>0</v>
      </c>
      <c r="BH29" s="442">
        <f t="shared" si="22"/>
        <v>-0.5</v>
      </c>
      <c r="BI29" s="441">
        <v>-1</v>
      </c>
      <c r="BJ29" s="447">
        <v>10400</v>
      </c>
      <c r="BK29" s="440">
        <v>-31</v>
      </c>
      <c r="BL29" s="440">
        <v>-26</v>
      </c>
      <c r="BM29" s="440">
        <v>-21</v>
      </c>
      <c r="BN29" s="440">
        <v>-16</v>
      </c>
      <c r="BO29" s="440">
        <v>-10</v>
      </c>
      <c r="BP29" s="440">
        <v>-5</v>
      </c>
      <c r="BQ29" s="442">
        <f t="shared" si="4"/>
        <v>-2.5</v>
      </c>
      <c r="BR29" s="440">
        <v>0</v>
      </c>
      <c r="BS29" s="442">
        <f t="shared" si="23"/>
        <v>2.5</v>
      </c>
      <c r="BT29" s="440">
        <v>5</v>
      </c>
      <c r="BU29" s="435">
        <v>10400</v>
      </c>
      <c r="BV29" s="440">
        <v>1</v>
      </c>
      <c r="BW29" s="440">
        <v>1</v>
      </c>
      <c r="BX29" s="440">
        <v>1</v>
      </c>
      <c r="BY29" s="440">
        <v>1</v>
      </c>
      <c r="BZ29" s="440">
        <v>0</v>
      </c>
      <c r="CA29" s="440">
        <v>0</v>
      </c>
      <c r="CB29" s="442">
        <f t="shared" si="5"/>
        <v>0</v>
      </c>
      <c r="CC29" s="440">
        <v>0</v>
      </c>
      <c r="CD29" s="442">
        <f t="shared" si="24"/>
        <v>0</v>
      </c>
      <c r="CE29" s="441">
        <v>0</v>
      </c>
      <c r="CF29" s="435">
        <v>10400</v>
      </c>
      <c r="CG29" s="440">
        <v>-23</v>
      </c>
      <c r="CH29" s="440">
        <v>-19</v>
      </c>
      <c r="CI29" s="440">
        <v>-15</v>
      </c>
      <c r="CJ29" s="440">
        <v>-11</v>
      </c>
      <c r="CK29" s="440">
        <v>-8</v>
      </c>
      <c r="CL29" s="440">
        <v>-4</v>
      </c>
      <c r="CM29" s="442">
        <f t="shared" si="6"/>
        <v>-2</v>
      </c>
      <c r="CN29" s="440">
        <v>0</v>
      </c>
      <c r="CO29" s="442">
        <f t="shared" si="25"/>
        <v>2</v>
      </c>
      <c r="CP29" s="441">
        <v>4</v>
      </c>
      <c r="CQ29" s="435">
        <v>10400</v>
      </c>
      <c r="CR29" s="440">
        <v>1</v>
      </c>
      <c r="CS29" s="440">
        <v>1</v>
      </c>
      <c r="CT29" s="440">
        <v>1</v>
      </c>
      <c r="CU29" s="440">
        <v>1</v>
      </c>
      <c r="CV29" s="440">
        <v>0</v>
      </c>
      <c r="CW29" s="440">
        <v>0</v>
      </c>
      <c r="CX29" s="442">
        <f t="shared" si="7"/>
        <v>0</v>
      </c>
      <c r="CY29" s="440">
        <v>0</v>
      </c>
      <c r="CZ29" s="442">
        <f t="shared" si="26"/>
        <v>0</v>
      </c>
      <c r="DA29" s="441">
        <v>0</v>
      </c>
      <c r="DB29" s="435">
        <v>10400</v>
      </c>
      <c r="DC29" s="440">
        <v>-21</v>
      </c>
      <c r="DD29" s="440">
        <v>-17</v>
      </c>
      <c r="DE29" s="440">
        <v>-14</v>
      </c>
      <c r="DF29" s="440">
        <v>-10</v>
      </c>
      <c r="DG29" s="440">
        <v>-7</v>
      </c>
      <c r="DH29" s="440">
        <v>-3</v>
      </c>
      <c r="DI29" s="442">
        <f t="shared" si="8"/>
        <v>-1.5</v>
      </c>
      <c r="DJ29" s="440">
        <v>0</v>
      </c>
      <c r="DK29" s="442">
        <f t="shared" si="27"/>
        <v>1.5</v>
      </c>
      <c r="DL29" s="441">
        <v>3</v>
      </c>
      <c r="DM29" s="435">
        <v>10400</v>
      </c>
      <c r="DN29" s="440">
        <v>1</v>
      </c>
      <c r="DO29" s="440">
        <v>1</v>
      </c>
      <c r="DP29" s="440">
        <v>1</v>
      </c>
      <c r="DQ29" s="440">
        <v>1</v>
      </c>
      <c r="DR29" s="440">
        <v>0</v>
      </c>
      <c r="DS29" s="440">
        <v>0</v>
      </c>
      <c r="DT29" s="442">
        <f t="shared" si="9"/>
        <v>0</v>
      </c>
      <c r="DU29" s="440">
        <v>0</v>
      </c>
      <c r="DV29" s="442">
        <f t="shared" si="28"/>
        <v>0</v>
      </c>
      <c r="DW29" s="441">
        <v>0</v>
      </c>
      <c r="DX29" s="435">
        <v>10400</v>
      </c>
      <c r="DY29" s="440">
        <v>-24</v>
      </c>
      <c r="DZ29" s="440">
        <v>-20</v>
      </c>
      <c r="EA29" s="440">
        <v>-16</v>
      </c>
      <c r="EB29" s="440">
        <v>-12</v>
      </c>
      <c r="EC29" s="440">
        <v>-8</v>
      </c>
      <c r="ED29" s="440">
        <v>-4</v>
      </c>
      <c r="EE29" s="442">
        <f t="shared" si="10"/>
        <v>-2</v>
      </c>
      <c r="EF29" s="440">
        <v>0</v>
      </c>
      <c r="EG29" s="442">
        <f t="shared" si="29"/>
        <v>2</v>
      </c>
      <c r="EH29" s="440">
        <v>4</v>
      </c>
      <c r="EI29" s="435">
        <v>10400</v>
      </c>
      <c r="EJ29" s="440">
        <v>3</v>
      </c>
      <c r="EK29" s="440">
        <v>3</v>
      </c>
      <c r="EL29" s="440">
        <v>2</v>
      </c>
      <c r="EM29" s="440">
        <v>2</v>
      </c>
      <c r="EN29" s="440">
        <v>1</v>
      </c>
      <c r="EO29" s="440">
        <v>1</v>
      </c>
      <c r="EP29" s="442">
        <f t="shared" si="30"/>
        <v>0.5</v>
      </c>
      <c r="EQ29" s="440">
        <v>0</v>
      </c>
      <c r="ER29" s="442">
        <f t="shared" si="31"/>
        <v>-0.5</v>
      </c>
      <c r="ES29" s="441">
        <v>-1</v>
      </c>
      <c r="ET29" s="435">
        <v>10400</v>
      </c>
      <c r="EU29" s="440">
        <v>-22</v>
      </c>
      <c r="EV29" s="440">
        <v>-19</v>
      </c>
      <c r="EW29" s="440">
        <v>-15</v>
      </c>
      <c r="EX29" s="440">
        <v>-11</v>
      </c>
      <c r="EY29" s="440">
        <v>-7</v>
      </c>
      <c r="EZ29" s="440">
        <v>-4</v>
      </c>
      <c r="FA29" s="442">
        <f t="shared" si="32"/>
        <v>-2</v>
      </c>
      <c r="FB29" s="440">
        <v>0</v>
      </c>
      <c r="FC29" s="442">
        <f t="shared" si="33"/>
        <v>2</v>
      </c>
      <c r="FD29" s="440">
        <v>4</v>
      </c>
      <c r="FE29" s="435">
        <v>10400</v>
      </c>
      <c r="FF29" s="440">
        <v>12</v>
      </c>
      <c r="FG29" s="440">
        <v>10</v>
      </c>
      <c r="FH29" s="440">
        <v>9</v>
      </c>
      <c r="FI29" s="440">
        <v>5</v>
      </c>
      <c r="FJ29" s="440">
        <v>4</v>
      </c>
      <c r="FK29" s="440">
        <v>0</v>
      </c>
      <c r="FL29" s="442">
        <f t="shared" si="11"/>
        <v>0</v>
      </c>
      <c r="FM29" s="440">
        <v>0</v>
      </c>
      <c r="FN29" s="442">
        <f t="shared" si="34"/>
        <v>8</v>
      </c>
      <c r="FO29" s="441">
        <v>16</v>
      </c>
      <c r="FP29" s="435">
        <v>10400</v>
      </c>
      <c r="FQ29" s="440">
        <v>-13</v>
      </c>
      <c r="FR29" s="440">
        <v>-12</v>
      </c>
      <c r="FS29" s="440">
        <v>-9</v>
      </c>
      <c r="FT29" s="440">
        <v>-7</v>
      </c>
      <c r="FU29" s="440">
        <v>-5</v>
      </c>
      <c r="FV29" s="440">
        <v>-2</v>
      </c>
      <c r="FW29" s="442">
        <f t="shared" si="12"/>
        <v>-1</v>
      </c>
      <c r="FX29" s="440">
        <v>0</v>
      </c>
      <c r="FY29" s="442">
        <f t="shared" si="35"/>
        <v>1</v>
      </c>
      <c r="FZ29" s="440">
        <v>2</v>
      </c>
      <c r="GA29" s="435">
        <v>10400</v>
      </c>
      <c r="GB29" s="440">
        <v>-34</v>
      </c>
      <c r="GC29" s="440">
        <v>-28</v>
      </c>
      <c r="GD29" s="440">
        <v>-23</v>
      </c>
      <c r="GE29" s="440">
        <v>-17</v>
      </c>
      <c r="GF29" s="440">
        <v>-11</v>
      </c>
      <c r="GG29" s="440">
        <v>-6</v>
      </c>
      <c r="GH29" s="442">
        <f t="shared" si="13"/>
        <v>-3</v>
      </c>
      <c r="GI29" s="440">
        <v>0</v>
      </c>
      <c r="GJ29" s="442">
        <f t="shared" si="36"/>
        <v>3</v>
      </c>
      <c r="GK29" s="441">
        <v>6</v>
      </c>
      <c r="GL29" s="435">
        <v>10400</v>
      </c>
      <c r="GM29" s="440">
        <v>-33</v>
      </c>
      <c r="GN29" s="440">
        <v>-28</v>
      </c>
      <c r="GO29" s="440">
        <v>-22</v>
      </c>
      <c r="GP29" s="440">
        <v>-17</v>
      </c>
      <c r="GQ29" s="440">
        <v>-11</v>
      </c>
      <c r="GR29" s="440">
        <v>-6</v>
      </c>
      <c r="GS29" s="442">
        <f t="shared" si="14"/>
        <v>-3</v>
      </c>
      <c r="GT29" s="440">
        <v>0</v>
      </c>
      <c r="GU29" s="442">
        <f t="shared" si="37"/>
        <v>3</v>
      </c>
      <c r="GV29" s="441">
        <v>6</v>
      </c>
      <c r="GW29" s="263"/>
      <c r="GX29" s="263"/>
      <c r="GY29" s="264"/>
      <c r="GZ29" s="267"/>
      <c r="HA29" s="263"/>
      <c r="HB29" s="234"/>
      <c r="HC29" s="251"/>
      <c r="HH29" s="253"/>
    </row>
    <row r="30" spans="1:220">
      <c r="G30" s="435">
        <v>10300</v>
      </c>
      <c r="H30" s="445">
        <v>31</v>
      </c>
      <c r="I30" s="249">
        <v>26</v>
      </c>
      <c r="J30" s="249">
        <v>21</v>
      </c>
      <c r="K30" s="249">
        <v>15</v>
      </c>
      <c r="L30" s="249">
        <v>10</v>
      </c>
      <c r="M30" s="249">
        <v>5</v>
      </c>
      <c r="N30" s="249">
        <f t="shared" si="15"/>
        <v>2.5</v>
      </c>
      <c r="O30" s="249">
        <v>0</v>
      </c>
      <c r="P30" s="249">
        <f t="shared" si="16"/>
        <v>-2.5</v>
      </c>
      <c r="Q30" s="446">
        <v>-5</v>
      </c>
      <c r="R30" s="435">
        <v>10300</v>
      </c>
      <c r="S30" s="248">
        <v>8</v>
      </c>
      <c r="T30" s="248">
        <v>6</v>
      </c>
      <c r="U30" s="248">
        <v>5</v>
      </c>
      <c r="V30" s="248">
        <v>4</v>
      </c>
      <c r="W30" s="248">
        <v>3</v>
      </c>
      <c r="X30" s="248">
        <v>1</v>
      </c>
      <c r="Y30" s="249">
        <f t="shared" si="17"/>
        <v>0.5</v>
      </c>
      <c r="Z30" s="248">
        <v>0</v>
      </c>
      <c r="AA30" s="439">
        <f t="shared" si="18"/>
        <v>-0.5</v>
      </c>
      <c r="AB30" s="248">
        <v>-1</v>
      </c>
      <c r="AC30" s="435">
        <v>10300</v>
      </c>
      <c r="AD30" s="440">
        <v>-38</v>
      </c>
      <c r="AE30" s="440">
        <v>-31</v>
      </c>
      <c r="AF30" s="440">
        <v>-25</v>
      </c>
      <c r="AG30" s="440">
        <v>-19</v>
      </c>
      <c r="AH30" s="440">
        <v>-13</v>
      </c>
      <c r="AI30" s="440">
        <v>-6</v>
      </c>
      <c r="AJ30" s="249">
        <f t="shared" si="19"/>
        <v>-3</v>
      </c>
      <c r="AK30" s="248">
        <v>0</v>
      </c>
      <c r="AL30" s="439">
        <f t="shared" si="20"/>
        <v>3</v>
      </c>
      <c r="AM30" s="441">
        <v>6</v>
      </c>
      <c r="AN30" s="435">
        <v>10300</v>
      </c>
      <c r="AO30" s="440">
        <v>-61</v>
      </c>
      <c r="AP30" s="440">
        <v>-51</v>
      </c>
      <c r="AQ30" s="440">
        <v>-41</v>
      </c>
      <c r="AR30" s="440">
        <v>-31</v>
      </c>
      <c r="AS30" s="440">
        <v>-20</v>
      </c>
      <c r="AT30" s="440">
        <v>-10</v>
      </c>
      <c r="AU30" s="442">
        <f t="shared" si="2"/>
        <v>-5</v>
      </c>
      <c r="AV30" s="440">
        <v>0</v>
      </c>
      <c r="AW30" s="442">
        <f t="shared" si="21"/>
        <v>5</v>
      </c>
      <c r="AX30" s="441">
        <v>10</v>
      </c>
      <c r="AY30" s="435">
        <v>10300</v>
      </c>
      <c r="AZ30" s="440">
        <v>4</v>
      </c>
      <c r="BA30" s="440">
        <v>3</v>
      </c>
      <c r="BB30" s="440">
        <v>2</v>
      </c>
      <c r="BC30" s="440">
        <v>2</v>
      </c>
      <c r="BD30" s="440">
        <v>1</v>
      </c>
      <c r="BE30" s="440">
        <v>1</v>
      </c>
      <c r="BF30" s="442">
        <f t="shared" si="3"/>
        <v>0.5</v>
      </c>
      <c r="BG30" s="440">
        <v>0</v>
      </c>
      <c r="BH30" s="442">
        <f t="shared" si="22"/>
        <v>-0.5</v>
      </c>
      <c r="BI30" s="441">
        <v>-1</v>
      </c>
      <c r="BJ30" s="447">
        <v>10300</v>
      </c>
      <c r="BK30" s="440">
        <v>-31</v>
      </c>
      <c r="BL30" s="440">
        <v>-26</v>
      </c>
      <c r="BM30" s="440">
        <v>-21</v>
      </c>
      <c r="BN30" s="440">
        <v>-16</v>
      </c>
      <c r="BO30" s="440">
        <v>-10</v>
      </c>
      <c r="BP30" s="440">
        <v>-5</v>
      </c>
      <c r="BQ30" s="442">
        <f t="shared" si="4"/>
        <v>-2.5</v>
      </c>
      <c r="BR30" s="440">
        <v>0</v>
      </c>
      <c r="BS30" s="442">
        <f t="shared" si="23"/>
        <v>2.5</v>
      </c>
      <c r="BT30" s="440">
        <v>5</v>
      </c>
      <c r="BU30" s="435">
        <v>10300</v>
      </c>
      <c r="BV30" s="440">
        <v>1</v>
      </c>
      <c r="BW30" s="440">
        <v>1</v>
      </c>
      <c r="BX30" s="440">
        <v>1</v>
      </c>
      <c r="BY30" s="440">
        <v>1</v>
      </c>
      <c r="BZ30" s="440">
        <v>0</v>
      </c>
      <c r="CA30" s="440">
        <v>0</v>
      </c>
      <c r="CB30" s="442">
        <f t="shared" si="5"/>
        <v>0</v>
      </c>
      <c r="CC30" s="440">
        <v>0</v>
      </c>
      <c r="CD30" s="442">
        <f t="shared" si="24"/>
        <v>0</v>
      </c>
      <c r="CE30" s="441">
        <v>0</v>
      </c>
      <c r="CF30" s="435">
        <v>10300</v>
      </c>
      <c r="CG30" s="440">
        <v>-23</v>
      </c>
      <c r="CH30" s="440">
        <v>-19</v>
      </c>
      <c r="CI30" s="440">
        <v>-15</v>
      </c>
      <c r="CJ30" s="440">
        <v>-11</v>
      </c>
      <c r="CK30" s="440">
        <v>-8</v>
      </c>
      <c r="CL30" s="440">
        <v>-4</v>
      </c>
      <c r="CM30" s="442">
        <f t="shared" si="6"/>
        <v>-2</v>
      </c>
      <c r="CN30" s="440">
        <v>0</v>
      </c>
      <c r="CO30" s="442">
        <f t="shared" si="25"/>
        <v>2</v>
      </c>
      <c r="CP30" s="441">
        <v>4</v>
      </c>
      <c r="CQ30" s="435">
        <v>10300</v>
      </c>
      <c r="CR30" s="440">
        <v>1</v>
      </c>
      <c r="CS30" s="440">
        <v>1</v>
      </c>
      <c r="CT30" s="440">
        <v>1</v>
      </c>
      <c r="CU30" s="440">
        <v>1</v>
      </c>
      <c r="CV30" s="440">
        <v>0</v>
      </c>
      <c r="CW30" s="440">
        <v>0</v>
      </c>
      <c r="CX30" s="442">
        <f t="shared" si="7"/>
        <v>0</v>
      </c>
      <c r="CY30" s="440">
        <v>0</v>
      </c>
      <c r="CZ30" s="442">
        <f t="shared" si="26"/>
        <v>0</v>
      </c>
      <c r="DA30" s="441">
        <v>0</v>
      </c>
      <c r="DB30" s="435">
        <v>10300</v>
      </c>
      <c r="DC30" s="440">
        <v>-21</v>
      </c>
      <c r="DD30" s="440">
        <v>-17</v>
      </c>
      <c r="DE30" s="440">
        <v>-14</v>
      </c>
      <c r="DF30" s="440">
        <v>-10</v>
      </c>
      <c r="DG30" s="440">
        <v>-7</v>
      </c>
      <c r="DH30" s="440">
        <v>-3</v>
      </c>
      <c r="DI30" s="442">
        <f t="shared" si="8"/>
        <v>-1.5</v>
      </c>
      <c r="DJ30" s="440">
        <v>0</v>
      </c>
      <c r="DK30" s="442">
        <f t="shared" si="27"/>
        <v>1.5</v>
      </c>
      <c r="DL30" s="441">
        <v>3</v>
      </c>
      <c r="DM30" s="435">
        <v>10300</v>
      </c>
      <c r="DN30" s="440">
        <v>1</v>
      </c>
      <c r="DO30" s="440">
        <v>1</v>
      </c>
      <c r="DP30" s="440">
        <v>1</v>
      </c>
      <c r="DQ30" s="440">
        <v>1</v>
      </c>
      <c r="DR30" s="440">
        <v>0</v>
      </c>
      <c r="DS30" s="440">
        <v>0</v>
      </c>
      <c r="DT30" s="442">
        <f t="shared" si="9"/>
        <v>0</v>
      </c>
      <c r="DU30" s="440">
        <v>0</v>
      </c>
      <c r="DV30" s="442">
        <f t="shared" si="28"/>
        <v>0</v>
      </c>
      <c r="DW30" s="441">
        <v>0</v>
      </c>
      <c r="DX30" s="435">
        <v>10300</v>
      </c>
      <c r="DY30" s="440">
        <v>-24</v>
      </c>
      <c r="DZ30" s="440">
        <v>-20</v>
      </c>
      <c r="EA30" s="440">
        <v>-16</v>
      </c>
      <c r="EB30" s="440">
        <v>-12</v>
      </c>
      <c r="EC30" s="440">
        <v>-8</v>
      </c>
      <c r="ED30" s="440">
        <v>-4</v>
      </c>
      <c r="EE30" s="442">
        <f t="shared" si="10"/>
        <v>-2</v>
      </c>
      <c r="EF30" s="440">
        <v>0</v>
      </c>
      <c r="EG30" s="442">
        <f t="shared" si="29"/>
        <v>2</v>
      </c>
      <c r="EH30" s="440">
        <v>4</v>
      </c>
      <c r="EI30" s="435">
        <v>10300</v>
      </c>
      <c r="EJ30" s="440">
        <v>3</v>
      </c>
      <c r="EK30" s="440">
        <v>3</v>
      </c>
      <c r="EL30" s="440">
        <v>2</v>
      </c>
      <c r="EM30" s="440">
        <v>2</v>
      </c>
      <c r="EN30" s="440">
        <v>1</v>
      </c>
      <c r="EO30" s="440">
        <v>1</v>
      </c>
      <c r="EP30" s="442">
        <f t="shared" si="30"/>
        <v>0.5</v>
      </c>
      <c r="EQ30" s="440">
        <v>0</v>
      </c>
      <c r="ER30" s="442">
        <f t="shared" si="31"/>
        <v>-0.5</v>
      </c>
      <c r="ES30" s="441">
        <v>-1</v>
      </c>
      <c r="ET30" s="435">
        <v>10300</v>
      </c>
      <c r="EU30" s="440">
        <v>-22</v>
      </c>
      <c r="EV30" s="440">
        <v>-19</v>
      </c>
      <c r="EW30" s="440">
        <v>-15</v>
      </c>
      <c r="EX30" s="440">
        <v>-11</v>
      </c>
      <c r="EY30" s="440">
        <v>-7</v>
      </c>
      <c r="EZ30" s="440">
        <v>-4</v>
      </c>
      <c r="FA30" s="442">
        <f t="shared" si="32"/>
        <v>-2</v>
      </c>
      <c r="FB30" s="440">
        <v>0</v>
      </c>
      <c r="FC30" s="442">
        <f t="shared" si="33"/>
        <v>2</v>
      </c>
      <c r="FD30" s="440">
        <v>4</v>
      </c>
      <c r="FE30" s="435">
        <v>10300</v>
      </c>
      <c r="FF30" s="440">
        <v>12</v>
      </c>
      <c r="FG30" s="440">
        <v>10</v>
      </c>
      <c r="FH30" s="440">
        <v>9</v>
      </c>
      <c r="FI30" s="440">
        <v>5</v>
      </c>
      <c r="FJ30" s="440">
        <v>4</v>
      </c>
      <c r="FK30" s="440">
        <v>0</v>
      </c>
      <c r="FL30" s="442">
        <f t="shared" si="11"/>
        <v>0</v>
      </c>
      <c r="FM30" s="440">
        <v>0</v>
      </c>
      <c r="FN30" s="442">
        <f t="shared" si="34"/>
        <v>9.5</v>
      </c>
      <c r="FO30" s="441">
        <v>19</v>
      </c>
      <c r="FP30" s="435">
        <v>10300</v>
      </c>
      <c r="FQ30" s="440">
        <v>-14</v>
      </c>
      <c r="FR30" s="440">
        <v>-12</v>
      </c>
      <c r="FS30" s="440">
        <v>-9</v>
      </c>
      <c r="FT30" s="440">
        <v>-7</v>
      </c>
      <c r="FU30" s="440">
        <v>-5</v>
      </c>
      <c r="FV30" s="440">
        <v>-2</v>
      </c>
      <c r="FW30" s="442">
        <f t="shared" si="12"/>
        <v>-1</v>
      </c>
      <c r="FX30" s="440">
        <v>0</v>
      </c>
      <c r="FY30" s="442">
        <f t="shared" si="35"/>
        <v>1</v>
      </c>
      <c r="FZ30" s="440">
        <v>2</v>
      </c>
      <c r="GA30" s="435">
        <v>10300</v>
      </c>
      <c r="GB30" s="440">
        <v>-34</v>
      </c>
      <c r="GC30" s="440">
        <v>-28</v>
      </c>
      <c r="GD30" s="440">
        <v>-23</v>
      </c>
      <c r="GE30" s="440">
        <v>-17</v>
      </c>
      <c r="GF30" s="440">
        <v>-11</v>
      </c>
      <c r="GG30" s="440">
        <v>-6</v>
      </c>
      <c r="GH30" s="442">
        <f t="shared" si="13"/>
        <v>-3</v>
      </c>
      <c r="GI30" s="440">
        <v>0</v>
      </c>
      <c r="GJ30" s="442">
        <f t="shared" si="36"/>
        <v>3</v>
      </c>
      <c r="GK30" s="441">
        <v>6</v>
      </c>
      <c r="GL30" s="435">
        <v>10300</v>
      </c>
      <c r="GM30" s="440">
        <v>-33</v>
      </c>
      <c r="GN30" s="440">
        <v>-28</v>
      </c>
      <c r="GO30" s="440">
        <v>-22</v>
      </c>
      <c r="GP30" s="440">
        <v>-17</v>
      </c>
      <c r="GQ30" s="440">
        <v>-11</v>
      </c>
      <c r="GR30" s="440">
        <v>-6</v>
      </c>
      <c r="GS30" s="442">
        <f t="shared" si="14"/>
        <v>-3</v>
      </c>
      <c r="GT30" s="440">
        <v>0</v>
      </c>
      <c r="GU30" s="442">
        <f t="shared" si="37"/>
        <v>3</v>
      </c>
      <c r="GV30" s="441">
        <v>6</v>
      </c>
      <c r="GW30" s="263"/>
      <c r="GX30" s="263"/>
      <c r="GY30" s="264"/>
      <c r="GZ30" s="267"/>
      <c r="HA30" s="263"/>
      <c r="HB30" s="234"/>
      <c r="HC30" s="251"/>
    </row>
    <row r="31" spans="1:220">
      <c r="G31" s="435">
        <v>10200</v>
      </c>
      <c r="H31" s="445">
        <v>31</v>
      </c>
      <c r="I31" s="249">
        <v>26</v>
      </c>
      <c r="J31" s="249">
        <v>21</v>
      </c>
      <c r="K31" s="249">
        <v>15</v>
      </c>
      <c r="L31" s="249">
        <v>10</v>
      </c>
      <c r="M31" s="249">
        <v>5</v>
      </c>
      <c r="N31" s="249">
        <f t="shared" si="15"/>
        <v>2.5</v>
      </c>
      <c r="O31" s="249">
        <v>0</v>
      </c>
      <c r="P31" s="249">
        <f t="shared" si="16"/>
        <v>-2.5</v>
      </c>
      <c r="Q31" s="446">
        <v>-5</v>
      </c>
      <c r="R31" s="435">
        <v>10200</v>
      </c>
      <c r="S31" s="248">
        <v>8</v>
      </c>
      <c r="T31" s="248">
        <v>6</v>
      </c>
      <c r="U31" s="248">
        <v>5</v>
      </c>
      <c r="V31" s="248">
        <v>4</v>
      </c>
      <c r="W31" s="248">
        <v>3</v>
      </c>
      <c r="X31" s="248">
        <v>1</v>
      </c>
      <c r="Y31" s="249">
        <f t="shared" si="17"/>
        <v>0.5</v>
      </c>
      <c r="Z31" s="248">
        <v>0</v>
      </c>
      <c r="AA31" s="439">
        <f t="shared" si="18"/>
        <v>-0.5</v>
      </c>
      <c r="AB31" s="248">
        <v>-1</v>
      </c>
      <c r="AC31" s="435">
        <v>10200</v>
      </c>
      <c r="AD31" s="440">
        <v>-38</v>
      </c>
      <c r="AE31" s="440">
        <v>-31</v>
      </c>
      <c r="AF31" s="440">
        <v>-25</v>
      </c>
      <c r="AG31" s="440">
        <v>-19</v>
      </c>
      <c r="AH31" s="440">
        <v>-12</v>
      </c>
      <c r="AI31" s="440">
        <v>-6</v>
      </c>
      <c r="AJ31" s="249">
        <f t="shared" si="19"/>
        <v>-3</v>
      </c>
      <c r="AK31" s="248">
        <v>0</v>
      </c>
      <c r="AL31" s="439">
        <f t="shared" si="20"/>
        <v>3</v>
      </c>
      <c r="AM31" s="441">
        <v>6</v>
      </c>
      <c r="AN31" s="435">
        <v>10200</v>
      </c>
      <c r="AO31" s="440">
        <v>-61</v>
      </c>
      <c r="AP31" s="440">
        <v>-51</v>
      </c>
      <c r="AQ31" s="440">
        <v>-41</v>
      </c>
      <c r="AR31" s="440">
        <v>-31</v>
      </c>
      <c r="AS31" s="440">
        <v>-20</v>
      </c>
      <c r="AT31" s="440">
        <v>-10</v>
      </c>
      <c r="AU31" s="442">
        <f t="shared" si="2"/>
        <v>-5</v>
      </c>
      <c r="AV31" s="440">
        <v>0</v>
      </c>
      <c r="AW31" s="442">
        <f t="shared" si="21"/>
        <v>5</v>
      </c>
      <c r="AX31" s="441">
        <v>10</v>
      </c>
      <c r="AY31" s="435">
        <v>10200</v>
      </c>
      <c r="AZ31" s="440">
        <v>4</v>
      </c>
      <c r="BA31" s="440">
        <v>3</v>
      </c>
      <c r="BB31" s="440">
        <v>2</v>
      </c>
      <c r="BC31" s="440">
        <v>2</v>
      </c>
      <c r="BD31" s="440">
        <v>1</v>
      </c>
      <c r="BE31" s="440">
        <v>1</v>
      </c>
      <c r="BF31" s="442">
        <f t="shared" si="3"/>
        <v>0.5</v>
      </c>
      <c r="BG31" s="440">
        <v>0</v>
      </c>
      <c r="BH31" s="442">
        <f t="shared" si="22"/>
        <v>-0.5</v>
      </c>
      <c r="BI31" s="441">
        <v>-1</v>
      </c>
      <c r="BJ31" s="447">
        <v>10200</v>
      </c>
      <c r="BK31" s="440">
        <v>-31</v>
      </c>
      <c r="BL31" s="440">
        <v>-26</v>
      </c>
      <c r="BM31" s="440">
        <v>-21</v>
      </c>
      <c r="BN31" s="440">
        <v>-16</v>
      </c>
      <c r="BO31" s="440">
        <v>-10</v>
      </c>
      <c r="BP31" s="440">
        <v>-5</v>
      </c>
      <c r="BQ31" s="442">
        <f t="shared" si="4"/>
        <v>-2.5</v>
      </c>
      <c r="BR31" s="440">
        <v>0</v>
      </c>
      <c r="BS31" s="442">
        <f t="shared" si="23"/>
        <v>2.5</v>
      </c>
      <c r="BT31" s="440">
        <v>5</v>
      </c>
      <c r="BU31" s="435">
        <v>10200</v>
      </c>
      <c r="BV31" s="440">
        <v>1</v>
      </c>
      <c r="BW31" s="440">
        <v>1</v>
      </c>
      <c r="BX31" s="440">
        <v>1</v>
      </c>
      <c r="BY31" s="440">
        <v>1</v>
      </c>
      <c r="BZ31" s="440">
        <v>0</v>
      </c>
      <c r="CA31" s="440">
        <v>0</v>
      </c>
      <c r="CB31" s="442">
        <f t="shared" si="5"/>
        <v>0</v>
      </c>
      <c r="CC31" s="440">
        <v>0</v>
      </c>
      <c r="CD31" s="442">
        <f t="shared" si="24"/>
        <v>0</v>
      </c>
      <c r="CE31" s="441">
        <v>0</v>
      </c>
      <c r="CF31" s="435">
        <v>10200</v>
      </c>
      <c r="CG31" s="440">
        <v>-23</v>
      </c>
      <c r="CH31" s="440">
        <v>-19</v>
      </c>
      <c r="CI31" s="440">
        <v>-15</v>
      </c>
      <c r="CJ31" s="440">
        <v>-11</v>
      </c>
      <c r="CK31" s="440">
        <v>-8</v>
      </c>
      <c r="CL31" s="440">
        <v>-4</v>
      </c>
      <c r="CM31" s="442">
        <f t="shared" si="6"/>
        <v>-2</v>
      </c>
      <c r="CN31" s="440">
        <v>0</v>
      </c>
      <c r="CO31" s="442">
        <f t="shared" si="25"/>
        <v>2</v>
      </c>
      <c r="CP31" s="441">
        <v>4</v>
      </c>
      <c r="CQ31" s="435">
        <v>10200</v>
      </c>
      <c r="CR31" s="440">
        <v>1</v>
      </c>
      <c r="CS31" s="440">
        <v>1</v>
      </c>
      <c r="CT31" s="440">
        <v>1</v>
      </c>
      <c r="CU31" s="440">
        <v>1</v>
      </c>
      <c r="CV31" s="440">
        <v>0</v>
      </c>
      <c r="CW31" s="440">
        <v>0</v>
      </c>
      <c r="CX31" s="442">
        <f t="shared" si="7"/>
        <v>0</v>
      </c>
      <c r="CY31" s="440">
        <v>0</v>
      </c>
      <c r="CZ31" s="442">
        <f t="shared" si="26"/>
        <v>0</v>
      </c>
      <c r="DA31" s="441">
        <v>0</v>
      </c>
      <c r="DB31" s="435">
        <v>10200</v>
      </c>
      <c r="DC31" s="440">
        <v>-21</v>
      </c>
      <c r="DD31" s="440">
        <v>-17</v>
      </c>
      <c r="DE31" s="440">
        <v>-14</v>
      </c>
      <c r="DF31" s="440">
        <v>-10</v>
      </c>
      <c r="DG31" s="440">
        <v>-7</v>
      </c>
      <c r="DH31" s="440">
        <v>-3</v>
      </c>
      <c r="DI31" s="442">
        <f t="shared" si="8"/>
        <v>-1.5</v>
      </c>
      <c r="DJ31" s="440">
        <v>0</v>
      </c>
      <c r="DK31" s="442">
        <f t="shared" si="27"/>
        <v>1.5</v>
      </c>
      <c r="DL31" s="441">
        <v>3</v>
      </c>
      <c r="DM31" s="435">
        <v>10200</v>
      </c>
      <c r="DN31" s="440">
        <v>1</v>
      </c>
      <c r="DO31" s="440">
        <v>1</v>
      </c>
      <c r="DP31" s="440">
        <v>1</v>
      </c>
      <c r="DQ31" s="440">
        <v>1</v>
      </c>
      <c r="DR31" s="440">
        <v>0</v>
      </c>
      <c r="DS31" s="440">
        <v>0</v>
      </c>
      <c r="DT31" s="442">
        <f t="shared" si="9"/>
        <v>0</v>
      </c>
      <c r="DU31" s="440">
        <v>0</v>
      </c>
      <c r="DV31" s="442">
        <f t="shared" si="28"/>
        <v>0</v>
      </c>
      <c r="DW31" s="441">
        <v>0</v>
      </c>
      <c r="DX31" s="435">
        <v>10200</v>
      </c>
      <c r="DY31" s="440">
        <v>-24</v>
      </c>
      <c r="DZ31" s="440">
        <v>-20</v>
      </c>
      <c r="EA31" s="440">
        <v>-16</v>
      </c>
      <c r="EB31" s="440">
        <v>-12</v>
      </c>
      <c r="EC31" s="440">
        <v>-8</v>
      </c>
      <c r="ED31" s="440">
        <v>-4</v>
      </c>
      <c r="EE31" s="442">
        <f t="shared" si="10"/>
        <v>-2</v>
      </c>
      <c r="EF31" s="440">
        <v>0</v>
      </c>
      <c r="EG31" s="442">
        <f t="shared" si="29"/>
        <v>2</v>
      </c>
      <c r="EH31" s="440">
        <v>4</v>
      </c>
      <c r="EI31" s="435">
        <v>10200</v>
      </c>
      <c r="EJ31" s="440">
        <v>3</v>
      </c>
      <c r="EK31" s="440">
        <v>3</v>
      </c>
      <c r="EL31" s="440">
        <v>2</v>
      </c>
      <c r="EM31" s="440">
        <v>2</v>
      </c>
      <c r="EN31" s="440">
        <v>1</v>
      </c>
      <c r="EO31" s="440">
        <v>1</v>
      </c>
      <c r="EP31" s="442">
        <f t="shared" si="30"/>
        <v>0.5</v>
      </c>
      <c r="EQ31" s="440">
        <v>0</v>
      </c>
      <c r="ER31" s="442">
        <f t="shared" si="31"/>
        <v>-0.5</v>
      </c>
      <c r="ES31" s="441">
        <v>-1</v>
      </c>
      <c r="ET31" s="435">
        <v>10200</v>
      </c>
      <c r="EU31" s="440">
        <v>-22</v>
      </c>
      <c r="EV31" s="440">
        <v>-19</v>
      </c>
      <c r="EW31" s="440">
        <v>-15</v>
      </c>
      <c r="EX31" s="440">
        <v>-11</v>
      </c>
      <c r="EY31" s="440">
        <v>-7</v>
      </c>
      <c r="EZ31" s="440">
        <v>-4</v>
      </c>
      <c r="FA31" s="442">
        <f t="shared" si="32"/>
        <v>-2</v>
      </c>
      <c r="FB31" s="440">
        <v>0</v>
      </c>
      <c r="FC31" s="442">
        <f t="shared" si="33"/>
        <v>2</v>
      </c>
      <c r="FD31" s="440">
        <v>4</v>
      </c>
      <c r="FE31" s="435">
        <v>10200</v>
      </c>
      <c r="FF31" s="440">
        <v>11</v>
      </c>
      <c r="FG31" s="440">
        <v>9</v>
      </c>
      <c r="FH31" s="440">
        <v>8</v>
      </c>
      <c r="FI31" s="440">
        <v>4</v>
      </c>
      <c r="FJ31" s="440">
        <v>3</v>
      </c>
      <c r="FK31" s="440">
        <v>0</v>
      </c>
      <c r="FL31" s="442">
        <f t="shared" si="11"/>
        <v>0</v>
      </c>
      <c r="FM31" s="440">
        <v>0</v>
      </c>
      <c r="FN31" s="442">
        <f t="shared" si="34"/>
        <v>9</v>
      </c>
      <c r="FO31" s="441">
        <v>18</v>
      </c>
      <c r="FP31" s="435">
        <v>10200</v>
      </c>
      <c r="FQ31" s="440">
        <v>-14</v>
      </c>
      <c r="FR31" s="440">
        <v>-12</v>
      </c>
      <c r="FS31" s="440">
        <v>-9</v>
      </c>
      <c r="FT31" s="440">
        <v>-7</v>
      </c>
      <c r="FU31" s="440">
        <v>-5</v>
      </c>
      <c r="FV31" s="440">
        <v>-2</v>
      </c>
      <c r="FW31" s="442">
        <f t="shared" si="12"/>
        <v>-1</v>
      </c>
      <c r="FX31" s="440">
        <v>0</v>
      </c>
      <c r="FY31" s="442">
        <f t="shared" si="35"/>
        <v>1.5</v>
      </c>
      <c r="FZ31" s="440">
        <v>3</v>
      </c>
      <c r="GA31" s="435">
        <v>10200</v>
      </c>
      <c r="GB31" s="440">
        <v>-34</v>
      </c>
      <c r="GC31" s="440">
        <v>-28</v>
      </c>
      <c r="GD31" s="440">
        <v>-23</v>
      </c>
      <c r="GE31" s="440">
        <v>-17</v>
      </c>
      <c r="GF31" s="440">
        <v>-11</v>
      </c>
      <c r="GG31" s="440">
        <v>-6</v>
      </c>
      <c r="GH31" s="442">
        <f t="shared" si="13"/>
        <v>-3</v>
      </c>
      <c r="GI31" s="440">
        <v>0</v>
      </c>
      <c r="GJ31" s="442">
        <f t="shared" si="36"/>
        <v>3</v>
      </c>
      <c r="GK31" s="441">
        <v>6</v>
      </c>
      <c r="GL31" s="435">
        <v>10200</v>
      </c>
      <c r="GM31" s="440">
        <v>-33</v>
      </c>
      <c r="GN31" s="440">
        <v>-28</v>
      </c>
      <c r="GO31" s="440">
        <v>-22</v>
      </c>
      <c r="GP31" s="440">
        <v>-16</v>
      </c>
      <c r="GQ31" s="440">
        <v>-11</v>
      </c>
      <c r="GR31" s="440">
        <v>-6</v>
      </c>
      <c r="GS31" s="442">
        <f t="shared" si="14"/>
        <v>-3</v>
      </c>
      <c r="GT31" s="440">
        <v>0</v>
      </c>
      <c r="GU31" s="442">
        <f t="shared" si="37"/>
        <v>3</v>
      </c>
      <c r="GV31" s="441">
        <v>6</v>
      </c>
      <c r="GW31" s="263"/>
      <c r="GX31" s="263"/>
      <c r="GY31" s="264"/>
      <c r="GZ31" s="267"/>
      <c r="HA31" s="263"/>
      <c r="HB31" s="234"/>
      <c r="HC31" s="251"/>
    </row>
    <row r="32" spans="1:220">
      <c r="G32" s="435">
        <v>10100</v>
      </c>
      <c r="H32" s="445">
        <v>31</v>
      </c>
      <c r="I32" s="249">
        <v>26</v>
      </c>
      <c r="J32" s="249">
        <v>21</v>
      </c>
      <c r="K32" s="249">
        <v>15</v>
      </c>
      <c r="L32" s="249">
        <v>11</v>
      </c>
      <c r="M32" s="249">
        <v>5</v>
      </c>
      <c r="N32" s="249">
        <f t="shared" si="15"/>
        <v>2.5</v>
      </c>
      <c r="O32" s="249">
        <v>0</v>
      </c>
      <c r="P32" s="249">
        <f t="shared" si="16"/>
        <v>-2.5</v>
      </c>
      <c r="Q32" s="446">
        <v>-5</v>
      </c>
      <c r="R32" s="435">
        <v>10100</v>
      </c>
      <c r="S32" s="248">
        <v>8</v>
      </c>
      <c r="T32" s="248">
        <v>7</v>
      </c>
      <c r="U32" s="248">
        <v>6</v>
      </c>
      <c r="V32" s="248">
        <v>4</v>
      </c>
      <c r="W32" s="248">
        <v>3</v>
      </c>
      <c r="X32" s="248">
        <v>1</v>
      </c>
      <c r="Y32" s="249">
        <f t="shared" si="17"/>
        <v>0.5</v>
      </c>
      <c r="Z32" s="248">
        <v>0</v>
      </c>
      <c r="AA32" s="439">
        <f t="shared" si="18"/>
        <v>-1</v>
      </c>
      <c r="AB32" s="248">
        <v>-2</v>
      </c>
      <c r="AC32" s="435">
        <v>10100</v>
      </c>
      <c r="AD32" s="440">
        <v>-37</v>
      </c>
      <c r="AE32" s="440">
        <v>-30</v>
      </c>
      <c r="AF32" s="440">
        <v>-24</v>
      </c>
      <c r="AG32" s="440">
        <v>-18</v>
      </c>
      <c r="AH32" s="440">
        <v>-12</v>
      </c>
      <c r="AI32" s="440">
        <v>-6</v>
      </c>
      <c r="AJ32" s="249">
        <f t="shared" si="19"/>
        <v>-3</v>
      </c>
      <c r="AK32" s="248">
        <v>0</v>
      </c>
      <c r="AL32" s="439">
        <f t="shared" si="20"/>
        <v>3</v>
      </c>
      <c r="AM32" s="441">
        <v>6</v>
      </c>
      <c r="AN32" s="435">
        <v>10100</v>
      </c>
      <c r="AO32" s="440">
        <v>-60</v>
      </c>
      <c r="AP32" s="440">
        <v>-50</v>
      </c>
      <c r="AQ32" s="440">
        <v>-40</v>
      </c>
      <c r="AR32" s="440">
        <v>-30</v>
      </c>
      <c r="AS32" s="440">
        <v>-20</v>
      </c>
      <c r="AT32" s="440">
        <v>-10</v>
      </c>
      <c r="AU32" s="442">
        <f t="shared" si="2"/>
        <v>-5</v>
      </c>
      <c r="AV32" s="440">
        <v>0</v>
      </c>
      <c r="AW32" s="442">
        <f t="shared" si="21"/>
        <v>5</v>
      </c>
      <c r="AX32" s="441">
        <v>10</v>
      </c>
      <c r="AY32" s="435">
        <v>10100</v>
      </c>
      <c r="AZ32" s="440">
        <v>4</v>
      </c>
      <c r="BA32" s="440">
        <v>3</v>
      </c>
      <c r="BB32" s="440">
        <v>2</v>
      </c>
      <c r="BC32" s="440">
        <v>2</v>
      </c>
      <c r="BD32" s="440">
        <v>1</v>
      </c>
      <c r="BE32" s="440">
        <v>1</v>
      </c>
      <c r="BF32" s="442">
        <f t="shared" si="3"/>
        <v>0.5</v>
      </c>
      <c r="BG32" s="440">
        <v>0</v>
      </c>
      <c r="BH32" s="442">
        <f t="shared" si="22"/>
        <v>-0.5</v>
      </c>
      <c r="BI32" s="441">
        <v>-1</v>
      </c>
      <c r="BJ32" s="447">
        <v>10100</v>
      </c>
      <c r="BK32" s="440">
        <v>-31</v>
      </c>
      <c r="BL32" s="440">
        <v>-26</v>
      </c>
      <c r="BM32" s="440">
        <v>-21</v>
      </c>
      <c r="BN32" s="440">
        <v>-16</v>
      </c>
      <c r="BO32" s="440">
        <v>-10</v>
      </c>
      <c r="BP32" s="440">
        <v>-5</v>
      </c>
      <c r="BQ32" s="442">
        <f t="shared" si="4"/>
        <v>-2.5</v>
      </c>
      <c r="BR32" s="440">
        <v>0</v>
      </c>
      <c r="BS32" s="442">
        <f t="shared" si="23"/>
        <v>2.5</v>
      </c>
      <c r="BT32" s="440">
        <v>5</v>
      </c>
      <c r="BU32" s="435">
        <v>10100</v>
      </c>
      <c r="BV32" s="440">
        <v>1</v>
      </c>
      <c r="BW32" s="440">
        <v>1</v>
      </c>
      <c r="BX32" s="440">
        <v>1</v>
      </c>
      <c r="BY32" s="440">
        <v>1</v>
      </c>
      <c r="BZ32" s="440">
        <v>0</v>
      </c>
      <c r="CA32" s="440">
        <v>0</v>
      </c>
      <c r="CB32" s="442">
        <f t="shared" si="5"/>
        <v>0</v>
      </c>
      <c r="CC32" s="440">
        <v>0</v>
      </c>
      <c r="CD32" s="442">
        <f t="shared" si="24"/>
        <v>0</v>
      </c>
      <c r="CE32" s="441">
        <v>0</v>
      </c>
      <c r="CF32" s="435">
        <v>10100</v>
      </c>
      <c r="CG32" s="440">
        <v>-23</v>
      </c>
      <c r="CH32" s="440">
        <v>-19</v>
      </c>
      <c r="CI32" s="440">
        <v>-15</v>
      </c>
      <c r="CJ32" s="440">
        <v>-11</v>
      </c>
      <c r="CK32" s="440">
        <v>-8</v>
      </c>
      <c r="CL32" s="440">
        <v>-4</v>
      </c>
      <c r="CM32" s="442">
        <f t="shared" si="6"/>
        <v>-2</v>
      </c>
      <c r="CN32" s="440">
        <v>0</v>
      </c>
      <c r="CO32" s="442">
        <f t="shared" si="25"/>
        <v>2</v>
      </c>
      <c r="CP32" s="441">
        <v>4</v>
      </c>
      <c r="CQ32" s="435">
        <v>10100</v>
      </c>
      <c r="CR32" s="440">
        <v>1</v>
      </c>
      <c r="CS32" s="440">
        <v>1</v>
      </c>
      <c r="CT32" s="440">
        <v>1</v>
      </c>
      <c r="CU32" s="440">
        <v>1</v>
      </c>
      <c r="CV32" s="440">
        <v>0</v>
      </c>
      <c r="CW32" s="440">
        <v>0</v>
      </c>
      <c r="CX32" s="442">
        <f t="shared" si="7"/>
        <v>0</v>
      </c>
      <c r="CY32" s="440">
        <v>0</v>
      </c>
      <c r="CZ32" s="442">
        <f t="shared" si="26"/>
        <v>0</v>
      </c>
      <c r="DA32" s="441">
        <v>0</v>
      </c>
      <c r="DB32" s="435">
        <v>10100</v>
      </c>
      <c r="DC32" s="440">
        <v>-21</v>
      </c>
      <c r="DD32" s="440">
        <v>-17</v>
      </c>
      <c r="DE32" s="440">
        <v>-14</v>
      </c>
      <c r="DF32" s="440">
        <v>-10</v>
      </c>
      <c r="DG32" s="440">
        <v>-7</v>
      </c>
      <c r="DH32" s="440">
        <v>-3</v>
      </c>
      <c r="DI32" s="442">
        <f t="shared" si="8"/>
        <v>-1.5</v>
      </c>
      <c r="DJ32" s="440">
        <v>0</v>
      </c>
      <c r="DK32" s="442">
        <f t="shared" si="27"/>
        <v>1.5</v>
      </c>
      <c r="DL32" s="441">
        <v>3</v>
      </c>
      <c r="DM32" s="435">
        <v>10100</v>
      </c>
      <c r="DN32" s="440">
        <v>1</v>
      </c>
      <c r="DO32" s="440">
        <v>1</v>
      </c>
      <c r="DP32" s="440">
        <v>1</v>
      </c>
      <c r="DQ32" s="440">
        <v>1</v>
      </c>
      <c r="DR32" s="440">
        <v>0</v>
      </c>
      <c r="DS32" s="440">
        <v>0</v>
      </c>
      <c r="DT32" s="442">
        <f t="shared" si="9"/>
        <v>0</v>
      </c>
      <c r="DU32" s="440">
        <v>0</v>
      </c>
      <c r="DV32" s="442">
        <f t="shared" si="28"/>
        <v>0</v>
      </c>
      <c r="DW32" s="441">
        <v>0</v>
      </c>
      <c r="DX32" s="435">
        <v>10100</v>
      </c>
      <c r="DY32" s="440">
        <v>-24</v>
      </c>
      <c r="DZ32" s="440">
        <v>-20</v>
      </c>
      <c r="EA32" s="440">
        <v>-16</v>
      </c>
      <c r="EB32" s="440">
        <v>-12</v>
      </c>
      <c r="EC32" s="440">
        <v>-8</v>
      </c>
      <c r="ED32" s="440">
        <v>-4</v>
      </c>
      <c r="EE32" s="442">
        <f t="shared" si="10"/>
        <v>-2</v>
      </c>
      <c r="EF32" s="440">
        <v>0</v>
      </c>
      <c r="EG32" s="442">
        <f t="shared" si="29"/>
        <v>2</v>
      </c>
      <c r="EH32" s="440">
        <v>4</v>
      </c>
      <c r="EI32" s="435">
        <v>10100</v>
      </c>
      <c r="EJ32" s="440">
        <v>3</v>
      </c>
      <c r="EK32" s="440">
        <v>3</v>
      </c>
      <c r="EL32" s="440">
        <v>2</v>
      </c>
      <c r="EM32" s="440">
        <v>2</v>
      </c>
      <c r="EN32" s="440">
        <v>1</v>
      </c>
      <c r="EO32" s="440">
        <v>1</v>
      </c>
      <c r="EP32" s="442">
        <f t="shared" si="30"/>
        <v>0.5</v>
      </c>
      <c r="EQ32" s="440">
        <v>0</v>
      </c>
      <c r="ER32" s="442">
        <f t="shared" si="31"/>
        <v>-0.5</v>
      </c>
      <c r="ES32" s="441">
        <v>-1</v>
      </c>
      <c r="ET32" s="435">
        <v>10100</v>
      </c>
      <c r="EU32" s="440">
        <v>-22</v>
      </c>
      <c r="EV32" s="440">
        <v>-19</v>
      </c>
      <c r="EW32" s="440">
        <v>-15</v>
      </c>
      <c r="EX32" s="440">
        <v>-11</v>
      </c>
      <c r="EY32" s="440">
        <v>-7</v>
      </c>
      <c r="EZ32" s="440">
        <v>-4</v>
      </c>
      <c r="FA32" s="442">
        <f t="shared" si="32"/>
        <v>-2</v>
      </c>
      <c r="FB32" s="440">
        <v>0</v>
      </c>
      <c r="FC32" s="442">
        <f t="shared" si="33"/>
        <v>2</v>
      </c>
      <c r="FD32" s="440">
        <v>4</v>
      </c>
      <c r="FE32" s="435">
        <v>10100</v>
      </c>
      <c r="FF32" s="440">
        <v>10</v>
      </c>
      <c r="FG32" s="440">
        <v>8</v>
      </c>
      <c r="FH32" s="440">
        <v>7</v>
      </c>
      <c r="FI32" s="440">
        <v>3</v>
      </c>
      <c r="FJ32" s="440">
        <v>3</v>
      </c>
      <c r="FK32" s="440">
        <v>-1</v>
      </c>
      <c r="FL32" s="442">
        <f t="shared" si="11"/>
        <v>-0.5</v>
      </c>
      <c r="FM32" s="440">
        <v>0</v>
      </c>
      <c r="FN32" s="442">
        <f t="shared" si="34"/>
        <v>8.5</v>
      </c>
      <c r="FO32" s="441">
        <v>17</v>
      </c>
      <c r="FP32" s="435">
        <v>10100</v>
      </c>
      <c r="FQ32" s="440">
        <v>-15</v>
      </c>
      <c r="FR32" s="440">
        <v>-13</v>
      </c>
      <c r="FS32" s="440">
        <v>-10</v>
      </c>
      <c r="FT32" s="440">
        <v>-8</v>
      </c>
      <c r="FU32" s="440">
        <v>-5</v>
      </c>
      <c r="FV32" s="440">
        <v>-3</v>
      </c>
      <c r="FW32" s="442">
        <f t="shared" si="12"/>
        <v>-1.5</v>
      </c>
      <c r="FX32" s="440">
        <v>0</v>
      </c>
      <c r="FY32" s="442">
        <f t="shared" si="35"/>
        <v>1.5</v>
      </c>
      <c r="FZ32" s="440">
        <v>3</v>
      </c>
      <c r="GA32" s="435">
        <v>10100</v>
      </c>
      <c r="GB32" s="440">
        <v>-34</v>
      </c>
      <c r="GC32" s="440">
        <v>-28</v>
      </c>
      <c r="GD32" s="440">
        <v>-23</v>
      </c>
      <c r="GE32" s="440">
        <v>-17</v>
      </c>
      <c r="GF32" s="440">
        <v>-11</v>
      </c>
      <c r="GG32" s="440">
        <v>-6</v>
      </c>
      <c r="GH32" s="442">
        <f t="shared" si="13"/>
        <v>-3</v>
      </c>
      <c r="GI32" s="440">
        <v>0</v>
      </c>
      <c r="GJ32" s="442">
        <f t="shared" si="36"/>
        <v>3</v>
      </c>
      <c r="GK32" s="441">
        <v>6</v>
      </c>
      <c r="GL32" s="435">
        <v>10100</v>
      </c>
      <c r="GM32" s="440">
        <v>-33</v>
      </c>
      <c r="GN32" s="440">
        <v>-27</v>
      </c>
      <c r="GO32" s="440">
        <v>-22</v>
      </c>
      <c r="GP32" s="440">
        <v>-16</v>
      </c>
      <c r="GQ32" s="440">
        <v>-11</v>
      </c>
      <c r="GR32" s="440">
        <v>-6</v>
      </c>
      <c r="GS32" s="442">
        <f t="shared" si="14"/>
        <v>-3</v>
      </c>
      <c r="GT32" s="440">
        <v>0</v>
      </c>
      <c r="GU32" s="442">
        <f t="shared" si="37"/>
        <v>2.5</v>
      </c>
      <c r="GV32" s="441">
        <v>5</v>
      </c>
      <c r="GW32" s="263"/>
      <c r="GX32" s="263"/>
      <c r="GY32" s="264"/>
      <c r="GZ32" s="265"/>
      <c r="HA32" s="263"/>
      <c r="HB32" s="234"/>
      <c r="HC32" s="251"/>
    </row>
    <row r="33" spans="3:211">
      <c r="G33" s="435">
        <v>10000</v>
      </c>
      <c r="H33" s="445">
        <v>31</v>
      </c>
      <c r="I33" s="249">
        <v>26</v>
      </c>
      <c r="J33" s="249">
        <v>21</v>
      </c>
      <c r="K33" s="249">
        <v>16</v>
      </c>
      <c r="L33" s="249">
        <v>11</v>
      </c>
      <c r="M33" s="249">
        <v>5</v>
      </c>
      <c r="N33" s="249">
        <f t="shared" si="15"/>
        <v>2.5</v>
      </c>
      <c r="O33" s="249">
        <v>0</v>
      </c>
      <c r="P33" s="249">
        <f t="shared" si="16"/>
        <v>-2.5</v>
      </c>
      <c r="Q33" s="446">
        <v>-5</v>
      </c>
      <c r="R33" s="435">
        <v>10000</v>
      </c>
      <c r="S33" s="248">
        <v>8</v>
      </c>
      <c r="T33" s="248">
        <v>7</v>
      </c>
      <c r="U33" s="248">
        <v>6</v>
      </c>
      <c r="V33" s="248">
        <v>4</v>
      </c>
      <c r="W33" s="248">
        <v>3</v>
      </c>
      <c r="X33" s="248">
        <v>1</v>
      </c>
      <c r="Y33" s="249">
        <f t="shared" si="17"/>
        <v>0.5</v>
      </c>
      <c r="Z33" s="248">
        <v>0</v>
      </c>
      <c r="AA33" s="439">
        <f t="shared" si="18"/>
        <v>-1</v>
      </c>
      <c r="AB33" s="248">
        <v>-2</v>
      </c>
      <c r="AC33" s="435">
        <v>10000</v>
      </c>
      <c r="AD33" s="440">
        <v>-36</v>
      </c>
      <c r="AE33" s="440">
        <v>-30</v>
      </c>
      <c r="AF33" s="440">
        <v>-23</v>
      </c>
      <c r="AG33" s="440">
        <v>-18</v>
      </c>
      <c r="AH33" s="440">
        <v>-12</v>
      </c>
      <c r="AI33" s="440">
        <v>-6</v>
      </c>
      <c r="AJ33" s="249">
        <f t="shared" si="19"/>
        <v>-3</v>
      </c>
      <c r="AK33" s="248">
        <v>0</v>
      </c>
      <c r="AL33" s="439">
        <f t="shared" si="20"/>
        <v>3</v>
      </c>
      <c r="AM33" s="441">
        <v>6</v>
      </c>
      <c r="AN33" s="435">
        <v>10000</v>
      </c>
      <c r="AO33" s="440">
        <v>-60</v>
      </c>
      <c r="AP33" s="440">
        <v>-49</v>
      </c>
      <c r="AQ33" s="440">
        <v>-39</v>
      </c>
      <c r="AR33" s="440">
        <v>-29</v>
      </c>
      <c r="AS33" s="440">
        <v>-20</v>
      </c>
      <c r="AT33" s="440">
        <v>-10</v>
      </c>
      <c r="AU33" s="442">
        <f t="shared" si="2"/>
        <v>-5</v>
      </c>
      <c r="AV33" s="440">
        <v>0</v>
      </c>
      <c r="AW33" s="442">
        <f t="shared" si="21"/>
        <v>5</v>
      </c>
      <c r="AX33" s="441">
        <v>10</v>
      </c>
      <c r="AY33" s="435">
        <v>10000</v>
      </c>
      <c r="AZ33" s="440">
        <v>4</v>
      </c>
      <c r="BA33" s="440">
        <v>3</v>
      </c>
      <c r="BB33" s="440">
        <v>2</v>
      </c>
      <c r="BC33" s="440">
        <v>2</v>
      </c>
      <c r="BD33" s="440">
        <v>1</v>
      </c>
      <c r="BE33" s="440">
        <v>1</v>
      </c>
      <c r="BF33" s="442">
        <f t="shared" si="3"/>
        <v>0.5</v>
      </c>
      <c r="BG33" s="440">
        <v>0</v>
      </c>
      <c r="BH33" s="442">
        <f t="shared" si="22"/>
        <v>-0.5</v>
      </c>
      <c r="BI33" s="441">
        <v>-1</v>
      </c>
      <c r="BJ33" s="447">
        <v>10000</v>
      </c>
      <c r="BK33" s="440">
        <v>-31</v>
      </c>
      <c r="BL33" s="440">
        <v>-26</v>
      </c>
      <c r="BM33" s="440">
        <v>-21</v>
      </c>
      <c r="BN33" s="440">
        <v>-16</v>
      </c>
      <c r="BO33" s="440">
        <v>-10</v>
      </c>
      <c r="BP33" s="440">
        <v>-5</v>
      </c>
      <c r="BQ33" s="442">
        <f t="shared" si="4"/>
        <v>-2.5</v>
      </c>
      <c r="BR33" s="440">
        <v>0</v>
      </c>
      <c r="BS33" s="442">
        <f t="shared" si="23"/>
        <v>2.5</v>
      </c>
      <c r="BT33" s="440">
        <v>5</v>
      </c>
      <c r="BU33" s="435">
        <v>10000</v>
      </c>
      <c r="BV33" s="440">
        <v>1</v>
      </c>
      <c r="BW33" s="440">
        <v>1</v>
      </c>
      <c r="BX33" s="440">
        <v>1</v>
      </c>
      <c r="BY33" s="440">
        <v>1</v>
      </c>
      <c r="BZ33" s="440">
        <v>0</v>
      </c>
      <c r="CA33" s="440">
        <v>0</v>
      </c>
      <c r="CB33" s="442">
        <f t="shared" si="5"/>
        <v>0</v>
      </c>
      <c r="CC33" s="440">
        <v>0</v>
      </c>
      <c r="CD33" s="442">
        <f t="shared" si="24"/>
        <v>0</v>
      </c>
      <c r="CE33" s="441">
        <v>0</v>
      </c>
      <c r="CF33" s="435">
        <v>10000</v>
      </c>
      <c r="CG33" s="440">
        <v>-23</v>
      </c>
      <c r="CH33" s="440">
        <v>-19</v>
      </c>
      <c r="CI33" s="440">
        <v>-15</v>
      </c>
      <c r="CJ33" s="440">
        <v>-11</v>
      </c>
      <c r="CK33" s="440">
        <v>-8</v>
      </c>
      <c r="CL33" s="440">
        <v>-4</v>
      </c>
      <c r="CM33" s="442">
        <f t="shared" si="6"/>
        <v>-2</v>
      </c>
      <c r="CN33" s="440">
        <v>0</v>
      </c>
      <c r="CO33" s="442">
        <f t="shared" si="25"/>
        <v>2</v>
      </c>
      <c r="CP33" s="441">
        <v>4</v>
      </c>
      <c r="CQ33" s="435">
        <v>10000</v>
      </c>
      <c r="CR33" s="440">
        <v>1</v>
      </c>
      <c r="CS33" s="440">
        <v>1</v>
      </c>
      <c r="CT33" s="440">
        <v>1</v>
      </c>
      <c r="CU33" s="440">
        <v>1</v>
      </c>
      <c r="CV33" s="440">
        <v>0</v>
      </c>
      <c r="CW33" s="440">
        <v>0</v>
      </c>
      <c r="CX33" s="442">
        <f t="shared" si="7"/>
        <v>0</v>
      </c>
      <c r="CY33" s="440">
        <v>0</v>
      </c>
      <c r="CZ33" s="442">
        <f t="shared" si="26"/>
        <v>0</v>
      </c>
      <c r="DA33" s="441">
        <v>0</v>
      </c>
      <c r="DB33" s="435">
        <v>10000</v>
      </c>
      <c r="DC33" s="440">
        <v>-21</v>
      </c>
      <c r="DD33" s="440">
        <v>-17</v>
      </c>
      <c r="DE33" s="440">
        <v>-14</v>
      </c>
      <c r="DF33" s="440">
        <v>-10</v>
      </c>
      <c r="DG33" s="440">
        <v>-7</v>
      </c>
      <c r="DH33" s="440">
        <v>-3</v>
      </c>
      <c r="DI33" s="442">
        <f t="shared" si="8"/>
        <v>-1.5</v>
      </c>
      <c r="DJ33" s="440">
        <v>0</v>
      </c>
      <c r="DK33" s="442">
        <f t="shared" si="27"/>
        <v>1.5</v>
      </c>
      <c r="DL33" s="441">
        <v>3</v>
      </c>
      <c r="DM33" s="435">
        <v>10000</v>
      </c>
      <c r="DN33" s="440">
        <v>1</v>
      </c>
      <c r="DO33" s="440">
        <v>1</v>
      </c>
      <c r="DP33" s="440">
        <v>1</v>
      </c>
      <c r="DQ33" s="440">
        <v>1</v>
      </c>
      <c r="DR33" s="440">
        <v>0</v>
      </c>
      <c r="DS33" s="440">
        <v>0</v>
      </c>
      <c r="DT33" s="442">
        <f t="shared" si="9"/>
        <v>0</v>
      </c>
      <c r="DU33" s="440">
        <v>0</v>
      </c>
      <c r="DV33" s="442">
        <f t="shared" si="28"/>
        <v>0</v>
      </c>
      <c r="DW33" s="441">
        <v>0</v>
      </c>
      <c r="DX33" s="435">
        <v>10000</v>
      </c>
      <c r="DY33" s="440">
        <v>-24</v>
      </c>
      <c r="DZ33" s="440">
        <v>-20</v>
      </c>
      <c r="EA33" s="440">
        <v>-16</v>
      </c>
      <c r="EB33" s="440">
        <v>-12</v>
      </c>
      <c r="EC33" s="440">
        <v>-8</v>
      </c>
      <c r="ED33" s="440">
        <v>-4</v>
      </c>
      <c r="EE33" s="442">
        <f t="shared" si="10"/>
        <v>-2</v>
      </c>
      <c r="EF33" s="440">
        <v>0</v>
      </c>
      <c r="EG33" s="442">
        <f t="shared" si="29"/>
        <v>2</v>
      </c>
      <c r="EH33" s="440">
        <v>4</v>
      </c>
      <c r="EI33" s="435">
        <v>10000</v>
      </c>
      <c r="EJ33" s="440">
        <v>3</v>
      </c>
      <c r="EK33" s="440">
        <v>3</v>
      </c>
      <c r="EL33" s="440">
        <v>2</v>
      </c>
      <c r="EM33" s="440">
        <v>2</v>
      </c>
      <c r="EN33" s="440">
        <v>1</v>
      </c>
      <c r="EO33" s="440">
        <v>1</v>
      </c>
      <c r="EP33" s="442">
        <f t="shared" si="30"/>
        <v>0.5</v>
      </c>
      <c r="EQ33" s="440">
        <v>0</v>
      </c>
      <c r="ER33" s="442">
        <f t="shared" si="31"/>
        <v>-0.5</v>
      </c>
      <c r="ES33" s="441">
        <v>-1</v>
      </c>
      <c r="ET33" s="435">
        <v>10000</v>
      </c>
      <c r="EU33" s="440">
        <v>-22</v>
      </c>
      <c r="EV33" s="440">
        <v>-19</v>
      </c>
      <c r="EW33" s="440">
        <v>-15</v>
      </c>
      <c r="EX33" s="440">
        <v>-11</v>
      </c>
      <c r="EY33" s="440">
        <v>-7</v>
      </c>
      <c r="EZ33" s="440">
        <v>-4</v>
      </c>
      <c r="FA33" s="442">
        <f t="shared" si="32"/>
        <v>-2</v>
      </c>
      <c r="FB33" s="440">
        <v>0</v>
      </c>
      <c r="FC33" s="442">
        <f t="shared" si="33"/>
        <v>2</v>
      </c>
      <c r="FD33" s="440">
        <v>4</v>
      </c>
      <c r="FE33" s="435">
        <v>10000</v>
      </c>
      <c r="FF33" s="440">
        <v>9</v>
      </c>
      <c r="FG33" s="440">
        <v>7</v>
      </c>
      <c r="FH33" s="440">
        <v>6</v>
      </c>
      <c r="FI33" s="440">
        <v>2</v>
      </c>
      <c r="FJ33" s="440">
        <v>2</v>
      </c>
      <c r="FK33" s="440">
        <v>-1</v>
      </c>
      <c r="FL33" s="442">
        <f t="shared" si="11"/>
        <v>-0.5</v>
      </c>
      <c r="FM33" s="440">
        <v>0</v>
      </c>
      <c r="FN33" s="442">
        <f t="shared" si="34"/>
        <v>7.5</v>
      </c>
      <c r="FO33" s="441">
        <v>15</v>
      </c>
      <c r="FP33" s="435">
        <v>10000</v>
      </c>
      <c r="FQ33" s="440">
        <v>-15</v>
      </c>
      <c r="FR33" s="440">
        <v>-13</v>
      </c>
      <c r="FS33" s="440">
        <v>-10</v>
      </c>
      <c r="FT33" s="440">
        <v>-8</v>
      </c>
      <c r="FU33" s="440">
        <v>-5</v>
      </c>
      <c r="FV33" s="440">
        <v>-3</v>
      </c>
      <c r="FW33" s="442">
        <f t="shared" si="12"/>
        <v>-1.5</v>
      </c>
      <c r="FX33" s="440">
        <v>0</v>
      </c>
      <c r="FY33" s="442">
        <f t="shared" si="35"/>
        <v>1.5</v>
      </c>
      <c r="FZ33" s="440">
        <v>3</v>
      </c>
      <c r="GA33" s="435">
        <v>10000</v>
      </c>
      <c r="GB33" s="440">
        <v>-34</v>
      </c>
      <c r="GC33" s="440">
        <v>-28</v>
      </c>
      <c r="GD33" s="440">
        <v>-22</v>
      </c>
      <c r="GE33" s="440">
        <v>-17</v>
      </c>
      <c r="GF33" s="440">
        <v>-11</v>
      </c>
      <c r="GG33" s="440">
        <v>-6</v>
      </c>
      <c r="GH33" s="442">
        <f t="shared" si="13"/>
        <v>-3</v>
      </c>
      <c r="GI33" s="440">
        <v>0</v>
      </c>
      <c r="GJ33" s="442">
        <f t="shared" si="36"/>
        <v>3</v>
      </c>
      <c r="GK33" s="441">
        <v>6</v>
      </c>
      <c r="GL33" s="435">
        <v>10000</v>
      </c>
      <c r="GM33" s="440">
        <v>-33</v>
      </c>
      <c r="GN33" s="440">
        <v>-27</v>
      </c>
      <c r="GO33" s="440">
        <v>-22</v>
      </c>
      <c r="GP33" s="440">
        <v>-16</v>
      </c>
      <c r="GQ33" s="440">
        <v>-11</v>
      </c>
      <c r="GR33" s="440">
        <v>-6</v>
      </c>
      <c r="GS33" s="442">
        <f t="shared" si="14"/>
        <v>-3</v>
      </c>
      <c r="GT33" s="440">
        <v>0</v>
      </c>
      <c r="GU33" s="442">
        <f t="shared" si="37"/>
        <v>2.5</v>
      </c>
      <c r="GV33" s="441">
        <v>5</v>
      </c>
      <c r="GW33" s="263"/>
      <c r="GX33" s="263"/>
      <c r="GY33" s="264"/>
      <c r="GZ33" s="265"/>
      <c r="HA33" s="263"/>
      <c r="HB33" s="234"/>
      <c r="HC33" s="251"/>
    </row>
    <row r="34" spans="3:211">
      <c r="G34" s="435">
        <v>9900</v>
      </c>
      <c r="H34" s="445">
        <v>32</v>
      </c>
      <c r="I34" s="249">
        <v>26</v>
      </c>
      <c r="J34" s="249">
        <v>21</v>
      </c>
      <c r="K34" s="249">
        <v>16</v>
      </c>
      <c r="L34" s="249">
        <v>11</v>
      </c>
      <c r="M34" s="249">
        <v>5</v>
      </c>
      <c r="N34" s="249">
        <f t="shared" si="15"/>
        <v>2.5</v>
      </c>
      <c r="O34" s="249">
        <v>0</v>
      </c>
      <c r="P34" s="249">
        <f t="shared" si="16"/>
        <v>-2.5</v>
      </c>
      <c r="Q34" s="446">
        <v>-5</v>
      </c>
      <c r="R34" s="435">
        <v>9900</v>
      </c>
      <c r="S34" s="248">
        <v>8</v>
      </c>
      <c r="T34" s="248">
        <v>7</v>
      </c>
      <c r="U34" s="248">
        <v>6</v>
      </c>
      <c r="V34" s="248">
        <v>4</v>
      </c>
      <c r="W34" s="248">
        <v>3</v>
      </c>
      <c r="X34" s="248">
        <v>1</v>
      </c>
      <c r="Y34" s="249">
        <f t="shared" si="17"/>
        <v>0.5</v>
      </c>
      <c r="Z34" s="248">
        <v>0</v>
      </c>
      <c r="AA34" s="439">
        <f t="shared" si="18"/>
        <v>-1</v>
      </c>
      <c r="AB34" s="248">
        <v>-2</v>
      </c>
      <c r="AC34" s="435">
        <v>9900</v>
      </c>
      <c r="AD34" s="440">
        <v>-35</v>
      </c>
      <c r="AE34" s="440">
        <v>-29</v>
      </c>
      <c r="AF34" s="440">
        <v>-23</v>
      </c>
      <c r="AG34" s="440">
        <v>-18</v>
      </c>
      <c r="AH34" s="440">
        <v>-12</v>
      </c>
      <c r="AI34" s="440">
        <v>-6</v>
      </c>
      <c r="AJ34" s="249">
        <f t="shared" si="19"/>
        <v>-3</v>
      </c>
      <c r="AK34" s="248">
        <v>0</v>
      </c>
      <c r="AL34" s="439">
        <f t="shared" si="20"/>
        <v>3</v>
      </c>
      <c r="AM34" s="441">
        <v>6</v>
      </c>
      <c r="AN34" s="435">
        <v>9900</v>
      </c>
      <c r="AO34" s="440">
        <v>-59</v>
      </c>
      <c r="AP34" s="440">
        <v>-49</v>
      </c>
      <c r="AQ34" s="440">
        <v>-39</v>
      </c>
      <c r="AR34" s="440">
        <v>-29</v>
      </c>
      <c r="AS34" s="440">
        <v>-20</v>
      </c>
      <c r="AT34" s="440">
        <v>-10</v>
      </c>
      <c r="AU34" s="442">
        <f t="shared" si="2"/>
        <v>-5</v>
      </c>
      <c r="AV34" s="440">
        <v>0</v>
      </c>
      <c r="AW34" s="442">
        <f t="shared" si="21"/>
        <v>5</v>
      </c>
      <c r="AX34" s="441">
        <v>10</v>
      </c>
      <c r="AY34" s="435">
        <v>9900</v>
      </c>
      <c r="AZ34" s="440">
        <v>4</v>
      </c>
      <c r="BA34" s="440">
        <v>3</v>
      </c>
      <c r="BB34" s="440">
        <v>2</v>
      </c>
      <c r="BC34" s="440">
        <v>2</v>
      </c>
      <c r="BD34" s="440">
        <v>1</v>
      </c>
      <c r="BE34" s="440">
        <v>1</v>
      </c>
      <c r="BF34" s="442">
        <f t="shared" si="3"/>
        <v>0.5</v>
      </c>
      <c r="BG34" s="440">
        <v>0</v>
      </c>
      <c r="BH34" s="442">
        <f t="shared" si="22"/>
        <v>-0.5</v>
      </c>
      <c r="BI34" s="441">
        <v>-1</v>
      </c>
      <c r="BJ34" s="447">
        <v>9900</v>
      </c>
      <c r="BK34" s="440">
        <v>-31</v>
      </c>
      <c r="BL34" s="440">
        <v>-26</v>
      </c>
      <c r="BM34" s="440">
        <v>-21</v>
      </c>
      <c r="BN34" s="440">
        <v>-16</v>
      </c>
      <c r="BO34" s="440">
        <v>-10</v>
      </c>
      <c r="BP34" s="440">
        <v>-5</v>
      </c>
      <c r="BQ34" s="442">
        <f t="shared" si="4"/>
        <v>-2.5</v>
      </c>
      <c r="BR34" s="440">
        <v>0</v>
      </c>
      <c r="BS34" s="442">
        <f t="shared" si="23"/>
        <v>2.5</v>
      </c>
      <c r="BT34" s="440">
        <v>5</v>
      </c>
      <c r="BU34" s="435">
        <v>9900</v>
      </c>
      <c r="BV34" s="440">
        <v>1</v>
      </c>
      <c r="BW34" s="440">
        <v>1</v>
      </c>
      <c r="BX34" s="440">
        <v>1</v>
      </c>
      <c r="BY34" s="440">
        <v>1</v>
      </c>
      <c r="BZ34" s="440">
        <v>0</v>
      </c>
      <c r="CA34" s="440">
        <v>0</v>
      </c>
      <c r="CB34" s="442">
        <f t="shared" si="5"/>
        <v>0</v>
      </c>
      <c r="CC34" s="440">
        <v>0</v>
      </c>
      <c r="CD34" s="442">
        <f t="shared" si="24"/>
        <v>0</v>
      </c>
      <c r="CE34" s="441">
        <v>0</v>
      </c>
      <c r="CF34" s="435">
        <v>9900</v>
      </c>
      <c r="CG34" s="440">
        <v>-23</v>
      </c>
      <c r="CH34" s="440">
        <v>-19</v>
      </c>
      <c r="CI34" s="440">
        <v>-15</v>
      </c>
      <c r="CJ34" s="440">
        <v>-11</v>
      </c>
      <c r="CK34" s="440">
        <v>-8</v>
      </c>
      <c r="CL34" s="440">
        <v>-4</v>
      </c>
      <c r="CM34" s="442">
        <f t="shared" si="6"/>
        <v>-2</v>
      </c>
      <c r="CN34" s="440">
        <v>0</v>
      </c>
      <c r="CO34" s="442">
        <f t="shared" si="25"/>
        <v>2</v>
      </c>
      <c r="CP34" s="441">
        <v>4</v>
      </c>
      <c r="CQ34" s="435">
        <v>9900</v>
      </c>
      <c r="CR34" s="440">
        <v>1</v>
      </c>
      <c r="CS34" s="440">
        <v>1</v>
      </c>
      <c r="CT34" s="440">
        <v>1</v>
      </c>
      <c r="CU34" s="440">
        <v>1</v>
      </c>
      <c r="CV34" s="440">
        <v>0</v>
      </c>
      <c r="CW34" s="440">
        <v>0</v>
      </c>
      <c r="CX34" s="442">
        <f t="shared" si="7"/>
        <v>0</v>
      </c>
      <c r="CY34" s="440">
        <v>0</v>
      </c>
      <c r="CZ34" s="442">
        <f t="shared" si="26"/>
        <v>0</v>
      </c>
      <c r="DA34" s="441">
        <v>0</v>
      </c>
      <c r="DB34" s="435">
        <v>9900</v>
      </c>
      <c r="DC34" s="440">
        <v>-21</v>
      </c>
      <c r="DD34" s="440">
        <v>-17</v>
      </c>
      <c r="DE34" s="440">
        <v>-14</v>
      </c>
      <c r="DF34" s="440">
        <v>-10</v>
      </c>
      <c r="DG34" s="440">
        <v>-7</v>
      </c>
      <c r="DH34" s="440">
        <v>-3</v>
      </c>
      <c r="DI34" s="442">
        <f t="shared" si="8"/>
        <v>-1.5</v>
      </c>
      <c r="DJ34" s="440">
        <v>0</v>
      </c>
      <c r="DK34" s="442">
        <f t="shared" si="27"/>
        <v>1.5</v>
      </c>
      <c r="DL34" s="441">
        <v>3</v>
      </c>
      <c r="DM34" s="435">
        <v>9900</v>
      </c>
      <c r="DN34" s="440">
        <v>1</v>
      </c>
      <c r="DO34" s="440">
        <v>1</v>
      </c>
      <c r="DP34" s="440">
        <v>1</v>
      </c>
      <c r="DQ34" s="440">
        <v>1</v>
      </c>
      <c r="DR34" s="440">
        <v>0</v>
      </c>
      <c r="DS34" s="440">
        <v>0</v>
      </c>
      <c r="DT34" s="442">
        <f t="shared" si="9"/>
        <v>0</v>
      </c>
      <c r="DU34" s="440">
        <v>0</v>
      </c>
      <c r="DV34" s="442">
        <f t="shared" si="28"/>
        <v>0</v>
      </c>
      <c r="DW34" s="441">
        <v>0</v>
      </c>
      <c r="DX34" s="435">
        <v>9900</v>
      </c>
      <c r="DY34" s="440">
        <v>-24</v>
      </c>
      <c r="DZ34" s="440">
        <v>-20</v>
      </c>
      <c r="EA34" s="440">
        <v>-16</v>
      </c>
      <c r="EB34" s="440">
        <v>-12</v>
      </c>
      <c r="EC34" s="440">
        <v>-8</v>
      </c>
      <c r="ED34" s="440">
        <v>-4</v>
      </c>
      <c r="EE34" s="442">
        <f t="shared" si="10"/>
        <v>-2</v>
      </c>
      <c r="EF34" s="440">
        <v>0</v>
      </c>
      <c r="EG34" s="442">
        <f t="shared" si="29"/>
        <v>2</v>
      </c>
      <c r="EH34" s="440">
        <v>4</v>
      </c>
      <c r="EI34" s="435">
        <v>9900</v>
      </c>
      <c r="EJ34" s="440">
        <v>3</v>
      </c>
      <c r="EK34" s="440">
        <v>3</v>
      </c>
      <c r="EL34" s="440">
        <v>2</v>
      </c>
      <c r="EM34" s="440">
        <v>2</v>
      </c>
      <c r="EN34" s="440">
        <v>1</v>
      </c>
      <c r="EO34" s="440">
        <v>1</v>
      </c>
      <c r="EP34" s="442">
        <f t="shared" si="30"/>
        <v>0.5</v>
      </c>
      <c r="EQ34" s="440">
        <v>0</v>
      </c>
      <c r="ER34" s="442">
        <f t="shared" si="31"/>
        <v>-0.5</v>
      </c>
      <c r="ES34" s="441">
        <v>-1</v>
      </c>
      <c r="ET34" s="435">
        <v>9900</v>
      </c>
      <c r="EU34" s="440">
        <v>-22</v>
      </c>
      <c r="EV34" s="440">
        <v>-19</v>
      </c>
      <c r="EW34" s="440">
        <v>-15</v>
      </c>
      <c r="EX34" s="440">
        <v>-11</v>
      </c>
      <c r="EY34" s="440">
        <v>-7</v>
      </c>
      <c r="EZ34" s="440">
        <v>-4</v>
      </c>
      <c r="FA34" s="442">
        <f t="shared" si="32"/>
        <v>-2</v>
      </c>
      <c r="FB34" s="440">
        <v>0</v>
      </c>
      <c r="FC34" s="442">
        <f t="shared" si="33"/>
        <v>2</v>
      </c>
      <c r="FD34" s="440">
        <v>4</v>
      </c>
      <c r="FE34" s="435">
        <v>9900</v>
      </c>
      <c r="FF34" s="440">
        <v>8</v>
      </c>
      <c r="FG34" s="440">
        <v>6</v>
      </c>
      <c r="FH34" s="440">
        <v>5</v>
      </c>
      <c r="FI34" s="440">
        <v>2</v>
      </c>
      <c r="FJ34" s="440">
        <v>2</v>
      </c>
      <c r="FK34" s="440">
        <v>-1</v>
      </c>
      <c r="FL34" s="442">
        <f t="shared" si="11"/>
        <v>-0.5</v>
      </c>
      <c r="FM34" s="440">
        <v>0</v>
      </c>
      <c r="FN34" s="442">
        <f t="shared" si="34"/>
        <v>6.5</v>
      </c>
      <c r="FO34" s="441">
        <v>13</v>
      </c>
      <c r="FP34" s="435">
        <v>9900</v>
      </c>
      <c r="FQ34" s="440">
        <v>-16</v>
      </c>
      <c r="FR34" s="440">
        <v>-13</v>
      </c>
      <c r="FS34" s="440">
        <v>-10</v>
      </c>
      <c r="FT34" s="440">
        <v>-8</v>
      </c>
      <c r="FU34" s="440">
        <v>-5</v>
      </c>
      <c r="FV34" s="440">
        <v>-3</v>
      </c>
      <c r="FW34" s="442">
        <f t="shared" si="12"/>
        <v>-1.5</v>
      </c>
      <c r="FX34" s="440">
        <v>0</v>
      </c>
      <c r="FY34" s="442">
        <f t="shared" si="35"/>
        <v>1.5</v>
      </c>
      <c r="FZ34" s="440">
        <v>3</v>
      </c>
      <c r="GA34" s="435">
        <v>9900</v>
      </c>
      <c r="GB34" s="440">
        <v>-34</v>
      </c>
      <c r="GC34" s="440">
        <v>-28</v>
      </c>
      <c r="GD34" s="440">
        <v>-22</v>
      </c>
      <c r="GE34" s="440">
        <v>-17</v>
      </c>
      <c r="GF34" s="440">
        <v>-11</v>
      </c>
      <c r="GG34" s="440">
        <v>-6</v>
      </c>
      <c r="GH34" s="442">
        <f t="shared" si="13"/>
        <v>-3</v>
      </c>
      <c r="GI34" s="440">
        <v>0</v>
      </c>
      <c r="GJ34" s="442">
        <f t="shared" si="36"/>
        <v>3</v>
      </c>
      <c r="GK34" s="441">
        <v>6</v>
      </c>
      <c r="GL34" s="435">
        <v>9900</v>
      </c>
      <c r="GM34" s="440">
        <v>-33</v>
      </c>
      <c r="GN34" s="440">
        <v>-27</v>
      </c>
      <c r="GO34" s="440">
        <v>-22</v>
      </c>
      <c r="GP34" s="440">
        <v>-16</v>
      </c>
      <c r="GQ34" s="440">
        <v>-11</v>
      </c>
      <c r="GR34" s="440">
        <v>-6</v>
      </c>
      <c r="GS34" s="442">
        <f t="shared" si="14"/>
        <v>-3</v>
      </c>
      <c r="GT34" s="440">
        <v>0</v>
      </c>
      <c r="GU34" s="442">
        <f t="shared" si="37"/>
        <v>2.5</v>
      </c>
      <c r="GV34" s="441">
        <v>5</v>
      </c>
      <c r="GW34" s="263"/>
      <c r="GX34" s="263"/>
      <c r="GY34" s="264"/>
      <c r="GZ34" s="265"/>
      <c r="HA34" s="263"/>
      <c r="HB34" s="234"/>
      <c r="HC34" s="267"/>
    </row>
    <row r="35" spans="3:211">
      <c r="G35" s="435">
        <v>9800</v>
      </c>
      <c r="H35" s="445">
        <v>32</v>
      </c>
      <c r="I35" s="249">
        <v>26</v>
      </c>
      <c r="J35" s="249">
        <v>21</v>
      </c>
      <c r="K35" s="249">
        <v>16</v>
      </c>
      <c r="L35" s="249">
        <v>11</v>
      </c>
      <c r="M35" s="249">
        <v>5</v>
      </c>
      <c r="N35" s="249">
        <f t="shared" si="15"/>
        <v>2.5</v>
      </c>
      <c r="O35" s="249">
        <v>0</v>
      </c>
      <c r="P35" s="249">
        <f t="shared" si="16"/>
        <v>-2.5</v>
      </c>
      <c r="Q35" s="446">
        <v>-5</v>
      </c>
      <c r="R35" s="435">
        <v>9800</v>
      </c>
      <c r="S35" s="248">
        <v>8</v>
      </c>
      <c r="T35" s="248">
        <v>7</v>
      </c>
      <c r="U35" s="248">
        <v>6</v>
      </c>
      <c r="V35" s="248">
        <v>4</v>
      </c>
      <c r="W35" s="248">
        <v>3</v>
      </c>
      <c r="X35" s="248">
        <v>1</v>
      </c>
      <c r="Y35" s="249">
        <f t="shared" si="17"/>
        <v>0.5</v>
      </c>
      <c r="Z35" s="248">
        <v>0</v>
      </c>
      <c r="AA35" s="439">
        <f t="shared" si="18"/>
        <v>-1</v>
      </c>
      <c r="AB35" s="248">
        <v>-2</v>
      </c>
      <c r="AC35" s="435">
        <v>9800</v>
      </c>
      <c r="AD35" s="440">
        <v>-35</v>
      </c>
      <c r="AE35" s="440">
        <v>-29</v>
      </c>
      <c r="AF35" s="440">
        <v>-23</v>
      </c>
      <c r="AG35" s="440">
        <v>-18</v>
      </c>
      <c r="AH35" s="440">
        <v>-12</v>
      </c>
      <c r="AI35" s="440">
        <v>-6</v>
      </c>
      <c r="AJ35" s="249">
        <f t="shared" si="19"/>
        <v>-3</v>
      </c>
      <c r="AK35" s="248">
        <v>0</v>
      </c>
      <c r="AL35" s="439">
        <f t="shared" si="20"/>
        <v>3</v>
      </c>
      <c r="AM35" s="441">
        <v>6</v>
      </c>
      <c r="AN35" s="435">
        <v>9800</v>
      </c>
      <c r="AO35" s="440">
        <v>-59</v>
      </c>
      <c r="AP35" s="440">
        <v>-49</v>
      </c>
      <c r="AQ35" s="440">
        <v>-39</v>
      </c>
      <c r="AR35" s="440">
        <v>-29</v>
      </c>
      <c r="AS35" s="440">
        <v>-20</v>
      </c>
      <c r="AT35" s="440">
        <v>-10</v>
      </c>
      <c r="AU35" s="442">
        <f t="shared" si="2"/>
        <v>-5</v>
      </c>
      <c r="AV35" s="440">
        <v>0</v>
      </c>
      <c r="AW35" s="442">
        <f t="shared" si="21"/>
        <v>5</v>
      </c>
      <c r="AX35" s="441">
        <v>10</v>
      </c>
      <c r="AY35" s="435">
        <v>9800</v>
      </c>
      <c r="AZ35" s="440">
        <v>4</v>
      </c>
      <c r="BA35" s="440">
        <v>3</v>
      </c>
      <c r="BB35" s="440">
        <v>2</v>
      </c>
      <c r="BC35" s="440">
        <v>2</v>
      </c>
      <c r="BD35" s="440">
        <v>1</v>
      </c>
      <c r="BE35" s="440">
        <v>1</v>
      </c>
      <c r="BF35" s="442">
        <f t="shared" si="3"/>
        <v>0.5</v>
      </c>
      <c r="BG35" s="440">
        <v>0</v>
      </c>
      <c r="BH35" s="442">
        <f t="shared" si="22"/>
        <v>-0.5</v>
      </c>
      <c r="BI35" s="441">
        <v>-1</v>
      </c>
      <c r="BJ35" s="447">
        <v>9800</v>
      </c>
      <c r="BK35" s="440">
        <v>-31</v>
      </c>
      <c r="BL35" s="440">
        <v>-26</v>
      </c>
      <c r="BM35" s="440">
        <v>-21</v>
      </c>
      <c r="BN35" s="440">
        <v>-16</v>
      </c>
      <c r="BO35" s="440">
        <v>-10</v>
      </c>
      <c r="BP35" s="440">
        <v>-5</v>
      </c>
      <c r="BQ35" s="442">
        <f t="shared" si="4"/>
        <v>-2.5</v>
      </c>
      <c r="BR35" s="440">
        <v>0</v>
      </c>
      <c r="BS35" s="442">
        <f t="shared" si="23"/>
        <v>2.5</v>
      </c>
      <c r="BT35" s="440">
        <v>5</v>
      </c>
      <c r="BU35" s="435">
        <v>9800</v>
      </c>
      <c r="BV35" s="440">
        <v>1</v>
      </c>
      <c r="BW35" s="440">
        <v>1</v>
      </c>
      <c r="BX35" s="440">
        <v>1</v>
      </c>
      <c r="BY35" s="440">
        <v>1</v>
      </c>
      <c r="BZ35" s="440">
        <v>0</v>
      </c>
      <c r="CA35" s="440">
        <v>0</v>
      </c>
      <c r="CB35" s="442">
        <f t="shared" si="5"/>
        <v>0</v>
      </c>
      <c r="CC35" s="440">
        <v>0</v>
      </c>
      <c r="CD35" s="442">
        <f t="shared" si="24"/>
        <v>0</v>
      </c>
      <c r="CE35" s="441">
        <v>0</v>
      </c>
      <c r="CF35" s="435">
        <v>9800</v>
      </c>
      <c r="CG35" s="440">
        <v>-23</v>
      </c>
      <c r="CH35" s="440">
        <v>-19</v>
      </c>
      <c r="CI35" s="440">
        <v>-15</v>
      </c>
      <c r="CJ35" s="440">
        <v>-11</v>
      </c>
      <c r="CK35" s="440">
        <v>-8</v>
      </c>
      <c r="CL35" s="440">
        <v>-4</v>
      </c>
      <c r="CM35" s="442">
        <f t="shared" si="6"/>
        <v>-2</v>
      </c>
      <c r="CN35" s="440">
        <v>0</v>
      </c>
      <c r="CO35" s="442">
        <f t="shared" si="25"/>
        <v>2</v>
      </c>
      <c r="CP35" s="441">
        <v>4</v>
      </c>
      <c r="CQ35" s="435">
        <v>9800</v>
      </c>
      <c r="CR35" s="440">
        <v>1</v>
      </c>
      <c r="CS35" s="440">
        <v>1</v>
      </c>
      <c r="CT35" s="440">
        <v>1</v>
      </c>
      <c r="CU35" s="440">
        <v>1</v>
      </c>
      <c r="CV35" s="440">
        <v>0</v>
      </c>
      <c r="CW35" s="440">
        <v>0</v>
      </c>
      <c r="CX35" s="442">
        <f t="shared" si="7"/>
        <v>0</v>
      </c>
      <c r="CY35" s="440">
        <v>0</v>
      </c>
      <c r="CZ35" s="442">
        <f t="shared" si="26"/>
        <v>0</v>
      </c>
      <c r="DA35" s="441">
        <v>0</v>
      </c>
      <c r="DB35" s="435">
        <v>9800</v>
      </c>
      <c r="DC35" s="440">
        <v>-21</v>
      </c>
      <c r="DD35" s="440">
        <v>-17</v>
      </c>
      <c r="DE35" s="440">
        <v>-14</v>
      </c>
      <c r="DF35" s="440">
        <v>-10</v>
      </c>
      <c r="DG35" s="440">
        <v>-7</v>
      </c>
      <c r="DH35" s="440">
        <v>-3</v>
      </c>
      <c r="DI35" s="442">
        <f t="shared" si="8"/>
        <v>-1.5</v>
      </c>
      <c r="DJ35" s="440">
        <v>0</v>
      </c>
      <c r="DK35" s="442">
        <f t="shared" si="27"/>
        <v>1.5</v>
      </c>
      <c r="DL35" s="441">
        <v>3</v>
      </c>
      <c r="DM35" s="435">
        <v>9800</v>
      </c>
      <c r="DN35" s="440">
        <v>1</v>
      </c>
      <c r="DO35" s="440">
        <v>1</v>
      </c>
      <c r="DP35" s="440">
        <v>1</v>
      </c>
      <c r="DQ35" s="440">
        <v>1</v>
      </c>
      <c r="DR35" s="440">
        <v>0</v>
      </c>
      <c r="DS35" s="440">
        <v>0</v>
      </c>
      <c r="DT35" s="442">
        <f t="shared" si="9"/>
        <v>0</v>
      </c>
      <c r="DU35" s="440">
        <v>0</v>
      </c>
      <c r="DV35" s="442">
        <f t="shared" si="28"/>
        <v>0</v>
      </c>
      <c r="DW35" s="441">
        <v>0</v>
      </c>
      <c r="DX35" s="435">
        <v>9800</v>
      </c>
      <c r="DY35" s="440">
        <v>-24</v>
      </c>
      <c r="DZ35" s="440">
        <v>-20</v>
      </c>
      <c r="EA35" s="440">
        <v>-16</v>
      </c>
      <c r="EB35" s="440">
        <v>-12</v>
      </c>
      <c r="EC35" s="440">
        <v>-8</v>
      </c>
      <c r="ED35" s="440">
        <v>-4</v>
      </c>
      <c r="EE35" s="442">
        <f t="shared" si="10"/>
        <v>-2</v>
      </c>
      <c r="EF35" s="440">
        <v>0</v>
      </c>
      <c r="EG35" s="442">
        <f t="shared" si="29"/>
        <v>2</v>
      </c>
      <c r="EH35" s="440">
        <v>4</v>
      </c>
      <c r="EI35" s="435">
        <v>9800</v>
      </c>
      <c r="EJ35" s="440">
        <v>3</v>
      </c>
      <c r="EK35" s="440">
        <v>3</v>
      </c>
      <c r="EL35" s="440">
        <v>2</v>
      </c>
      <c r="EM35" s="440">
        <v>2</v>
      </c>
      <c r="EN35" s="440">
        <v>1</v>
      </c>
      <c r="EO35" s="440">
        <v>1</v>
      </c>
      <c r="EP35" s="442">
        <f t="shared" si="30"/>
        <v>0.5</v>
      </c>
      <c r="EQ35" s="440">
        <v>0</v>
      </c>
      <c r="ER35" s="442">
        <f t="shared" si="31"/>
        <v>-0.5</v>
      </c>
      <c r="ES35" s="441">
        <v>-1</v>
      </c>
      <c r="ET35" s="435">
        <v>9800</v>
      </c>
      <c r="EU35" s="440">
        <v>-22</v>
      </c>
      <c r="EV35" s="440">
        <v>-19</v>
      </c>
      <c r="EW35" s="440">
        <v>-15</v>
      </c>
      <c r="EX35" s="440">
        <v>-11</v>
      </c>
      <c r="EY35" s="440">
        <v>-7</v>
      </c>
      <c r="EZ35" s="440">
        <v>-4</v>
      </c>
      <c r="FA35" s="442">
        <f t="shared" si="32"/>
        <v>-2</v>
      </c>
      <c r="FB35" s="440">
        <v>0</v>
      </c>
      <c r="FC35" s="442">
        <f t="shared" si="33"/>
        <v>2</v>
      </c>
      <c r="FD35" s="440">
        <v>4</v>
      </c>
      <c r="FE35" s="435">
        <v>9800</v>
      </c>
      <c r="FF35" s="440">
        <v>7</v>
      </c>
      <c r="FG35" s="440">
        <v>6</v>
      </c>
      <c r="FH35" s="440">
        <v>4</v>
      </c>
      <c r="FI35" s="440">
        <v>2</v>
      </c>
      <c r="FJ35" s="440">
        <v>1</v>
      </c>
      <c r="FK35" s="440">
        <v>-1</v>
      </c>
      <c r="FL35" s="442">
        <f t="shared" si="11"/>
        <v>-0.5</v>
      </c>
      <c r="FM35" s="440">
        <v>0</v>
      </c>
      <c r="FN35" s="442">
        <f t="shared" si="34"/>
        <v>5.5</v>
      </c>
      <c r="FO35" s="441">
        <v>11</v>
      </c>
      <c r="FP35" s="435">
        <v>9800</v>
      </c>
      <c r="FQ35" s="440">
        <v>-16</v>
      </c>
      <c r="FR35" s="440">
        <v>-13</v>
      </c>
      <c r="FS35" s="440">
        <v>-10</v>
      </c>
      <c r="FT35" s="440">
        <v>-8</v>
      </c>
      <c r="FU35" s="440">
        <v>-5</v>
      </c>
      <c r="FV35" s="440">
        <v>-3</v>
      </c>
      <c r="FW35" s="442">
        <f t="shared" si="12"/>
        <v>-1.5</v>
      </c>
      <c r="FX35" s="440">
        <v>0</v>
      </c>
      <c r="FY35" s="442">
        <f t="shared" si="35"/>
        <v>1.5</v>
      </c>
      <c r="FZ35" s="440">
        <v>3</v>
      </c>
      <c r="GA35" s="435">
        <v>9800</v>
      </c>
      <c r="GB35" s="440">
        <v>-34</v>
      </c>
      <c r="GC35" s="440">
        <v>-28</v>
      </c>
      <c r="GD35" s="440">
        <v>-22</v>
      </c>
      <c r="GE35" s="440">
        <v>-17</v>
      </c>
      <c r="GF35" s="440">
        <v>-11</v>
      </c>
      <c r="GG35" s="440">
        <v>-6</v>
      </c>
      <c r="GH35" s="442">
        <f t="shared" si="13"/>
        <v>-3</v>
      </c>
      <c r="GI35" s="440">
        <v>0</v>
      </c>
      <c r="GJ35" s="442">
        <f t="shared" si="36"/>
        <v>3</v>
      </c>
      <c r="GK35" s="441">
        <v>6</v>
      </c>
      <c r="GL35" s="435">
        <v>9800</v>
      </c>
      <c r="GM35" s="440">
        <v>-33</v>
      </c>
      <c r="GN35" s="440">
        <v>-27</v>
      </c>
      <c r="GO35" s="440">
        <v>-22</v>
      </c>
      <c r="GP35" s="440">
        <v>-16</v>
      </c>
      <c r="GQ35" s="440">
        <v>-11</v>
      </c>
      <c r="GR35" s="440">
        <v>-6</v>
      </c>
      <c r="GS35" s="442">
        <f t="shared" si="14"/>
        <v>-3</v>
      </c>
      <c r="GT35" s="440">
        <v>0</v>
      </c>
      <c r="GU35" s="442">
        <f t="shared" si="37"/>
        <v>2.5</v>
      </c>
      <c r="GV35" s="441">
        <v>5</v>
      </c>
      <c r="GW35" s="263"/>
      <c r="GX35" s="263"/>
      <c r="GY35" s="264"/>
      <c r="GZ35" s="265"/>
      <c r="HA35" s="263"/>
      <c r="HB35" s="234"/>
      <c r="HC35" s="267"/>
    </row>
    <row r="36" spans="3:211">
      <c r="G36" s="435">
        <v>9700</v>
      </c>
      <c r="H36" s="445">
        <v>32</v>
      </c>
      <c r="I36" s="249">
        <v>26</v>
      </c>
      <c r="J36" s="249">
        <v>21</v>
      </c>
      <c r="K36" s="249">
        <v>16</v>
      </c>
      <c r="L36" s="249">
        <v>11</v>
      </c>
      <c r="M36" s="249">
        <v>5</v>
      </c>
      <c r="N36" s="249">
        <f t="shared" si="15"/>
        <v>2.5</v>
      </c>
      <c r="O36" s="249">
        <v>0</v>
      </c>
      <c r="P36" s="249">
        <f t="shared" si="16"/>
        <v>-2.5</v>
      </c>
      <c r="Q36" s="446">
        <v>-5</v>
      </c>
      <c r="R36" s="435">
        <v>9700</v>
      </c>
      <c r="S36" s="248">
        <v>8</v>
      </c>
      <c r="T36" s="248">
        <v>7</v>
      </c>
      <c r="U36" s="248">
        <v>6</v>
      </c>
      <c r="V36" s="248">
        <v>4</v>
      </c>
      <c r="W36" s="248">
        <v>3</v>
      </c>
      <c r="X36" s="248">
        <v>1</v>
      </c>
      <c r="Y36" s="249">
        <f t="shared" si="17"/>
        <v>0.5</v>
      </c>
      <c r="Z36" s="248">
        <v>0</v>
      </c>
      <c r="AA36" s="439">
        <f t="shared" si="18"/>
        <v>-1</v>
      </c>
      <c r="AB36" s="248">
        <v>-2</v>
      </c>
      <c r="AC36" s="435">
        <v>9700</v>
      </c>
      <c r="AD36" s="440">
        <v>-35</v>
      </c>
      <c r="AE36" s="440">
        <v>-29</v>
      </c>
      <c r="AF36" s="440">
        <v>-23</v>
      </c>
      <c r="AG36" s="440">
        <v>-18</v>
      </c>
      <c r="AH36" s="440">
        <v>-12</v>
      </c>
      <c r="AI36" s="440">
        <v>-6</v>
      </c>
      <c r="AJ36" s="249">
        <f t="shared" si="19"/>
        <v>-3</v>
      </c>
      <c r="AK36" s="248">
        <v>0</v>
      </c>
      <c r="AL36" s="439">
        <f t="shared" si="20"/>
        <v>3</v>
      </c>
      <c r="AM36" s="441">
        <v>6</v>
      </c>
      <c r="AN36" s="435">
        <v>9700</v>
      </c>
      <c r="AO36" s="440">
        <v>-59</v>
      </c>
      <c r="AP36" s="440">
        <v>-49</v>
      </c>
      <c r="AQ36" s="440">
        <v>-39</v>
      </c>
      <c r="AR36" s="440">
        <v>-29</v>
      </c>
      <c r="AS36" s="440">
        <v>-20</v>
      </c>
      <c r="AT36" s="440">
        <v>-10</v>
      </c>
      <c r="AU36" s="442">
        <f t="shared" si="2"/>
        <v>-5</v>
      </c>
      <c r="AV36" s="440">
        <v>0</v>
      </c>
      <c r="AW36" s="442">
        <f t="shared" si="21"/>
        <v>5</v>
      </c>
      <c r="AX36" s="441">
        <v>10</v>
      </c>
      <c r="AY36" s="435">
        <v>9700</v>
      </c>
      <c r="AZ36" s="440">
        <v>4</v>
      </c>
      <c r="BA36" s="440">
        <v>3</v>
      </c>
      <c r="BB36" s="440">
        <v>2</v>
      </c>
      <c r="BC36" s="440">
        <v>2</v>
      </c>
      <c r="BD36" s="440">
        <v>1</v>
      </c>
      <c r="BE36" s="440">
        <v>1</v>
      </c>
      <c r="BF36" s="442">
        <f t="shared" si="3"/>
        <v>0.5</v>
      </c>
      <c r="BG36" s="440">
        <v>0</v>
      </c>
      <c r="BH36" s="442">
        <f t="shared" si="22"/>
        <v>-0.5</v>
      </c>
      <c r="BI36" s="441">
        <v>-1</v>
      </c>
      <c r="BJ36" s="447">
        <v>9700</v>
      </c>
      <c r="BK36" s="440">
        <v>-31</v>
      </c>
      <c r="BL36" s="440">
        <v>-26</v>
      </c>
      <c r="BM36" s="440">
        <v>-21</v>
      </c>
      <c r="BN36" s="440">
        <v>-16</v>
      </c>
      <c r="BO36" s="440">
        <v>-10</v>
      </c>
      <c r="BP36" s="440">
        <v>-5</v>
      </c>
      <c r="BQ36" s="442">
        <f t="shared" si="4"/>
        <v>-2.5</v>
      </c>
      <c r="BR36" s="440">
        <v>0</v>
      </c>
      <c r="BS36" s="442">
        <f t="shared" si="23"/>
        <v>2.5</v>
      </c>
      <c r="BT36" s="440">
        <v>5</v>
      </c>
      <c r="BU36" s="435">
        <v>9700</v>
      </c>
      <c r="BV36" s="440">
        <v>1</v>
      </c>
      <c r="BW36" s="440">
        <v>1</v>
      </c>
      <c r="BX36" s="440">
        <v>1</v>
      </c>
      <c r="BY36" s="440">
        <v>1</v>
      </c>
      <c r="BZ36" s="440">
        <v>0</v>
      </c>
      <c r="CA36" s="440">
        <v>0</v>
      </c>
      <c r="CB36" s="442">
        <f t="shared" si="5"/>
        <v>0</v>
      </c>
      <c r="CC36" s="440">
        <v>0</v>
      </c>
      <c r="CD36" s="442">
        <f t="shared" si="24"/>
        <v>0</v>
      </c>
      <c r="CE36" s="441">
        <v>0</v>
      </c>
      <c r="CF36" s="435">
        <v>9700</v>
      </c>
      <c r="CG36" s="440">
        <v>-23</v>
      </c>
      <c r="CH36" s="440">
        <v>-19</v>
      </c>
      <c r="CI36" s="440">
        <v>-15</v>
      </c>
      <c r="CJ36" s="440">
        <v>-11</v>
      </c>
      <c r="CK36" s="440">
        <v>-8</v>
      </c>
      <c r="CL36" s="440">
        <v>-4</v>
      </c>
      <c r="CM36" s="442">
        <f t="shared" si="6"/>
        <v>-2</v>
      </c>
      <c r="CN36" s="440">
        <v>0</v>
      </c>
      <c r="CO36" s="442">
        <f t="shared" si="25"/>
        <v>2</v>
      </c>
      <c r="CP36" s="441">
        <v>4</v>
      </c>
      <c r="CQ36" s="435">
        <v>9700</v>
      </c>
      <c r="CR36" s="440">
        <v>1</v>
      </c>
      <c r="CS36" s="440">
        <v>1</v>
      </c>
      <c r="CT36" s="440">
        <v>1</v>
      </c>
      <c r="CU36" s="440">
        <v>1</v>
      </c>
      <c r="CV36" s="440">
        <v>0</v>
      </c>
      <c r="CW36" s="440">
        <v>0</v>
      </c>
      <c r="CX36" s="442">
        <f t="shared" si="7"/>
        <v>0</v>
      </c>
      <c r="CY36" s="440">
        <v>0</v>
      </c>
      <c r="CZ36" s="442">
        <f t="shared" si="26"/>
        <v>0</v>
      </c>
      <c r="DA36" s="441">
        <v>0</v>
      </c>
      <c r="DB36" s="435">
        <v>9700</v>
      </c>
      <c r="DC36" s="440">
        <v>-21</v>
      </c>
      <c r="DD36" s="440">
        <v>-17</v>
      </c>
      <c r="DE36" s="440">
        <v>-14</v>
      </c>
      <c r="DF36" s="440">
        <v>-10</v>
      </c>
      <c r="DG36" s="440">
        <v>-7</v>
      </c>
      <c r="DH36" s="440">
        <v>-3</v>
      </c>
      <c r="DI36" s="442">
        <f t="shared" si="8"/>
        <v>-1.5</v>
      </c>
      <c r="DJ36" s="440">
        <v>0</v>
      </c>
      <c r="DK36" s="442">
        <f t="shared" si="27"/>
        <v>1.5</v>
      </c>
      <c r="DL36" s="441">
        <v>3</v>
      </c>
      <c r="DM36" s="435">
        <v>9700</v>
      </c>
      <c r="DN36" s="440">
        <v>1</v>
      </c>
      <c r="DO36" s="440">
        <v>1</v>
      </c>
      <c r="DP36" s="440">
        <v>1</v>
      </c>
      <c r="DQ36" s="440">
        <v>1</v>
      </c>
      <c r="DR36" s="440">
        <v>0</v>
      </c>
      <c r="DS36" s="440">
        <v>0</v>
      </c>
      <c r="DT36" s="442">
        <f t="shared" si="9"/>
        <v>0</v>
      </c>
      <c r="DU36" s="440">
        <v>0</v>
      </c>
      <c r="DV36" s="442">
        <f t="shared" si="28"/>
        <v>0</v>
      </c>
      <c r="DW36" s="441">
        <v>0</v>
      </c>
      <c r="DX36" s="435">
        <v>9700</v>
      </c>
      <c r="DY36" s="440">
        <v>-24</v>
      </c>
      <c r="DZ36" s="440">
        <v>-20</v>
      </c>
      <c r="EA36" s="440">
        <v>-16</v>
      </c>
      <c r="EB36" s="440">
        <v>-12</v>
      </c>
      <c r="EC36" s="440">
        <v>-8</v>
      </c>
      <c r="ED36" s="440">
        <v>-4</v>
      </c>
      <c r="EE36" s="442">
        <f t="shared" si="10"/>
        <v>-2</v>
      </c>
      <c r="EF36" s="440">
        <v>0</v>
      </c>
      <c r="EG36" s="442">
        <f t="shared" si="29"/>
        <v>2</v>
      </c>
      <c r="EH36" s="440">
        <v>4</v>
      </c>
      <c r="EI36" s="435">
        <v>9700</v>
      </c>
      <c r="EJ36" s="440">
        <v>3</v>
      </c>
      <c r="EK36" s="440">
        <v>3</v>
      </c>
      <c r="EL36" s="440">
        <v>2</v>
      </c>
      <c r="EM36" s="440">
        <v>2</v>
      </c>
      <c r="EN36" s="440">
        <v>1</v>
      </c>
      <c r="EO36" s="440">
        <v>1</v>
      </c>
      <c r="EP36" s="442">
        <f t="shared" si="30"/>
        <v>0.5</v>
      </c>
      <c r="EQ36" s="440">
        <v>0</v>
      </c>
      <c r="ER36" s="442">
        <f t="shared" si="31"/>
        <v>-0.5</v>
      </c>
      <c r="ES36" s="441">
        <v>-1</v>
      </c>
      <c r="ET36" s="435">
        <v>9700</v>
      </c>
      <c r="EU36" s="440">
        <v>-22</v>
      </c>
      <c r="EV36" s="440">
        <v>-19</v>
      </c>
      <c r="EW36" s="440">
        <v>-15</v>
      </c>
      <c r="EX36" s="440">
        <v>-11</v>
      </c>
      <c r="EY36" s="440">
        <v>-7</v>
      </c>
      <c r="EZ36" s="440">
        <v>-4</v>
      </c>
      <c r="FA36" s="442">
        <f t="shared" si="32"/>
        <v>-2</v>
      </c>
      <c r="FB36" s="440">
        <v>0</v>
      </c>
      <c r="FC36" s="442">
        <f t="shared" si="33"/>
        <v>2</v>
      </c>
      <c r="FD36" s="440">
        <v>4</v>
      </c>
      <c r="FE36" s="435">
        <v>9700</v>
      </c>
      <c r="FF36" s="440">
        <v>7</v>
      </c>
      <c r="FG36" s="440">
        <v>6</v>
      </c>
      <c r="FH36" s="440">
        <v>4</v>
      </c>
      <c r="FI36" s="440">
        <v>2</v>
      </c>
      <c r="FJ36" s="440">
        <v>1</v>
      </c>
      <c r="FK36" s="440">
        <v>-1</v>
      </c>
      <c r="FL36" s="442">
        <f t="shared" si="11"/>
        <v>-0.5</v>
      </c>
      <c r="FM36" s="440">
        <v>0</v>
      </c>
      <c r="FN36" s="442">
        <f t="shared" si="34"/>
        <v>4.5</v>
      </c>
      <c r="FO36" s="441">
        <v>9</v>
      </c>
      <c r="FP36" s="435">
        <v>9700</v>
      </c>
      <c r="FQ36" s="440">
        <v>-16</v>
      </c>
      <c r="FR36" s="440">
        <v>-13</v>
      </c>
      <c r="FS36" s="440">
        <v>-10</v>
      </c>
      <c r="FT36" s="440">
        <v>-8</v>
      </c>
      <c r="FU36" s="440">
        <v>-5</v>
      </c>
      <c r="FV36" s="440">
        <v>-3</v>
      </c>
      <c r="FW36" s="442">
        <f t="shared" si="12"/>
        <v>-1.5</v>
      </c>
      <c r="FX36" s="440">
        <v>0</v>
      </c>
      <c r="FY36" s="442">
        <f t="shared" si="35"/>
        <v>1.5</v>
      </c>
      <c r="FZ36" s="440">
        <v>3</v>
      </c>
      <c r="GA36" s="435">
        <v>9700</v>
      </c>
      <c r="GB36" s="440">
        <v>-34</v>
      </c>
      <c r="GC36" s="440">
        <v>-28</v>
      </c>
      <c r="GD36" s="440">
        <v>-22</v>
      </c>
      <c r="GE36" s="440">
        <v>-17</v>
      </c>
      <c r="GF36" s="440">
        <v>-11</v>
      </c>
      <c r="GG36" s="440">
        <v>-6</v>
      </c>
      <c r="GH36" s="442">
        <f t="shared" si="13"/>
        <v>-3</v>
      </c>
      <c r="GI36" s="440">
        <v>0</v>
      </c>
      <c r="GJ36" s="442">
        <f t="shared" si="36"/>
        <v>3</v>
      </c>
      <c r="GK36" s="441">
        <v>6</v>
      </c>
      <c r="GL36" s="435">
        <v>9700</v>
      </c>
      <c r="GM36" s="440">
        <v>-33</v>
      </c>
      <c r="GN36" s="440">
        <v>-27</v>
      </c>
      <c r="GO36" s="440">
        <v>-22</v>
      </c>
      <c r="GP36" s="440">
        <v>-16</v>
      </c>
      <c r="GQ36" s="440">
        <v>-11</v>
      </c>
      <c r="GR36" s="440">
        <v>-6</v>
      </c>
      <c r="GS36" s="442">
        <f t="shared" si="14"/>
        <v>-3</v>
      </c>
      <c r="GT36" s="440">
        <v>0</v>
      </c>
      <c r="GU36" s="442">
        <f t="shared" si="37"/>
        <v>2.5</v>
      </c>
      <c r="GV36" s="441">
        <v>5</v>
      </c>
      <c r="GW36" s="263"/>
      <c r="GX36" s="263"/>
      <c r="GY36" s="264"/>
      <c r="GZ36" s="265"/>
      <c r="HA36" s="264"/>
      <c r="HB36" s="263"/>
      <c r="HC36" s="267"/>
    </row>
    <row r="37" spans="3:211">
      <c r="C37" s="268"/>
      <c r="G37" s="435">
        <v>9600</v>
      </c>
      <c r="H37" s="445">
        <v>32</v>
      </c>
      <c r="I37" s="249">
        <v>26</v>
      </c>
      <c r="J37" s="249">
        <v>21</v>
      </c>
      <c r="K37" s="249">
        <v>16</v>
      </c>
      <c r="L37" s="249">
        <v>11</v>
      </c>
      <c r="M37" s="249">
        <v>5</v>
      </c>
      <c r="N37" s="249">
        <f t="shared" si="15"/>
        <v>2.5</v>
      </c>
      <c r="O37" s="249">
        <v>0</v>
      </c>
      <c r="P37" s="249">
        <f t="shared" si="16"/>
        <v>-2.5</v>
      </c>
      <c r="Q37" s="446">
        <v>-5</v>
      </c>
      <c r="R37" s="435">
        <v>9600</v>
      </c>
      <c r="S37" s="248">
        <v>8</v>
      </c>
      <c r="T37" s="248">
        <v>7</v>
      </c>
      <c r="U37" s="248">
        <v>6</v>
      </c>
      <c r="V37" s="248">
        <v>4</v>
      </c>
      <c r="W37" s="248">
        <v>3</v>
      </c>
      <c r="X37" s="248">
        <v>1</v>
      </c>
      <c r="Y37" s="249">
        <f t="shared" si="17"/>
        <v>0.5</v>
      </c>
      <c r="Z37" s="248">
        <v>0</v>
      </c>
      <c r="AA37" s="439">
        <f t="shared" si="18"/>
        <v>-1</v>
      </c>
      <c r="AB37" s="248">
        <v>-2</v>
      </c>
      <c r="AC37" s="435">
        <v>9600</v>
      </c>
      <c r="AD37" s="440">
        <v>-35</v>
      </c>
      <c r="AE37" s="440">
        <v>-29</v>
      </c>
      <c r="AF37" s="440">
        <v>-23</v>
      </c>
      <c r="AG37" s="440">
        <v>-18</v>
      </c>
      <c r="AH37" s="440">
        <v>-12</v>
      </c>
      <c r="AI37" s="440">
        <v>-6</v>
      </c>
      <c r="AJ37" s="249">
        <f t="shared" si="19"/>
        <v>-3</v>
      </c>
      <c r="AK37" s="248">
        <v>0</v>
      </c>
      <c r="AL37" s="439">
        <f t="shared" si="20"/>
        <v>3</v>
      </c>
      <c r="AM37" s="441">
        <v>6</v>
      </c>
      <c r="AN37" s="435">
        <v>9600</v>
      </c>
      <c r="AO37" s="440">
        <v>-59</v>
      </c>
      <c r="AP37" s="440">
        <v>-49</v>
      </c>
      <c r="AQ37" s="440">
        <v>-39</v>
      </c>
      <c r="AR37" s="440">
        <v>-29</v>
      </c>
      <c r="AS37" s="440">
        <v>-20</v>
      </c>
      <c r="AT37" s="440">
        <v>-10</v>
      </c>
      <c r="AU37" s="442">
        <f t="shared" si="2"/>
        <v>-5</v>
      </c>
      <c r="AV37" s="440">
        <v>0</v>
      </c>
      <c r="AW37" s="442">
        <f t="shared" si="21"/>
        <v>5</v>
      </c>
      <c r="AX37" s="441">
        <v>10</v>
      </c>
      <c r="AY37" s="435">
        <v>9600</v>
      </c>
      <c r="AZ37" s="440">
        <v>4</v>
      </c>
      <c r="BA37" s="440">
        <v>3</v>
      </c>
      <c r="BB37" s="440">
        <v>2</v>
      </c>
      <c r="BC37" s="440">
        <v>2</v>
      </c>
      <c r="BD37" s="440">
        <v>1</v>
      </c>
      <c r="BE37" s="440">
        <v>1</v>
      </c>
      <c r="BF37" s="442">
        <f t="shared" si="3"/>
        <v>0.5</v>
      </c>
      <c r="BG37" s="440">
        <v>0</v>
      </c>
      <c r="BH37" s="442">
        <f t="shared" si="22"/>
        <v>-0.5</v>
      </c>
      <c r="BI37" s="441">
        <v>-1</v>
      </c>
      <c r="BJ37" s="447">
        <v>9600</v>
      </c>
      <c r="BK37" s="440">
        <v>-31</v>
      </c>
      <c r="BL37" s="440">
        <v>-26</v>
      </c>
      <c r="BM37" s="440">
        <v>-21</v>
      </c>
      <c r="BN37" s="440">
        <v>-16</v>
      </c>
      <c r="BO37" s="440">
        <v>-10</v>
      </c>
      <c r="BP37" s="440">
        <v>-5</v>
      </c>
      <c r="BQ37" s="442">
        <f t="shared" si="4"/>
        <v>-2.5</v>
      </c>
      <c r="BR37" s="440">
        <v>0</v>
      </c>
      <c r="BS37" s="442">
        <f t="shared" si="23"/>
        <v>2.5</v>
      </c>
      <c r="BT37" s="440">
        <v>5</v>
      </c>
      <c r="BU37" s="435">
        <v>9600</v>
      </c>
      <c r="BV37" s="440">
        <v>1</v>
      </c>
      <c r="BW37" s="440">
        <v>1</v>
      </c>
      <c r="BX37" s="440">
        <v>1</v>
      </c>
      <c r="BY37" s="440">
        <v>1</v>
      </c>
      <c r="BZ37" s="440">
        <v>0</v>
      </c>
      <c r="CA37" s="440">
        <v>0</v>
      </c>
      <c r="CB37" s="442">
        <f t="shared" si="5"/>
        <v>0</v>
      </c>
      <c r="CC37" s="440">
        <v>0</v>
      </c>
      <c r="CD37" s="442">
        <f t="shared" si="24"/>
        <v>0</v>
      </c>
      <c r="CE37" s="441">
        <v>0</v>
      </c>
      <c r="CF37" s="435">
        <v>9600</v>
      </c>
      <c r="CG37" s="440">
        <v>-23</v>
      </c>
      <c r="CH37" s="440">
        <v>-19</v>
      </c>
      <c r="CI37" s="440">
        <v>-15</v>
      </c>
      <c r="CJ37" s="440">
        <v>-11</v>
      </c>
      <c r="CK37" s="440">
        <v>-8</v>
      </c>
      <c r="CL37" s="440">
        <v>-4</v>
      </c>
      <c r="CM37" s="442">
        <f t="shared" si="6"/>
        <v>-2</v>
      </c>
      <c r="CN37" s="440">
        <v>0</v>
      </c>
      <c r="CO37" s="442">
        <f t="shared" si="25"/>
        <v>2</v>
      </c>
      <c r="CP37" s="441">
        <v>4</v>
      </c>
      <c r="CQ37" s="435">
        <v>9600</v>
      </c>
      <c r="CR37" s="440">
        <v>1</v>
      </c>
      <c r="CS37" s="440">
        <v>1</v>
      </c>
      <c r="CT37" s="440">
        <v>1</v>
      </c>
      <c r="CU37" s="440">
        <v>1</v>
      </c>
      <c r="CV37" s="440">
        <v>0</v>
      </c>
      <c r="CW37" s="440">
        <v>0</v>
      </c>
      <c r="CX37" s="442">
        <f t="shared" si="7"/>
        <v>0</v>
      </c>
      <c r="CY37" s="440">
        <v>0</v>
      </c>
      <c r="CZ37" s="442">
        <f t="shared" si="26"/>
        <v>0</v>
      </c>
      <c r="DA37" s="441">
        <v>0</v>
      </c>
      <c r="DB37" s="435">
        <v>9600</v>
      </c>
      <c r="DC37" s="440">
        <v>-21</v>
      </c>
      <c r="DD37" s="440">
        <v>-17</v>
      </c>
      <c r="DE37" s="440">
        <v>-14</v>
      </c>
      <c r="DF37" s="440">
        <v>-10</v>
      </c>
      <c r="DG37" s="440">
        <v>-7</v>
      </c>
      <c r="DH37" s="440">
        <v>-3</v>
      </c>
      <c r="DI37" s="442">
        <f t="shared" si="8"/>
        <v>-1.5</v>
      </c>
      <c r="DJ37" s="440">
        <v>0</v>
      </c>
      <c r="DK37" s="442">
        <f t="shared" si="27"/>
        <v>1.5</v>
      </c>
      <c r="DL37" s="441">
        <v>3</v>
      </c>
      <c r="DM37" s="435">
        <v>9600</v>
      </c>
      <c r="DN37" s="440">
        <v>1</v>
      </c>
      <c r="DO37" s="440">
        <v>1</v>
      </c>
      <c r="DP37" s="440">
        <v>1</v>
      </c>
      <c r="DQ37" s="440">
        <v>1</v>
      </c>
      <c r="DR37" s="440">
        <v>0</v>
      </c>
      <c r="DS37" s="440">
        <v>0</v>
      </c>
      <c r="DT37" s="442">
        <f t="shared" si="9"/>
        <v>0</v>
      </c>
      <c r="DU37" s="440">
        <v>0</v>
      </c>
      <c r="DV37" s="442">
        <f t="shared" si="28"/>
        <v>0</v>
      </c>
      <c r="DW37" s="441">
        <v>0</v>
      </c>
      <c r="DX37" s="435">
        <v>9600</v>
      </c>
      <c r="DY37" s="440">
        <v>-24</v>
      </c>
      <c r="DZ37" s="440">
        <v>-20</v>
      </c>
      <c r="EA37" s="440">
        <v>-16</v>
      </c>
      <c r="EB37" s="440">
        <v>-12</v>
      </c>
      <c r="EC37" s="440">
        <v>-8</v>
      </c>
      <c r="ED37" s="440">
        <v>-4</v>
      </c>
      <c r="EE37" s="442">
        <f t="shared" si="10"/>
        <v>-2</v>
      </c>
      <c r="EF37" s="440">
        <v>0</v>
      </c>
      <c r="EG37" s="442">
        <f t="shared" si="29"/>
        <v>2</v>
      </c>
      <c r="EH37" s="440">
        <v>4</v>
      </c>
      <c r="EI37" s="435">
        <v>9600</v>
      </c>
      <c r="EJ37" s="440">
        <v>3</v>
      </c>
      <c r="EK37" s="440">
        <v>3</v>
      </c>
      <c r="EL37" s="440">
        <v>2</v>
      </c>
      <c r="EM37" s="440">
        <v>2</v>
      </c>
      <c r="EN37" s="440">
        <v>1</v>
      </c>
      <c r="EO37" s="440">
        <v>1</v>
      </c>
      <c r="EP37" s="442">
        <f t="shared" si="30"/>
        <v>0.5</v>
      </c>
      <c r="EQ37" s="440">
        <v>0</v>
      </c>
      <c r="ER37" s="442">
        <f t="shared" si="31"/>
        <v>-0.5</v>
      </c>
      <c r="ES37" s="441">
        <v>-1</v>
      </c>
      <c r="ET37" s="435">
        <v>9600</v>
      </c>
      <c r="EU37" s="440">
        <v>-22</v>
      </c>
      <c r="EV37" s="440">
        <v>-19</v>
      </c>
      <c r="EW37" s="440">
        <v>-15</v>
      </c>
      <c r="EX37" s="440">
        <v>-11</v>
      </c>
      <c r="EY37" s="440">
        <v>-7</v>
      </c>
      <c r="EZ37" s="440">
        <v>-4</v>
      </c>
      <c r="FA37" s="442">
        <f t="shared" si="32"/>
        <v>-2</v>
      </c>
      <c r="FB37" s="440">
        <v>0</v>
      </c>
      <c r="FC37" s="442">
        <f t="shared" si="33"/>
        <v>2</v>
      </c>
      <c r="FD37" s="440">
        <v>4</v>
      </c>
      <c r="FE37" s="435">
        <v>9600</v>
      </c>
      <c r="FF37" s="440">
        <v>7</v>
      </c>
      <c r="FG37" s="440">
        <v>6</v>
      </c>
      <c r="FH37" s="440">
        <v>4</v>
      </c>
      <c r="FI37" s="440">
        <v>2</v>
      </c>
      <c r="FJ37" s="440">
        <v>1</v>
      </c>
      <c r="FK37" s="440">
        <v>0</v>
      </c>
      <c r="FL37" s="442">
        <f t="shared" si="11"/>
        <v>0</v>
      </c>
      <c r="FM37" s="440">
        <v>0</v>
      </c>
      <c r="FN37" s="442">
        <f t="shared" si="34"/>
        <v>3</v>
      </c>
      <c r="FO37" s="441">
        <v>6</v>
      </c>
      <c r="FP37" s="435">
        <v>9600</v>
      </c>
      <c r="FQ37" s="440">
        <v>-17</v>
      </c>
      <c r="FR37" s="440">
        <v>-14</v>
      </c>
      <c r="FS37" s="440">
        <v>-11</v>
      </c>
      <c r="FT37" s="440">
        <v>-8</v>
      </c>
      <c r="FU37" s="440">
        <v>-5</v>
      </c>
      <c r="FV37" s="440">
        <v>-3</v>
      </c>
      <c r="FW37" s="442">
        <f t="shared" si="12"/>
        <v>-1.5</v>
      </c>
      <c r="FX37" s="440">
        <v>0</v>
      </c>
      <c r="FY37" s="442">
        <f t="shared" si="35"/>
        <v>1.5</v>
      </c>
      <c r="FZ37" s="440">
        <v>3</v>
      </c>
      <c r="GA37" s="435">
        <v>9600</v>
      </c>
      <c r="GB37" s="440">
        <v>-34</v>
      </c>
      <c r="GC37" s="440">
        <v>-28</v>
      </c>
      <c r="GD37" s="440">
        <v>-22</v>
      </c>
      <c r="GE37" s="440">
        <v>-17</v>
      </c>
      <c r="GF37" s="440">
        <v>-11</v>
      </c>
      <c r="GG37" s="440">
        <v>-6</v>
      </c>
      <c r="GH37" s="442">
        <f t="shared" si="13"/>
        <v>-3</v>
      </c>
      <c r="GI37" s="440">
        <v>0</v>
      </c>
      <c r="GJ37" s="442">
        <f t="shared" si="36"/>
        <v>3</v>
      </c>
      <c r="GK37" s="441">
        <v>6</v>
      </c>
      <c r="GL37" s="435">
        <v>9600</v>
      </c>
      <c r="GM37" s="440">
        <v>-33</v>
      </c>
      <c r="GN37" s="440">
        <v>-27</v>
      </c>
      <c r="GO37" s="440">
        <v>-22</v>
      </c>
      <c r="GP37" s="440">
        <v>-16</v>
      </c>
      <c r="GQ37" s="440">
        <v>-11</v>
      </c>
      <c r="GR37" s="440">
        <v>-6</v>
      </c>
      <c r="GS37" s="442">
        <f t="shared" si="14"/>
        <v>-3</v>
      </c>
      <c r="GT37" s="440">
        <v>0</v>
      </c>
      <c r="GU37" s="442">
        <f t="shared" si="37"/>
        <v>2.5</v>
      </c>
      <c r="GV37" s="441">
        <v>5</v>
      </c>
      <c r="GW37" s="263"/>
      <c r="GX37" s="269"/>
      <c r="GY37" s="264"/>
      <c r="GZ37" s="265"/>
      <c r="HA37" s="264"/>
      <c r="HB37" s="263"/>
      <c r="HC37" s="267"/>
    </row>
    <row r="38" spans="3:211">
      <c r="G38" s="435">
        <v>9500</v>
      </c>
      <c r="H38" s="445">
        <v>32</v>
      </c>
      <c r="I38" s="249">
        <v>27</v>
      </c>
      <c r="J38" s="249">
        <v>22</v>
      </c>
      <c r="K38" s="249">
        <v>16</v>
      </c>
      <c r="L38" s="249">
        <v>11</v>
      </c>
      <c r="M38" s="249">
        <v>5</v>
      </c>
      <c r="N38" s="249">
        <f t="shared" si="15"/>
        <v>2.5</v>
      </c>
      <c r="O38" s="249">
        <v>0</v>
      </c>
      <c r="P38" s="249">
        <f t="shared" si="16"/>
        <v>-3</v>
      </c>
      <c r="Q38" s="446">
        <v>-6</v>
      </c>
      <c r="R38" s="435">
        <v>9500</v>
      </c>
      <c r="S38" s="248">
        <v>9</v>
      </c>
      <c r="T38" s="248">
        <v>8</v>
      </c>
      <c r="U38" s="248">
        <v>6</v>
      </c>
      <c r="V38" s="248">
        <v>5</v>
      </c>
      <c r="W38" s="248">
        <v>3</v>
      </c>
      <c r="X38" s="248">
        <v>2</v>
      </c>
      <c r="Y38" s="249">
        <f t="shared" si="17"/>
        <v>1</v>
      </c>
      <c r="Z38" s="248">
        <v>0</v>
      </c>
      <c r="AA38" s="439">
        <f t="shared" si="18"/>
        <v>-1</v>
      </c>
      <c r="AB38" s="248">
        <v>-2</v>
      </c>
      <c r="AC38" s="435">
        <v>9500</v>
      </c>
      <c r="AD38" s="440">
        <v>-34</v>
      </c>
      <c r="AE38" s="440">
        <v>-28</v>
      </c>
      <c r="AF38" s="440">
        <v>-23</v>
      </c>
      <c r="AG38" s="440">
        <v>-17</v>
      </c>
      <c r="AH38" s="440">
        <v>-11</v>
      </c>
      <c r="AI38" s="440">
        <v>-6</v>
      </c>
      <c r="AJ38" s="249">
        <f t="shared" si="19"/>
        <v>-3</v>
      </c>
      <c r="AK38" s="248">
        <v>0</v>
      </c>
      <c r="AL38" s="439">
        <f t="shared" si="20"/>
        <v>3</v>
      </c>
      <c r="AM38" s="441">
        <v>6</v>
      </c>
      <c r="AN38" s="435">
        <v>9500</v>
      </c>
      <c r="AO38" s="440">
        <v>-58</v>
      </c>
      <c r="AP38" s="440">
        <v>-48</v>
      </c>
      <c r="AQ38" s="440">
        <v>-39</v>
      </c>
      <c r="AR38" s="440">
        <v>-29</v>
      </c>
      <c r="AS38" s="440">
        <v>-19</v>
      </c>
      <c r="AT38" s="440">
        <v>-10</v>
      </c>
      <c r="AU38" s="442">
        <f t="shared" si="2"/>
        <v>-5</v>
      </c>
      <c r="AV38" s="440">
        <v>0</v>
      </c>
      <c r="AW38" s="442">
        <f t="shared" si="21"/>
        <v>5</v>
      </c>
      <c r="AX38" s="441">
        <v>10</v>
      </c>
      <c r="AY38" s="435">
        <v>9500</v>
      </c>
      <c r="AZ38" s="440">
        <v>4</v>
      </c>
      <c r="BA38" s="440">
        <v>3</v>
      </c>
      <c r="BB38" s="440">
        <v>2</v>
      </c>
      <c r="BC38" s="440">
        <v>2</v>
      </c>
      <c r="BD38" s="440">
        <v>1</v>
      </c>
      <c r="BE38" s="440">
        <v>1</v>
      </c>
      <c r="BF38" s="442">
        <f t="shared" si="3"/>
        <v>0.5</v>
      </c>
      <c r="BG38" s="440">
        <v>0</v>
      </c>
      <c r="BH38" s="442">
        <f t="shared" si="22"/>
        <v>-0.5</v>
      </c>
      <c r="BI38" s="441">
        <v>-1</v>
      </c>
      <c r="BJ38" s="447">
        <v>9500</v>
      </c>
      <c r="BK38" s="440">
        <v>-31</v>
      </c>
      <c r="BL38" s="440">
        <v>-26</v>
      </c>
      <c r="BM38" s="440">
        <v>-21</v>
      </c>
      <c r="BN38" s="440">
        <v>-16</v>
      </c>
      <c r="BO38" s="440">
        <v>-10</v>
      </c>
      <c r="BP38" s="440">
        <v>-5</v>
      </c>
      <c r="BQ38" s="442">
        <f t="shared" si="4"/>
        <v>-2.5</v>
      </c>
      <c r="BR38" s="440">
        <v>0</v>
      </c>
      <c r="BS38" s="442">
        <f t="shared" si="23"/>
        <v>2.5</v>
      </c>
      <c r="BT38" s="440">
        <v>5</v>
      </c>
      <c r="BU38" s="435">
        <v>9500</v>
      </c>
      <c r="BV38" s="440">
        <v>1</v>
      </c>
      <c r="BW38" s="440">
        <v>1</v>
      </c>
      <c r="BX38" s="440">
        <v>1</v>
      </c>
      <c r="BY38" s="440">
        <v>1</v>
      </c>
      <c r="BZ38" s="440">
        <v>0</v>
      </c>
      <c r="CA38" s="440">
        <v>0</v>
      </c>
      <c r="CB38" s="442">
        <f t="shared" si="5"/>
        <v>0</v>
      </c>
      <c r="CC38" s="440">
        <v>0</v>
      </c>
      <c r="CD38" s="442">
        <f t="shared" si="24"/>
        <v>0</v>
      </c>
      <c r="CE38" s="441">
        <v>0</v>
      </c>
      <c r="CF38" s="435">
        <v>9500</v>
      </c>
      <c r="CG38" s="440">
        <v>-23</v>
      </c>
      <c r="CH38" s="440">
        <v>-19</v>
      </c>
      <c r="CI38" s="440">
        <v>-15</v>
      </c>
      <c r="CJ38" s="440">
        <v>-11</v>
      </c>
      <c r="CK38" s="440">
        <v>-8</v>
      </c>
      <c r="CL38" s="440">
        <v>-4</v>
      </c>
      <c r="CM38" s="442">
        <f t="shared" si="6"/>
        <v>-2</v>
      </c>
      <c r="CN38" s="440">
        <v>0</v>
      </c>
      <c r="CO38" s="442">
        <f t="shared" si="25"/>
        <v>2</v>
      </c>
      <c r="CP38" s="441">
        <v>4</v>
      </c>
      <c r="CQ38" s="435">
        <v>9500</v>
      </c>
      <c r="CR38" s="440">
        <v>1</v>
      </c>
      <c r="CS38" s="440">
        <v>1</v>
      </c>
      <c r="CT38" s="440">
        <v>1</v>
      </c>
      <c r="CU38" s="440">
        <v>1</v>
      </c>
      <c r="CV38" s="440">
        <v>0</v>
      </c>
      <c r="CW38" s="440">
        <v>0</v>
      </c>
      <c r="CX38" s="442">
        <f t="shared" si="7"/>
        <v>0</v>
      </c>
      <c r="CY38" s="440">
        <v>0</v>
      </c>
      <c r="CZ38" s="442">
        <f t="shared" si="26"/>
        <v>0</v>
      </c>
      <c r="DA38" s="441">
        <v>0</v>
      </c>
      <c r="DB38" s="435">
        <v>9500</v>
      </c>
      <c r="DC38" s="440">
        <v>-21</v>
      </c>
      <c r="DD38" s="440">
        <v>-17</v>
      </c>
      <c r="DE38" s="440">
        <v>-14</v>
      </c>
      <c r="DF38" s="440">
        <v>-10</v>
      </c>
      <c r="DG38" s="440">
        <v>-7</v>
      </c>
      <c r="DH38" s="440">
        <v>-3</v>
      </c>
      <c r="DI38" s="442">
        <f t="shared" si="8"/>
        <v>-1.5</v>
      </c>
      <c r="DJ38" s="440">
        <v>0</v>
      </c>
      <c r="DK38" s="442">
        <f t="shared" si="27"/>
        <v>1.5</v>
      </c>
      <c r="DL38" s="441">
        <v>3</v>
      </c>
      <c r="DM38" s="435">
        <v>9500</v>
      </c>
      <c r="DN38" s="440">
        <v>1</v>
      </c>
      <c r="DO38" s="440">
        <v>1</v>
      </c>
      <c r="DP38" s="440">
        <v>1</v>
      </c>
      <c r="DQ38" s="440">
        <v>1</v>
      </c>
      <c r="DR38" s="440">
        <v>0</v>
      </c>
      <c r="DS38" s="440">
        <v>0</v>
      </c>
      <c r="DT38" s="442">
        <f t="shared" si="9"/>
        <v>0</v>
      </c>
      <c r="DU38" s="440">
        <v>0</v>
      </c>
      <c r="DV38" s="442">
        <f t="shared" si="28"/>
        <v>0</v>
      </c>
      <c r="DW38" s="441">
        <v>0</v>
      </c>
      <c r="DX38" s="435">
        <v>9500</v>
      </c>
      <c r="DY38" s="440">
        <v>-24</v>
      </c>
      <c r="DZ38" s="440">
        <v>-20</v>
      </c>
      <c r="EA38" s="440">
        <v>-16</v>
      </c>
      <c r="EB38" s="440">
        <v>-12</v>
      </c>
      <c r="EC38" s="440">
        <v>-8</v>
      </c>
      <c r="ED38" s="440">
        <v>-4</v>
      </c>
      <c r="EE38" s="442">
        <f t="shared" si="10"/>
        <v>-2</v>
      </c>
      <c r="EF38" s="440">
        <v>0</v>
      </c>
      <c r="EG38" s="442">
        <f t="shared" si="29"/>
        <v>2</v>
      </c>
      <c r="EH38" s="440">
        <v>4</v>
      </c>
      <c r="EI38" s="435">
        <v>9500</v>
      </c>
      <c r="EJ38" s="440">
        <v>3</v>
      </c>
      <c r="EK38" s="440">
        <v>3</v>
      </c>
      <c r="EL38" s="440">
        <v>2</v>
      </c>
      <c r="EM38" s="440">
        <v>2</v>
      </c>
      <c r="EN38" s="440">
        <v>1</v>
      </c>
      <c r="EO38" s="440">
        <v>1</v>
      </c>
      <c r="EP38" s="442">
        <f t="shared" si="30"/>
        <v>0.5</v>
      </c>
      <c r="EQ38" s="440">
        <v>0</v>
      </c>
      <c r="ER38" s="442">
        <f t="shared" si="31"/>
        <v>-0.5</v>
      </c>
      <c r="ES38" s="441">
        <v>-1</v>
      </c>
      <c r="ET38" s="435">
        <v>9500</v>
      </c>
      <c r="EU38" s="440">
        <v>-22</v>
      </c>
      <c r="EV38" s="440">
        <v>-19</v>
      </c>
      <c r="EW38" s="440">
        <v>-15</v>
      </c>
      <c r="EX38" s="440">
        <v>-11</v>
      </c>
      <c r="EY38" s="440">
        <v>-7</v>
      </c>
      <c r="EZ38" s="440">
        <v>-4</v>
      </c>
      <c r="FA38" s="442">
        <f t="shared" si="32"/>
        <v>-2</v>
      </c>
      <c r="FB38" s="440">
        <v>0</v>
      </c>
      <c r="FC38" s="442">
        <f t="shared" si="33"/>
        <v>2</v>
      </c>
      <c r="FD38" s="440">
        <v>4</v>
      </c>
      <c r="FE38" s="435">
        <v>9500</v>
      </c>
      <c r="FF38" s="440">
        <v>6</v>
      </c>
      <c r="FG38" s="440">
        <v>5</v>
      </c>
      <c r="FH38" s="440">
        <v>4</v>
      </c>
      <c r="FI38" s="440">
        <v>3</v>
      </c>
      <c r="FJ38" s="440">
        <v>2</v>
      </c>
      <c r="FK38" s="440">
        <v>0</v>
      </c>
      <c r="FL38" s="442">
        <f t="shared" si="11"/>
        <v>0</v>
      </c>
      <c r="FM38" s="440">
        <v>0</v>
      </c>
      <c r="FN38" s="442">
        <f t="shared" si="34"/>
        <v>2</v>
      </c>
      <c r="FO38" s="441">
        <v>4</v>
      </c>
      <c r="FP38" s="435">
        <v>9500</v>
      </c>
      <c r="FQ38" s="440">
        <v>-17</v>
      </c>
      <c r="FR38" s="440">
        <v>-14</v>
      </c>
      <c r="FS38" s="440">
        <v>-11</v>
      </c>
      <c r="FT38" s="440">
        <v>-9</v>
      </c>
      <c r="FU38" s="440">
        <v>-6</v>
      </c>
      <c r="FV38" s="440">
        <v>-3</v>
      </c>
      <c r="FW38" s="442">
        <f t="shared" si="12"/>
        <v>-1.5</v>
      </c>
      <c r="FX38" s="440">
        <v>0</v>
      </c>
      <c r="FY38" s="442">
        <f t="shared" si="35"/>
        <v>1.5</v>
      </c>
      <c r="FZ38" s="440">
        <v>3</v>
      </c>
      <c r="GA38" s="435">
        <v>9500</v>
      </c>
      <c r="GB38" s="440">
        <v>-34</v>
      </c>
      <c r="GC38" s="440">
        <v>-28</v>
      </c>
      <c r="GD38" s="440">
        <v>-23</v>
      </c>
      <c r="GE38" s="440">
        <v>-17</v>
      </c>
      <c r="GF38" s="440">
        <v>-11</v>
      </c>
      <c r="GG38" s="440">
        <v>-6</v>
      </c>
      <c r="GH38" s="442">
        <f t="shared" si="13"/>
        <v>-3</v>
      </c>
      <c r="GI38" s="440">
        <v>0</v>
      </c>
      <c r="GJ38" s="442">
        <f t="shared" si="36"/>
        <v>3</v>
      </c>
      <c r="GK38" s="441">
        <v>6</v>
      </c>
      <c r="GL38" s="435">
        <v>9500</v>
      </c>
      <c r="GM38" s="440">
        <v>-33</v>
      </c>
      <c r="GN38" s="440">
        <v>-28</v>
      </c>
      <c r="GO38" s="440">
        <v>-22</v>
      </c>
      <c r="GP38" s="440">
        <v>-17</v>
      </c>
      <c r="GQ38" s="440">
        <v>-11</v>
      </c>
      <c r="GR38" s="440">
        <v>-6</v>
      </c>
      <c r="GS38" s="442">
        <f t="shared" si="14"/>
        <v>-3</v>
      </c>
      <c r="GT38" s="440">
        <v>0</v>
      </c>
      <c r="GU38" s="442">
        <f t="shared" si="37"/>
        <v>3</v>
      </c>
      <c r="GV38" s="441">
        <v>6</v>
      </c>
      <c r="GY38" s="264"/>
      <c r="GZ38" s="265"/>
      <c r="HA38" s="263"/>
      <c r="HB38" s="263"/>
      <c r="HC38" s="267"/>
    </row>
    <row r="39" spans="3:211">
      <c r="G39" s="435">
        <v>9400</v>
      </c>
      <c r="H39" s="445">
        <v>32</v>
      </c>
      <c r="I39" s="249">
        <v>27</v>
      </c>
      <c r="J39" s="249">
        <v>22</v>
      </c>
      <c r="K39" s="249">
        <v>16</v>
      </c>
      <c r="L39" s="249">
        <v>11</v>
      </c>
      <c r="M39" s="249">
        <v>5</v>
      </c>
      <c r="N39" s="249">
        <f t="shared" si="15"/>
        <v>2.5</v>
      </c>
      <c r="O39" s="249">
        <v>0</v>
      </c>
      <c r="P39" s="249">
        <f t="shared" si="16"/>
        <v>-3</v>
      </c>
      <c r="Q39" s="446">
        <v>-6</v>
      </c>
      <c r="R39" s="435">
        <v>9400</v>
      </c>
      <c r="S39" s="248">
        <v>9</v>
      </c>
      <c r="T39" s="248">
        <v>8</v>
      </c>
      <c r="U39" s="248">
        <v>6</v>
      </c>
      <c r="V39" s="248">
        <v>5</v>
      </c>
      <c r="W39" s="248">
        <v>3</v>
      </c>
      <c r="X39" s="248">
        <v>2</v>
      </c>
      <c r="Y39" s="249">
        <f t="shared" si="17"/>
        <v>1</v>
      </c>
      <c r="Z39" s="248">
        <v>0</v>
      </c>
      <c r="AA39" s="439">
        <f t="shared" si="18"/>
        <v>-1</v>
      </c>
      <c r="AB39" s="248">
        <v>-2</v>
      </c>
      <c r="AC39" s="435">
        <v>9400</v>
      </c>
      <c r="AD39" s="440">
        <v>-34</v>
      </c>
      <c r="AE39" s="440">
        <v>-28</v>
      </c>
      <c r="AF39" s="440">
        <v>-23</v>
      </c>
      <c r="AG39" s="440">
        <v>-17</v>
      </c>
      <c r="AH39" s="440">
        <v>-11</v>
      </c>
      <c r="AI39" s="440">
        <v>-6</v>
      </c>
      <c r="AJ39" s="249">
        <f t="shared" si="19"/>
        <v>-3</v>
      </c>
      <c r="AK39" s="248">
        <v>0</v>
      </c>
      <c r="AL39" s="439">
        <f t="shared" si="20"/>
        <v>3</v>
      </c>
      <c r="AM39" s="441">
        <v>6</v>
      </c>
      <c r="AN39" s="435">
        <v>9400</v>
      </c>
      <c r="AO39" s="440">
        <v>-58</v>
      </c>
      <c r="AP39" s="440">
        <v>-48</v>
      </c>
      <c r="AQ39" s="440">
        <v>-38</v>
      </c>
      <c r="AR39" s="440">
        <v>-29</v>
      </c>
      <c r="AS39" s="440">
        <v>-19</v>
      </c>
      <c r="AT39" s="440">
        <v>-10</v>
      </c>
      <c r="AU39" s="442">
        <f t="shared" si="2"/>
        <v>-5</v>
      </c>
      <c r="AV39" s="440">
        <v>0</v>
      </c>
      <c r="AW39" s="442">
        <f t="shared" si="21"/>
        <v>5</v>
      </c>
      <c r="AX39" s="441">
        <v>10</v>
      </c>
      <c r="AY39" s="435">
        <v>9400</v>
      </c>
      <c r="AZ39" s="440">
        <v>4</v>
      </c>
      <c r="BA39" s="440">
        <v>3</v>
      </c>
      <c r="BB39" s="440">
        <v>2</v>
      </c>
      <c r="BC39" s="440">
        <v>2</v>
      </c>
      <c r="BD39" s="440">
        <v>1</v>
      </c>
      <c r="BE39" s="440">
        <v>1</v>
      </c>
      <c r="BF39" s="442">
        <f t="shared" si="3"/>
        <v>0.5</v>
      </c>
      <c r="BG39" s="440">
        <v>0</v>
      </c>
      <c r="BH39" s="442">
        <f t="shared" si="22"/>
        <v>-0.5</v>
      </c>
      <c r="BI39" s="441">
        <v>-1</v>
      </c>
      <c r="BJ39" s="447">
        <v>9400</v>
      </c>
      <c r="BK39" s="440">
        <v>-31</v>
      </c>
      <c r="BL39" s="440">
        <v>-26</v>
      </c>
      <c r="BM39" s="440">
        <v>-21</v>
      </c>
      <c r="BN39" s="440">
        <v>-16</v>
      </c>
      <c r="BO39" s="440">
        <v>-10</v>
      </c>
      <c r="BP39" s="440">
        <v>-5</v>
      </c>
      <c r="BQ39" s="442">
        <f t="shared" si="4"/>
        <v>-2.5</v>
      </c>
      <c r="BR39" s="440">
        <v>0</v>
      </c>
      <c r="BS39" s="442">
        <f t="shared" si="23"/>
        <v>2.5</v>
      </c>
      <c r="BT39" s="440">
        <v>5</v>
      </c>
      <c r="BU39" s="435">
        <v>9400</v>
      </c>
      <c r="BV39" s="440">
        <v>1</v>
      </c>
      <c r="BW39" s="440">
        <v>1</v>
      </c>
      <c r="BX39" s="440">
        <v>1</v>
      </c>
      <c r="BY39" s="440">
        <v>1</v>
      </c>
      <c r="BZ39" s="440">
        <v>0</v>
      </c>
      <c r="CA39" s="440">
        <v>0</v>
      </c>
      <c r="CB39" s="442">
        <f t="shared" si="5"/>
        <v>0</v>
      </c>
      <c r="CC39" s="440">
        <v>0</v>
      </c>
      <c r="CD39" s="442">
        <f t="shared" si="24"/>
        <v>0</v>
      </c>
      <c r="CE39" s="441">
        <v>0</v>
      </c>
      <c r="CF39" s="435">
        <v>9400</v>
      </c>
      <c r="CG39" s="440">
        <v>-23</v>
      </c>
      <c r="CH39" s="440">
        <v>-19</v>
      </c>
      <c r="CI39" s="440">
        <v>-15</v>
      </c>
      <c r="CJ39" s="440">
        <v>-11</v>
      </c>
      <c r="CK39" s="440">
        <v>-8</v>
      </c>
      <c r="CL39" s="440">
        <v>-4</v>
      </c>
      <c r="CM39" s="442">
        <f t="shared" si="6"/>
        <v>-2</v>
      </c>
      <c r="CN39" s="440">
        <v>0</v>
      </c>
      <c r="CO39" s="442">
        <f t="shared" si="25"/>
        <v>2</v>
      </c>
      <c r="CP39" s="441">
        <v>4</v>
      </c>
      <c r="CQ39" s="435">
        <v>9400</v>
      </c>
      <c r="CR39" s="440">
        <v>1</v>
      </c>
      <c r="CS39" s="440">
        <v>1</v>
      </c>
      <c r="CT39" s="440">
        <v>1</v>
      </c>
      <c r="CU39" s="440">
        <v>1</v>
      </c>
      <c r="CV39" s="440">
        <v>0</v>
      </c>
      <c r="CW39" s="440">
        <v>0</v>
      </c>
      <c r="CX39" s="442">
        <f t="shared" si="7"/>
        <v>0</v>
      </c>
      <c r="CY39" s="440">
        <v>0</v>
      </c>
      <c r="CZ39" s="442">
        <f t="shared" si="26"/>
        <v>0</v>
      </c>
      <c r="DA39" s="441">
        <v>0</v>
      </c>
      <c r="DB39" s="435">
        <v>9400</v>
      </c>
      <c r="DC39" s="440">
        <v>-21</v>
      </c>
      <c r="DD39" s="440">
        <v>-17</v>
      </c>
      <c r="DE39" s="440">
        <v>-14</v>
      </c>
      <c r="DF39" s="440">
        <v>-10</v>
      </c>
      <c r="DG39" s="440">
        <v>-7</v>
      </c>
      <c r="DH39" s="440">
        <v>-3</v>
      </c>
      <c r="DI39" s="442">
        <f t="shared" si="8"/>
        <v>-1.5</v>
      </c>
      <c r="DJ39" s="440">
        <v>0</v>
      </c>
      <c r="DK39" s="442">
        <f t="shared" si="27"/>
        <v>1.5</v>
      </c>
      <c r="DL39" s="441">
        <v>3</v>
      </c>
      <c r="DM39" s="435">
        <v>9400</v>
      </c>
      <c r="DN39" s="440">
        <v>1</v>
      </c>
      <c r="DO39" s="440">
        <v>1</v>
      </c>
      <c r="DP39" s="440">
        <v>1</v>
      </c>
      <c r="DQ39" s="440">
        <v>1</v>
      </c>
      <c r="DR39" s="440">
        <v>0</v>
      </c>
      <c r="DS39" s="440">
        <v>0</v>
      </c>
      <c r="DT39" s="442">
        <f t="shared" si="9"/>
        <v>0</v>
      </c>
      <c r="DU39" s="440">
        <v>0</v>
      </c>
      <c r="DV39" s="442">
        <f t="shared" si="28"/>
        <v>0</v>
      </c>
      <c r="DW39" s="441">
        <v>0</v>
      </c>
      <c r="DX39" s="435">
        <v>9400</v>
      </c>
      <c r="DY39" s="440">
        <v>-24</v>
      </c>
      <c r="DZ39" s="440">
        <v>-20</v>
      </c>
      <c r="EA39" s="440">
        <v>-16</v>
      </c>
      <c r="EB39" s="440">
        <v>-12</v>
      </c>
      <c r="EC39" s="440">
        <v>-8</v>
      </c>
      <c r="ED39" s="440">
        <v>-4</v>
      </c>
      <c r="EE39" s="442">
        <f t="shared" si="10"/>
        <v>-2</v>
      </c>
      <c r="EF39" s="440">
        <v>0</v>
      </c>
      <c r="EG39" s="442">
        <f t="shared" si="29"/>
        <v>2</v>
      </c>
      <c r="EH39" s="440">
        <v>4</v>
      </c>
      <c r="EI39" s="435">
        <v>9400</v>
      </c>
      <c r="EJ39" s="440">
        <v>3</v>
      </c>
      <c r="EK39" s="440">
        <v>3</v>
      </c>
      <c r="EL39" s="440">
        <v>2</v>
      </c>
      <c r="EM39" s="440">
        <v>2</v>
      </c>
      <c r="EN39" s="440">
        <v>1</v>
      </c>
      <c r="EO39" s="440">
        <v>1</v>
      </c>
      <c r="EP39" s="442">
        <f t="shared" si="30"/>
        <v>0.5</v>
      </c>
      <c r="EQ39" s="440">
        <v>0</v>
      </c>
      <c r="ER39" s="442">
        <f t="shared" si="31"/>
        <v>-0.5</v>
      </c>
      <c r="ES39" s="441">
        <v>-1</v>
      </c>
      <c r="ET39" s="435">
        <v>9400</v>
      </c>
      <c r="EU39" s="440">
        <v>-22</v>
      </c>
      <c r="EV39" s="440">
        <v>-19</v>
      </c>
      <c r="EW39" s="440">
        <v>-15</v>
      </c>
      <c r="EX39" s="440">
        <v>-11</v>
      </c>
      <c r="EY39" s="440">
        <v>-7</v>
      </c>
      <c r="EZ39" s="440">
        <v>-4</v>
      </c>
      <c r="FA39" s="442">
        <f t="shared" si="32"/>
        <v>-2</v>
      </c>
      <c r="FB39" s="440">
        <v>0</v>
      </c>
      <c r="FC39" s="442">
        <f t="shared" si="33"/>
        <v>2</v>
      </c>
      <c r="FD39" s="440">
        <v>4</v>
      </c>
      <c r="FE39" s="435">
        <v>9400</v>
      </c>
      <c r="FF39" s="440">
        <v>6</v>
      </c>
      <c r="FG39" s="440">
        <v>5</v>
      </c>
      <c r="FH39" s="440">
        <v>4</v>
      </c>
      <c r="FI39" s="440">
        <v>3</v>
      </c>
      <c r="FJ39" s="440">
        <v>2</v>
      </c>
      <c r="FK39" s="440">
        <v>1</v>
      </c>
      <c r="FL39" s="442">
        <f t="shared" si="11"/>
        <v>0.5</v>
      </c>
      <c r="FM39" s="440">
        <v>0</v>
      </c>
      <c r="FN39" s="442">
        <f t="shared" si="34"/>
        <v>0.5</v>
      </c>
      <c r="FO39" s="441">
        <v>1</v>
      </c>
      <c r="FP39" s="435">
        <v>9400</v>
      </c>
      <c r="FQ39" s="440">
        <v>-18</v>
      </c>
      <c r="FR39" s="440">
        <v>-15</v>
      </c>
      <c r="FS39" s="440">
        <v>-12</v>
      </c>
      <c r="FT39" s="440">
        <v>-9</v>
      </c>
      <c r="FU39" s="440">
        <v>-6</v>
      </c>
      <c r="FV39" s="440">
        <v>-3</v>
      </c>
      <c r="FW39" s="442">
        <f t="shared" si="12"/>
        <v>-1.5</v>
      </c>
      <c r="FX39" s="440">
        <v>0</v>
      </c>
      <c r="FY39" s="442">
        <f t="shared" si="35"/>
        <v>1.5</v>
      </c>
      <c r="FZ39" s="440">
        <v>3</v>
      </c>
      <c r="GA39" s="435">
        <v>9400</v>
      </c>
      <c r="GB39" s="440">
        <v>-34</v>
      </c>
      <c r="GC39" s="440">
        <v>-28</v>
      </c>
      <c r="GD39" s="440">
        <v>-23</v>
      </c>
      <c r="GE39" s="440">
        <v>-17</v>
      </c>
      <c r="GF39" s="440">
        <v>-11</v>
      </c>
      <c r="GG39" s="440">
        <v>-6</v>
      </c>
      <c r="GH39" s="442">
        <f t="shared" si="13"/>
        <v>-3</v>
      </c>
      <c r="GI39" s="440">
        <v>0</v>
      </c>
      <c r="GJ39" s="442">
        <f t="shared" si="36"/>
        <v>3</v>
      </c>
      <c r="GK39" s="441">
        <v>6</v>
      </c>
      <c r="GL39" s="435">
        <v>9400</v>
      </c>
      <c r="GM39" s="440">
        <v>-33</v>
      </c>
      <c r="GN39" s="440">
        <v>-28</v>
      </c>
      <c r="GO39" s="440">
        <v>-22</v>
      </c>
      <c r="GP39" s="440">
        <v>-17</v>
      </c>
      <c r="GQ39" s="440">
        <v>-11</v>
      </c>
      <c r="GR39" s="440">
        <v>-6</v>
      </c>
      <c r="GS39" s="442">
        <f t="shared" si="14"/>
        <v>-3</v>
      </c>
      <c r="GT39" s="440">
        <v>0</v>
      </c>
      <c r="GU39" s="442">
        <f t="shared" si="37"/>
        <v>3</v>
      </c>
      <c r="GV39" s="441">
        <v>6</v>
      </c>
      <c r="GX39" s="263"/>
      <c r="GY39" s="264"/>
      <c r="GZ39" s="265"/>
      <c r="HA39" s="263"/>
      <c r="HB39" s="263"/>
      <c r="HC39" s="267"/>
    </row>
    <row r="40" spans="3:211">
      <c r="G40" s="435">
        <v>9300</v>
      </c>
      <c r="H40" s="445">
        <v>32</v>
      </c>
      <c r="I40" s="249">
        <v>27</v>
      </c>
      <c r="J40" s="249">
        <v>22</v>
      </c>
      <c r="K40" s="249">
        <v>16</v>
      </c>
      <c r="L40" s="249">
        <v>11</v>
      </c>
      <c r="M40" s="249">
        <v>5</v>
      </c>
      <c r="N40" s="249">
        <f t="shared" si="15"/>
        <v>2.5</v>
      </c>
      <c r="O40" s="249">
        <v>0</v>
      </c>
      <c r="P40" s="249">
        <f t="shared" si="16"/>
        <v>-3</v>
      </c>
      <c r="Q40" s="446">
        <v>-6</v>
      </c>
      <c r="R40" s="435">
        <v>9300</v>
      </c>
      <c r="S40" s="248">
        <v>9</v>
      </c>
      <c r="T40" s="248">
        <v>8</v>
      </c>
      <c r="U40" s="248">
        <v>6</v>
      </c>
      <c r="V40" s="248">
        <v>5</v>
      </c>
      <c r="W40" s="248">
        <v>3</v>
      </c>
      <c r="X40" s="248">
        <v>2</v>
      </c>
      <c r="Y40" s="249">
        <f t="shared" si="17"/>
        <v>1</v>
      </c>
      <c r="Z40" s="248">
        <v>0</v>
      </c>
      <c r="AA40" s="439">
        <f t="shared" si="18"/>
        <v>-1</v>
      </c>
      <c r="AB40" s="248">
        <v>-2</v>
      </c>
      <c r="AC40" s="435">
        <v>9300</v>
      </c>
      <c r="AD40" s="440">
        <v>-34</v>
      </c>
      <c r="AE40" s="440">
        <v>-28</v>
      </c>
      <c r="AF40" s="440">
        <v>-23</v>
      </c>
      <c r="AG40" s="440">
        <v>-17</v>
      </c>
      <c r="AH40" s="440">
        <v>-11</v>
      </c>
      <c r="AI40" s="440">
        <v>-6</v>
      </c>
      <c r="AJ40" s="249">
        <f t="shared" si="19"/>
        <v>-3</v>
      </c>
      <c r="AK40" s="248">
        <v>0</v>
      </c>
      <c r="AL40" s="439">
        <f t="shared" si="20"/>
        <v>3</v>
      </c>
      <c r="AM40" s="441">
        <v>6</v>
      </c>
      <c r="AN40" s="435">
        <v>9300</v>
      </c>
      <c r="AO40" s="440">
        <v>-58</v>
      </c>
      <c r="AP40" s="440">
        <v>-48</v>
      </c>
      <c r="AQ40" s="440">
        <v>-38</v>
      </c>
      <c r="AR40" s="440">
        <v>-29</v>
      </c>
      <c r="AS40" s="440">
        <v>-19</v>
      </c>
      <c r="AT40" s="440">
        <v>-10</v>
      </c>
      <c r="AU40" s="442">
        <f t="shared" si="2"/>
        <v>-5</v>
      </c>
      <c r="AV40" s="440">
        <v>0</v>
      </c>
      <c r="AW40" s="442">
        <f t="shared" si="21"/>
        <v>5</v>
      </c>
      <c r="AX40" s="441">
        <v>10</v>
      </c>
      <c r="AY40" s="435">
        <v>9300</v>
      </c>
      <c r="AZ40" s="440">
        <v>4</v>
      </c>
      <c r="BA40" s="440">
        <v>3</v>
      </c>
      <c r="BB40" s="440">
        <v>2</v>
      </c>
      <c r="BC40" s="440">
        <v>2</v>
      </c>
      <c r="BD40" s="440">
        <v>1</v>
      </c>
      <c r="BE40" s="440">
        <v>1</v>
      </c>
      <c r="BF40" s="442">
        <f t="shared" si="3"/>
        <v>0.5</v>
      </c>
      <c r="BG40" s="440">
        <v>0</v>
      </c>
      <c r="BH40" s="442">
        <f t="shared" si="22"/>
        <v>-0.5</v>
      </c>
      <c r="BI40" s="441">
        <v>-1</v>
      </c>
      <c r="BJ40" s="447">
        <v>9300</v>
      </c>
      <c r="BK40" s="440">
        <v>-31</v>
      </c>
      <c r="BL40" s="440">
        <v>-26</v>
      </c>
      <c r="BM40" s="440">
        <v>-21</v>
      </c>
      <c r="BN40" s="440">
        <v>-16</v>
      </c>
      <c r="BO40" s="440">
        <v>-10</v>
      </c>
      <c r="BP40" s="440">
        <v>-5</v>
      </c>
      <c r="BQ40" s="442">
        <f t="shared" si="4"/>
        <v>-2.5</v>
      </c>
      <c r="BR40" s="440">
        <v>0</v>
      </c>
      <c r="BS40" s="442">
        <f t="shared" si="23"/>
        <v>2.5</v>
      </c>
      <c r="BT40" s="440">
        <v>5</v>
      </c>
      <c r="BU40" s="435">
        <v>9300</v>
      </c>
      <c r="BV40" s="440">
        <v>1</v>
      </c>
      <c r="BW40" s="440">
        <v>1</v>
      </c>
      <c r="BX40" s="440">
        <v>1</v>
      </c>
      <c r="BY40" s="440">
        <v>1</v>
      </c>
      <c r="BZ40" s="440">
        <v>0</v>
      </c>
      <c r="CA40" s="440">
        <v>0</v>
      </c>
      <c r="CB40" s="442">
        <f t="shared" si="5"/>
        <v>0</v>
      </c>
      <c r="CC40" s="440">
        <v>0</v>
      </c>
      <c r="CD40" s="442">
        <f t="shared" si="24"/>
        <v>0</v>
      </c>
      <c r="CE40" s="441">
        <v>0</v>
      </c>
      <c r="CF40" s="435">
        <v>9300</v>
      </c>
      <c r="CG40" s="440">
        <v>-23</v>
      </c>
      <c r="CH40" s="440">
        <v>-19</v>
      </c>
      <c r="CI40" s="440">
        <v>-15</v>
      </c>
      <c r="CJ40" s="440">
        <v>-11</v>
      </c>
      <c r="CK40" s="440">
        <v>-8</v>
      </c>
      <c r="CL40" s="440">
        <v>-4</v>
      </c>
      <c r="CM40" s="442">
        <f t="shared" si="6"/>
        <v>-2</v>
      </c>
      <c r="CN40" s="440">
        <v>0</v>
      </c>
      <c r="CO40" s="442">
        <f t="shared" si="25"/>
        <v>2</v>
      </c>
      <c r="CP40" s="441">
        <v>4</v>
      </c>
      <c r="CQ40" s="435">
        <v>9300</v>
      </c>
      <c r="CR40" s="440">
        <v>1</v>
      </c>
      <c r="CS40" s="440">
        <v>1</v>
      </c>
      <c r="CT40" s="440">
        <v>1</v>
      </c>
      <c r="CU40" s="440">
        <v>1</v>
      </c>
      <c r="CV40" s="440">
        <v>0</v>
      </c>
      <c r="CW40" s="440">
        <v>0</v>
      </c>
      <c r="CX40" s="442">
        <f t="shared" si="7"/>
        <v>0</v>
      </c>
      <c r="CY40" s="440">
        <v>0</v>
      </c>
      <c r="CZ40" s="442">
        <f t="shared" si="26"/>
        <v>0</v>
      </c>
      <c r="DA40" s="441">
        <v>0</v>
      </c>
      <c r="DB40" s="435">
        <v>9300</v>
      </c>
      <c r="DC40" s="440">
        <v>-21</v>
      </c>
      <c r="DD40" s="440">
        <v>-17</v>
      </c>
      <c r="DE40" s="440">
        <v>-14</v>
      </c>
      <c r="DF40" s="440">
        <v>-10</v>
      </c>
      <c r="DG40" s="440">
        <v>-7</v>
      </c>
      <c r="DH40" s="440">
        <v>-3</v>
      </c>
      <c r="DI40" s="442">
        <f t="shared" si="8"/>
        <v>-1.5</v>
      </c>
      <c r="DJ40" s="440">
        <v>0</v>
      </c>
      <c r="DK40" s="442">
        <f t="shared" si="27"/>
        <v>1.5</v>
      </c>
      <c r="DL40" s="441">
        <v>3</v>
      </c>
      <c r="DM40" s="435">
        <v>9300</v>
      </c>
      <c r="DN40" s="440">
        <v>1</v>
      </c>
      <c r="DO40" s="440">
        <v>1</v>
      </c>
      <c r="DP40" s="440">
        <v>1</v>
      </c>
      <c r="DQ40" s="440">
        <v>1</v>
      </c>
      <c r="DR40" s="440">
        <v>0</v>
      </c>
      <c r="DS40" s="440">
        <v>0</v>
      </c>
      <c r="DT40" s="442">
        <f t="shared" si="9"/>
        <v>0</v>
      </c>
      <c r="DU40" s="440">
        <v>0</v>
      </c>
      <c r="DV40" s="442">
        <f t="shared" si="28"/>
        <v>0</v>
      </c>
      <c r="DW40" s="441">
        <v>0</v>
      </c>
      <c r="DX40" s="435">
        <v>9300</v>
      </c>
      <c r="DY40" s="440">
        <v>-24</v>
      </c>
      <c r="DZ40" s="440">
        <v>-20</v>
      </c>
      <c r="EA40" s="440">
        <v>-16</v>
      </c>
      <c r="EB40" s="440">
        <v>-12</v>
      </c>
      <c r="EC40" s="440">
        <v>-8</v>
      </c>
      <c r="ED40" s="440">
        <v>-4</v>
      </c>
      <c r="EE40" s="442">
        <f t="shared" si="10"/>
        <v>-2</v>
      </c>
      <c r="EF40" s="440">
        <v>0</v>
      </c>
      <c r="EG40" s="442">
        <f t="shared" si="29"/>
        <v>2</v>
      </c>
      <c r="EH40" s="440">
        <v>4</v>
      </c>
      <c r="EI40" s="435">
        <v>9300</v>
      </c>
      <c r="EJ40" s="440">
        <v>3</v>
      </c>
      <c r="EK40" s="440">
        <v>3</v>
      </c>
      <c r="EL40" s="440">
        <v>2</v>
      </c>
      <c r="EM40" s="440">
        <v>2</v>
      </c>
      <c r="EN40" s="440">
        <v>1</v>
      </c>
      <c r="EO40" s="440">
        <v>1</v>
      </c>
      <c r="EP40" s="442">
        <f t="shared" si="30"/>
        <v>0.5</v>
      </c>
      <c r="EQ40" s="440">
        <v>0</v>
      </c>
      <c r="ER40" s="442">
        <f t="shared" si="31"/>
        <v>-0.5</v>
      </c>
      <c r="ES40" s="441">
        <v>-1</v>
      </c>
      <c r="ET40" s="435">
        <v>9300</v>
      </c>
      <c r="EU40" s="440">
        <v>-22</v>
      </c>
      <c r="EV40" s="440">
        <v>-19</v>
      </c>
      <c r="EW40" s="440">
        <v>-15</v>
      </c>
      <c r="EX40" s="440">
        <v>-11</v>
      </c>
      <c r="EY40" s="440">
        <v>-7</v>
      </c>
      <c r="EZ40" s="440">
        <v>-4</v>
      </c>
      <c r="FA40" s="442">
        <f t="shared" si="32"/>
        <v>-2</v>
      </c>
      <c r="FB40" s="440">
        <v>0</v>
      </c>
      <c r="FC40" s="442">
        <f t="shared" si="33"/>
        <v>2</v>
      </c>
      <c r="FD40" s="440">
        <v>4</v>
      </c>
      <c r="FE40" s="435">
        <v>9300</v>
      </c>
      <c r="FF40" s="440">
        <v>6</v>
      </c>
      <c r="FG40" s="440">
        <v>5</v>
      </c>
      <c r="FH40" s="440">
        <v>4</v>
      </c>
      <c r="FI40" s="440">
        <v>3</v>
      </c>
      <c r="FJ40" s="440">
        <v>2</v>
      </c>
      <c r="FK40" s="440">
        <v>1</v>
      </c>
      <c r="FL40" s="442">
        <f t="shared" si="11"/>
        <v>0.5</v>
      </c>
      <c r="FM40" s="440">
        <v>0</v>
      </c>
      <c r="FN40" s="442">
        <f t="shared" si="34"/>
        <v>-0.5</v>
      </c>
      <c r="FO40" s="441">
        <v>-1</v>
      </c>
      <c r="FP40" s="435">
        <v>9300</v>
      </c>
      <c r="FQ40" s="440">
        <v>-18</v>
      </c>
      <c r="FR40" s="440">
        <v>-15</v>
      </c>
      <c r="FS40" s="440">
        <v>-12</v>
      </c>
      <c r="FT40" s="440">
        <v>-9</v>
      </c>
      <c r="FU40" s="440">
        <v>-6</v>
      </c>
      <c r="FV40" s="440">
        <v>-3</v>
      </c>
      <c r="FW40" s="442">
        <f t="shared" si="12"/>
        <v>-1.5</v>
      </c>
      <c r="FX40" s="440">
        <v>0</v>
      </c>
      <c r="FY40" s="442">
        <f t="shared" si="35"/>
        <v>1.5</v>
      </c>
      <c r="FZ40" s="440">
        <v>3</v>
      </c>
      <c r="GA40" s="435">
        <v>9300</v>
      </c>
      <c r="GB40" s="440">
        <v>-34</v>
      </c>
      <c r="GC40" s="440">
        <v>-28</v>
      </c>
      <c r="GD40" s="440">
        <v>-23</v>
      </c>
      <c r="GE40" s="440">
        <v>-17</v>
      </c>
      <c r="GF40" s="440">
        <v>-11</v>
      </c>
      <c r="GG40" s="440">
        <v>-6</v>
      </c>
      <c r="GH40" s="442">
        <f t="shared" si="13"/>
        <v>-3</v>
      </c>
      <c r="GI40" s="440">
        <v>0</v>
      </c>
      <c r="GJ40" s="442">
        <f t="shared" si="36"/>
        <v>3</v>
      </c>
      <c r="GK40" s="441">
        <v>6</v>
      </c>
      <c r="GL40" s="435">
        <v>9300</v>
      </c>
      <c r="GM40" s="440">
        <v>-33</v>
      </c>
      <c r="GN40" s="440">
        <v>-28</v>
      </c>
      <c r="GO40" s="440">
        <v>-22</v>
      </c>
      <c r="GP40" s="440">
        <v>-17</v>
      </c>
      <c r="GQ40" s="440">
        <v>-11</v>
      </c>
      <c r="GR40" s="440">
        <v>-6</v>
      </c>
      <c r="GS40" s="442">
        <f t="shared" si="14"/>
        <v>-3</v>
      </c>
      <c r="GT40" s="440">
        <v>0</v>
      </c>
      <c r="GU40" s="442">
        <f t="shared" si="37"/>
        <v>3</v>
      </c>
      <c r="GV40" s="441">
        <v>6</v>
      </c>
      <c r="GX40" s="263"/>
      <c r="GY40" s="264"/>
      <c r="GZ40" s="264"/>
      <c r="HA40" s="263"/>
      <c r="HB40" s="263"/>
      <c r="HC40" s="267"/>
    </row>
    <row r="41" spans="3:211">
      <c r="G41" s="435">
        <v>9200</v>
      </c>
      <c r="H41" s="445">
        <v>32</v>
      </c>
      <c r="I41" s="249">
        <v>27</v>
      </c>
      <c r="J41" s="249">
        <v>22</v>
      </c>
      <c r="K41" s="249">
        <v>16</v>
      </c>
      <c r="L41" s="249">
        <v>11</v>
      </c>
      <c r="M41" s="249">
        <v>5</v>
      </c>
      <c r="N41" s="249">
        <f t="shared" si="15"/>
        <v>2.5</v>
      </c>
      <c r="O41" s="249">
        <v>0</v>
      </c>
      <c r="P41" s="249">
        <f t="shared" si="16"/>
        <v>-3</v>
      </c>
      <c r="Q41" s="446">
        <v>-6</v>
      </c>
      <c r="R41" s="435">
        <v>9200</v>
      </c>
      <c r="S41" s="248">
        <v>9</v>
      </c>
      <c r="T41" s="248">
        <v>9</v>
      </c>
      <c r="U41" s="248">
        <v>6</v>
      </c>
      <c r="V41" s="248">
        <v>5</v>
      </c>
      <c r="W41" s="248">
        <v>3</v>
      </c>
      <c r="X41" s="248">
        <v>2</v>
      </c>
      <c r="Y41" s="249">
        <f t="shared" si="17"/>
        <v>1</v>
      </c>
      <c r="Z41" s="248">
        <v>0</v>
      </c>
      <c r="AA41" s="439">
        <f t="shared" si="18"/>
        <v>-1</v>
      </c>
      <c r="AB41" s="248">
        <v>-2</v>
      </c>
      <c r="AC41" s="435">
        <v>9200</v>
      </c>
      <c r="AD41" s="440">
        <v>-34</v>
      </c>
      <c r="AE41" s="440">
        <v>-28</v>
      </c>
      <c r="AF41" s="440">
        <v>-23</v>
      </c>
      <c r="AG41" s="440">
        <v>-17</v>
      </c>
      <c r="AH41" s="440">
        <v>-11</v>
      </c>
      <c r="AI41" s="440">
        <v>-6</v>
      </c>
      <c r="AJ41" s="249">
        <f t="shared" si="19"/>
        <v>-3</v>
      </c>
      <c r="AK41" s="248">
        <v>0</v>
      </c>
      <c r="AL41" s="439">
        <f t="shared" si="20"/>
        <v>3</v>
      </c>
      <c r="AM41" s="441">
        <v>6</v>
      </c>
      <c r="AN41" s="435">
        <v>9200</v>
      </c>
      <c r="AO41" s="440">
        <v>-58</v>
      </c>
      <c r="AP41" s="440">
        <v>-48</v>
      </c>
      <c r="AQ41" s="440">
        <v>-38</v>
      </c>
      <c r="AR41" s="440">
        <v>-29</v>
      </c>
      <c r="AS41" s="440">
        <v>-19</v>
      </c>
      <c r="AT41" s="440">
        <v>-10</v>
      </c>
      <c r="AU41" s="442">
        <f t="shared" si="2"/>
        <v>-5</v>
      </c>
      <c r="AV41" s="440">
        <v>0</v>
      </c>
      <c r="AW41" s="442">
        <f t="shared" si="21"/>
        <v>5</v>
      </c>
      <c r="AX41" s="441">
        <v>10</v>
      </c>
      <c r="AY41" s="435">
        <v>9200</v>
      </c>
      <c r="AZ41" s="440">
        <v>4</v>
      </c>
      <c r="BA41" s="440">
        <v>3</v>
      </c>
      <c r="BB41" s="440">
        <v>2</v>
      </c>
      <c r="BC41" s="440">
        <v>2</v>
      </c>
      <c r="BD41" s="440">
        <v>1</v>
      </c>
      <c r="BE41" s="440">
        <v>1</v>
      </c>
      <c r="BF41" s="442">
        <f t="shared" si="3"/>
        <v>0.5</v>
      </c>
      <c r="BG41" s="440">
        <v>0</v>
      </c>
      <c r="BH41" s="442">
        <f t="shared" si="22"/>
        <v>-0.5</v>
      </c>
      <c r="BI41" s="441">
        <v>-1</v>
      </c>
      <c r="BJ41" s="447">
        <v>9200</v>
      </c>
      <c r="BK41" s="440">
        <v>-31</v>
      </c>
      <c r="BL41" s="440">
        <v>-26</v>
      </c>
      <c r="BM41" s="440">
        <v>-21</v>
      </c>
      <c r="BN41" s="440">
        <v>-16</v>
      </c>
      <c r="BO41" s="440">
        <v>-10</v>
      </c>
      <c r="BP41" s="440">
        <v>-5</v>
      </c>
      <c r="BQ41" s="442">
        <f t="shared" si="4"/>
        <v>-2.5</v>
      </c>
      <c r="BR41" s="440">
        <v>0</v>
      </c>
      <c r="BS41" s="442">
        <f t="shared" si="23"/>
        <v>2.5</v>
      </c>
      <c r="BT41" s="440">
        <v>5</v>
      </c>
      <c r="BU41" s="435">
        <v>9200</v>
      </c>
      <c r="BV41" s="440">
        <v>1</v>
      </c>
      <c r="BW41" s="440">
        <v>1</v>
      </c>
      <c r="BX41" s="440">
        <v>1</v>
      </c>
      <c r="BY41" s="440">
        <v>1</v>
      </c>
      <c r="BZ41" s="440">
        <v>0</v>
      </c>
      <c r="CA41" s="440">
        <v>0</v>
      </c>
      <c r="CB41" s="442">
        <f t="shared" si="5"/>
        <v>0</v>
      </c>
      <c r="CC41" s="440">
        <v>0</v>
      </c>
      <c r="CD41" s="442">
        <f t="shared" si="24"/>
        <v>0</v>
      </c>
      <c r="CE41" s="441">
        <v>0</v>
      </c>
      <c r="CF41" s="435">
        <v>9200</v>
      </c>
      <c r="CG41" s="440">
        <v>-23</v>
      </c>
      <c r="CH41" s="440">
        <v>-19</v>
      </c>
      <c r="CI41" s="440">
        <v>-15</v>
      </c>
      <c r="CJ41" s="440">
        <v>-11</v>
      </c>
      <c r="CK41" s="440">
        <v>-8</v>
      </c>
      <c r="CL41" s="440">
        <v>-4</v>
      </c>
      <c r="CM41" s="442">
        <f t="shared" si="6"/>
        <v>-2</v>
      </c>
      <c r="CN41" s="440">
        <v>0</v>
      </c>
      <c r="CO41" s="442">
        <f t="shared" si="25"/>
        <v>2</v>
      </c>
      <c r="CP41" s="441">
        <v>4</v>
      </c>
      <c r="CQ41" s="435">
        <v>9200</v>
      </c>
      <c r="CR41" s="440">
        <v>1</v>
      </c>
      <c r="CS41" s="440">
        <v>1</v>
      </c>
      <c r="CT41" s="440">
        <v>1</v>
      </c>
      <c r="CU41" s="440">
        <v>1</v>
      </c>
      <c r="CV41" s="440">
        <v>0</v>
      </c>
      <c r="CW41" s="440">
        <v>0</v>
      </c>
      <c r="CX41" s="442">
        <f t="shared" si="7"/>
        <v>0</v>
      </c>
      <c r="CY41" s="440">
        <v>0</v>
      </c>
      <c r="CZ41" s="442">
        <f t="shared" si="26"/>
        <v>0</v>
      </c>
      <c r="DA41" s="441">
        <v>0</v>
      </c>
      <c r="DB41" s="435">
        <v>9200</v>
      </c>
      <c r="DC41" s="440">
        <v>-21</v>
      </c>
      <c r="DD41" s="440">
        <v>-17</v>
      </c>
      <c r="DE41" s="440">
        <v>-14</v>
      </c>
      <c r="DF41" s="440">
        <v>-10</v>
      </c>
      <c r="DG41" s="440">
        <v>-7</v>
      </c>
      <c r="DH41" s="440">
        <v>-3</v>
      </c>
      <c r="DI41" s="442">
        <f t="shared" si="8"/>
        <v>-1.5</v>
      </c>
      <c r="DJ41" s="440">
        <v>0</v>
      </c>
      <c r="DK41" s="442">
        <f t="shared" si="27"/>
        <v>1.5</v>
      </c>
      <c r="DL41" s="441">
        <v>3</v>
      </c>
      <c r="DM41" s="435">
        <v>9200</v>
      </c>
      <c r="DN41" s="440">
        <v>1</v>
      </c>
      <c r="DO41" s="440">
        <v>1</v>
      </c>
      <c r="DP41" s="440">
        <v>1</v>
      </c>
      <c r="DQ41" s="440">
        <v>1</v>
      </c>
      <c r="DR41" s="440">
        <v>0</v>
      </c>
      <c r="DS41" s="440">
        <v>0</v>
      </c>
      <c r="DT41" s="442">
        <f t="shared" si="9"/>
        <v>0</v>
      </c>
      <c r="DU41" s="440">
        <v>0</v>
      </c>
      <c r="DV41" s="442">
        <f t="shared" si="28"/>
        <v>0</v>
      </c>
      <c r="DW41" s="441">
        <v>0</v>
      </c>
      <c r="DX41" s="435">
        <v>9200</v>
      </c>
      <c r="DY41" s="440">
        <v>-24</v>
      </c>
      <c r="DZ41" s="440">
        <v>-20</v>
      </c>
      <c r="EA41" s="440">
        <v>-16</v>
      </c>
      <c r="EB41" s="440">
        <v>-12</v>
      </c>
      <c r="EC41" s="440">
        <v>-8</v>
      </c>
      <c r="ED41" s="440">
        <v>-4</v>
      </c>
      <c r="EE41" s="442">
        <f t="shared" si="10"/>
        <v>-2</v>
      </c>
      <c r="EF41" s="440">
        <v>0</v>
      </c>
      <c r="EG41" s="442">
        <f t="shared" si="29"/>
        <v>2</v>
      </c>
      <c r="EH41" s="440">
        <v>4</v>
      </c>
      <c r="EI41" s="435">
        <v>9200</v>
      </c>
      <c r="EJ41" s="440">
        <v>3</v>
      </c>
      <c r="EK41" s="440">
        <v>3</v>
      </c>
      <c r="EL41" s="440">
        <v>2</v>
      </c>
      <c r="EM41" s="440">
        <v>2</v>
      </c>
      <c r="EN41" s="440">
        <v>1</v>
      </c>
      <c r="EO41" s="440">
        <v>1</v>
      </c>
      <c r="EP41" s="442">
        <f t="shared" si="30"/>
        <v>0.5</v>
      </c>
      <c r="EQ41" s="440">
        <v>0</v>
      </c>
      <c r="ER41" s="442">
        <f t="shared" si="31"/>
        <v>-0.5</v>
      </c>
      <c r="ES41" s="441">
        <v>-1</v>
      </c>
      <c r="ET41" s="435">
        <v>9200</v>
      </c>
      <c r="EU41" s="440">
        <v>-22</v>
      </c>
      <c r="EV41" s="440">
        <v>-19</v>
      </c>
      <c r="EW41" s="440">
        <v>-15</v>
      </c>
      <c r="EX41" s="440">
        <v>-11</v>
      </c>
      <c r="EY41" s="440">
        <v>-7</v>
      </c>
      <c r="EZ41" s="440">
        <v>-4</v>
      </c>
      <c r="FA41" s="442">
        <f t="shared" si="32"/>
        <v>-2</v>
      </c>
      <c r="FB41" s="440">
        <v>0</v>
      </c>
      <c r="FC41" s="442">
        <f t="shared" si="33"/>
        <v>2</v>
      </c>
      <c r="FD41" s="440">
        <v>4</v>
      </c>
      <c r="FE41" s="435">
        <v>9200</v>
      </c>
      <c r="FF41" s="440">
        <v>6</v>
      </c>
      <c r="FG41" s="440">
        <v>5</v>
      </c>
      <c r="FH41" s="440">
        <v>4</v>
      </c>
      <c r="FI41" s="440">
        <v>3</v>
      </c>
      <c r="FJ41" s="440">
        <v>2</v>
      </c>
      <c r="FK41" s="440">
        <v>1</v>
      </c>
      <c r="FL41" s="442">
        <f t="shared" si="11"/>
        <v>0.5</v>
      </c>
      <c r="FM41" s="440">
        <v>0</v>
      </c>
      <c r="FN41" s="442">
        <f t="shared" si="34"/>
        <v>-0.5</v>
      </c>
      <c r="FO41" s="441">
        <v>-1</v>
      </c>
      <c r="FP41" s="435">
        <v>9200</v>
      </c>
      <c r="FQ41" s="440">
        <v>-18</v>
      </c>
      <c r="FR41" s="440">
        <v>-15</v>
      </c>
      <c r="FS41" s="440">
        <v>-12</v>
      </c>
      <c r="FT41" s="440">
        <v>-9</v>
      </c>
      <c r="FU41" s="440">
        <v>-6</v>
      </c>
      <c r="FV41" s="440">
        <v>-3</v>
      </c>
      <c r="FW41" s="442">
        <f t="shared" si="12"/>
        <v>-1.5</v>
      </c>
      <c r="FX41" s="440">
        <v>0</v>
      </c>
      <c r="FY41" s="442">
        <f t="shared" si="35"/>
        <v>1.5</v>
      </c>
      <c r="FZ41" s="440">
        <v>3</v>
      </c>
      <c r="GA41" s="435">
        <v>9200</v>
      </c>
      <c r="GB41" s="440">
        <v>-34</v>
      </c>
      <c r="GC41" s="440">
        <v>-28</v>
      </c>
      <c r="GD41" s="440">
        <v>-23</v>
      </c>
      <c r="GE41" s="440">
        <v>-17</v>
      </c>
      <c r="GF41" s="440">
        <v>-11</v>
      </c>
      <c r="GG41" s="440">
        <v>-6</v>
      </c>
      <c r="GH41" s="442">
        <f t="shared" si="13"/>
        <v>-3</v>
      </c>
      <c r="GI41" s="440">
        <v>0</v>
      </c>
      <c r="GJ41" s="442">
        <f t="shared" si="36"/>
        <v>3</v>
      </c>
      <c r="GK41" s="441">
        <v>6</v>
      </c>
      <c r="GL41" s="435">
        <v>9200</v>
      </c>
      <c r="GM41" s="440">
        <v>-33</v>
      </c>
      <c r="GN41" s="440">
        <v>-28</v>
      </c>
      <c r="GO41" s="440">
        <v>-22</v>
      </c>
      <c r="GP41" s="440">
        <v>-17</v>
      </c>
      <c r="GQ41" s="440">
        <v>-11</v>
      </c>
      <c r="GR41" s="440">
        <v>-6</v>
      </c>
      <c r="GS41" s="442">
        <f t="shared" si="14"/>
        <v>-3</v>
      </c>
      <c r="GT41" s="440">
        <v>0</v>
      </c>
      <c r="GU41" s="442">
        <f t="shared" si="37"/>
        <v>3</v>
      </c>
      <c r="GV41" s="441">
        <v>6</v>
      </c>
      <c r="GX41" s="264"/>
      <c r="GY41" s="264"/>
      <c r="GZ41" s="264"/>
    </row>
    <row r="42" spans="3:211">
      <c r="G42" s="435">
        <v>9100</v>
      </c>
      <c r="H42" s="445">
        <v>33</v>
      </c>
      <c r="I42" s="249">
        <v>27</v>
      </c>
      <c r="J42" s="249">
        <v>22</v>
      </c>
      <c r="K42" s="249">
        <v>16</v>
      </c>
      <c r="L42" s="249">
        <v>11</v>
      </c>
      <c r="M42" s="249">
        <v>5</v>
      </c>
      <c r="N42" s="249">
        <f t="shared" si="15"/>
        <v>2.5</v>
      </c>
      <c r="O42" s="249">
        <v>0</v>
      </c>
      <c r="P42" s="249">
        <f t="shared" si="16"/>
        <v>-3</v>
      </c>
      <c r="Q42" s="446">
        <v>-6</v>
      </c>
      <c r="R42" s="435">
        <v>9100</v>
      </c>
      <c r="S42" s="248">
        <v>9</v>
      </c>
      <c r="T42" s="248">
        <v>9</v>
      </c>
      <c r="U42" s="248">
        <v>6</v>
      </c>
      <c r="V42" s="248">
        <v>5</v>
      </c>
      <c r="W42" s="248">
        <v>3</v>
      </c>
      <c r="X42" s="248">
        <v>2</v>
      </c>
      <c r="Y42" s="249">
        <f t="shared" si="17"/>
        <v>1</v>
      </c>
      <c r="Z42" s="248">
        <v>0</v>
      </c>
      <c r="AA42" s="439">
        <f t="shared" si="18"/>
        <v>-1</v>
      </c>
      <c r="AB42" s="248">
        <v>-2</v>
      </c>
      <c r="AC42" s="435">
        <v>9100</v>
      </c>
      <c r="AD42" s="440">
        <v>-34</v>
      </c>
      <c r="AE42" s="440">
        <v>-28</v>
      </c>
      <c r="AF42" s="440">
        <v>-23</v>
      </c>
      <c r="AG42" s="440">
        <v>-17</v>
      </c>
      <c r="AH42" s="440">
        <v>-11</v>
      </c>
      <c r="AI42" s="440">
        <v>-6</v>
      </c>
      <c r="AJ42" s="249">
        <f t="shared" si="19"/>
        <v>-3</v>
      </c>
      <c r="AK42" s="248">
        <v>0</v>
      </c>
      <c r="AL42" s="439">
        <f t="shared" si="20"/>
        <v>3</v>
      </c>
      <c r="AM42" s="441">
        <v>6</v>
      </c>
      <c r="AN42" s="435">
        <v>9100</v>
      </c>
      <c r="AO42" s="440">
        <v>-58</v>
      </c>
      <c r="AP42" s="440">
        <v>-48</v>
      </c>
      <c r="AQ42" s="440">
        <v>-38</v>
      </c>
      <c r="AR42" s="440">
        <v>-29</v>
      </c>
      <c r="AS42" s="440">
        <v>-19</v>
      </c>
      <c r="AT42" s="440">
        <v>-10</v>
      </c>
      <c r="AU42" s="442">
        <f t="shared" si="2"/>
        <v>-5</v>
      </c>
      <c r="AV42" s="440">
        <v>0</v>
      </c>
      <c r="AW42" s="442">
        <f t="shared" si="21"/>
        <v>5</v>
      </c>
      <c r="AX42" s="441">
        <v>10</v>
      </c>
      <c r="AY42" s="435">
        <v>9100</v>
      </c>
      <c r="AZ42" s="440">
        <v>4</v>
      </c>
      <c r="BA42" s="440">
        <v>3</v>
      </c>
      <c r="BB42" s="440">
        <v>2</v>
      </c>
      <c r="BC42" s="440">
        <v>2</v>
      </c>
      <c r="BD42" s="440">
        <v>1</v>
      </c>
      <c r="BE42" s="440">
        <v>1</v>
      </c>
      <c r="BF42" s="442">
        <f t="shared" si="3"/>
        <v>0.5</v>
      </c>
      <c r="BG42" s="440">
        <v>0</v>
      </c>
      <c r="BH42" s="442">
        <f t="shared" si="22"/>
        <v>-0.5</v>
      </c>
      <c r="BI42" s="441">
        <v>-1</v>
      </c>
      <c r="BJ42" s="447">
        <v>9100</v>
      </c>
      <c r="BK42" s="440">
        <v>-31</v>
      </c>
      <c r="BL42" s="440">
        <v>-26</v>
      </c>
      <c r="BM42" s="440">
        <v>-21</v>
      </c>
      <c r="BN42" s="440">
        <v>-16</v>
      </c>
      <c r="BO42" s="440">
        <v>-10</v>
      </c>
      <c r="BP42" s="440">
        <v>-5</v>
      </c>
      <c r="BQ42" s="442">
        <f t="shared" si="4"/>
        <v>-2.5</v>
      </c>
      <c r="BR42" s="440">
        <v>0</v>
      </c>
      <c r="BS42" s="442">
        <f t="shared" si="23"/>
        <v>2.5</v>
      </c>
      <c r="BT42" s="440">
        <v>5</v>
      </c>
      <c r="BU42" s="435">
        <v>9100</v>
      </c>
      <c r="BV42" s="440">
        <v>1</v>
      </c>
      <c r="BW42" s="440">
        <v>1</v>
      </c>
      <c r="BX42" s="440">
        <v>1</v>
      </c>
      <c r="BY42" s="440">
        <v>1</v>
      </c>
      <c r="BZ42" s="440">
        <v>0</v>
      </c>
      <c r="CA42" s="440">
        <v>0</v>
      </c>
      <c r="CB42" s="442">
        <f t="shared" si="5"/>
        <v>0</v>
      </c>
      <c r="CC42" s="440">
        <v>0</v>
      </c>
      <c r="CD42" s="442">
        <f t="shared" si="24"/>
        <v>0</v>
      </c>
      <c r="CE42" s="441">
        <v>0</v>
      </c>
      <c r="CF42" s="435">
        <v>9100</v>
      </c>
      <c r="CG42" s="440">
        <v>-23</v>
      </c>
      <c r="CH42" s="440">
        <v>-19</v>
      </c>
      <c r="CI42" s="440">
        <v>-15</v>
      </c>
      <c r="CJ42" s="440">
        <v>-11</v>
      </c>
      <c r="CK42" s="440">
        <v>-8</v>
      </c>
      <c r="CL42" s="440">
        <v>-4</v>
      </c>
      <c r="CM42" s="442">
        <f t="shared" si="6"/>
        <v>-2</v>
      </c>
      <c r="CN42" s="440">
        <v>0</v>
      </c>
      <c r="CO42" s="442">
        <f t="shared" si="25"/>
        <v>2</v>
      </c>
      <c r="CP42" s="441">
        <v>4</v>
      </c>
      <c r="CQ42" s="435">
        <v>9100</v>
      </c>
      <c r="CR42" s="440">
        <v>1</v>
      </c>
      <c r="CS42" s="440">
        <v>1</v>
      </c>
      <c r="CT42" s="440">
        <v>1</v>
      </c>
      <c r="CU42" s="440">
        <v>1</v>
      </c>
      <c r="CV42" s="440">
        <v>0</v>
      </c>
      <c r="CW42" s="440">
        <v>0</v>
      </c>
      <c r="CX42" s="442">
        <f t="shared" si="7"/>
        <v>0</v>
      </c>
      <c r="CY42" s="440">
        <v>0</v>
      </c>
      <c r="CZ42" s="442">
        <f t="shared" si="26"/>
        <v>0</v>
      </c>
      <c r="DA42" s="441">
        <v>0</v>
      </c>
      <c r="DB42" s="435">
        <v>9100</v>
      </c>
      <c r="DC42" s="440">
        <v>-21</v>
      </c>
      <c r="DD42" s="440">
        <v>-17</v>
      </c>
      <c r="DE42" s="440">
        <v>-14</v>
      </c>
      <c r="DF42" s="440">
        <v>-10</v>
      </c>
      <c r="DG42" s="440">
        <v>-7</v>
      </c>
      <c r="DH42" s="440">
        <v>-3</v>
      </c>
      <c r="DI42" s="442">
        <f t="shared" si="8"/>
        <v>-1.5</v>
      </c>
      <c r="DJ42" s="440">
        <v>0</v>
      </c>
      <c r="DK42" s="442">
        <f t="shared" si="27"/>
        <v>1.5</v>
      </c>
      <c r="DL42" s="441">
        <v>3</v>
      </c>
      <c r="DM42" s="435">
        <v>9100</v>
      </c>
      <c r="DN42" s="440">
        <v>1</v>
      </c>
      <c r="DO42" s="440">
        <v>1</v>
      </c>
      <c r="DP42" s="440">
        <v>1</v>
      </c>
      <c r="DQ42" s="440">
        <v>1</v>
      </c>
      <c r="DR42" s="440">
        <v>0</v>
      </c>
      <c r="DS42" s="440">
        <v>0</v>
      </c>
      <c r="DT42" s="442">
        <f t="shared" si="9"/>
        <v>0</v>
      </c>
      <c r="DU42" s="440">
        <v>0</v>
      </c>
      <c r="DV42" s="442">
        <f t="shared" si="28"/>
        <v>0</v>
      </c>
      <c r="DW42" s="441">
        <v>0</v>
      </c>
      <c r="DX42" s="435">
        <v>9100</v>
      </c>
      <c r="DY42" s="440">
        <v>-24</v>
      </c>
      <c r="DZ42" s="440">
        <v>-20</v>
      </c>
      <c r="EA42" s="440">
        <v>-16</v>
      </c>
      <c r="EB42" s="440">
        <v>-12</v>
      </c>
      <c r="EC42" s="440">
        <v>-8</v>
      </c>
      <c r="ED42" s="440">
        <v>-4</v>
      </c>
      <c r="EE42" s="442">
        <f t="shared" si="10"/>
        <v>-2</v>
      </c>
      <c r="EF42" s="440">
        <v>0</v>
      </c>
      <c r="EG42" s="442">
        <f t="shared" si="29"/>
        <v>2</v>
      </c>
      <c r="EH42" s="440">
        <v>4</v>
      </c>
      <c r="EI42" s="435">
        <v>9100</v>
      </c>
      <c r="EJ42" s="440">
        <v>3</v>
      </c>
      <c r="EK42" s="440">
        <v>3</v>
      </c>
      <c r="EL42" s="440">
        <v>2</v>
      </c>
      <c r="EM42" s="440">
        <v>2</v>
      </c>
      <c r="EN42" s="440">
        <v>1</v>
      </c>
      <c r="EO42" s="440">
        <v>1</v>
      </c>
      <c r="EP42" s="442">
        <f t="shared" si="30"/>
        <v>0.5</v>
      </c>
      <c r="EQ42" s="440">
        <v>0</v>
      </c>
      <c r="ER42" s="442">
        <f t="shared" si="31"/>
        <v>-0.5</v>
      </c>
      <c r="ES42" s="441">
        <v>-1</v>
      </c>
      <c r="ET42" s="435">
        <v>9100</v>
      </c>
      <c r="EU42" s="440">
        <v>-22</v>
      </c>
      <c r="EV42" s="440">
        <v>-19</v>
      </c>
      <c r="EW42" s="440">
        <v>-15</v>
      </c>
      <c r="EX42" s="440">
        <v>-11</v>
      </c>
      <c r="EY42" s="440">
        <v>-7</v>
      </c>
      <c r="EZ42" s="440">
        <v>-4</v>
      </c>
      <c r="FA42" s="442">
        <f t="shared" si="32"/>
        <v>-2</v>
      </c>
      <c r="FB42" s="440">
        <v>0</v>
      </c>
      <c r="FC42" s="442">
        <f t="shared" si="33"/>
        <v>2</v>
      </c>
      <c r="FD42" s="440">
        <v>4</v>
      </c>
      <c r="FE42" s="435">
        <v>9100</v>
      </c>
      <c r="FF42" s="440">
        <v>5</v>
      </c>
      <c r="FG42" s="440">
        <v>4</v>
      </c>
      <c r="FH42" s="440">
        <v>4</v>
      </c>
      <c r="FI42" s="440">
        <v>3</v>
      </c>
      <c r="FJ42" s="440">
        <v>2</v>
      </c>
      <c r="FK42" s="440">
        <v>1</v>
      </c>
      <c r="FL42" s="442">
        <f t="shared" si="11"/>
        <v>0.5</v>
      </c>
      <c r="FM42" s="440">
        <v>0</v>
      </c>
      <c r="FN42" s="442">
        <f t="shared" si="34"/>
        <v>-0.5</v>
      </c>
      <c r="FO42" s="441">
        <v>-1</v>
      </c>
      <c r="FP42" s="435">
        <v>9100</v>
      </c>
      <c r="FQ42" s="440">
        <v>-19</v>
      </c>
      <c r="FR42" s="440">
        <v>-16</v>
      </c>
      <c r="FS42" s="440">
        <v>-13</v>
      </c>
      <c r="FT42" s="440">
        <v>-9</v>
      </c>
      <c r="FU42" s="440">
        <v>-6</v>
      </c>
      <c r="FV42" s="440">
        <v>-3</v>
      </c>
      <c r="FW42" s="442">
        <f t="shared" si="12"/>
        <v>-1.5</v>
      </c>
      <c r="FX42" s="440">
        <v>0</v>
      </c>
      <c r="FY42" s="442">
        <f t="shared" si="35"/>
        <v>1.5</v>
      </c>
      <c r="FZ42" s="440">
        <v>3</v>
      </c>
      <c r="GA42" s="435">
        <v>9100</v>
      </c>
      <c r="GB42" s="440">
        <v>-34</v>
      </c>
      <c r="GC42" s="440">
        <v>-28</v>
      </c>
      <c r="GD42" s="440">
        <v>-23</v>
      </c>
      <c r="GE42" s="440">
        <v>-17</v>
      </c>
      <c r="GF42" s="440">
        <v>-11</v>
      </c>
      <c r="GG42" s="440">
        <v>-6</v>
      </c>
      <c r="GH42" s="442">
        <f t="shared" si="13"/>
        <v>-3</v>
      </c>
      <c r="GI42" s="440">
        <v>0</v>
      </c>
      <c r="GJ42" s="442">
        <f t="shared" si="36"/>
        <v>3</v>
      </c>
      <c r="GK42" s="441">
        <v>6</v>
      </c>
      <c r="GL42" s="435">
        <v>9100</v>
      </c>
      <c r="GM42" s="440">
        <v>-33</v>
      </c>
      <c r="GN42" s="440">
        <v>-28</v>
      </c>
      <c r="GO42" s="440">
        <v>-22</v>
      </c>
      <c r="GP42" s="440">
        <v>-17</v>
      </c>
      <c r="GQ42" s="440">
        <v>-11</v>
      </c>
      <c r="GR42" s="440">
        <v>-6</v>
      </c>
      <c r="GS42" s="442">
        <f t="shared" si="14"/>
        <v>-3</v>
      </c>
      <c r="GT42" s="440">
        <v>0</v>
      </c>
      <c r="GU42" s="442">
        <f t="shared" si="37"/>
        <v>3</v>
      </c>
      <c r="GV42" s="441">
        <v>6</v>
      </c>
      <c r="GX42" s="263"/>
      <c r="GY42" s="263"/>
      <c r="GZ42" s="263"/>
    </row>
    <row r="43" spans="3:211">
      <c r="G43" s="435">
        <v>9000</v>
      </c>
      <c r="H43" s="445">
        <v>33</v>
      </c>
      <c r="I43" s="249">
        <v>28</v>
      </c>
      <c r="J43" s="249">
        <v>24</v>
      </c>
      <c r="K43" s="249">
        <v>17</v>
      </c>
      <c r="L43" s="249">
        <v>11</v>
      </c>
      <c r="M43" s="249">
        <v>6</v>
      </c>
      <c r="N43" s="249">
        <f t="shared" si="15"/>
        <v>3</v>
      </c>
      <c r="O43" s="249">
        <v>0</v>
      </c>
      <c r="P43" s="249">
        <f t="shared" si="16"/>
        <v>-3</v>
      </c>
      <c r="Q43" s="446">
        <v>-6</v>
      </c>
      <c r="R43" s="435">
        <v>9000</v>
      </c>
      <c r="S43" s="248">
        <v>10</v>
      </c>
      <c r="T43" s="248">
        <v>9</v>
      </c>
      <c r="U43" s="248">
        <v>7</v>
      </c>
      <c r="V43" s="248">
        <v>5</v>
      </c>
      <c r="W43" s="248">
        <v>3</v>
      </c>
      <c r="X43" s="248">
        <v>2</v>
      </c>
      <c r="Y43" s="249">
        <f t="shared" si="17"/>
        <v>1</v>
      </c>
      <c r="Z43" s="248">
        <v>0</v>
      </c>
      <c r="AA43" s="439">
        <f t="shared" si="18"/>
        <v>-1</v>
      </c>
      <c r="AB43" s="248">
        <v>-2</v>
      </c>
      <c r="AC43" s="435">
        <v>9000</v>
      </c>
      <c r="AD43" s="440">
        <v>-33</v>
      </c>
      <c r="AE43" s="440">
        <v>-28</v>
      </c>
      <c r="AF43" s="440">
        <v>-22</v>
      </c>
      <c r="AG43" s="440">
        <v>-17</v>
      </c>
      <c r="AH43" s="440">
        <v>-11</v>
      </c>
      <c r="AI43" s="440">
        <v>-6</v>
      </c>
      <c r="AJ43" s="249">
        <f t="shared" si="19"/>
        <v>-3</v>
      </c>
      <c r="AK43" s="248">
        <v>0</v>
      </c>
      <c r="AL43" s="439">
        <f t="shared" si="20"/>
        <v>3</v>
      </c>
      <c r="AM43" s="441">
        <v>6</v>
      </c>
      <c r="AN43" s="435">
        <v>9000</v>
      </c>
      <c r="AO43" s="440">
        <v>-57</v>
      </c>
      <c r="AP43" s="440">
        <v>-48</v>
      </c>
      <c r="AQ43" s="440">
        <v>-38</v>
      </c>
      <c r="AR43" s="440">
        <v>-29</v>
      </c>
      <c r="AS43" s="440">
        <v>-19</v>
      </c>
      <c r="AT43" s="440">
        <v>-10</v>
      </c>
      <c r="AU43" s="442">
        <f t="shared" si="2"/>
        <v>-5</v>
      </c>
      <c r="AV43" s="440">
        <v>0</v>
      </c>
      <c r="AW43" s="442">
        <f t="shared" si="21"/>
        <v>5</v>
      </c>
      <c r="AX43" s="441">
        <v>10</v>
      </c>
      <c r="AY43" s="435">
        <v>9000</v>
      </c>
      <c r="AZ43" s="440">
        <v>4</v>
      </c>
      <c r="BA43" s="440">
        <v>3</v>
      </c>
      <c r="BB43" s="440">
        <v>2</v>
      </c>
      <c r="BC43" s="440">
        <v>2</v>
      </c>
      <c r="BD43" s="440">
        <v>1</v>
      </c>
      <c r="BE43" s="440">
        <v>1</v>
      </c>
      <c r="BF43" s="442">
        <f t="shared" si="3"/>
        <v>0.5</v>
      </c>
      <c r="BG43" s="440">
        <v>0</v>
      </c>
      <c r="BH43" s="442">
        <f t="shared" si="22"/>
        <v>-0.5</v>
      </c>
      <c r="BI43" s="441">
        <v>-1</v>
      </c>
      <c r="BJ43" s="447">
        <v>9000</v>
      </c>
      <c r="BK43" s="440">
        <v>-31</v>
      </c>
      <c r="BL43" s="440">
        <v>-26</v>
      </c>
      <c r="BM43" s="440">
        <v>-21</v>
      </c>
      <c r="BN43" s="440">
        <v>-16</v>
      </c>
      <c r="BO43" s="440">
        <v>-10</v>
      </c>
      <c r="BP43" s="440">
        <v>-5</v>
      </c>
      <c r="BQ43" s="442">
        <f t="shared" si="4"/>
        <v>-2.5</v>
      </c>
      <c r="BR43" s="440">
        <v>0</v>
      </c>
      <c r="BS43" s="442">
        <f t="shared" si="23"/>
        <v>2.5</v>
      </c>
      <c r="BT43" s="440">
        <v>5</v>
      </c>
      <c r="BU43" s="435">
        <v>9000</v>
      </c>
      <c r="BV43" s="440">
        <v>1</v>
      </c>
      <c r="BW43" s="440">
        <v>1</v>
      </c>
      <c r="BX43" s="440">
        <v>1</v>
      </c>
      <c r="BY43" s="440">
        <v>1</v>
      </c>
      <c r="BZ43" s="440">
        <v>0</v>
      </c>
      <c r="CA43" s="440">
        <v>0</v>
      </c>
      <c r="CB43" s="442">
        <f t="shared" si="5"/>
        <v>0</v>
      </c>
      <c r="CC43" s="440">
        <v>0</v>
      </c>
      <c r="CD43" s="442">
        <f t="shared" si="24"/>
        <v>0</v>
      </c>
      <c r="CE43" s="441">
        <v>0</v>
      </c>
      <c r="CF43" s="435">
        <v>9000</v>
      </c>
      <c r="CG43" s="440">
        <v>-23</v>
      </c>
      <c r="CH43" s="440">
        <v>-19</v>
      </c>
      <c r="CI43" s="440">
        <v>-15</v>
      </c>
      <c r="CJ43" s="440">
        <v>-11</v>
      </c>
      <c r="CK43" s="440">
        <v>-8</v>
      </c>
      <c r="CL43" s="440">
        <v>-4</v>
      </c>
      <c r="CM43" s="442">
        <f t="shared" si="6"/>
        <v>-2</v>
      </c>
      <c r="CN43" s="440">
        <v>0</v>
      </c>
      <c r="CO43" s="442">
        <f t="shared" si="25"/>
        <v>2</v>
      </c>
      <c r="CP43" s="441">
        <v>4</v>
      </c>
      <c r="CQ43" s="435">
        <v>9000</v>
      </c>
      <c r="CR43" s="440">
        <v>1</v>
      </c>
      <c r="CS43" s="440">
        <v>1</v>
      </c>
      <c r="CT43" s="440">
        <v>1</v>
      </c>
      <c r="CU43" s="440">
        <v>1</v>
      </c>
      <c r="CV43" s="440">
        <v>0</v>
      </c>
      <c r="CW43" s="440">
        <v>0</v>
      </c>
      <c r="CX43" s="442">
        <f t="shared" si="7"/>
        <v>0</v>
      </c>
      <c r="CY43" s="440">
        <v>0</v>
      </c>
      <c r="CZ43" s="442">
        <f t="shared" si="26"/>
        <v>0</v>
      </c>
      <c r="DA43" s="441">
        <v>0</v>
      </c>
      <c r="DB43" s="435">
        <v>9000</v>
      </c>
      <c r="DC43" s="440">
        <v>-21</v>
      </c>
      <c r="DD43" s="440">
        <v>-17</v>
      </c>
      <c r="DE43" s="440">
        <v>-14</v>
      </c>
      <c r="DF43" s="440">
        <v>-10</v>
      </c>
      <c r="DG43" s="440">
        <v>-7</v>
      </c>
      <c r="DH43" s="440">
        <v>-3</v>
      </c>
      <c r="DI43" s="442">
        <f t="shared" si="8"/>
        <v>-1.5</v>
      </c>
      <c r="DJ43" s="440">
        <v>0</v>
      </c>
      <c r="DK43" s="442">
        <f t="shared" si="27"/>
        <v>1.5</v>
      </c>
      <c r="DL43" s="441">
        <v>3</v>
      </c>
      <c r="DM43" s="435">
        <v>9000</v>
      </c>
      <c r="DN43" s="440">
        <v>1</v>
      </c>
      <c r="DO43" s="440">
        <v>1</v>
      </c>
      <c r="DP43" s="440">
        <v>1</v>
      </c>
      <c r="DQ43" s="440">
        <v>1</v>
      </c>
      <c r="DR43" s="440">
        <v>0</v>
      </c>
      <c r="DS43" s="440">
        <v>0</v>
      </c>
      <c r="DT43" s="442">
        <f t="shared" si="9"/>
        <v>0</v>
      </c>
      <c r="DU43" s="440">
        <v>0</v>
      </c>
      <c r="DV43" s="442">
        <f t="shared" si="28"/>
        <v>0</v>
      </c>
      <c r="DW43" s="441">
        <v>0</v>
      </c>
      <c r="DX43" s="435">
        <v>9000</v>
      </c>
      <c r="DY43" s="440">
        <v>-24</v>
      </c>
      <c r="DZ43" s="440">
        <v>-20</v>
      </c>
      <c r="EA43" s="440">
        <v>-16</v>
      </c>
      <c r="EB43" s="440">
        <v>-12</v>
      </c>
      <c r="EC43" s="440">
        <v>-8</v>
      </c>
      <c r="ED43" s="440">
        <v>-4</v>
      </c>
      <c r="EE43" s="442">
        <f t="shared" si="10"/>
        <v>-2</v>
      </c>
      <c r="EF43" s="440">
        <v>0</v>
      </c>
      <c r="EG43" s="442">
        <f t="shared" si="29"/>
        <v>2</v>
      </c>
      <c r="EH43" s="440">
        <v>4</v>
      </c>
      <c r="EI43" s="435">
        <v>9000</v>
      </c>
      <c r="EJ43" s="440">
        <v>3</v>
      </c>
      <c r="EK43" s="440">
        <v>3</v>
      </c>
      <c r="EL43" s="440">
        <v>2</v>
      </c>
      <c r="EM43" s="440">
        <v>2</v>
      </c>
      <c r="EN43" s="440">
        <v>1</v>
      </c>
      <c r="EO43" s="440">
        <v>1</v>
      </c>
      <c r="EP43" s="442">
        <f t="shared" si="30"/>
        <v>0.5</v>
      </c>
      <c r="EQ43" s="440">
        <v>0</v>
      </c>
      <c r="ER43" s="442">
        <f t="shared" si="31"/>
        <v>-0.5</v>
      </c>
      <c r="ES43" s="441">
        <v>-1</v>
      </c>
      <c r="ET43" s="435">
        <v>9000</v>
      </c>
      <c r="EU43" s="440">
        <v>-22</v>
      </c>
      <c r="EV43" s="440">
        <v>-19</v>
      </c>
      <c r="EW43" s="440">
        <v>-15</v>
      </c>
      <c r="EX43" s="440">
        <v>-11</v>
      </c>
      <c r="EY43" s="440">
        <v>-7</v>
      </c>
      <c r="EZ43" s="440">
        <v>-4</v>
      </c>
      <c r="FA43" s="442">
        <f t="shared" si="32"/>
        <v>-2</v>
      </c>
      <c r="FB43" s="440">
        <v>0</v>
      </c>
      <c r="FC43" s="442">
        <f t="shared" si="33"/>
        <v>2</v>
      </c>
      <c r="FD43" s="440">
        <v>4</v>
      </c>
      <c r="FE43" s="435">
        <v>9000</v>
      </c>
      <c r="FF43" s="440">
        <v>5</v>
      </c>
      <c r="FG43" s="440">
        <v>4</v>
      </c>
      <c r="FH43" s="440">
        <v>3</v>
      </c>
      <c r="FI43" s="440">
        <v>2</v>
      </c>
      <c r="FJ43" s="440">
        <v>1</v>
      </c>
      <c r="FK43" s="440">
        <v>1</v>
      </c>
      <c r="FL43" s="442">
        <f t="shared" si="11"/>
        <v>0.5</v>
      </c>
      <c r="FM43" s="440">
        <v>0</v>
      </c>
      <c r="FN43" s="442">
        <f t="shared" si="34"/>
        <v>-0.5</v>
      </c>
      <c r="FO43" s="441">
        <v>-1</v>
      </c>
      <c r="FP43" s="435">
        <v>9000</v>
      </c>
      <c r="FQ43" s="440">
        <v>-19</v>
      </c>
      <c r="FR43" s="440">
        <v>-16</v>
      </c>
      <c r="FS43" s="440">
        <v>-13</v>
      </c>
      <c r="FT43" s="440">
        <v>-10</v>
      </c>
      <c r="FU43" s="440">
        <v>-7</v>
      </c>
      <c r="FV43" s="440">
        <v>-3</v>
      </c>
      <c r="FW43" s="442">
        <f t="shared" si="12"/>
        <v>-1.5</v>
      </c>
      <c r="FX43" s="440">
        <v>0</v>
      </c>
      <c r="FY43" s="442">
        <f t="shared" si="35"/>
        <v>1.5</v>
      </c>
      <c r="FZ43" s="440">
        <v>3</v>
      </c>
      <c r="GA43" s="435">
        <v>9000</v>
      </c>
      <c r="GB43" s="440">
        <v>-35</v>
      </c>
      <c r="GC43" s="440">
        <v>-29</v>
      </c>
      <c r="GD43" s="440">
        <v>-23</v>
      </c>
      <c r="GE43" s="440">
        <v>-17</v>
      </c>
      <c r="GF43" s="440">
        <v>-12</v>
      </c>
      <c r="GG43" s="440">
        <v>-6</v>
      </c>
      <c r="GH43" s="442">
        <f t="shared" si="13"/>
        <v>-3</v>
      </c>
      <c r="GI43" s="440">
        <v>0</v>
      </c>
      <c r="GJ43" s="442">
        <f t="shared" si="36"/>
        <v>3</v>
      </c>
      <c r="GK43" s="441">
        <v>6</v>
      </c>
      <c r="GL43" s="435">
        <v>9000</v>
      </c>
      <c r="GM43" s="440">
        <v>-34</v>
      </c>
      <c r="GN43" s="440">
        <v>-28</v>
      </c>
      <c r="GO43" s="440">
        <v>-23</v>
      </c>
      <c r="GP43" s="440">
        <v>-17</v>
      </c>
      <c r="GQ43" s="440">
        <v>-11</v>
      </c>
      <c r="GR43" s="440">
        <v>-6</v>
      </c>
      <c r="GS43" s="442">
        <f t="shared" si="14"/>
        <v>-3</v>
      </c>
      <c r="GT43" s="440">
        <v>0</v>
      </c>
      <c r="GU43" s="442">
        <f t="shared" si="37"/>
        <v>3</v>
      </c>
      <c r="GV43" s="441">
        <v>6</v>
      </c>
      <c r="GX43" s="263"/>
      <c r="GY43" s="263"/>
      <c r="GZ43" s="264"/>
    </row>
    <row r="44" spans="3:211">
      <c r="G44" s="435">
        <v>8900</v>
      </c>
      <c r="H44" s="445">
        <v>34</v>
      </c>
      <c r="I44" s="249">
        <v>28</v>
      </c>
      <c r="J44" s="249">
        <v>24</v>
      </c>
      <c r="K44" s="249">
        <v>17</v>
      </c>
      <c r="L44" s="249">
        <v>11</v>
      </c>
      <c r="M44" s="249">
        <v>6</v>
      </c>
      <c r="N44" s="249">
        <f t="shared" si="15"/>
        <v>3</v>
      </c>
      <c r="O44" s="249">
        <v>0</v>
      </c>
      <c r="P44" s="249">
        <f t="shared" si="16"/>
        <v>-3</v>
      </c>
      <c r="Q44" s="446">
        <v>-6</v>
      </c>
      <c r="R44" s="435">
        <v>8900</v>
      </c>
      <c r="S44" s="248">
        <v>10</v>
      </c>
      <c r="T44" s="248">
        <v>9</v>
      </c>
      <c r="U44" s="248">
        <v>7</v>
      </c>
      <c r="V44" s="248">
        <v>5</v>
      </c>
      <c r="W44" s="248">
        <v>3</v>
      </c>
      <c r="X44" s="248">
        <v>2</v>
      </c>
      <c r="Y44" s="249">
        <f t="shared" si="17"/>
        <v>1</v>
      </c>
      <c r="Z44" s="248">
        <v>0</v>
      </c>
      <c r="AA44" s="439">
        <f t="shared" si="18"/>
        <v>-1</v>
      </c>
      <c r="AB44" s="248">
        <v>-2</v>
      </c>
      <c r="AC44" s="435">
        <v>8900</v>
      </c>
      <c r="AD44" s="440">
        <v>-33</v>
      </c>
      <c r="AE44" s="440">
        <v>-28</v>
      </c>
      <c r="AF44" s="440">
        <v>-22</v>
      </c>
      <c r="AG44" s="440">
        <v>-17</v>
      </c>
      <c r="AH44" s="440">
        <v>-11</v>
      </c>
      <c r="AI44" s="440">
        <v>-6</v>
      </c>
      <c r="AJ44" s="249">
        <f t="shared" si="19"/>
        <v>-3</v>
      </c>
      <c r="AK44" s="248">
        <v>0</v>
      </c>
      <c r="AL44" s="439">
        <f t="shared" si="20"/>
        <v>3</v>
      </c>
      <c r="AM44" s="441">
        <v>6</v>
      </c>
      <c r="AN44" s="435">
        <v>8900</v>
      </c>
      <c r="AO44" s="440">
        <v>-57</v>
      </c>
      <c r="AP44" s="440">
        <v>-48</v>
      </c>
      <c r="AQ44" s="440">
        <v>-38</v>
      </c>
      <c r="AR44" s="440">
        <v>-29</v>
      </c>
      <c r="AS44" s="440">
        <v>-19</v>
      </c>
      <c r="AT44" s="440">
        <v>-10</v>
      </c>
      <c r="AU44" s="442">
        <f t="shared" si="2"/>
        <v>-5</v>
      </c>
      <c r="AV44" s="440">
        <v>0</v>
      </c>
      <c r="AW44" s="442">
        <f t="shared" si="21"/>
        <v>5</v>
      </c>
      <c r="AX44" s="441">
        <v>10</v>
      </c>
      <c r="AY44" s="435">
        <v>8900</v>
      </c>
      <c r="AZ44" s="440">
        <v>4</v>
      </c>
      <c r="BA44" s="440">
        <v>3</v>
      </c>
      <c r="BB44" s="440">
        <v>2</v>
      </c>
      <c r="BC44" s="440">
        <v>2</v>
      </c>
      <c r="BD44" s="440">
        <v>1</v>
      </c>
      <c r="BE44" s="440">
        <v>1</v>
      </c>
      <c r="BF44" s="442">
        <f t="shared" si="3"/>
        <v>0.5</v>
      </c>
      <c r="BG44" s="440">
        <v>0</v>
      </c>
      <c r="BH44" s="442">
        <f t="shared" si="22"/>
        <v>-0.5</v>
      </c>
      <c r="BI44" s="441">
        <v>-1</v>
      </c>
      <c r="BJ44" s="447">
        <v>8900</v>
      </c>
      <c r="BK44" s="440">
        <v>-31</v>
      </c>
      <c r="BL44" s="440">
        <v>-26</v>
      </c>
      <c r="BM44" s="440">
        <v>-21</v>
      </c>
      <c r="BN44" s="440">
        <v>-16</v>
      </c>
      <c r="BO44" s="440">
        <v>-10</v>
      </c>
      <c r="BP44" s="440">
        <v>-5</v>
      </c>
      <c r="BQ44" s="442">
        <f t="shared" si="4"/>
        <v>-2.5</v>
      </c>
      <c r="BR44" s="440">
        <v>0</v>
      </c>
      <c r="BS44" s="442">
        <f t="shared" si="23"/>
        <v>2.5</v>
      </c>
      <c r="BT44" s="440">
        <v>5</v>
      </c>
      <c r="BU44" s="435">
        <v>8900</v>
      </c>
      <c r="BV44" s="440">
        <v>1</v>
      </c>
      <c r="BW44" s="440">
        <v>1</v>
      </c>
      <c r="BX44" s="440">
        <v>1</v>
      </c>
      <c r="BY44" s="440">
        <v>1</v>
      </c>
      <c r="BZ44" s="440">
        <v>0</v>
      </c>
      <c r="CA44" s="440">
        <v>0</v>
      </c>
      <c r="CB44" s="442">
        <f t="shared" si="5"/>
        <v>0</v>
      </c>
      <c r="CC44" s="440">
        <v>0</v>
      </c>
      <c r="CD44" s="442">
        <f t="shared" si="24"/>
        <v>0</v>
      </c>
      <c r="CE44" s="441">
        <v>0</v>
      </c>
      <c r="CF44" s="435">
        <v>8900</v>
      </c>
      <c r="CG44" s="440">
        <v>-23</v>
      </c>
      <c r="CH44" s="440">
        <v>-19</v>
      </c>
      <c r="CI44" s="440">
        <v>-15</v>
      </c>
      <c r="CJ44" s="440">
        <v>-11</v>
      </c>
      <c r="CK44" s="440">
        <v>-8</v>
      </c>
      <c r="CL44" s="440">
        <v>-4</v>
      </c>
      <c r="CM44" s="442">
        <f t="shared" si="6"/>
        <v>-2</v>
      </c>
      <c r="CN44" s="440">
        <v>0</v>
      </c>
      <c r="CO44" s="442">
        <f t="shared" si="25"/>
        <v>2</v>
      </c>
      <c r="CP44" s="441">
        <v>4</v>
      </c>
      <c r="CQ44" s="435">
        <v>8900</v>
      </c>
      <c r="CR44" s="440">
        <v>1</v>
      </c>
      <c r="CS44" s="440">
        <v>1</v>
      </c>
      <c r="CT44" s="440">
        <v>1</v>
      </c>
      <c r="CU44" s="440">
        <v>1</v>
      </c>
      <c r="CV44" s="440">
        <v>0</v>
      </c>
      <c r="CW44" s="440">
        <v>0</v>
      </c>
      <c r="CX44" s="442">
        <f t="shared" si="7"/>
        <v>0</v>
      </c>
      <c r="CY44" s="440">
        <v>0</v>
      </c>
      <c r="CZ44" s="442">
        <f t="shared" si="26"/>
        <v>0</v>
      </c>
      <c r="DA44" s="441">
        <v>0</v>
      </c>
      <c r="DB44" s="435">
        <v>8900</v>
      </c>
      <c r="DC44" s="440">
        <v>-21</v>
      </c>
      <c r="DD44" s="440">
        <v>-17</v>
      </c>
      <c r="DE44" s="440">
        <v>-14</v>
      </c>
      <c r="DF44" s="440">
        <v>-10</v>
      </c>
      <c r="DG44" s="440">
        <v>-7</v>
      </c>
      <c r="DH44" s="440">
        <v>-3</v>
      </c>
      <c r="DI44" s="442">
        <f t="shared" si="8"/>
        <v>-1.5</v>
      </c>
      <c r="DJ44" s="440">
        <v>0</v>
      </c>
      <c r="DK44" s="442">
        <f t="shared" si="27"/>
        <v>1.5</v>
      </c>
      <c r="DL44" s="441">
        <v>3</v>
      </c>
      <c r="DM44" s="435">
        <v>8900</v>
      </c>
      <c r="DN44" s="440">
        <v>1</v>
      </c>
      <c r="DO44" s="440">
        <v>1</v>
      </c>
      <c r="DP44" s="440">
        <v>1</v>
      </c>
      <c r="DQ44" s="440">
        <v>1</v>
      </c>
      <c r="DR44" s="440">
        <v>0</v>
      </c>
      <c r="DS44" s="440">
        <v>0</v>
      </c>
      <c r="DT44" s="442">
        <f t="shared" si="9"/>
        <v>0</v>
      </c>
      <c r="DU44" s="440">
        <v>0</v>
      </c>
      <c r="DV44" s="442">
        <f t="shared" si="28"/>
        <v>0</v>
      </c>
      <c r="DW44" s="441">
        <v>0</v>
      </c>
      <c r="DX44" s="435">
        <v>8900</v>
      </c>
      <c r="DY44" s="440">
        <v>-24</v>
      </c>
      <c r="DZ44" s="440">
        <v>-20</v>
      </c>
      <c r="EA44" s="440">
        <v>-16</v>
      </c>
      <c r="EB44" s="440">
        <v>-12</v>
      </c>
      <c r="EC44" s="440">
        <v>-8</v>
      </c>
      <c r="ED44" s="440">
        <v>-4</v>
      </c>
      <c r="EE44" s="442">
        <f t="shared" si="10"/>
        <v>-2</v>
      </c>
      <c r="EF44" s="440">
        <v>0</v>
      </c>
      <c r="EG44" s="442">
        <f t="shared" si="29"/>
        <v>2</v>
      </c>
      <c r="EH44" s="440">
        <v>4</v>
      </c>
      <c r="EI44" s="435">
        <v>8900</v>
      </c>
      <c r="EJ44" s="440">
        <v>3</v>
      </c>
      <c r="EK44" s="440">
        <v>3</v>
      </c>
      <c r="EL44" s="440">
        <v>2</v>
      </c>
      <c r="EM44" s="440">
        <v>2</v>
      </c>
      <c r="EN44" s="440">
        <v>1</v>
      </c>
      <c r="EO44" s="440">
        <v>1</v>
      </c>
      <c r="EP44" s="442">
        <f t="shared" si="30"/>
        <v>0.5</v>
      </c>
      <c r="EQ44" s="440">
        <v>0</v>
      </c>
      <c r="ER44" s="442">
        <f t="shared" si="31"/>
        <v>-0.5</v>
      </c>
      <c r="ES44" s="441">
        <v>-1</v>
      </c>
      <c r="ET44" s="435">
        <v>8900</v>
      </c>
      <c r="EU44" s="440">
        <v>-22</v>
      </c>
      <c r="EV44" s="440">
        <v>-19</v>
      </c>
      <c r="EW44" s="440">
        <v>-15</v>
      </c>
      <c r="EX44" s="440">
        <v>-11</v>
      </c>
      <c r="EY44" s="440">
        <v>-7</v>
      </c>
      <c r="EZ44" s="440">
        <v>-4</v>
      </c>
      <c r="FA44" s="442">
        <f t="shared" si="32"/>
        <v>-2</v>
      </c>
      <c r="FB44" s="440">
        <v>0</v>
      </c>
      <c r="FC44" s="442">
        <f t="shared" si="33"/>
        <v>2</v>
      </c>
      <c r="FD44" s="440">
        <v>4</v>
      </c>
      <c r="FE44" s="435">
        <v>8900</v>
      </c>
      <c r="FF44" s="440">
        <v>4</v>
      </c>
      <c r="FG44" s="440">
        <v>3</v>
      </c>
      <c r="FH44" s="440">
        <v>3</v>
      </c>
      <c r="FI44" s="440">
        <v>2</v>
      </c>
      <c r="FJ44" s="440">
        <v>1</v>
      </c>
      <c r="FK44" s="440">
        <v>1</v>
      </c>
      <c r="FL44" s="442">
        <f t="shared" si="11"/>
        <v>0.5</v>
      </c>
      <c r="FM44" s="440">
        <v>0</v>
      </c>
      <c r="FN44" s="442">
        <f t="shared" si="34"/>
        <v>-0.5</v>
      </c>
      <c r="FO44" s="441">
        <v>-1</v>
      </c>
      <c r="FP44" s="435">
        <v>8900</v>
      </c>
      <c r="FQ44" s="440">
        <v>-20</v>
      </c>
      <c r="FR44" s="440">
        <v>-17</v>
      </c>
      <c r="FS44" s="440">
        <v>-14</v>
      </c>
      <c r="FT44" s="440">
        <v>-10</v>
      </c>
      <c r="FU44" s="440">
        <v>-7</v>
      </c>
      <c r="FV44" s="440">
        <v>-3</v>
      </c>
      <c r="FW44" s="442">
        <f t="shared" si="12"/>
        <v>-1.5</v>
      </c>
      <c r="FX44" s="440">
        <v>0</v>
      </c>
      <c r="FY44" s="442">
        <f t="shared" si="35"/>
        <v>1.5</v>
      </c>
      <c r="FZ44" s="440">
        <v>3</v>
      </c>
      <c r="GA44" s="435">
        <v>8900</v>
      </c>
      <c r="GB44" s="440">
        <v>-35</v>
      </c>
      <c r="GC44" s="440">
        <v>-29</v>
      </c>
      <c r="GD44" s="440">
        <v>-23</v>
      </c>
      <c r="GE44" s="440">
        <v>-17</v>
      </c>
      <c r="GF44" s="440">
        <v>-12</v>
      </c>
      <c r="GG44" s="440">
        <v>-6</v>
      </c>
      <c r="GH44" s="442">
        <f t="shared" si="13"/>
        <v>-3</v>
      </c>
      <c r="GI44" s="440">
        <v>0</v>
      </c>
      <c r="GJ44" s="442">
        <f t="shared" si="36"/>
        <v>3</v>
      </c>
      <c r="GK44" s="441">
        <v>6</v>
      </c>
      <c r="GL44" s="435">
        <v>8900</v>
      </c>
      <c r="GM44" s="440">
        <v>-34</v>
      </c>
      <c r="GN44" s="440">
        <v>-28</v>
      </c>
      <c r="GO44" s="440">
        <v>-23</v>
      </c>
      <c r="GP44" s="440">
        <v>-17</v>
      </c>
      <c r="GQ44" s="440">
        <v>-11</v>
      </c>
      <c r="GR44" s="440">
        <v>-6</v>
      </c>
      <c r="GS44" s="442">
        <f t="shared" si="14"/>
        <v>-3</v>
      </c>
      <c r="GT44" s="440">
        <v>0</v>
      </c>
      <c r="GU44" s="442">
        <f t="shared" si="37"/>
        <v>3</v>
      </c>
      <c r="GV44" s="441">
        <v>6</v>
      </c>
      <c r="GX44" s="263"/>
      <c r="GY44" s="263"/>
      <c r="GZ44" s="263"/>
    </row>
    <row r="45" spans="3:211">
      <c r="G45" s="435">
        <v>8800</v>
      </c>
      <c r="H45" s="445">
        <v>34</v>
      </c>
      <c r="I45" s="249">
        <v>28</v>
      </c>
      <c r="J45" s="249">
        <v>24</v>
      </c>
      <c r="K45" s="249">
        <v>17</v>
      </c>
      <c r="L45" s="249">
        <v>11</v>
      </c>
      <c r="M45" s="249">
        <v>6</v>
      </c>
      <c r="N45" s="249">
        <f t="shared" si="15"/>
        <v>3</v>
      </c>
      <c r="O45" s="249">
        <v>0</v>
      </c>
      <c r="P45" s="249">
        <f t="shared" si="16"/>
        <v>-3</v>
      </c>
      <c r="Q45" s="446">
        <v>-6</v>
      </c>
      <c r="R45" s="435">
        <v>8800</v>
      </c>
      <c r="S45" s="248">
        <v>10</v>
      </c>
      <c r="T45" s="248">
        <v>9</v>
      </c>
      <c r="U45" s="248">
        <v>7</v>
      </c>
      <c r="V45" s="248">
        <v>5</v>
      </c>
      <c r="W45" s="248">
        <v>3</v>
      </c>
      <c r="X45" s="248">
        <v>2</v>
      </c>
      <c r="Y45" s="249">
        <f t="shared" si="17"/>
        <v>1</v>
      </c>
      <c r="Z45" s="248">
        <v>0</v>
      </c>
      <c r="AA45" s="439">
        <f t="shared" si="18"/>
        <v>-1</v>
      </c>
      <c r="AB45" s="248">
        <v>-2</v>
      </c>
      <c r="AC45" s="435">
        <v>8800</v>
      </c>
      <c r="AD45" s="440">
        <v>-33</v>
      </c>
      <c r="AE45" s="440">
        <v>-28</v>
      </c>
      <c r="AF45" s="440">
        <v>-22</v>
      </c>
      <c r="AG45" s="440">
        <v>-17</v>
      </c>
      <c r="AH45" s="440">
        <v>-11</v>
      </c>
      <c r="AI45" s="440">
        <v>-6</v>
      </c>
      <c r="AJ45" s="249">
        <f t="shared" si="19"/>
        <v>-3</v>
      </c>
      <c r="AK45" s="248">
        <v>0</v>
      </c>
      <c r="AL45" s="439">
        <f t="shared" si="20"/>
        <v>3</v>
      </c>
      <c r="AM45" s="441">
        <v>6</v>
      </c>
      <c r="AN45" s="435">
        <v>8800</v>
      </c>
      <c r="AO45" s="440">
        <v>-57</v>
      </c>
      <c r="AP45" s="440">
        <v>-48</v>
      </c>
      <c r="AQ45" s="440">
        <v>-38</v>
      </c>
      <c r="AR45" s="440">
        <v>-29</v>
      </c>
      <c r="AS45" s="440">
        <v>-19</v>
      </c>
      <c r="AT45" s="440">
        <v>-10</v>
      </c>
      <c r="AU45" s="442">
        <f t="shared" si="2"/>
        <v>-5</v>
      </c>
      <c r="AV45" s="440">
        <v>0</v>
      </c>
      <c r="AW45" s="442">
        <f t="shared" si="21"/>
        <v>5</v>
      </c>
      <c r="AX45" s="441">
        <v>10</v>
      </c>
      <c r="AY45" s="435">
        <v>8800</v>
      </c>
      <c r="AZ45" s="440">
        <v>4</v>
      </c>
      <c r="BA45" s="440">
        <v>3</v>
      </c>
      <c r="BB45" s="440">
        <v>2</v>
      </c>
      <c r="BC45" s="440">
        <v>2</v>
      </c>
      <c r="BD45" s="440">
        <v>1</v>
      </c>
      <c r="BE45" s="440">
        <v>1</v>
      </c>
      <c r="BF45" s="442">
        <f t="shared" si="3"/>
        <v>0.5</v>
      </c>
      <c r="BG45" s="440">
        <v>0</v>
      </c>
      <c r="BH45" s="442">
        <f t="shared" si="22"/>
        <v>-0.5</v>
      </c>
      <c r="BI45" s="441">
        <v>-1</v>
      </c>
      <c r="BJ45" s="447">
        <v>8800</v>
      </c>
      <c r="BK45" s="440">
        <v>-31</v>
      </c>
      <c r="BL45" s="440">
        <v>-26</v>
      </c>
      <c r="BM45" s="440">
        <v>-21</v>
      </c>
      <c r="BN45" s="440">
        <v>-16</v>
      </c>
      <c r="BO45" s="440">
        <v>-10</v>
      </c>
      <c r="BP45" s="440">
        <v>-5</v>
      </c>
      <c r="BQ45" s="442">
        <f t="shared" si="4"/>
        <v>-2.5</v>
      </c>
      <c r="BR45" s="440">
        <v>0</v>
      </c>
      <c r="BS45" s="442">
        <f t="shared" si="23"/>
        <v>2.5</v>
      </c>
      <c r="BT45" s="440">
        <v>5</v>
      </c>
      <c r="BU45" s="435">
        <v>8800</v>
      </c>
      <c r="BV45" s="440">
        <v>1</v>
      </c>
      <c r="BW45" s="440">
        <v>1</v>
      </c>
      <c r="BX45" s="440">
        <v>1</v>
      </c>
      <c r="BY45" s="440">
        <v>1</v>
      </c>
      <c r="BZ45" s="440">
        <v>0</v>
      </c>
      <c r="CA45" s="440">
        <v>0</v>
      </c>
      <c r="CB45" s="442">
        <f t="shared" si="5"/>
        <v>0</v>
      </c>
      <c r="CC45" s="440">
        <v>0</v>
      </c>
      <c r="CD45" s="442">
        <f t="shared" si="24"/>
        <v>0</v>
      </c>
      <c r="CE45" s="441">
        <v>0</v>
      </c>
      <c r="CF45" s="435">
        <v>8800</v>
      </c>
      <c r="CG45" s="440">
        <v>-23</v>
      </c>
      <c r="CH45" s="440">
        <v>-19</v>
      </c>
      <c r="CI45" s="440">
        <v>-15</v>
      </c>
      <c r="CJ45" s="440">
        <v>-11</v>
      </c>
      <c r="CK45" s="440">
        <v>-8</v>
      </c>
      <c r="CL45" s="440">
        <v>-4</v>
      </c>
      <c r="CM45" s="442">
        <f t="shared" si="6"/>
        <v>-2</v>
      </c>
      <c r="CN45" s="440">
        <v>0</v>
      </c>
      <c r="CO45" s="442">
        <f t="shared" si="25"/>
        <v>2</v>
      </c>
      <c r="CP45" s="441">
        <v>4</v>
      </c>
      <c r="CQ45" s="435">
        <v>8800</v>
      </c>
      <c r="CR45" s="440">
        <v>1</v>
      </c>
      <c r="CS45" s="440">
        <v>1</v>
      </c>
      <c r="CT45" s="440">
        <v>1</v>
      </c>
      <c r="CU45" s="440">
        <v>1</v>
      </c>
      <c r="CV45" s="440">
        <v>0</v>
      </c>
      <c r="CW45" s="440">
        <v>0</v>
      </c>
      <c r="CX45" s="442">
        <f t="shared" si="7"/>
        <v>0</v>
      </c>
      <c r="CY45" s="440">
        <v>0</v>
      </c>
      <c r="CZ45" s="442">
        <f t="shared" si="26"/>
        <v>0</v>
      </c>
      <c r="DA45" s="441">
        <v>0</v>
      </c>
      <c r="DB45" s="435">
        <v>8800</v>
      </c>
      <c r="DC45" s="440">
        <v>-21</v>
      </c>
      <c r="DD45" s="440">
        <v>-17</v>
      </c>
      <c r="DE45" s="440">
        <v>-14</v>
      </c>
      <c r="DF45" s="440">
        <v>-10</v>
      </c>
      <c r="DG45" s="440">
        <v>-7</v>
      </c>
      <c r="DH45" s="440">
        <v>-3</v>
      </c>
      <c r="DI45" s="442">
        <f t="shared" si="8"/>
        <v>-1.5</v>
      </c>
      <c r="DJ45" s="440">
        <v>0</v>
      </c>
      <c r="DK45" s="442">
        <f t="shared" si="27"/>
        <v>1.5</v>
      </c>
      <c r="DL45" s="441">
        <v>3</v>
      </c>
      <c r="DM45" s="435">
        <v>8800</v>
      </c>
      <c r="DN45" s="440">
        <v>1</v>
      </c>
      <c r="DO45" s="440">
        <v>1</v>
      </c>
      <c r="DP45" s="440">
        <v>1</v>
      </c>
      <c r="DQ45" s="440">
        <v>1</v>
      </c>
      <c r="DR45" s="440">
        <v>0</v>
      </c>
      <c r="DS45" s="440">
        <v>0</v>
      </c>
      <c r="DT45" s="442">
        <f t="shared" si="9"/>
        <v>0</v>
      </c>
      <c r="DU45" s="440">
        <v>0</v>
      </c>
      <c r="DV45" s="442">
        <f t="shared" si="28"/>
        <v>0</v>
      </c>
      <c r="DW45" s="441">
        <v>0</v>
      </c>
      <c r="DX45" s="435">
        <v>8800</v>
      </c>
      <c r="DY45" s="440">
        <v>-24</v>
      </c>
      <c r="DZ45" s="440">
        <v>-20</v>
      </c>
      <c r="EA45" s="440">
        <v>-16</v>
      </c>
      <c r="EB45" s="440">
        <v>-12</v>
      </c>
      <c r="EC45" s="440">
        <v>-8</v>
      </c>
      <c r="ED45" s="440">
        <v>-4</v>
      </c>
      <c r="EE45" s="442">
        <f t="shared" si="10"/>
        <v>-2</v>
      </c>
      <c r="EF45" s="440">
        <v>0</v>
      </c>
      <c r="EG45" s="442">
        <f t="shared" si="29"/>
        <v>2</v>
      </c>
      <c r="EH45" s="440">
        <v>4</v>
      </c>
      <c r="EI45" s="435">
        <v>8800</v>
      </c>
      <c r="EJ45" s="440">
        <v>3</v>
      </c>
      <c r="EK45" s="440">
        <v>3</v>
      </c>
      <c r="EL45" s="440">
        <v>2</v>
      </c>
      <c r="EM45" s="440">
        <v>2</v>
      </c>
      <c r="EN45" s="440">
        <v>1</v>
      </c>
      <c r="EO45" s="440">
        <v>1</v>
      </c>
      <c r="EP45" s="442">
        <f t="shared" si="30"/>
        <v>0.5</v>
      </c>
      <c r="EQ45" s="440">
        <v>0</v>
      </c>
      <c r="ER45" s="442">
        <f t="shared" si="31"/>
        <v>-0.5</v>
      </c>
      <c r="ES45" s="441">
        <v>-1</v>
      </c>
      <c r="ET45" s="435">
        <v>8800</v>
      </c>
      <c r="EU45" s="440">
        <v>-22</v>
      </c>
      <c r="EV45" s="440">
        <v>-19</v>
      </c>
      <c r="EW45" s="440">
        <v>-15</v>
      </c>
      <c r="EX45" s="440">
        <v>-11</v>
      </c>
      <c r="EY45" s="440">
        <v>-7</v>
      </c>
      <c r="EZ45" s="440">
        <v>-4</v>
      </c>
      <c r="FA45" s="442">
        <f t="shared" si="32"/>
        <v>-2</v>
      </c>
      <c r="FB45" s="440">
        <v>0</v>
      </c>
      <c r="FC45" s="442">
        <f t="shared" si="33"/>
        <v>2</v>
      </c>
      <c r="FD45" s="440">
        <v>4</v>
      </c>
      <c r="FE45" s="435">
        <v>8800</v>
      </c>
      <c r="FF45" s="440">
        <v>4</v>
      </c>
      <c r="FG45" s="440">
        <v>3</v>
      </c>
      <c r="FH45" s="440">
        <v>3</v>
      </c>
      <c r="FI45" s="440">
        <v>2</v>
      </c>
      <c r="FJ45" s="440">
        <v>1</v>
      </c>
      <c r="FK45" s="440">
        <v>1</v>
      </c>
      <c r="FL45" s="442">
        <f t="shared" si="11"/>
        <v>0.5</v>
      </c>
      <c r="FM45" s="440">
        <v>0</v>
      </c>
      <c r="FN45" s="442">
        <f t="shared" si="34"/>
        <v>-0.5</v>
      </c>
      <c r="FO45" s="441">
        <v>-1</v>
      </c>
      <c r="FP45" s="435">
        <v>8800</v>
      </c>
      <c r="FQ45" s="440">
        <v>-20</v>
      </c>
      <c r="FR45" s="440">
        <v>-17</v>
      </c>
      <c r="FS45" s="440">
        <v>-14</v>
      </c>
      <c r="FT45" s="440">
        <v>-10</v>
      </c>
      <c r="FU45" s="440">
        <v>-7</v>
      </c>
      <c r="FV45" s="440">
        <v>-3</v>
      </c>
      <c r="FW45" s="442">
        <f t="shared" si="12"/>
        <v>-1.5</v>
      </c>
      <c r="FX45" s="440">
        <v>0</v>
      </c>
      <c r="FY45" s="442">
        <f t="shared" si="35"/>
        <v>1.5</v>
      </c>
      <c r="FZ45" s="440">
        <v>3</v>
      </c>
      <c r="GA45" s="435">
        <v>8800</v>
      </c>
      <c r="GB45" s="440">
        <v>-35</v>
      </c>
      <c r="GC45" s="440">
        <v>-29</v>
      </c>
      <c r="GD45" s="440">
        <v>-23</v>
      </c>
      <c r="GE45" s="440">
        <v>-17</v>
      </c>
      <c r="GF45" s="440">
        <v>-12</v>
      </c>
      <c r="GG45" s="440">
        <v>-6</v>
      </c>
      <c r="GH45" s="442">
        <f t="shared" si="13"/>
        <v>-3</v>
      </c>
      <c r="GI45" s="440">
        <v>0</v>
      </c>
      <c r="GJ45" s="442">
        <f t="shared" si="36"/>
        <v>3</v>
      </c>
      <c r="GK45" s="441">
        <v>6</v>
      </c>
      <c r="GL45" s="435">
        <v>8800</v>
      </c>
      <c r="GM45" s="440">
        <v>-34</v>
      </c>
      <c r="GN45" s="440">
        <v>-28</v>
      </c>
      <c r="GO45" s="440">
        <v>-23</v>
      </c>
      <c r="GP45" s="440">
        <v>-17</v>
      </c>
      <c r="GQ45" s="440">
        <v>-11</v>
      </c>
      <c r="GR45" s="440">
        <v>-6</v>
      </c>
      <c r="GS45" s="442">
        <f t="shared" si="14"/>
        <v>-3</v>
      </c>
      <c r="GT45" s="440">
        <v>0</v>
      </c>
      <c r="GU45" s="442">
        <f t="shared" si="37"/>
        <v>3</v>
      </c>
      <c r="GV45" s="441">
        <v>6</v>
      </c>
      <c r="GX45" s="263"/>
      <c r="GY45" s="263"/>
      <c r="GZ45" s="263"/>
    </row>
    <row r="46" spans="3:211">
      <c r="G46" s="435">
        <v>8700</v>
      </c>
      <c r="H46" s="445">
        <v>34</v>
      </c>
      <c r="I46" s="249">
        <v>28</v>
      </c>
      <c r="J46" s="249">
        <v>24</v>
      </c>
      <c r="K46" s="249">
        <v>17</v>
      </c>
      <c r="L46" s="249">
        <v>11</v>
      </c>
      <c r="M46" s="249">
        <v>6</v>
      </c>
      <c r="N46" s="249">
        <f t="shared" si="15"/>
        <v>3</v>
      </c>
      <c r="O46" s="249">
        <v>0</v>
      </c>
      <c r="P46" s="249">
        <f t="shared" si="16"/>
        <v>-3</v>
      </c>
      <c r="Q46" s="446">
        <v>-6</v>
      </c>
      <c r="R46" s="435">
        <v>8700</v>
      </c>
      <c r="S46" s="248">
        <v>10</v>
      </c>
      <c r="T46" s="248">
        <v>9</v>
      </c>
      <c r="U46" s="248">
        <v>7</v>
      </c>
      <c r="V46" s="248">
        <v>5</v>
      </c>
      <c r="W46" s="248">
        <v>3</v>
      </c>
      <c r="X46" s="248">
        <v>2</v>
      </c>
      <c r="Y46" s="249">
        <f t="shared" si="17"/>
        <v>1</v>
      </c>
      <c r="Z46" s="248">
        <v>0</v>
      </c>
      <c r="AA46" s="439">
        <f t="shared" si="18"/>
        <v>-1</v>
      </c>
      <c r="AB46" s="248">
        <v>-2</v>
      </c>
      <c r="AC46" s="435">
        <v>8700</v>
      </c>
      <c r="AD46" s="440">
        <v>-33</v>
      </c>
      <c r="AE46" s="440">
        <v>-28</v>
      </c>
      <c r="AF46" s="440">
        <v>-22</v>
      </c>
      <c r="AG46" s="440">
        <v>-17</v>
      </c>
      <c r="AH46" s="440">
        <v>-11</v>
      </c>
      <c r="AI46" s="440">
        <v>-6</v>
      </c>
      <c r="AJ46" s="249">
        <f t="shared" si="19"/>
        <v>-3</v>
      </c>
      <c r="AK46" s="248">
        <v>0</v>
      </c>
      <c r="AL46" s="439">
        <f t="shared" si="20"/>
        <v>3</v>
      </c>
      <c r="AM46" s="441">
        <v>6</v>
      </c>
      <c r="AN46" s="435">
        <v>8700</v>
      </c>
      <c r="AO46" s="440">
        <v>-57</v>
      </c>
      <c r="AP46" s="440">
        <v>-48</v>
      </c>
      <c r="AQ46" s="440">
        <v>-38</v>
      </c>
      <c r="AR46" s="440">
        <v>-29</v>
      </c>
      <c r="AS46" s="440">
        <v>-19</v>
      </c>
      <c r="AT46" s="440">
        <v>-10</v>
      </c>
      <c r="AU46" s="442">
        <f t="shared" si="2"/>
        <v>-5</v>
      </c>
      <c r="AV46" s="440">
        <v>0</v>
      </c>
      <c r="AW46" s="442">
        <f t="shared" si="21"/>
        <v>5</v>
      </c>
      <c r="AX46" s="441">
        <v>10</v>
      </c>
      <c r="AY46" s="435">
        <v>8700</v>
      </c>
      <c r="AZ46" s="440">
        <v>4</v>
      </c>
      <c r="BA46" s="440">
        <v>3</v>
      </c>
      <c r="BB46" s="440">
        <v>2</v>
      </c>
      <c r="BC46" s="440">
        <v>2</v>
      </c>
      <c r="BD46" s="440">
        <v>1</v>
      </c>
      <c r="BE46" s="440">
        <v>1</v>
      </c>
      <c r="BF46" s="442">
        <f t="shared" si="3"/>
        <v>0.5</v>
      </c>
      <c r="BG46" s="440">
        <v>0</v>
      </c>
      <c r="BH46" s="442">
        <f t="shared" si="22"/>
        <v>-0.5</v>
      </c>
      <c r="BI46" s="441">
        <v>-1</v>
      </c>
      <c r="BJ46" s="447">
        <v>8700</v>
      </c>
      <c r="BK46" s="440">
        <v>-31</v>
      </c>
      <c r="BL46" s="440">
        <v>-26</v>
      </c>
      <c r="BM46" s="440">
        <v>-21</v>
      </c>
      <c r="BN46" s="440">
        <v>-16</v>
      </c>
      <c r="BO46" s="440">
        <v>-10</v>
      </c>
      <c r="BP46" s="440">
        <v>-5</v>
      </c>
      <c r="BQ46" s="442">
        <f t="shared" si="4"/>
        <v>-2.5</v>
      </c>
      <c r="BR46" s="440">
        <v>0</v>
      </c>
      <c r="BS46" s="442">
        <f t="shared" si="23"/>
        <v>2.5</v>
      </c>
      <c r="BT46" s="440">
        <v>5</v>
      </c>
      <c r="BU46" s="435">
        <v>8700</v>
      </c>
      <c r="BV46" s="440">
        <v>1</v>
      </c>
      <c r="BW46" s="440">
        <v>1</v>
      </c>
      <c r="BX46" s="440">
        <v>1</v>
      </c>
      <c r="BY46" s="440">
        <v>1</v>
      </c>
      <c r="BZ46" s="440">
        <v>0</v>
      </c>
      <c r="CA46" s="440">
        <v>0</v>
      </c>
      <c r="CB46" s="442">
        <f t="shared" si="5"/>
        <v>0</v>
      </c>
      <c r="CC46" s="440">
        <v>0</v>
      </c>
      <c r="CD46" s="442">
        <f t="shared" si="24"/>
        <v>0</v>
      </c>
      <c r="CE46" s="441">
        <v>0</v>
      </c>
      <c r="CF46" s="435">
        <v>8700</v>
      </c>
      <c r="CG46" s="440">
        <v>-23</v>
      </c>
      <c r="CH46" s="440">
        <v>-19</v>
      </c>
      <c r="CI46" s="440">
        <v>-15</v>
      </c>
      <c r="CJ46" s="440">
        <v>-11</v>
      </c>
      <c r="CK46" s="440">
        <v>-8</v>
      </c>
      <c r="CL46" s="440">
        <v>-4</v>
      </c>
      <c r="CM46" s="442">
        <f t="shared" si="6"/>
        <v>-2</v>
      </c>
      <c r="CN46" s="440">
        <v>0</v>
      </c>
      <c r="CO46" s="442">
        <f t="shared" si="25"/>
        <v>2</v>
      </c>
      <c r="CP46" s="441">
        <v>4</v>
      </c>
      <c r="CQ46" s="435">
        <v>8700</v>
      </c>
      <c r="CR46" s="440">
        <v>1</v>
      </c>
      <c r="CS46" s="440">
        <v>1</v>
      </c>
      <c r="CT46" s="440">
        <v>1</v>
      </c>
      <c r="CU46" s="440">
        <v>1</v>
      </c>
      <c r="CV46" s="440">
        <v>0</v>
      </c>
      <c r="CW46" s="440">
        <v>0</v>
      </c>
      <c r="CX46" s="442">
        <f t="shared" si="7"/>
        <v>0</v>
      </c>
      <c r="CY46" s="440">
        <v>0</v>
      </c>
      <c r="CZ46" s="442">
        <f t="shared" si="26"/>
        <v>0</v>
      </c>
      <c r="DA46" s="441">
        <v>0</v>
      </c>
      <c r="DB46" s="435">
        <v>8700</v>
      </c>
      <c r="DC46" s="440">
        <v>-21</v>
      </c>
      <c r="DD46" s="440">
        <v>-17</v>
      </c>
      <c r="DE46" s="440">
        <v>-14</v>
      </c>
      <c r="DF46" s="440">
        <v>-10</v>
      </c>
      <c r="DG46" s="440">
        <v>-7</v>
      </c>
      <c r="DH46" s="440">
        <v>-3</v>
      </c>
      <c r="DI46" s="442">
        <f t="shared" si="8"/>
        <v>-1.5</v>
      </c>
      <c r="DJ46" s="440">
        <v>0</v>
      </c>
      <c r="DK46" s="442">
        <f t="shared" si="27"/>
        <v>1.5</v>
      </c>
      <c r="DL46" s="441">
        <v>3</v>
      </c>
      <c r="DM46" s="435">
        <v>8700</v>
      </c>
      <c r="DN46" s="440">
        <v>1</v>
      </c>
      <c r="DO46" s="440">
        <v>1</v>
      </c>
      <c r="DP46" s="440">
        <v>1</v>
      </c>
      <c r="DQ46" s="440">
        <v>1</v>
      </c>
      <c r="DR46" s="440">
        <v>0</v>
      </c>
      <c r="DS46" s="440">
        <v>0</v>
      </c>
      <c r="DT46" s="442">
        <f t="shared" si="9"/>
        <v>0</v>
      </c>
      <c r="DU46" s="440">
        <v>0</v>
      </c>
      <c r="DV46" s="442">
        <f t="shared" si="28"/>
        <v>0</v>
      </c>
      <c r="DW46" s="441">
        <v>0</v>
      </c>
      <c r="DX46" s="435">
        <v>8700</v>
      </c>
      <c r="DY46" s="440">
        <v>-24</v>
      </c>
      <c r="DZ46" s="440">
        <v>-20</v>
      </c>
      <c r="EA46" s="440">
        <v>-16</v>
      </c>
      <c r="EB46" s="440">
        <v>-12</v>
      </c>
      <c r="EC46" s="440">
        <v>-8</v>
      </c>
      <c r="ED46" s="440">
        <v>-4</v>
      </c>
      <c r="EE46" s="442">
        <f t="shared" si="10"/>
        <v>-2</v>
      </c>
      <c r="EF46" s="440">
        <v>0</v>
      </c>
      <c r="EG46" s="442">
        <f t="shared" si="29"/>
        <v>2</v>
      </c>
      <c r="EH46" s="440">
        <v>4</v>
      </c>
      <c r="EI46" s="435">
        <v>8700</v>
      </c>
      <c r="EJ46" s="440">
        <v>3</v>
      </c>
      <c r="EK46" s="440">
        <v>3</v>
      </c>
      <c r="EL46" s="440">
        <v>2</v>
      </c>
      <c r="EM46" s="440">
        <v>2</v>
      </c>
      <c r="EN46" s="440">
        <v>1</v>
      </c>
      <c r="EO46" s="440">
        <v>1</v>
      </c>
      <c r="EP46" s="442">
        <f t="shared" si="30"/>
        <v>0.5</v>
      </c>
      <c r="EQ46" s="440">
        <v>0</v>
      </c>
      <c r="ER46" s="442">
        <f t="shared" si="31"/>
        <v>-0.5</v>
      </c>
      <c r="ES46" s="441">
        <v>-1</v>
      </c>
      <c r="ET46" s="435">
        <v>8700</v>
      </c>
      <c r="EU46" s="440">
        <v>-22</v>
      </c>
      <c r="EV46" s="440">
        <v>-19</v>
      </c>
      <c r="EW46" s="440">
        <v>-15</v>
      </c>
      <c r="EX46" s="440">
        <v>-11</v>
      </c>
      <c r="EY46" s="440">
        <v>-7</v>
      </c>
      <c r="EZ46" s="440">
        <v>-4</v>
      </c>
      <c r="FA46" s="442">
        <f t="shared" si="32"/>
        <v>-2</v>
      </c>
      <c r="FB46" s="440">
        <v>0</v>
      </c>
      <c r="FC46" s="442">
        <f t="shared" si="33"/>
        <v>2</v>
      </c>
      <c r="FD46" s="440">
        <v>4</v>
      </c>
      <c r="FE46" s="435">
        <v>8700</v>
      </c>
      <c r="FF46" s="440">
        <v>4</v>
      </c>
      <c r="FG46" s="440">
        <v>3</v>
      </c>
      <c r="FH46" s="440">
        <v>3</v>
      </c>
      <c r="FI46" s="440">
        <v>2</v>
      </c>
      <c r="FJ46" s="440">
        <v>1</v>
      </c>
      <c r="FK46" s="440">
        <v>1</v>
      </c>
      <c r="FL46" s="442">
        <f t="shared" si="11"/>
        <v>0.5</v>
      </c>
      <c r="FM46" s="440">
        <v>0</v>
      </c>
      <c r="FN46" s="442">
        <f t="shared" si="34"/>
        <v>-0.5</v>
      </c>
      <c r="FO46" s="441">
        <v>-1</v>
      </c>
      <c r="FP46" s="435">
        <v>8700</v>
      </c>
      <c r="FQ46" s="440">
        <v>-20</v>
      </c>
      <c r="FR46" s="440">
        <v>-17</v>
      </c>
      <c r="FS46" s="440">
        <v>-14</v>
      </c>
      <c r="FT46" s="440">
        <v>-10</v>
      </c>
      <c r="FU46" s="440">
        <v>-7</v>
      </c>
      <c r="FV46" s="440">
        <v>-3</v>
      </c>
      <c r="FW46" s="442">
        <f t="shared" si="12"/>
        <v>-1.5</v>
      </c>
      <c r="FX46" s="440">
        <v>0</v>
      </c>
      <c r="FY46" s="442">
        <f t="shared" si="35"/>
        <v>1.5</v>
      </c>
      <c r="FZ46" s="440">
        <v>3</v>
      </c>
      <c r="GA46" s="435">
        <v>8700</v>
      </c>
      <c r="GB46" s="440">
        <v>-35</v>
      </c>
      <c r="GC46" s="440">
        <v>-29</v>
      </c>
      <c r="GD46" s="440">
        <v>-23</v>
      </c>
      <c r="GE46" s="440">
        <v>-17</v>
      </c>
      <c r="GF46" s="440">
        <v>-12</v>
      </c>
      <c r="GG46" s="440">
        <v>-6</v>
      </c>
      <c r="GH46" s="442">
        <f t="shared" si="13"/>
        <v>-3</v>
      </c>
      <c r="GI46" s="440">
        <v>0</v>
      </c>
      <c r="GJ46" s="442">
        <f t="shared" si="36"/>
        <v>3</v>
      </c>
      <c r="GK46" s="441">
        <v>6</v>
      </c>
      <c r="GL46" s="435">
        <v>8700</v>
      </c>
      <c r="GM46" s="440">
        <v>-34</v>
      </c>
      <c r="GN46" s="440">
        <v>-28</v>
      </c>
      <c r="GO46" s="440">
        <v>-23</v>
      </c>
      <c r="GP46" s="440">
        <v>-17</v>
      </c>
      <c r="GQ46" s="440">
        <v>-11</v>
      </c>
      <c r="GR46" s="440">
        <v>-6</v>
      </c>
      <c r="GS46" s="442">
        <f t="shared" si="14"/>
        <v>-3</v>
      </c>
      <c r="GT46" s="440">
        <v>0</v>
      </c>
      <c r="GU46" s="442">
        <f t="shared" si="37"/>
        <v>3</v>
      </c>
      <c r="GV46" s="441">
        <v>6</v>
      </c>
    </row>
    <row r="47" spans="3:211">
      <c r="G47" s="435">
        <v>8600</v>
      </c>
      <c r="H47" s="445">
        <v>34</v>
      </c>
      <c r="I47" s="249">
        <v>28</v>
      </c>
      <c r="J47" s="249">
        <v>24</v>
      </c>
      <c r="K47" s="249">
        <v>17</v>
      </c>
      <c r="L47" s="249">
        <v>11</v>
      </c>
      <c r="M47" s="249">
        <v>6</v>
      </c>
      <c r="N47" s="249">
        <f t="shared" si="15"/>
        <v>3</v>
      </c>
      <c r="O47" s="249">
        <v>0</v>
      </c>
      <c r="P47" s="249">
        <f t="shared" si="16"/>
        <v>-3</v>
      </c>
      <c r="Q47" s="446">
        <v>-6</v>
      </c>
      <c r="R47" s="435">
        <v>8600</v>
      </c>
      <c r="S47" s="248">
        <v>10</v>
      </c>
      <c r="T47" s="248">
        <v>9</v>
      </c>
      <c r="U47" s="248">
        <v>7</v>
      </c>
      <c r="V47" s="248">
        <v>5</v>
      </c>
      <c r="W47" s="248">
        <v>3</v>
      </c>
      <c r="X47" s="248">
        <v>2</v>
      </c>
      <c r="Y47" s="249">
        <f t="shared" si="17"/>
        <v>1</v>
      </c>
      <c r="Z47" s="248">
        <v>0</v>
      </c>
      <c r="AA47" s="439">
        <f t="shared" si="18"/>
        <v>-1</v>
      </c>
      <c r="AB47" s="248">
        <v>-2</v>
      </c>
      <c r="AC47" s="435">
        <v>8600</v>
      </c>
      <c r="AD47" s="440">
        <v>-33</v>
      </c>
      <c r="AE47" s="440">
        <v>-28</v>
      </c>
      <c r="AF47" s="440">
        <v>-22</v>
      </c>
      <c r="AG47" s="440">
        <v>-17</v>
      </c>
      <c r="AH47" s="440">
        <v>-11</v>
      </c>
      <c r="AI47" s="440">
        <v>-6</v>
      </c>
      <c r="AJ47" s="249">
        <f t="shared" si="19"/>
        <v>-3</v>
      </c>
      <c r="AK47" s="248">
        <v>0</v>
      </c>
      <c r="AL47" s="439">
        <f t="shared" si="20"/>
        <v>3</v>
      </c>
      <c r="AM47" s="441">
        <v>6</v>
      </c>
      <c r="AN47" s="435">
        <v>8600</v>
      </c>
      <c r="AO47" s="440">
        <v>-57</v>
      </c>
      <c r="AP47" s="440">
        <v>-48</v>
      </c>
      <c r="AQ47" s="440">
        <v>-38</v>
      </c>
      <c r="AR47" s="440">
        <v>-29</v>
      </c>
      <c r="AS47" s="440">
        <v>-19</v>
      </c>
      <c r="AT47" s="440">
        <v>-10</v>
      </c>
      <c r="AU47" s="442">
        <f t="shared" si="2"/>
        <v>-5</v>
      </c>
      <c r="AV47" s="440">
        <v>0</v>
      </c>
      <c r="AW47" s="442">
        <f t="shared" si="21"/>
        <v>5</v>
      </c>
      <c r="AX47" s="441">
        <v>10</v>
      </c>
      <c r="AY47" s="435">
        <v>8600</v>
      </c>
      <c r="AZ47" s="440">
        <v>4</v>
      </c>
      <c r="BA47" s="440">
        <v>3</v>
      </c>
      <c r="BB47" s="440">
        <v>2</v>
      </c>
      <c r="BC47" s="440">
        <v>2</v>
      </c>
      <c r="BD47" s="440">
        <v>1</v>
      </c>
      <c r="BE47" s="440">
        <v>1</v>
      </c>
      <c r="BF47" s="442">
        <f t="shared" si="3"/>
        <v>0.5</v>
      </c>
      <c r="BG47" s="440">
        <v>0</v>
      </c>
      <c r="BH47" s="442">
        <f t="shared" si="22"/>
        <v>-0.5</v>
      </c>
      <c r="BI47" s="441">
        <v>-1</v>
      </c>
      <c r="BJ47" s="447">
        <v>8600</v>
      </c>
      <c r="BK47" s="440">
        <v>-31</v>
      </c>
      <c r="BL47" s="440">
        <v>-26</v>
      </c>
      <c r="BM47" s="440">
        <v>-21</v>
      </c>
      <c r="BN47" s="440">
        <v>-16</v>
      </c>
      <c r="BO47" s="440">
        <v>-10</v>
      </c>
      <c r="BP47" s="440">
        <v>-5</v>
      </c>
      <c r="BQ47" s="442">
        <f t="shared" si="4"/>
        <v>-2.5</v>
      </c>
      <c r="BR47" s="440">
        <v>0</v>
      </c>
      <c r="BS47" s="442">
        <f t="shared" si="23"/>
        <v>2.5</v>
      </c>
      <c r="BT47" s="440">
        <v>5</v>
      </c>
      <c r="BU47" s="435">
        <v>8600</v>
      </c>
      <c r="BV47" s="440">
        <v>1</v>
      </c>
      <c r="BW47" s="440">
        <v>1</v>
      </c>
      <c r="BX47" s="440">
        <v>1</v>
      </c>
      <c r="BY47" s="440">
        <v>1</v>
      </c>
      <c r="BZ47" s="440">
        <v>0</v>
      </c>
      <c r="CA47" s="440">
        <v>0</v>
      </c>
      <c r="CB47" s="442">
        <f t="shared" si="5"/>
        <v>0</v>
      </c>
      <c r="CC47" s="440">
        <v>0</v>
      </c>
      <c r="CD47" s="442">
        <f t="shared" si="24"/>
        <v>0</v>
      </c>
      <c r="CE47" s="441">
        <v>0</v>
      </c>
      <c r="CF47" s="435">
        <v>8600</v>
      </c>
      <c r="CG47" s="440">
        <v>-23</v>
      </c>
      <c r="CH47" s="440">
        <v>-19</v>
      </c>
      <c r="CI47" s="440">
        <v>-15</v>
      </c>
      <c r="CJ47" s="440">
        <v>-11</v>
      </c>
      <c r="CK47" s="440">
        <v>-8</v>
      </c>
      <c r="CL47" s="440">
        <v>-4</v>
      </c>
      <c r="CM47" s="442">
        <f t="shared" si="6"/>
        <v>-2</v>
      </c>
      <c r="CN47" s="440">
        <v>0</v>
      </c>
      <c r="CO47" s="442">
        <f t="shared" si="25"/>
        <v>2</v>
      </c>
      <c r="CP47" s="441">
        <v>4</v>
      </c>
      <c r="CQ47" s="435">
        <v>8600</v>
      </c>
      <c r="CR47" s="440">
        <v>1</v>
      </c>
      <c r="CS47" s="440">
        <v>1</v>
      </c>
      <c r="CT47" s="440">
        <v>1</v>
      </c>
      <c r="CU47" s="440">
        <v>1</v>
      </c>
      <c r="CV47" s="440">
        <v>0</v>
      </c>
      <c r="CW47" s="440">
        <v>0</v>
      </c>
      <c r="CX47" s="442">
        <f t="shared" si="7"/>
        <v>0</v>
      </c>
      <c r="CY47" s="440">
        <v>0</v>
      </c>
      <c r="CZ47" s="442">
        <f t="shared" si="26"/>
        <v>0</v>
      </c>
      <c r="DA47" s="441">
        <v>0</v>
      </c>
      <c r="DB47" s="435">
        <v>8600</v>
      </c>
      <c r="DC47" s="440">
        <v>-21</v>
      </c>
      <c r="DD47" s="440">
        <v>-17</v>
      </c>
      <c r="DE47" s="440">
        <v>-14</v>
      </c>
      <c r="DF47" s="440">
        <v>-10</v>
      </c>
      <c r="DG47" s="440">
        <v>-7</v>
      </c>
      <c r="DH47" s="440">
        <v>-3</v>
      </c>
      <c r="DI47" s="442">
        <f t="shared" si="8"/>
        <v>-1.5</v>
      </c>
      <c r="DJ47" s="440">
        <v>0</v>
      </c>
      <c r="DK47" s="442">
        <f t="shared" si="27"/>
        <v>1.5</v>
      </c>
      <c r="DL47" s="441">
        <v>3</v>
      </c>
      <c r="DM47" s="435">
        <v>8600</v>
      </c>
      <c r="DN47" s="440">
        <v>1</v>
      </c>
      <c r="DO47" s="440">
        <v>1</v>
      </c>
      <c r="DP47" s="440">
        <v>1</v>
      </c>
      <c r="DQ47" s="440">
        <v>1</v>
      </c>
      <c r="DR47" s="440">
        <v>0</v>
      </c>
      <c r="DS47" s="440">
        <v>0</v>
      </c>
      <c r="DT47" s="442">
        <f t="shared" si="9"/>
        <v>0</v>
      </c>
      <c r="DU47" s="440">
        <v>0</v>
      </c>
      <c r="DV47" s="442">
        <f t="shared" si="28"/>
        <v>0</v>
      </c>
      <c r="DW47" s="441">
        <v>0</v>
      </c>
      <c r="DX47" s="435">
        <v>8600</v>
      </c>
      <c r="DY47" s="440">
        <v>-24</v>
      </c>
      <c r="DZ47" s="440">
        <v>-20</v>
      </c>
      <c r="EA47" s="440">
        <v>-16</v>
      </c>
      <c r="EB47" s="440">
        <v>-12</v>
      </c>
      <c r="EC47" s="440">
        <v>-8</v>
      </c>
      <c r="ED47" s="440">
        <v>-4</v>
      </c>
      <c r="EE47" s="442">
        <f t="shared" si="10"/>
        <v>-2</v>
      </c>
      <c r="EF47" s="440">
        <v>0</v>
      </c>
      <c r="EG47" s="442">
        <f t="shared" si="29"/>
        <v>2</v>
      </c>
      <c r="EH47" s="440">
        <v>4</v>
      </c>
      <c r="EI47" s="435">
        <v>8600</v>
      </c>
      <c r="EJ47" s="440">
        <v>3</v>
      </c>
      <c r="EK47" s="440">
        <v>3</v>
      </c>
      <c r="EL47" s="440">
        <v>2</v>
      </c>
      <c r="EM47" s="440">
        <v>2</v>
      </c>
      <c r="EN47" s="440">
        <v>1</v>
      </c>
      <c r="EO47" s="440">
        <v>1</v>
      </c>
      <c r="EP47" s="442">
        <f t="shared" si="30"/>
        <v>0.5</v>
      </c>
      <c r="EQ47" s="440">
        <v>0</v>
      </c>
      <c r="ER47" s="442">
        <f t="shared" si="31"/>
        <v>-0.5</v>
      </c>
      <c r="ES47" s="441">
        <v>-1</v>
      </c>
      <c r="ET47" s="435">
        <v>8600</v>
      </c>
      <c r="EU47" s="440">
        <v>-22</v>
      </c>
      <c r="EV47" s="440">
        <v>-19</v>
      </c>
      <c r="EW47" s="440">
        <v>-15</v>
      </c>
      <c r="EX47" s="440">
        <v>-11</v>
      </c>
      <c r="EY47" s="440">
        <v>-7</v>
      </c>
      <c r="EZ47" s="440">
        <v>-4</v>
      </c>
      <c r="FA47" s="442">
        <f t="shared" si="32"/>
        <v>-2</v>
      </c>
      <c r="FB47" s="440">
        <v>0</v>
      </c>
      <c r="FC47" s="442">
        <f t="shared" si="33"/>
        <v>2</v>
      </c>
      <c r="FD47" s="440">
        <v>4</v>
      </c>
      <c r="FE47" s="435">
        <v>8600</v>
      </c>
      <c r="FF47" s="440">
        <v>3</v>
      </c>
      <c r="FG47" s="440">
        <v>3</v>
      </c>
      <c r="FH47" s="440">
        <v>2</v>
      </c>
      <c r="FI47" s="440">
        <v>2</v>
      </c>
      <c r="FJ47" s="440">
        <v>1</v>
      </c>
      <c r="FK47" s="440">
        <v>1</v>
      </c>
      <c r="FL47" s="442">
        <f t="shared" si="11"/>
        <v>0.5</v>
      </c>
      <c r="FM47" s="440">
        <v>0</v>
      </c>
      <c r="FN47" s="442">
        <f t="shared" si="34"/>
        <v>-0.5</v>
      </c>
      <c r="FO47" s="441">
        <v>-1</v>
      </c>
      <c r="FP47" s="435">
        <v>8600</v>
      </c>
      <c r="FQ47" s="440">
        <v>-21</v>
      </c>
      <c r="FR47" s="440">
        <v>-17</v>
      </c>
      <c r="FS47" s="440">
        <v>-14</v>
      </c>
      <c r="FT47" s="440">
        <v>-10</v>
      </c>
      <c r="FU47" s="440">
        <v>-7</v>
      </c>
      <c r="FV47" s="440">
        <v>-3</v>
      </c>
      <c r="FW47" s="442">
        <f t="shared" si="12"/>
        <v>-1.5</v>
      </c>
      <c r="FX47" s="440">
        <v>0</v>
      </c>
      <c r="FY47" s="442">
        <f t="shared" si="35"/>
        <v>1.5</v>
      </c>
      <c r="FZ47" s="440">
        <v>3</v>
      </c>
      <c r="GA47" s="435">
        <v>8600</v>
      </c>
      <c r="GB47" s="440">
        <v>-35</v>
      </c>
      <c r="GC47" s="440">
        <v>-29</v>
      </c>
      <c r="GD47" s="440">
        <v>-23</v>
      </c>
      <c r="GE47" s="440">
        <v>-17</v>
      </c>
      <c r="GF47" s="440">
        <v>-12</v>
      </c>
      <c r="GG47" s="440">
        <v>-6</v>
      </c>
      <c r="GH47" s="442">
        <f t="shared" si="13"/>
        <v>-3</v>
      </c>
      <c r="GI47" s="440">
        <v>0</v>
      </c>
      <c r="GJ47" s="442">
        <f t="shared" si="36"/>
        <v>3</v>
      </c>
      <c r="GK47" s="441">
        <v>6</v>
      </c>
      <c r="GL47" s="435">
        <v>8600</v>
      </c>
      <c r="GM47" s="440">
        <v>-34</v>
      </c>
      <c r="GN47" s="440">
        <v>-28</v>
      </c>
      <c r="GO47" s="440">
        <v>-23</v>
      </c>
      <c r="GP47" s="440">
        <v>-17</v>
      </c>
      <c r="GQ47" s="440">
        <v>-11</v>
      </c>
      <c r="GR47" s="440">
        <v>-6</v>
      </c>
      <c r="GS47" s="442">
        <f t="shared" si="14"/>
        <v>-3</v>
      </c>
      <c r="GT47" s="440">
        <v>0</v>
      </c>
      <c r="GU47" s="442">
        <f t="shared" si="37"/>
        <v>3</v>
      </c>
      <c r="GV47" s="441">
        <v>6</v>
      </c>
    </row>
    <row r="48" spans="3:211">
      <c r="G48" s="435">
        <v>8500</v>
      </c>
      <c r="H48" s="445">
        <v>34</v>
      </c>
      <c r="I48" s="249">
        <v>28</v>
      </c>
      <c r="J48" s="249">
        <v>24</v>
      </c>
      <c r="K48" s="249">
        <v>17</v>
      </c>
      <c r="L48" s="249">
        <v>11</v>
      </c>
      <c r="M48" s="249">
        <v>6</v>
      </c>
      <c r="N48" s="249">
        <f t="shared" si="15"/>
        <v>3</v>
      </c>
      <c r="O48" s="249">
        <v>0</v>
      </c>
      <c r="P48" s="249">
        <f t="shared" si="16"/>
        <v>-3</v>
      </c>
      <c r="Q48" s="446">
        <v>-6</v>
      </c>
      <c r="R48" s="435">
        <v>8500</v>
      </c>
      <c r="S48" s="248">
        <v>10</v>
      </c>
      <c r="T48" s="248">
        <v>9</v>
      </c>
      <c r="U48" s="248">
        <v>7</v>
      </c>
      <c r="V48" s="248">
        <v>5</v>
      </c>
      <c r="W48" s="248">
        <v>3</v>
      </c>
      <c r="X48" s="248">
        <v>2</v>
      </c>
      <c r="Y48" s="249">
        <f t="shared" si="17"/>
        <v>1</v>
      </c>
      <c r="Z48" s="248">
        <v>0</v>
      </c>
      <c r="AA48" s="439">
        <f t="shared" si="18"/>
        <v>-1</v>
      </c>
      <c r="AB48" s="248">
        <v>-2</v>
      </c>
      <c r="AC48" s="435">
        <v>8500</v>
      </c>
      <c r="AD48" s="440">
        <v>-33</v>
      </c>
      <c r="AE48" s="440">
        <v>-28</v>
      </c>
      <c r="AF48" s="440">
        <v>-22</v>
      </c>
      <c r="AG48" s="440">
        <v>-17</v>
      </c>
      <c r="AH48" s="440">
        <v>-11</v>
      </c>
      <c r="AI48" s="440">
        <v>-6</v>
      </c>
      <c r="AJ48" s="249">
        <f t="shared" si="19"/>
        <v>-3</v>
      </c>
      <c r="AK48" s="248">
        <v>0</v>
      </c>
      <c r="AL48" s="439">
        <f t="shared" si="20"/>
        <v>3</v>
      </c>
      <c r="AM48" s="441">
        <v>6</v>
      </c>
      <c r="AN48" s="435">
        <v>8500</v>
      </c>
      <c r="AO48" s="440">
        <v>-57</v>
      </c>
      <c r="AP48" s="440">
        <v>-48</v>
      </c>
      <c r="AQ48" s="440">
        <v>-38</v>
      </c>
      <c r="AR48" s="440">
        <v>-29</v>
      </c>
      <c r="AS48" s="440">
        <v>-19</v>
      </c>
      <c r="AT48" s="440">
        <v>-10</v>
      </c>
      <c r="AU48" s="442">
        <f t="shared" si="2"/>
        <v>-5</v>
      </c>
      <c r="AV48" s="440">
        <v>0</v>
      </c>
      <c r="AW48" s="442">
        <f t="shared" si="21"/>
        <v>5</v>
      </c>
      <c r="AX48" s="441">
        <v>10</v>
      </c>
      <c r="AY48" s="435">
        <v>8500</v>
      </c>
      <c r="AZ48" s="440">
        <v>4</v>
      </c>
      <c r="BA48" s="440">
        <v>3</v>
      </c>
      <c r="BB48" s="440">
        <v>2</v>
      </c>
      <c r="BC48" s="440">
        <v>2</v>
      </c>
      <c r="BD48" s="440">
        <v>1</v>
      </c>
      <c r="BE48" s="440">
        <v>1</v>
      </c>
      <c r="BF48" s="442">
        <f t="shared" si="3"/>
        <v>0.5</v>
      </c>
      <c r="BG48" s="440">
        <v>0</v>
      </c>
      <c r="BH48" s="442">
        <f t="shared" si="22"/>
        <v>-0.5</v>
      </c>
      <c r="BI48" s="441">
        <v>-1</v>
      </c>
      <c r="BJ48" s="447">
        <v>8500</v>
      </c>
      <c r="BK48" s="440">
        <v>-31</v>
      </c>
      <c r="BL48" s="440">
        <v>-26</v>
      </c>
      <c r="BM48" s="440">
        <v>-21</v>
      </c>
      <c r="BN48" s="440">
        <v>-16</v>
      </c>
      <c r="BO48" s="440">
        <v>-10</v>
      </c>
      <c r="BP48" s="440">
        <v>-5</v>
      </c>
      <c r="BQ48" s="442">
        <f t="shared" si="4"/>
        <v>-2.5</v>
      </c>
      <c r="BR48" s="440">
        <v>0</v>
      </c>
      <c r="BS48" s="442">
        <f t="shared" si="23"/>
        <v>2.5</v>
      </c>
      <c r="BT48" s="440">
        <v>5</v>
      </c>
      <c r="BU48" s="435">
        <v>8500</v>
      </c>
      <c r="BV48" s="440">
        <v>1</v>
      </c>
      <c r="BW48" s="440">
        <v>1</v>
      </c>
      <c r="BX48" s="440">
        <v>1</v>
      </c>
      <c r="BY48" s="440">
        <v>1</v>
      </c>
      <c r="BZ48" s="440">
        <v>0</v>
      </c>
      <c r="CA48" s="440">
        <v>0</v>
      </c>
      <c r="CB48" s="442">
        <f t="shared" si="5"/>
        <v>0</v>
      </c>
      <c r="CC48" s="440">
        <v>0</v>
      </c>
      <c r="CD48" s="442">
        <f t="shared" si="24"/>
        <v>0</v>
      </c>
      <c r="CE48" s="441">
        <v>0</v>
      </c>
      <c r="CF48" s="435">
        <v>8500</v>
      </c>
      <c r="CG48" s="440">
        <v>-23</v>
      </c>
      <c r="CH48" s="440">
        <v>-19</v>
      </c>
      <c r="CI48" s="440">
        <v>-15</v>
      </c>
      <c r="CJ48" s="440">
        <v>-11</v>
      </c>
      <c r="CK48" s="440">
        <v>-8</v>
      </c>
      <c r="CL48" s="440">
        <v>-4</v>
      </c>
      <c r="CM48" s="442">
        <f t="shared" si="6"/>
        <v>-2</v>
      </c>
      <c r="CN48" s="440">
        <v>0</v>
      </c>
      <c r="CO48" s="442">
        <f t="shared" si="25"/>
        <v>2</v>
      </c>
      <c r="CP48" s="441">
        <v>4</v>
      </c>
      <c r="CQ48" s="435">
        <v>8500</v>
      </c>
      <c r="CR48" s="440">
        <v>1</v>
      </c>
      <c r="CS48" s="440">
        <v>1</v>
      </c>
      <c r="CT48" s="440">
        <v>1</v>
      </c>
      <c r="CU48" s="440">
        <v>1</v>
      </c>
      <c r="CV48" s="440">
        <v>0</v>
      </c>
      <c r="CW48" s="440">
        <v>0</v>
      </c>
      <c r="CX48" s="442">
        <f t="shared" si="7"/>
        <v>0</v>
      </c>
      <c r="CY48" s="440">
        <v>0</v>
      </c>
      <c r="CZ48" s="442">
        <f t="shared" si="26"/>
        <v>0</v>
      </c>
      <c r="DA48" s="441">
        <v>0</v>
      </c>
      <c r="DB48" s="435">
        <v>8500</v>
      </c>
      <c r="DC48" s="440">
        <v>-21</v>
      </c>
      <c r="DD48" s="440">
        <v>-17</v>
      </c>
      <c r="DE48" s="440">
        <v>-14</v>
      </c>
      <c r="DF48" s="440">
        <v>-10</v>
      </c>
      <c r="DG48" s="440">
        <v>-7</v>
      </c>
      <c r="DH48" s="440">
        <v>-3</v>
      </c>
      <c r="DI48" s="442">
        <f t="shared" si="8"/>
        <v>-1.5</v>
      </c>
      <c r="DJ48" s="440">
        <v>0</v>
      </c>
      <c r="DK48" s="442">
        <f t="shared" si="27"/>
        <v>1.5</v>
      </c>
      <c r="DL48" s="441">
        <v>3</v>
      </c>
      <c r="DM48" s="435">
        <v>8500</v>
      </c>
      <c r="DN48" s="440">
        <v>1</v>
      </c>
      <c r="DO48" s="440">
        <v>1</v>
      </c>
      <c r="DP48" s="440">
        <v>1</v>
      </c>
      <c r="DQ48" s="440">
        <v>1</v>
      </c>
      <c r="DR48" s="440">
        <v>0</v>
      </c>
      <c r="DS48" s="440">
        <v>0</v>
      </c>
      <c r="DT48" s="442">
        <f t="shared" si="9"/>
        <v>0</v>
      </c>
      <c r="DU48" s="440">
        <v>0</v>
      </c>
      <c r="DV48" s="442">
        <f t="shared" si="28"/>
        <v>0</v>
      </c>
      <c r="DW48" s="441">
        <v>0</v>
      </c>
      <c r="DX48" s="435">
        <v>8500</v>
      </c>
      <c r="DY48" s="440">
        <v>-24</v>
      </c>
      <c r="DZ48" s="440">
        <v>-20</v>
      </c>
      <c r="EA48" s="440">
        <v>-16</v>
      </c>
      <c r="EB48" s="440">
        <v>-12</v>
      </c>
      <c r="EC48" s="440">
        <v>-8</v>
      </c>
      <c r="ED48" s="440">
        <v>-4</v>
      </c>
      <c r="EE48" s="442">
        <f t="shared" si="10"/>
        <v>-2</v>
      </c>
      <c r="EF48" s="440">
        <v>0</v>
      </c>
      <c r="EG48" s="442">
        <f t="shared" si="29"/>
        <v>2</v>
      </c>
      <c r="EH48" s="440">
        <v>4</v>
      </c>
      <c r="EI48" s="435">
        <v>8500</v>
      </c>
      <c r="EJ48" s="440">
        <v>3</v>
      </c>
      <c r="EK48" s="440">
        <v>3</v>
      </c>
      <c r="EL48" s="440">
        <v>2</v>
      </c>
      <c r="EM48" s="440">
        <v>2</v>
      </c>
      <c r="EN48" s="440">
        <v>1</v>
      </c>
      <c r="EO48" s="440">
        <v>1</v>
      </c>
      <c r="EP48" s="442">
        <f t="shared" si="30"/>
        <v>0.5</v>
      </c>
      <c r="EQ48" s="440">
        <v>0</v>
      </c>
      <c r="ER48" s="442">
        <f t="shared" si="31"/>
        <v>-0.5</v>
      </c>
      <c r="ES48" s="441">
        <v>-1</v>
      </c>
      <c r="ET48" s="435">
        <v>8500</v>
      </c>
      <c r="EU48" s="440">
        <v>-22</v>
      </c>
      <c r="EV48" s="440">
        <v>-19</v>
      </c>
      <c r="EW48" s="440">
        <v>-15</v>
      </c>
      <c r="EX48" s="440">
        <v>-11</v>
      </c>
      <c r="EY48" s="440">
        <v>-7</v>
      </c>
      <c r="EZ48" s="440">
        <v>-4</v>
      </c>
      <c r="FA48" s="442">
        <f t="shared" si="32"/>
        <v>-2</v>
      </c>
      <c r="FB48" s="440">
        <v>0</v>
      </c>
      <c r="FC48" s="442">
        <f t="shared" si="33"/>
        <v>2</v>
      </c>
      <c r="FD48" s="440">
        <v>4</v>
      </c>
      <c r="FE48" s="435">
        <v>8500</v>
      </c>
      <c r="FF48" s="440">
        <v>3</v>
      </c>
      <c r="FG48" s="440">
        <v>2</v>
      </c>
      <c r="FH48" s="440">
        <v>2</v>
      </c>
      <c r="FI48" s="440">
        <v>1</v>
      </c>
      <c r="FJ48" s="440">
        <v>1</v>
      </c>
      <c r="FK48" s="440">
        <v>0</v>
      </c>
      <c r="FL48" s="442">
        <f t="shared" si="11"/>
        <v>0</v>
      </c>
      <c r="FM48" s="440">
        <v>0</v>
      </c>
      <c r="FN48" s="442">
        <f t="shared" si="34"/>
        <v>0</v>
      </c>
      <c r="FO48" s="441">
        <v>0</v>
      </c>
      <c r="FP48" s="435">
        <v>8500</v>
      </c>
      <c r="FQ48" s="440">
        <v>-21</v>
      </c>
      <c r="FR48" s="440">
        <v>-18</v>
      </c>
      <c r="FS48" s="440">
        <v>-15</v>
      </c>
      <c r="FT48" s="440">
        <v>-11</v>
      </c>
      <c r="FU48" s="440">
        <v>-7</v>
      </c>
      <c r="FV48" s="440">
        <v>-4</v>
      </c>
      <c r="FW48" s="442">
        <f t="shared" si="12"/>
        <v>-2</v>
      </c>
      <c r="FX48" s="440">
        <v>0</v>
      </c>
      <c r="FY48" s="442">
        <f t="shared" si="35"/>
        <v>2</v>
      </c>
      <c r="FZ48" s="440">
        <v>4</v>
      </c>
      <c r="GA48" s="435">
        <v>8500</v>
      </c>
      <c r="GB48" s="440">
        <v>-35</v>
      </c>
      <c r="GC48" s="440">
        <v>-29</v>
      </c>
      <c r="GD48" s="440">
        <v>-23</v>
      </c>
      <c r="GE48" s="440">
        <v>-17</v>
      </c>
      <c r="GF48" s="440">
        <v>-12</v>
      </c>
      <c r="GG48" s="440">
        <v>-6</v>
      </c>
      <c r="GH48" s="442">
        <f t="shared" si="13"/>
        <v>-3</v>
      </c>
      <c r="GI48" s="440">
        <v>0</v>
      </c>
      <c r="GJ48" s="442">
        <f t="shared" si="36"/>
        <v>3</v>
      </c>
      <c r="GK48" s="441">
        <v>6</v>
      </c>
      <c r="GL48" s="435">
        <v>8500</v>
      </c>
      <c r="GM48" s="440">
        <v>-34</v>
      </c>
      <c r="GN48" s="440">
        <v>-28</v>
      </c>
      <c r="GO48" s="440">
        <v>-23</v>
      </c>
      <c r="GP48" s="440">
        <v>-17</v>
      </c>
      <c r="GQ48" s="440">
        <v>-11</v>
      </c>
      <c r="GR48" s="440">
        <v>-6</v>
      </c>
      <c r="GS48" s="442">
        <f t="shared" si="14"/>
        <v>-3</v>
      </c>
      <c r="GT48" s="440">
        <v>0</v>
      </c>
      <c r="GU48" s="442">
        <f t="shared" si="37"/>
        <v>3</v>
      </c>
      <c r="GV48" s="441">
        <v>6</v>
      </c>
    </row>
    <row r="49" spans="7:204">
      <c r="G49" s="435">
        <v>8400</v>
      </c>
      <c r="H49" s="445">
        <v>34</v>
      </c>
      <c r="I49" s="249">
        <v>28</v>
      </c>
      <c r="J49" s="249">
        <v>24</v>
      </c>
      <c r="K49" s="249">
        <v>17</v>
      </c>
      <c r="L49" s="249">
        <v>11</v>
      </c>
      <c r="M49" s="249">
        <v>6</v>
      </c>
      <c r="N49" s="249">
        <f t="shared" si="15"/>
        <v>3</v>
      </c>
      <c r="O49" s="249">
        <v>0</v>
      </c>
      <c r="P49" s="249">
        <f t="shared" si="16"/>
        <v>-3</v>
      </c>
      <c r="Q49" s="446">
        <v>-6</v>
      </c>
      <c r="R49" s="435">
        <v>8400</v>
      </c>
      <c r="S49" s="248">
        <v>10</v>
      </c>
      <c r="T49" s="248">
        <v>9</v>
      </c>
      <c r="U49" s="248">
        <v>7</v>
      </c>
      <c r="V49" s="248">
        <v>5</v>
      </c>
      <c r="W49" s="248">
        <v>3</v>
      </c>
      <c r="X49" s="248">
        <v>2</v>
      </c>
      <c r="Y49" s="249">
        <f t="shared" si="17"/>
        <v>1</v>
      </c>
      <c r="Z49" s="248">
        <v>0</v>
      </c>
      <c r="AA49" s="439">
        <f t="shared" si="18"/>
        <v>-1</v>
      </c>
      <c r="AB49" s="248">
        <v>-2</v>
      </c>
      <c r="AC49" s="435">
        <v>8400</v>
      </c>
      <c r="AD49" s="440">
        <v>-33</v>
      </c>
      <c r="AE49" s="440">
        <v>-28</v>
      </c>
      <c r="AF49" s="440">
        <v>-22</v>
      </c>
      <c r="AG49" s="440">
        <v>-17</v>
      </c>
      <c r="AH49" s="440">
        <v>-11</v>
      </c>
      <c r="AI49" s="440">
        <v>-6</v>
      </c>
      <c r="AJ49" s="249">
        <f t="shared" si="19"/>
        <v>-3</v>
      </c>
      <c r="AK49" s="248">
        <v>0</v>
      </c>
      <c r="AL49" s="439">
        <f t="shared" si="20"/>
        <v>3</v>
      </c>
      <c r="AM49" s="441">
        <v>6</v>
      </c>
      <c r="AN49" s="435">
        <v>8400</v>
      </c>
      <c r="AO49" s="440">
        <v>-57</v>
      </c>
      <c r="AP49" s="440">
        <v>-48</v>
      </c>
      <c r="AQ49" s="440">
        <v>-38</v>
      </c>
      <c r="AR49" s="440">
        <v>-29</v>
      </c>
      <c r="AS49" s="440">
        <v>-19</v>
      </c>
      <c r="AT49" s="440">
        <v>-10</v>
      </c>
      <c r="AU49" s="442">
        <f t="shared" si="2"/>
        <v>-5</v>
      </c>
      <c r="AV49" s="440">
        <v>0</v>
      </c>
      <c r="AW49" s="442">
        <f t="shared" si="21"/>
        <v>5</v>
      </c>
      <c r="AX49" s="441">
        <v>10</v>
      </c>
      <c r="AY49" s="435">
        <v>8400</v>
      </c>
      <c r="AZ49" s="440">
        <v>4</v>
      </c>
      <c r="BA49" s="440">
        <v>3</v>
      </c>
      <c r="BB49" s="440">
        <v>2</v>
      </c>
      <c r="BC49" s="440">
        <v>2</v>
      </c>
      <c r="BD49" s="440">
        <v>1</v>
      </c>
      <c r="BE49" s="440">
        <v>1</v>
      </c>
      <c r="BF49" s="442">
        <f t="shared" si="3"/>
        <v>0.5</v>
      </c>
      <c r="BG49" s="440">
        <v>0</v>
      </c>
      <c r="BH49" s="442">
        <f t="shared" si="22"/>
        <v>-0.5</v>
      </c>
      <c r="BI49" s="441">
        <v>-1</v>
      </c>
      <c r="BJ49" s="447">
        <v>8400</v>
      </c>
      <c r="BK49" s="440">
        <v>-31</v>
      </c>
      <c r="BL49" s="440">
        <v>-26</v>
      </c>
      <c r="BM49" s="440">
        <v>-21</v>
      </c>
      <c r="BN49" s="440">
        <v>-16</v>
      </c>
      <c r="BO49" s="440">
        <v>-10</v>
      </c>
      <c r="BP49" s="440">
        <v>-5</v>
      </c>
      <c r="BQ49" s="442">
        <f t="shared" si="4"/>
        <v>-2.5</v>
      </c>
      <c r="BR49" s="440">
        <v>0</v>
      </c>
      <c r="BS49" s="442">
        <f t="shared" si="23"/>
        <v>2.5</v>
      </c>
      <c r="BT49" s="440">
        <v>5</v>
      </c>
      <c r="BU49" s="435">
        <v>8400</v>
      </c>
      <c r="BV49" s="440">
        <v>1</v>
      </c>
      <c r="BW49" s="440">
        <v>1</v>
      </c>
      <c r="BX49" s="440">
        <v>1</v>
      </c>
      <c r="BY49" s="440">
        <v>1</v>
      </c>
      <c r="BZ49" s="440">
        <v>0</v>
      </c>
      <c r="CA49" s="440">
        <v>0</v>
      </c>
      <c r="CB49" s="442">
        <f t="shared" si="5"/>
        <v>0</v>
      </c>
      <c r="CC49" s="440">
        <v>0</v>
      </c>
      <c r="CD49" s="442">
        <f t="shared" si="24"/>
        <v>0</v>
      </c>
      <c r="CE49" s="441">
        <v>0</v>
      </c>
      <c r="CF49" s="435">
        <v>8400</v>
      </c>
      <c r="CG49" s="440">
        <v>-23</v>
      </c>
      <c r="CH49" s="440">
        <v>-19</v>
      </c>
      <c r="CI49" s="440">
        <v>-15</v>
      </c>
      <c r="CJ49" s="440">
        <v>-11</v>
      </c>
      <c r="CK49" s="440">
        <v>-8</v>
      </c>
      <c r="CL49" s="440">
        <v>-4</v>
      </c>
      <c r="CM49" s="442">
        <f t="shared" si="6"/>
        <v>-2</v>
      </c>
      <c r="CN49" s="440">
        <v>0</v>
      </c>
      <c r="CO49" s="442">
        <f t="shared" si="25"/>
        <v>2</v>
      </c>
      <c r="CP49" s="441">
        <v>4</v>
      </c>
      <c r="CQ49" s="435">
        <v>8400</v>
      </c>
      <c r="CR49" s="440">
        <v>1</v>
      </c>
      <c r="CS49" s="440">
        <v>1</v>
      </c>
      <c r="CT49" s="440">
        <v>1</v>
      </c>
      <c r="CU49" s="440">
        <v>1</v>
      </c>
      <c r="CV49" s="440">
        <v>0</v>
      </c>
      <c r="CW49" s="440">
        <v>0</v>
      </c>
      <c r="CX49" s="442">
        <f t="shared" si="7"/>
        <v>0</v>
      </c>
      <c r="CY49" s="440">
        <v>0</v>
      </c>
      <c r="CZ49" s="442">
        <f t="shared" si="26"/>
        <v>0</v>
      </c>
      <c r="DA49" s="441">
        <v>0</v>
      </c>
      <c r="DB49" s="435">
        <v>8400</v>
      </c>
      <c r="DC49" s="440">
        <v>-21</v>
      </c>
      <c r="DD49" s="440">
        <v>-17</v>
      </c>
      <c r="DE49" s="440">
        <v>-14</v>
      </c>
      <c r="DF49" s="440">
        <v>-10</v>
      </c>
      <c r="DG49" s="440">
        <v>-7</v>
      </c>
      <c r="DH49" s="440">
        <v>-3</v>
      </c>
      <c r="DI49" s="442">
        <f t="shared" si="8"/>
        <v>-1.5</v>
      </c>
      <c r="DJ49" s="440">
        <v>0</v>
      </c>
      <c r="DK49" s="442">
        <f t="shared" si="27"/>
        <v>1.5</v>
      </c>
      <c r="DL49" s="441">
        <v>3</v>
      </c>
      <c r="DM49" s="435">
        <v>8400</v>
      </c>
      <c r="DN49" s="440">
        <v>1</v>
      </c>
      <c r="DO49" s="440">
        <v>1</v>
      </c>
      <c r="DP49" s="440">
        <v>1</v>
      </c>
      <c r="DQ49" s="440">
        <v>1</v>
      </c>
      <c r="DR49" s="440">
        <v>0</v>
      </c>
      <c r="DS49" s="440">
        <v>0</v>
      </c>
      <c r="DT49" s="442">
        <f t="shared" si="9"/>
        <v>0</v>
      </c>
      <c r="DU49" s="440">
        <v>0</v>
      </c>
      <c r="DV49" s="442">
        <f t="shared" si="28"/>
        <v>0</v>
      </c>
      <c r="DW49" s="441">
        <v>0</v>
      </c>
      <c r="DX49" s="435">
        <v>8400</v>
      </c>
      <c r="DY49" s="440">
        <v>-24</v>
      </c>
      <c r="DZ49" s="440">
        <v>-20</v>
      </c>
      <c r="EA49" s="440">
        <v>-16</v>
      </c>
      <c r="EB49" s="440">
        <v>-12</v>
      </c>
      <c r="EC49" s="440">
        <v>-8</v>
      </c>
      <c r="ED49" s="440">
        <v>-4</v>
      </c>
      <c r="EE49" s="442">
        <f t="shared" si="10"/>
        <v>-2</v>
      </c>
      <c r="EF49" s="440">
        <v>0</v>
      </c>
      <c r="EG49" s="442">
        <f t="shared" si="29"/>
        <v>2</v>
      </c>
      <c r="EH49" s="440">
        <v>4</v>
      </c>
      <c r="EI49" s="435">
        <v>8400</v>
      </c>
      <c r="EJ49" s="440">
        <v>3</v>
      </c>
      <c r="EK49" s="440">
        <v>3</v>
      </c>
      <c r="EL49" s="440">
        <v>2</v>
      </c>
      <c r="EM49" s="440">
        <v>2</v>
      </c>
      <c r="EN49" s="440">
        <v>1</v>
      </c>
      <c r="EO49" s="440">
        <v>1</v>
      </c>
      <c r="EP49" s="442">
        <f t="shared" si="30"/>
        <v>0.5</v>
      </c>
      <c r="EQ49" s="440">
        <v>0</v>
      </c>
      <c r="ER49" s="442">
        <f t="shared" si="31"/>
        <v>-0.5</v>
      </c>
      <c r="ES49" s="441">
        <v>-1</v>
      </c>
      <c r="ET49" s="435">
        <v>8400</v>
      </c>
      <c r="EU49" s="440">
        <v>-22</v>
      </c>
      <c r="EV49" s="440">
        <v>-19</v>
      </c>
      <c r="EW49" s="440">
        <v>-15</v>
      </c>
      <c r="EX49" s="440">
        <v>-11</v>
      </c>
      <c r="EY49" s="440">
        <v>-7</v>
      </c>
      <c r="EZ49" s="440">
        <v>-4</v>
      </c>
      <c r="FA49" s="442">
        <f t="shared" si="32"/>
        <v>-2</v>
      </c>
      <c r="FB49" s="440">
        <v>0</v>
      </c>
      <c r="FC49" s="442">
        <f t="shared" si="33"/>
        <v>2</v>
      </c>
      <c r="FD49" s="440">
        <v>4</v>
      </c>
      <c r="FE49" s="435">
        <v>8400</v>
      </c>
      <c r="FF49" s="440">
        <v>2</v>
      </c>
      <c r="FG49" s="440">
        <v>2</v>
      </c>
      <c r="FH49" s="440">
        <v>1</v>
      </c>
      <c r="FI49" s="440">
        <v>1</v>
      </c>
      <c r="FJ49" s="440">
        <v>1</v>
      </c>
      <c r="FK49" s="440">
        <v>0</v>
      </c>
      <c r="FL49" s="442">
        <f t="shared" si="11"/>
        <v>0</v>
      </c>
      <c r="FM49" s="440">
        <v>0</v>
      </c>
      <c r="FN49" s="442">
        <f t="shared" si="34"/>
        <v>0</v>
      </c>
      <c r="FO49" s="441">
        <v>0</v>
      </c>
      <c r="FP49" s="435">
        <v>8400</v>
      </c>
      <c r="FQ49" s="440">
        <v>-22</v>
      </c>
      <c r="FR49" s="440">
        <v>-18</v>
      </c>
      <c r="FS49" s="440">
        <v>-15</v>
      </c>
      <c r="FT49" s="440">
        <v>-11</v>
      </c>
      <c r="FU49" s="440">
        <v>-7</v>
      </c>
      <c r="FV49" s="440">
        <v>-4</v>
      </c>
      <c r="FW49" s="442">
        <f t="shared" si="12"/>
        <v>-2</v>
      </c>
      <c r="FX49" s="440">
        <v>0</v>
      </c>
      <c r="FY49" s="442">
        <f t="shared" si="35"/>
        <v>2</v>
      </c>
      <c r="FZ49" s="440">
        <v>4</v>
      </c>
      <c r="GA49" s="435">
        <v>8400</v>
      </c>
      <c r="GB49" s="440">
        <v>-35</v>
      </c>
      <c r="GC49" s="440">
        <v>-29</v>
      </c>
      <c r="GD49" s="440">
        <v>-23</v>
      </c>
      <c r="GE49" s="440">
        <v>-17</v>
      </c>
      <c r="GF49" s="440">
        <v>-12</v>
      </c>
      <c r="GG49" s="440">
        <v>-6</v>
      </c>
      <c r="GH49" s="442">
        <f t="shared" si="13"/>
        <v>-3</v>
      </c>
      <c r="GI49" s="440">
        <v>0</v>
      </c>
      <c r="GJ49" s="442">
        <f t="shared" si="36"/>
        <v>3</v>
      </c>
      <c r="GK49" s="441">
        <v>6</v>
      </c>
      <c r="GL49" s="435">
        <v>8400</v>
      </c>
      <c r="GM49" s="440">
        <v>-34</v>
      </c>
      <c r="GN49" s="440">
        <v>-28</v>
      </c>
      <c r="GO49" s="440">
        <v>-23</v>
      </c>
      <c r="GP49" s="440">
        <v>-17</v>
      </c>
      <c r="GQ49" s="440">
        <v>-11</v>
      </c>
      <c r="GR49" s="440">
        <v>-6</v>
      </c>
      <c r="GS49" s="442">
        <f t="shared" si="14"/>
        <v>-3</v>
      </c>
      <c r="GT49" s="440">
        <v>0</v>
      </c>
      <c r="GU49" s="442">
        <f t="shared" si="37"/>
        <v>3</v>
      </c>
      <c r="GV49" s="441">
        <v>6</v>
      </c>
    </row>
    <row r="50" spans="7:204">
      <c r="G50" s="435">
        <v>8300</v>
      </c>
      <c r="H50" s="445">
        <v>34</v>
      </c>
      <c r="I50" s="249">
        <v>28</v>
      </c>
      <c r="J50" s="249">
        <v>24</v>
      </c>
      <c r="K50" s="249">
        <v>17</v>
      </c>
      <c r="L50" s="249">
        <v>11</v>
      </c>
      <c r="M50" s="249">
        <v>6</v>
      </c>
      <c r="N50" s="249">
        <f t="shared" si="15"/>
        <v>3</v>
      </c>
      <c r="O50" s="249">
        <v>0</v>
      </c>
      <c r="P50" s="249">
        <f t="shared" si="16"/>
        <v>-3</v>
      </c>
      <c r="Q50" s="446">
        <v>-6</v>
      </c>
      <c r="R50" s="435">
        <v>8300</v>
      </c>
      <c r="S50" s="248">
        <v>10</v>
      </c>
      <c r="T50" s="248">
        <v>9</v>
      </c>
      <c r="U50" s="248">
        <v>7</v>
      </c>
      <c r="V50" s="248">
        <v>5</v>
      </c>
      <c r="W50" s="248">
        <v>3</v>
      </c>
      <c r="X50" s="248">
        <v>2</v>
      </c>
      <c r="Y50" s="249">
        <f t="shared" si="17"/>
        <v>1</v>
      </c>
      <c r="Z50" s="248">
        <v>0</v>
      </c>
      <c r="AA50" s="439">
        <f t="shared" si="18"/>
        <v>-1</v>
      </c>
      <c r="AB50" s="248">
        <v>-2</v>
      </c>
      <c r="AC50" s="435">
        <v>8300</v>
      </c>
      <c r="AD50" s="440">
        <v>-33</v>
      </c>
      <c r="AE50" s="440">
        <v>-28</v>
      </c>
      <c r="AF50" s="440">
        <v>-22</v>
      </c>
      <c r="AG50" s="440">
        <v>-17</v>
      </c>
      <c r="AH50" s="440">
        <v>-11</v>
      </c>
      <c r="AI50" s="440">
        <v>-6</v>
      </c>
      <c r="AJ50" s="249">
        <f t="shared" si="19"/>
        <v>-3</v>
      </c>
      <c r="AK50" s="248">
        <v>0</v>
      </c>
      <c r="AL50" s="439">
        <f t="shared" si="20"/>
        <v>3</v>
      </c>
      <c r="AM50" s="441">
        <v>6</v>
      </c>
      <c r="AN50" s="435">
        <v>8300</v>
      </c>
      <c r="AO50" s="440">
        <v>-57</v>
      </c>
      <c r="AP50" s="440">
        <v>-48</v>
      </c>
      <c r="AQ50" s="440">
        <v>-38</v>
      </c>
      <c r="AR50" s="440">
        <v>-29</v>
      </c>
      <c r="AS50" s="440">
        <v>-19</v>
      </c>
      <c r="AT50" s="440">
        <v>-10</v>
      </c>
      <c r="AU50" s="442">
        <f t="shared" si="2"/>
        <v>-5</v>
      </c>
      <c r="AV50" s="440">
        <v>0</v>
      </c>
      <c r="AW50" s="442">
        <f t="shared" si="21"/>
        <v>5</v>
      </c>
      <c r="AX50" s="441">
        <v>10</v>
      </c>
      <c r="AY50" s="435">
        <v>8300</v>
      </c>
      <c r="AZ50" s="440">
        <v>4</v>
      </c>
      <c r="BA50" s="440">
        <v>3</v>
      </c>
      <c r="BB50" s="440">
        <v>2</v>
      </c>
      <c r="BC50" s="440">
        <v>2</v>
      </c>
      <c r="BD50" s="440">
        <v>1</v>
      </c>
      <c r="BE50" s="440">
        <v>1</v>
      </c>
      <c r="BF50" s="442">
        <f t="shared" si="3"/>
        <v>0.5</v>
      </c>
      <c r="BG50" s="440">
        <v>0</v>
      </c>
      <c r="BH50" s="442">
        <f t="shared" si="22"/>
        <v>-0.5</v>
      </c>
      <c r="BI50" s="441">
        <v>-1</v>
      </c>
      <c r="BJ50" s="447">
        <v>8300</v>
      </c>
      <c r="BK50" s="440">
        <v>-31</v>
      </c>
      <c r="BL50" s="440">
        <v>-26</v>
      </c>
      <c r="BM50" s="440">
        <v>-21</v>
      </c>
      <c r="BN50" s="440">
        <v>-16</v>
      </c>
      <c r="BO50" s="440">
        <v>-10</v>
      </c>
      <c r="BP50" s="440">
        <v>-5</v>
      </c>
      <c r="BQ50" s="442">
        <f t="shared" si="4"/>
        <v>-2.5</v>
      </c>
      <c r="BR50" s="440">
        <v>0</v>
      </c>
      <c r="BS50" s="442">
        <f t="shared" si="23"/>
        <v>2.5</v>
      </c>
      <c r="BT50" s="440">
        <v>5</v>
      </c>
      <c r="BU50" s="435">
        <v>8300</v>
      </c>
      <c r="BV50" s="440">
        <v>1</v>
      </c>
      <c r="BW50" s="440">
        <v>1</v>
      </c>
      <c r="BX50" s="440">
        <v>1</v>
      </c>
      <c r="BY50" s="440">
        <v>1</v>
      </c>
      <c r="BZ50" s="440">
        <v>0</v>
      </c>
      <c r="CA50" s="440">
        <v>0</v>
      </c>
      <c r="CB50" s="442">
        <f t="shared" si="5"/>
        <v>0</v>
      </c>
      <c r="CC50" s="440">
        <v>0</v>
      </c>
      <c r="CD50" s="442">
        <f t="shared" si="24"/>
        <v>0</v>
      </c>
      <c r="CE50" s="441">
        <v>0</v>
      </c>
      <c r="CF50" s="435">
        <v>8300</v>
      </c>
      <c r="CG50" s="440">
        <v>-23</v>
      </c>
      <c r="CH50" s="440">
        <v>-19</v>
      </c>
      <c r="CI50" s="440">
        <v>-15</v>
      </c>
      <c r="CJ50" s="440">
        <v>-11</v>
      </c>
      <c r="CK50" s="440">
        <v>-8</v>
      </c>
      <c r="CL50" s="440">
        <v>-4</v>
      </c>
      <c r="CM50" s="442">
        <f t="shared" si="6"/>
        <v>-2</v>
      </c>
      <c r="CN50" s="440">
        <v>0</v>
      </c>
      <c r="CO50" s="442">
        <f t="shared" si="25"/>
        <v>2</v>
      </c>
      <c r="CP50" s="441">
        <v>4</v>
      </c>
      <c r="CQ50" s="435">
        <v>8300</v>
      </c>
      <c r="CR50" s="440">
        <v>1</v>
      </c>
      <c r="CS50" s="440">
        <v>1</v>
      </c>
      <c r="CT50" s="440">
        <v>1</v>
      </c>
      <c r="CU50" s="440">
        <v>1</v>
      </c>
      <c r="CV50" s="440">
        <v>0</v>
      </c>
      <c r="CW50" s="440">
        <v>0</v>
      </c>
      <c r="CX50" s="442">
        <f t="shared" si="7"/>
        <v>0</v>
      </c>
      <c r="CY50" s="440">
        <v>0</v>
      </c>
      <c r="CZ50" s="442">
        <f t="shared" si="26"/>
        <v>0</v>
      </c>
      <c r="DA50" s="441">
        <v>0</v>
      </c>
      <c r="DB50" s="435">
        <v>8300</v>
      </c>
      <c r="DC50" s="440">
        <v>-21</v>
      </c>
      <c r="DD50" s="440">
        <v>-17</v>
      </c>
      <c r="DE50" s="440">
        <v>-14</v>
      </c>
      <c r="DF50" s="440">
        <v>-10</v>
      </c>
      <c r="DG50" s="440">
        <v>-7</v>
      </c>
      <c r="DH50" s="440">
        <v>-3</v>
      </c>
      <c r="DI50" s="442">
        <f t="shared" si="8"/>
        <v>-1.5</v>
      </c>
      <c r="DJ50" s="440">
        <v>0</v>
      </c>
      <c r="DK50" s="442">
        <f t="shared" si="27"/>
        <v>1.5</v>
      </c>
      <c r="DL50" s="441">
        <v>3</v>
      </c>
      <c r="DM50" s="435">
        <v>8300</v>
      </c>
      <c r="DN50" s="440">
        <v>1</v>
      </c>
      <c r="DO50" s="440">
        <v>1</v>
      </c>
      <c r="DP50" s="440">
        <v>1</v>
      </c>
      <c r="DQ50" s="440">
        <v>1</v>
      </c>
      <c r="DR50" s="440">
        <v>0</v>
      </c>
      <c r="DS50" s="440">
        <v>0</v>
      </c>
      <c r="DT50" s="442">
        <f t="shared" si="9"/>
        <v>0</v>
      </c>
      <c r="DU50" s="440">
        <v>0</v>
      </c>
      <c r="DV50" s="442">
        <f t="shared" si="28"/>
        <v>0</v>
      </c>
      <c r="DW50" s="441">
        <v>0</v>
      </c>
      <c r="DX50" s="435">
        <v>8300</v>
      </c>
      <c r="DY50" s="440">
        <v>-24</v>
      </c>
      <c r="DZ50" s="440">
        <v>-20</v>
      </c>
      <c r="EA50" s="440">
        <v>-16</v>
      </c>
      <c r="EB50" s="440">
        <v>-12</v>
      </c>
      <c r="EC50" s="440">
        <v>-8</v>
      </c>
      <c r="ED50" s="440">
        <v>-4</v>
      </c>
      <c r="EE50" s="442">
        <f t="shared" si="10"/>
        <v>-2</v>
      </c>
      <c r="EF50" s="440">
        <v>0</v>
      </c>
      <c r="EG50" s="442">
        <f t="shared" si="29"/>
        <v>2</v>
      </c>
      <c r="EH50" s="440">
        <v>4</v>
      </c>
      <c r="EI50" s="435">
        <v>8300</v>
      </c>
      <c r="EJ50" s="440">
        <v>3</v>
      </c>
      <c r="EK50" s="440">
        <v>3</v>
      </c>
      <c r="EL50" s="440">
        <v>2</v>
      </c>
      <c r="EM50" s="440">
        <v>2</v>
      </c>
      <c r="EN50" s="440">
        <v>1</v>
      </c>
      <c r="EO50" s="440">
        <v>1</v>
      </c>
      <c r="EP50" s="442">
        <f t="shared" si="30"/>
        <v>0.5</v>
      </c>
      <c r="EQ50" s="440">
        <v>0</v>
      </c>
      <c r="ER50" s="442">
        <f t="shared" si="31"/>
        <v>-0.5</v>
      </c>
      <c r="ES50" s="441">
        <v>-1</v>
      </c>
      <c r="ET50" s="435">
        <v>8300</v>
      </c>
      <c r="EU50" s="440">
        <v>-22</v>
      </c>
      <c r="EV50" s="440">
        <v>-19</v>
      </c>
      <c r="EW50" s="440">
        <v>-15</v>
      </c>
      <c r="EX50" s="440">
        <v>-11</v>
      </c>
      <c r="EY50" s="440">
        <v>-7</v>
      </c>
      <c r="EZ50" s="440">
        <v>-4</v>
      </c>
      <c r="FA50" s="442">
        <f t="shared" si="32"/>
        <v>-2</v>
      </c>
      <c r="FB50" s="440">
        <v>0</v>
      </c>
      <c r="FC50" s="442">
        <f t="shared" si="33"/>
        <v>2</v>
      </c>
      <c r="FD50" s="440">
        <v>4</v>
      </c>
      <c r="FE50" s="435">
        <v>8300</v>
      </c>
      <c r="FF50" s="440">
        <v>2</v>
      </c>
      <c r="FG50" s="440">
        <v>2</v>
      </c>
      <c r="FH50" s="440">
        <v>1</v>
      </c>
      <c r="FI50" s="440">
        <v>1</v>
      </c>
      <c r="FJ50" s="440">
        <v>1</v>
      </c>
      <c r="FK50" s="440">
        <v>0</v>
      </c>
      <c r="FL50" s="442">
        <f t="shared" si="11"/>
        <v>0</v>
      </c>
      <c r="FM50" s="440">
        <v>0</v>
      </c>
      <c r="FN50" s="442">
        <f t="shared" si="34"/>
        <v>0</v>
      </c>
      <c r="FO50" s="441">
        <v>0</v>
      </c>
      <c r="FP50" s="435">
        <v>8300</v>
      </c>
      <c r="FQ50" s="440">
        <v>-22</v>
      </c>
      <c r="FR50" s="440">
        <v>-18</v>
      </c>
      <c r="FS50" s="440">
        <v>-15</v>
      </c>
      <c r="FT50" s="440">
        <v>-11</v>
      </c>
      <c r="FU50" s="440">
        <v>-7</v>
      </c>
      <c r="FV50" s="440">
        <v>-4</v>
      </c>
      <c r="FW50" s="442">
        <f t="shared" si="12"/>
        <v>-2</v>
      </c>
      <c r="FX50" s="440">
        <v>0</v>
      </c>
      <c r="FY50" s="442">
        <f t="shared" si="35"/>
        <v>2</v>
      </c>
      <c r="FZ50" s="440">
        <v>4</v>
      </c>
      <c r="GA50" s="435">
        <v>8300</v>
      </c>
      <c r="GB50" s="440">
        <v>-35</v>
      </c>
      <c r="GC50" s="440">
        <v>-29</v>
      </c>
      <c r="GD50" s="440">
        <v>-23</v>
      </c>
      <c r="GE50" s="440">
        <v>-17</v>
      </c>
      <c r="GF50" s="440">
        <v>-12</v>
      </c>
      <c r="GG50" s="440">
        <v>-6</v>
      </c>
      <c r="GH50" s="442">
        <f t="shared" si="13"/>
        <v>-3</v>
      </c>
      <c r="GI50" s="440">
        <v>0</v>
      </c>
      <c r="GJ50" s="442">
        <f t="shared" si="36"/>
        <v>3</v>
      </c>
      <c r="GK50" s="441">
        <v>6</v>
      </c>
      <c r="GL50" s="435">
        <v>8300</v>
      </c>
      <c r="GM50" s="440">
        <v>-34</v>
      </c>
      <c r="GN50" s="440">
        <v>-28</v>
      </c>
      <c r="GO50" s="440">
        <v>-23</v>
      </c>
      <c r="GP50" s="440">
        <v>-17</v>
      </c>
      <c r="GQ50" s="440">
        <v>-11</v>
      </c>
      <c r="GR50" s="440">
        <v>-6</v>
      </c>
      <c r="GS50" s="442">
        <f t="shared" si="14"/>
        <v>-3</v>
      </c>
      <c r="GT50" s="440">
        <v>0</v>
      </c>
      <c r="GU50" s="442">
        <f t="shared" si="37"/>
        <v>3</v>
      </c>
      <c r="GV50" s="441">
        <v>6</v>
      </c>
    </row>
    <row r="51" spans="7:204">
      <c r="G51" s="435">
        <v>8200</v>
      </c>
      <c r="H51" s="445">
        <v>34</v>
      </c>
      <c r="I51" s="249">
        <v>28</v>
      </c>
      <c r="J51" s="249">
        <v>24</v>
      </c>
      <c r="K51" s="249">
        <v>17</v>
      </c>
      <c r="L51" s="249">
        <v>11</v>
      </c>
      <c r="M51" s="249">
        <v>6</v>
      </c>
      <c r="N51" s="249">
        <f t="shared" si="15"/>
        <v>3</v>
      </c>
      <c r="O51" s="249">
        <v>0</v>
      </c>
      <c r="P51" s="249">
        <f t="shared" si="16"/>
        <v>-3</v>
      </c>
      <c r="Q51" s="446">
        <v>-6</v>
      </c>
      <c r="R51" s="435">
        <v>8200</v>
      </c>
      <c r="S51" s="248">
        <v>10</v>
      </c>
      <c r="T51" s="248">
        <v>9</v>
      </c>
      <c r="U51" s="248">
        <v>7</v>
      </c>
      <c r="V51" s="248">
        <v>5</v>
      </c>
      <c r="W51" s="248">
        <v>3</v>
      </c>
      <c r="X51" s="248">
        <v>2</v>
      </c>
      <c r="Y51" s="249">
        <f t="shared" si="17"/>
        <v>1</v>
      </c>
      <c r="Z51" s="248">
        <v>0</v>
      </c>
      <c r="AA51" s="439">
        <f t="shared" si="18"/>
        <v>-1</v>
      </c>
      <c r="AB51" s="248">
        <v>-2</v>
      </c>
      <c r="AC51" s="435">
        <v>8200</v>
      </c>
      <c r="AD51" s="440">
        <v>-33</v>
      </c>
      <c r="AE51" s="440">
        <v>-28</v>
      </c>
      <c r="AF51" s="440">
        <v>-22</v>
      </c>
      <c r="AG51" s="440">
        <v>-17</v>
      </c>
      <c r="AH51" s="440">
        <v>-11</v>
      </c>
      <c r="AI51" s="440">
        <v>-6</v>
      </c>
      <c r="AJ51" s="249">
        <f t="shared" si="19"/>
        <v>-3</v>
      </c>
      <c r="AK51" s="248">
        <v>0</v>
      </c>
      <c r="AL51" s="439">
        <f t="shared" si="20"/>
        <v>3</v>
      </c>
      <c r="AM51" s="441">
        <v>6</v>
      </c>
      <c r="AN51" s="435">
        <v>8200</v>
      </c>
      <c r="AO51" s="440">
        <v>-57</v>
      </c>
      <c r="AP51" s="440">
        <v>-48</v>
      </c>
      <c r="AQ51" s="440">
        <v>-38</v>
      </c>
      <c r="AR51" s="440">
        <v>-29</v>
      </c>
      <c r="AS51" s="440">
        <v>-19</v>
      </c>
      <c r="AT51" s="440">
        <v>-10</v>
      </c>
      <c r="AU51" s="442">
        <f t="shared" si="2"/>
        <v>-5</v>
      </c>
      <c r="AV51" s="440">
        <v>0</v>
      </c>
      <c r="AW51" s="442">
        <f t="shared" si="21"/>
        <v>5</v>
      </c>
      <c r="AX51" s="441">
        <v>10</v>
      </c>
      <c r="AY51" s="435">
        <v>8200</v>
      </c>
      <c r="AZ51" s="440">
        <v>4</v>
      </c>
      <c r="BA51" s="440">
        <v>3</v>
      </c>
      <c r="BB51" s="440">
        <v>2</v>
      </c>
      <c r="BC51" s="440">
        <v>2</v>
      </c>
      <c r="BD51" s="440">
        <v>1</v>
      </c>
      <c r="BE51" s="440">
        <v>1</v>
      </c>
      <c r="BF51" s="442">
        <f t="shared" si="3"/>
        <v>0.5</v>
      </c>
      <c r="BG51" s="440">
        <v>0</v>
      </c>
      <c r="BH51" s="442">
        <f t="shared" si="22"/>
        <v>-0.5</v>
      </c>
      <c r="BI51" s="441">
        <v>-1</v>
      </c>
      <c r="BJ51" s="447">
        <v>8200</v>
      </c>
      <c r="BK51" s="440">
        <v>-31</v>
      </c>
      <c r="BL51" s="440">
        <v>-26</v>
      </c>
      <c r="BM51" s="440">
        <v>-21</v>
      </c>
      <c r="BN51" s="440">
        <v>-16</v>
      </c>
      <c r="BO51" s="440">
        <v>-10</v>
      </c>
      <c r="BP51" s="440">
        <v>-5</v>
      </c>
      <c r="BQ51" s="442">
        <f t="shared" si="4"/>
        <v>-2.5</v>
      </c>
      <c r="BR51" s="440">
        <v>0</v>
      </c>
      <c r="BS51" s="442">
        <f t="shared" si="23"/>
        <v>2.5</v>
      </c>
      <c r="BT51" s="440">
        <v>5</v>
      </c>
      <c r="BU51" s="435">
        <v>8200</v>
      </c>
      <c r="BV51" s="440">
        <v>1</v>
      </c>
      <c r="BW51" s="440">
        <v>1</v>
      </c>
      <c r="BX51" s="440">
        <v>1</v>
      </c>
      <c r="BY51" s="440">
        <v>1</v>
      </c>
      <c r="BZ51" s="440">
        <v>0</v>
      </c>
      <c r="CA51" s="440">
        <v>0</v>
      </c>
      <c r="CB51" s="442">
        <f t="shared" si="5"/>
        <v>0</v>
      </c>
      <c r="CC51" s="440">
        <v>0</v>
      </c>
      <c r="CD51" s="442">
        <f t="shared" si="24"/>
        <v>0</v>
      </c>
      <c r="CE51" s="441">
        <v>0</v>
      </c>
      <c r="CF51" s="435">
        <v>8200</v>
      </c>
      <c r="CG51" s="440">
        <v>-23</v>
      </c>
      <c r="CH51" s="440">
        <v>-19</v>
      </c>
      <c r="CI51" s="440">
        <v>-15</v>
      </c>
      <c r="CJ51" s="440">
        <v>-11</v>
      </c>
      <c r="CK51" s="440">
        <v>-8</v>
      </c>
      <c r="CL51" s="440">
        <v>-4</v>
      </c>
      <c r="CM51" s="442">
        <f t="shared" si="6"/>
        <v>-2</v>
      </c>
      <c r="CN51" s="440">
        <v>0</v>
      </c>
      <c r="CO51" s="442">
        <f t="shared" si="25"/>
        <v>2</v>
      </c>
      <c r="CP51" s="441">
        <v>4</v>
      </c>
      <c r="CQ51" s="435">
        <v>8200</v>
      </c>
      <c r="CR51" s="440">
        <v>1</v>
      </c>
      <c r="CS51" s="440">
        <v>1</v>
      </c>
      <c r="CT51" s="440">
        <v>1</v>
      </c>
      <c r="CU51" s="440">
        <v>1</v>
      </c>
      <c r="CV51" s="440">
        <v>0</v>
      </c>
      <c r="CW51" s="440">
        <v>0</v>
      </c>
      <c r="CX51" s="442">
        <f t="shared" si="7"/>
        <v>0</v>
      </c>
      <c r="CY51" s="440">
        <v>0</v>
      </c>
      <c r="CZ51" s="442">
        <f t="shared" si="26"/>
        <v>0</v>
      </c>
      <c r="DA51" s="441">
        <v>0</v>
      </c>
      <c r="DB51" s="435">
        <v>8200</v>
      </c>
      <c r="DC51" s="440">
        <v>-21</v>
      </c>
      <c r="DD51" s="440">
        <v>-17</v>
      </c>
      <c r="DE51" s="440">
        <v>-14</v>
      </c>
      <c r="DF51" s="440">
        <v>-10</v>
      </c>
      <c r="DG51" s="440">
        <v>-7</v>
      </c>
      <c r="DH51" s="440">
        <v>-3</v>
      </c>
      <c r="DI51" s="442">
        <f t="shared" si="8"/>
        <v>-1.5</v>
      </c>
      <c r="DJ51" s="440">
        <v>0</v>
      </c>
      <c r="DK51" s="442">
        <f t="shared" si="27"/>
        <v>1.5</v>
      </c>
      <c r="DL51" s="441">
        <v>3</v>
      </c>
      <c r="DM51" s="435">
        <v>8200</v>
      </c>
      <c r="DN51" s="440">
        <v>1</v>
      </c>
      <c r="DO51" s="440">
        <v>1</v>
      </c>
      <c r="DP51" s="440">
        <v>1</v>
      </c>
      <c r="DQ51" s="440">
        <v>1</v>
      </c>
      <c r="DR51" s="440">
        <v>0</v>
      </c>
      <c r="DS51" s="440">
        <v>0</v>
      </c>
      <c r="DT51" s="442">
        <f t="shared" si="9"/>
        <v>0</v>
      </c>
      <c r="DU51" s="440">
        <v>0</v>
      </c>
      <c r="DV51" s="442">
        <f t="shared" si="28"/>
        <v>0</v>
      </c>
      <c r="DW51" s="441">
        <v>0</v>
      </c>
      <c r="DX51" s="435">
        <v>8200</v>
      </c>
      <c r="DY51" s="440">
        <v>-24</v>
      </c>
      <c r="DZ51" s="440">
        <v>-20</v>
      </c>
      <c r="EA51" s="440">
        <v>-16</v>
      </c>
      <c r="EB51" s="440">
        <v>-12</v>
      </c>
      <c r="EC51" s="440">
        <v>-8</v>
      </c>
      <c r="ED51" s="440">
        <v>-4</v>
      </c>
      <c r="EE51" s="442">
        <f t="shared" si="10"/>
        <v>-2</v>
      </c>
      <c r="EF51" s="440">
        <v>0</v>
      </c>
      <c r="EG51" s="442">
        <f t="shared" si="29"/>
        <v>2</v>
      </c>
      <c r="EH51" s="440">
        <v>4</v>
      </c>
      <c r="EI51" s="435">
        <v>8200</v>
      </c>
      <c r="EJ51" s="440">
        <v>3</v>
      </c>
      <c r="EK51" s="440">
        <v>3</v>
      </c>
      <c r="EL51" s="440">
        <v>2</v>
      </c>
      <c r="EM51" s="440">
        <v>2</v>
      </c>
      <c r="EN51" s="440">
        <v>1</v>
      </c>
      <c r="EO51" s="440">
        <v>1</v>
      </c>
      <c r="EP51" s="442">
        <f t="shared" si="30"/>
        <v>0.5</v>
      </c>
      <c r="EQ51" s="440">
        <v>0</v>
      </c>
      <c r="ER51" s="442">
        <f t="shared" si="31"/>
        <v>-0.5</v>
      </c>
      <c r="ES51" s="441">
        <v>-1</v>
      </c>
      <c r="ET51" s="435">
        <v>8200</v>
      </c>
      <c r="EU51" s="440">
        <v>-22</v>
      </c>
      <c r="EV51" s="440">
        <v>-19</v>
      </c>
      <c r="EW51" s="440">
        <v>-15</v>
      </c>
      <c r="EX51" s="440">
        <v>-11</v>
      </c>
      <c r="EY51" s="440">
        <v>-7</v>
      </c>
      <c r="EZ51" s="440">
        <v>-4</v>
      </c>
      <c r="FA51" s="442">
        <f t="shared" si="32"/>
        <v>-2</v>
      </c>
      <c r="FB51" s="440">
        <v>0</v>
      </c>
      <c r="FC51" s="442">
        <f t="shared" si="33"/>
        <v>2</v>
      </c>
      <c r="FD51" s="440">
        <v>4</v>
      </c>
      <c r="FE51" s="435">
        <v>8200</v>
      </c>
      <c r="FF51" s="440">
        <v>2</v>
      </c>
      <c r="FG51" s="440">
        <v>2</v>
      </c>
      <c r="FH51" s="440">
        <v>1</v>
      </c>
      <c r="FI51" s="440">
        <v>1</v>
      </c>
      <c r="FJ51" s="440">
        <v>1</v>
      </c>
      <c r="FK51" s="440">
        <v>0</v>
      </c>
      <c r="FL51" s="442">
        <f t="shared" si="11"/>
        <v>0</v>
      </c>
      <c r="FM51" s="440">
        <v>0</v>
      </c>
      <c r="FN51" s="442">
        <f t="shared" si="34"/>
        <v>0</v>
      </c>
      <c r="FO51" s="441">
        <v>0</v>
      </c>
      <c r="FP51" s="435">
        <v>8200</v>
      </c>
      <c r="FQ51" s="440">
        <v>-22</v>
      </c>
      <c r="FR51" s="440">
        <v>-18</v>
      </c>
      <c r="FS51" s="440">
        <v>-15</v>
      </c>
      <c r="FT51" s="440">
        <v>-11</v>
      </c>
      <c r="FU51" s="440">
        <v>-7</v>
      </c>
      <c r="FV51" s="440">
        <v>-4</v>
      </c>
      <c r="FW51" s="442">
        <f t="shared" si="12"/>
        <v>-2</v>
      </c>
      <c r="FX51" s="440">
        <v>0</v>
      </c>
      <c r="FY51" s="442">
        <f t="shared" si="35"/>
        <v>2</v>
      </c>
      <c r="FZ51" s="440">
        <v>4</v>
      </c>
      <c r="GA51" s="435">
        <v>8200</v>
      </c>
      <c r="GB51" s="440">
        <v>-35</v>
      </c>
      <c r="GC51" s="440">
        <v>-29</v>
      </c>
      <c r="GD51" s="440">
        <v>-23</v>
      </c>
      <c r="GE51" s="440">
        <v>-17</v>
      </c>
      <c r="GF51" s="440">
        <v>-12</v>
      </c>
      <c r="GG51" s="440">
        <v>-6</v>
      </c>
      <c r="GH51" s="442">
        <f t="shared" si="13"/>
        <v>-3</v>
      </c>
      <c r="GI51" s="440">
        <v>0</v>
      </c>
      <c r="GJ51" s="442">
        <f t="shared" si="36"/>
        <v>3</v>
      </c>
      <c r="GK51" s="441">
        <v>6</v>
      </c>
      <c r="GL51" s="435">
        <v>8200</v>
      </c>
      <c r="GM51" s="440">
        <v>-34</v>
      </c>
      <c r="GN51" s="440">
        <v>-28</v>
      </c>
      <c r="GO51" s="440">
        <v>-23</v>
      </c>
      <c r="GP51" s="440">
        <v>-17</v>
      </c>
      <c r="GQ51" s="440">
        <v>-11</v>
      </c>
      <c r="GR51" s="440">
        <v>-6</v>
      </c>
      <c r="GS51" s="442">
        <f t="shared" si="14"/>
        <v>-3</v>
      </c>
      <c r="GT51" s="440">
        <v>0</v>
      </c>
      <c r="GU51" s="442">
        <f t="shared" si="37"/>
        <v>3</v>
      </c>
      <c r="GV51" s="441">
        <v>6</v>
      </c>
    </row>
    <row r="52" spans="7:204">
      <c r="G52" s="435">
        <v>8100</v>
      </c>
      <c r="H52" s="445">
        <v>34</v>
      </c>
      <c r="I52" s="249">
        <v>28</v>
      </c>
      <c r="J52" s="249">
        <v>24</v>
      </c>
      <c r="K52" s="249">
        <v>17</v>
      </c>
      <c r="L52" s="249">
        <v>11</v>
      </c>
      <c r="M52" s="249">
        <v>6</v>
      </c>
      <c r="N52" s="249">
        <f t="shared" si="15"/>
        <v>3</v>
      </c>
      <c r="O52" s="249">
        <v>0</v>
      </c>
      <c r="P52" s="249">
        <f t="shared" si="16"/>
        <v>-3</v>
      </c>
      <c r="Q52" s="446">
        <v>-6</v>
      </c>
      <c r="R52" s="435">
        <v>8100</v>
      </c>
      <c r="S52" s="248">
        <v>10</v>
      </c>
      <c r="T52" s="248">
        <v>9</v>
      </c>
      <c r="U52" s="248">
        <v>7</v>
      </c>
      <c r="V52" s="248">
        <v>5</v>
      </c>
      <c r="W52" s="248">
        <v>3</v>
      </c>
      <c r="X52" s="248">
        <v>2</v>
      </c>
      <c r="Y52" s="249">
        <f t="shared" si="17"/>
        <v>1</v>
      </c>
      <c r="Z52" s="248">
        <v>0</v>
      </c>
      <c r="AA52" s="439">
        <f t="shared" si="18"/>
        <v>-1</v>
      </c>
      <c r="AB52" s="248">
        <v>-2</v>
      </c>
      <c r="AC52" s="435">
        <v>8100</v>
      </c>
      <c r="AD52" s="440">
        <v>-33</v>
      </c>
      <c r="AE52" s="440">
        <v>-28</v>
      </c>
      <c r="AF52" s="440">
        <v>-22</v>
      </c>
      <c r="AG52" s="440">
        <v>-17</v>
      </c>
      <c r="AH52" s="440">
        <v>-11</v>
      </c>
      <c r="AI52" s="440">
        <v>-6</v>
      </c>
      <c r="AJ52" s="249">
        <f t="shared" si="19"/>
        <v>-3</v>
      </c>
      <c r="AK52" s="248">
        <v>0</v>
      </c>
      <c r="AL52" s="439">
        <f t="shared" si="20"/>
        <v>3</v>
      </c>
      <c r="AM52" s="441">
        <v>6</v>
      </c>
      <c r="AN52" s="435">
        <v>8100</v>
      </c>
      <c r="AO52" s="440">
        <v>-57</v>
      </c>
      <c r="AP52" s="440">
        <v>-48</v>
      </c>
      <c r="AQ52" s="440">
        <v>-38</v>
      </c>
      <c r="AR52" s="440">
        <v>-29</v>
      </c>
      <c r="AS52" s="440">
        <v>-19</v>
      </c>
      <c r="AT52" s="440">
        <v>-10</v>
      </c>
      <c r="AU52" s="442">
        <f t="shared" si="2"/>
        <v>-5</v>
      </c>
      <c r="AV52" s="440">
        <v>0</v>
      </c>
      <c r="AW52" s="442">
        <f t="shared" si="21"/>
        <v>5</v>
      </c>
      <c r="AX52" s="441">
        <v>10</v>
      </c>
      <c r="AY52" s="435">
        <v>8100</v>
      </c>
      <c r="AZ52" s="440">
        <v>4</v>
      </c>
      <c r="BA52" s="440">
        <v>3</v>
      </c>
      <c r="BB52" s="440">
        <v>2</v>
      </c>
      <c r="BC52" s="440">
        <v>2</v>
      </c>
      <c r="BD52" s="440">
        <v>1</v>
      </c>
      <c r="BE52" s="440">
        <v>1</v>
      </c>
      <c r="BF52" s="442">
        <f t="shared" si="3"/>
        <v>0.5</v>
      </c>
      <c r="BG52" s="440">
        <v>0</v>
      </c>
      <c r="BH52" s="442">
        <f t="shared" si="22"/>
        <v>-0.5</v>
      </c>
      <c r="BI52" s="441">
        <v>-1</v>
      </c>
      <c r="BJ52" s="447">
        <v>8100</v>
      </c>
      <c r="BK52" s="440">
        <v>-31</v>
      </c>
      <c r="BL52" s="440">
        <v>-26</v>
      </c>
      <c r="BM52" s="440">
        <v>-21</v>
      </c>
      <c r="BN52" s="440">
        <v>-16</v>
      </c>
      <c r="BO52" s="440">
        <v>-10</v>
      </c>
      <c r="BP52" s="440">
        <v>-5</v>
      </c>
      <c r="BQ52" s="442">
        <f t="shared" si="4"/>
        <v>-2.5</v>
      </c>
      <c r="BR52" s="440">
        <v>0</v>
      </c>
      <c r="BS52" s="442">
        <f t="shared" si="23"/>
        <v>2.5</v>
      </c>
      <c r="BT52" s="440">
        <v>5</v>
      </c>
      <c r="BU52" s="435">
        <v>8100</v>
      </c>
      <c r="BV52" s="440">
        <v>1</v>
      </c>
      <c r="BW52" s="440">
        <v>1</v>
      </c>
      <c r="BX52" s="440">
        <v>1</v>
      </c>
      <c r="BY52" s="440">
        <v>1</v>
      </c>
      <c r="BZ52" s="440">
        <v>0</v>
      </c>
      <c r="CA52" s="440">
        <v>0</v>
      </c>
      <c r="CB52" s="442">
        <f t="shared" si="5"/>
        <v>0</v>
      </c>
      <c r="CC52" s="440">
        <v>0</v>
      </c>
      <c r="CD52" s="442">
        <f t="shared" si="24"/>
        <v>0</v>
      </c>
      <c r="CE52" s="441">
        <v>0</v>
      </c>
      <c r="CF52" s="435">
        <v>8100</v>
      </c>
      <c r="CG52" s="440">
        <v>-23</v>
      </c>
      <c r="CH52" s="440">
        <v>-19</v>
      </c>
      <c r="CI52" s="440">
        <v>-15</v>
      </c>
      <c r="CJ52" s="440">
        <v>-11</v>
      </c>
      <c r="CK52" s="440">
        <v>-8</v>
      </c>
      <c r="CL52" s="440">
        <v>-4</v>
      </c>
      <c r="CM52" s="442">
        <f t="shared" si="6"/>
        <v>-2</v>
      </c>
      <c r="CN52" s="440">
        <v>0</v>
      </c>
      <c r="CO52" s="442">
        <f t="shared" si="25"/>
        <v>2</v>
      </c>
      <c r="CP52" s="441">
        <v>4</v>
      </c>
      <c r="CQ52" s="435">
        <v>8100</v>
      </c>
      <c r="CR52" s="440">
        <v>1</v>
      </c>
      <c r="CS52" s="440">
        <v>1</v>
      </c>
      <c r="CT52" s="440">
        <v>1</v>
      </c>
      <c r="CU52" s="440">
        <v>1</v>
      </c>
      <c r="CV52" s="440">
        <v>0</v>
      </c>
      <c r="CW52" s="440">
        <v>0</v>
      </c>
      <c r="CX52" s="442">
        <f t="shared" si="7"/>
        <v>0</v>
      </c>
      <c r="CY52" s="440">
        <v>0</v>
      </c>
      <c r="CZ52" s="442">
        <f t="shared" si="26"/>
        <v>0</v>
      </c>
      <c r="DA52" s="441">
        <v>0</v>
      </c>
      <c r="DB52" s="435">
        <v>8100</v>
      </c>
      <c r="DC52" s="440">
        <v>-21</v>
      </c>
      <c r="DD52" s="440">
        <v>-17</v>
      </c>
      <c r="DE52" s="440">
        <v>-14</v>
      </c>
      <c r="DF52" s="440">
        <v>-10</v>
      </c>
      <c r="DG52" s="440">
        <v>-7</v>
      </c>
      <c r="DH52" s="440">
        <v>-3</v>
      </c>
      <c r="DI52" s="442">
        <f t="shared" si="8"/>
        <v>-1.5</v>
      </c>
      <c r="DJ52" s="440">
        <v>0</v>
      </c>
      <c r="DK52" s="442">
        <f t="shared" si="27"/>
        <v>1.5</v>
      </c>
      <c r="DL52" s="441">
        <v>3</v>
      </c>
      <c r="DM52" s="435">
        <v>8100</v>
      </c>
      <c r="DN52" s="440">
        <v>1</v>
      </c>
      <c r="DO52" s="440">
        <v>1</v>
      </c>
      <c r="DP52" s="440">
        <v>1</v>
      </c>
      <c r="DQ52" s="440">
        <v>1</v>
      </c>
      <c r="DR52" s="440">
        <v>0</v>
      </c>
      <c r="DS52" s="440">
        <v>0</v>
      </c>
      <c r="DT52" s="442">
        <f t="shared" si="9"/>
        <v>0</v>
      </c>
      <c r="DU52" s="440">
        <v>0</v>
      </c>
      <c r="DV52" s="442">
        <f t="shared" si="28"/>
        <v>0</v>
      </c>
      <c r="DW52" s="441">
        <v>0</v>
      </c>
      <c r="DX52" s="435">
        <v>8100</v>
      </c>
      <c r="DY52" s="440">
        <v>-24</v>
      </c>
      <c r="DZ52" s="440">
        <v>-20</v>
      </c>
      <c r="EA52" s="440">
        <v>-16</v>
      </c>
      <c r="EB52" s="440">
        <v>-12</v>
      </c>
      <c r="EC52" s="440">
        <v>-8</v>
      </c>
      <c r="ED52" s="440">
        <v>-4</v>
      </c>
      <c r="EE52" s="442">
        <f t="shared" si="10"/>
        <v>-2</v>
      </c>
      <c r="EF52" s="440">
        <v>0</v>
      </c>
      <c r="EG52" s="442">
        <f t="shared" si="29"/>
        <v>2</v>
      </c>
      <c r="EH52" s="440">
        <v>4</v>
      </c>
      <c r="EI52" s="435">
        <v>8100</v>
      </c>
      <c r="EJ52" s="440">
        <v>3</v>
      </c>
      <c r="EK52" s="440">
        <v>3</v>
      </c>
      <c r="EL52" s="440">
        <v>2</v>
      </c>
      <c r="EM52" s="440">
        <v>2</v>
      </c>
      <c r="EN52" s="440">
        <v>1</v>
      </c>
      <c r="EO52" s="440">
        <v>1</v>
      </c>
      <c r="EP52" s="442">
        <f t="shared" si="30"/>
        <v>0.5</v>
      </c>
      <c r="EQ52" s="440">
        <v>0</v>
      </c>
      <c r="ER52" s="442">
        <f t="shared" si="31"/>
        <v>-0.5</v>
      </c>
      <c r="ES52" s="441">
        <v>-1</v>
      </c>
      <c r="ET52" s="435">
        <v>8100</v>
      </c>
      <c r="EU52" s="440">
        <v>-22</v>
      </c>
      <c r="EV52" s="440">
        <v>-19</v>
      </c>
      <c r="EW52" s="440">
        <v>-15</v>
      </c>
      <c r="EX52" s="440">
        <v>-11</v>
      </c>
      <c r="EY52" s="440">
        <v>-7</v>
      </c>
      <c r="EZ52" s="440">
        <v>-4</v>
      </c>
      <c r="FA52" s="442">
        <f t="shared" si="32"/>
        <v>-2</v>
      </c>
      <c r="FB52" s="440">
        <v>0</v>
      </c>
      <c r="FC52" s="442">
        <f t="shared" si="33"/>
        <v>2</v>
      </c>
      <c r="FD52" s="440">
        <v>4</v>
      </c>
      <c r="FE52" s="435">
        <v>8100</v>
      </c>
      <c r="FF52" s="440">
        <v>2</v>
      </c>
      <c r="FG52" s="440">
        <v>2</v>
      </c>
      <c r="FH52" s="440">
        <v>1</v>
      </c>
      <c r="FI52" s="440">
        <v>1</v>
      </c>
      <c r="FJ52" s="440">
        <v>1</v>
      </c>
      <c r="FK52" s="440">
        <v>0</v>
      </c>
      <c r="FL52" s="442">
        <f t="shared" si="11"/>
        <v>0</v>
      </c>
      <c r="FM52" s="440">
        <v>0</v>
      </c>
      <c r="FN52" s="442">
        <f t="shared" si="34"/>
        <v>0</v>
      </c>
      <c r="FO52" s="441">
        <v>0</v>
      </c>
      <c r="FP52" s="435">
        <v>8100</v>
      </c>
      <c r="FQ52" s="440">
        <v>-22</v>
      </c>
      <c r="FR52" s="440">
        <v>-18</v>
      </c>
      <c r="FS52" s="440">
        <v>-15</v>
      </c>
      <c r="FT52" s="440">
        <v>-11</v>
      </c>
      <c r="FU52" s="440">
        <v>-7</v>
      </c>
      <c r="FV52" s="440">
        <v>-4</v>
      </c>
      <c r="FW52" s="442">
        <f t="shared" si="12"/>
        <v>-2</v>
      </c>
      <c r="FX52" s="440">
        <v>0</v>
      </c>
      <c r="FY52" s="442">
        <f t="shared" si="35"/>
        <v>2</v>
      </c>
      <c r="FZ52" s="440">
        <v>4</v>
      </c>
      <c r="GA52" s="435">
        <v>8100</v>
      </c>
      <c r="GB52" s="440">
        <v>-35</v>
      </c>
      <c r="GC52" s="440">
        <v>-29</v>
      </c>
      <c r="GD52" s="440">
        <v>-23</v>
      </c>
      <c r="GE52" s="440">
        <v>-17</v>
      </c>
      <c r="GF52" s="440">
        <v>-12</v>
      </c>
      <c r="GG52" s="440">
        <v>-6</v>
      </c>
      <c r="GH52" s="442">
        <f t="shared" si="13"/>
        <v>-3</v>
      </c>
      <c r="GI52" s="440">
        <v>0</v>
      </c>
      <c r="GJ52" s="442">
        <f t="shared" si="36"/>
        <v>3</v>
      </c>
      <c r="GK52" s="441">
        <v>6</v>
      </c>
      <c r="GL52" s="435">
        <v>8100</v>
      </c>
      <c r="GM52" s="440">
        <v>-34</v>
      </c>
      <c r="GN52" s="440">
        <v>-28</v>
      </c>
      <c r="GO52" s="440">
        <v>-23</v>
      </c>
      <c r="GP52" s="440">
        <v>-17</v>
      </c>
      <c r="GQ52" s="440">
        <v>-11</v>
      </c>
      <c r="GR52" s="440">
        <v>-6</v>
      </c>
      <c r="GS52" s="442">
        <f t="shared" si="14"/>
        <v>-3</v>
      </c>
      <c r="GT52" s="440">
        <v>0</v>
      </c>
      <c r="GU52" s="442">
        <f t="shared" si="37"/>
        <v>3</v>
      </c>
      <c r="GV52" s="441">
        <v>6</v>
      </c>
    </row>
    <row r="53" spans="7:204">
      <c r="G53" s="435">
        <v>8000</v>
      </c>
      <c r="H53" s="445">
        <v>34</v>
      </c>
      <c r="I53" s="249">
        <v>28</v>
      </c>
      <c r="J53" s="249">
        <v>24</v>
      </c>
      <c r="K53" s="249">
        <v>17</v>
      </c>
      <c r="L53" s="249">
        <v>11</v>
      </c>
      <c r="M53" s="249">
        <v>6</v>
      </c>
      <c r="N53" s="249">
        <f t="shared" si="15"/>
        <v>3</v>
      </c>
      <c r="O53" s="249">
        <v>0</v>
      </c>
      <c r="P53" s="249">
        <f t="shared" si="16"/>
        <v>-3</v>
      </c>
      <c r="Q53" s="446">
        <v>-6</v>
      </c>
      <c r="R53" s="435">
        <v>8000</v>
      </c>
      <c r="S53" s="248">
        <v>11</v>
      </c>
      <c r="T53" s="248">
        <v>9</v>
      </c>
      <c r="U53" s="248">
        <v>7</v>
      </c>
      <c r="V53" s="248">
        <v>5</v>
      </c>
      <c r="W53" s="248">
        <v>4</v>
      </c>
      <c r="X53" s="248">
        <v>2</v>
      </c>
      <c r="Y53" s="249">
        <f t="shared" si="17"/>
        <v>1</v>
      </c>
      <c r="Z53" s="248">
        <v>0</v>
      </c>
      <c r="AA53" s="439">
        <f t="shared" si="18"/>
        <v>-1</v>
      </c>
      <c r="AB53" s="248">
        <v>-2</v>
      </c>
      <c r="AC53" s="435">
        <v>8000</v>
      </c>
      <c r="AD53" s="440">
        <v>-33</v>
      </c>
      <c r="AE53" s="440">
        <v>-27</v>
      </c>
      <c r="AF53" s="440">
        <v>-22</v>
      </c>
      <c r="AG53" s="440">
        <v>-16</v>
      </c>
      <c r="AH53" s="440">
        <v>-11</v>
      </c>
      <c r="AI53" s="440">
        <v>-5</v>
      </c>
      <c r="AJ53" s="249">
        <f t="shared" si="19"/>
        <v>-2.5</v>
      </c>
      <c r="AK53" s="248">
        <v>0</v>
      </c>
      <c r="AL53" s="439">
        <f t="shared" si="20"/>
        <v>2.5</v>
      </c>
      <c r="AM53" s="441">
        <v>5</v>
      </c>
      <c r="AN53" s="435">
        <v>8000</v>
      </c>
      <c r="AO53" s="440">
        <v>-57</v>
      </c>
      <c r="AP53" s="440">
        <v>-47</v>
      </c>
      <c r="AQ53" s="440">
        <v>-38</v>
      </c>
      <c r="AR53" s="440">
        <v>-28</v>
      </c>
      <c r="AS53" s="440">
        <v>-19</v>
      </c>
      <c r="AT53" s="440">
        <v>-9</v>
      </c>
      <c r="AU53" s="442">
        <f t="shared" si="2"/>
        <v>-4.5</v>
      </c>
      <c r="AV53" s="440">
        <v>0</v>
      </c>
      <c r="AW53" s="442">
        <f t="shared" si="21"/>
        <v>4.5</v>
      </c>
      <c r="AX53" s="441">
        <v>9</v>
      </c>
      <c r="AY53" s="435">
        <v>8000</v>
      </c>
      <c r="AZ53" s="440">
        <v>4</v>
      </c>
      <c r="BA53" s="440">
        <v>3</v>
      </c>
      <c r="BB53" s="440">
        <v>2</v>
      </c>
      <c r="BC53" s="440">
        <v>2</v>
      </c>
      <c r="BD53" s="440">
        <v>1</v>
      </c>
      <c r="BE53" s="440">
        <v>1</v>
      </c>
      <c r="BF53" s="442">
        <f t="shared" si="3"/>
        <v>0.5</v>
      </c>
      <c r="BG53" s="440">
        <v>0</v>
      </c>
      <c r="BH53" s="442">
        <f t="shared" si="22"/>
        <v>-0.5</v>
      </c>
      <c r="BI53" s="441">
        <v>-1</v>
      </c>
      <c r="BJ53" s="447">
        <v>8000</v>
      </c>
      <c r="BK53" s="440">
        <v>-31</v>
      </c>
      <c r="BL53" s="440">
        <v>-26</v>
      </c>
      <c r="BM53" s="440">
        <v>-21</v>
      </c>
      <c r="BN53" s="440">
        <v>-16</v>
      </c>
      <c r="BO53" s="440">
        <v>-10</v>
      </c>
      <c r="BP53" s="440">
        <v>-5</v>
      </c>
      <c r="BQ53" s="442">
        <f t="shared" si="4"/>
        <v>-2.5</v>
      </c>
      <c r="BR53" s="440">
        <v>0</v>
      </c>
      <c r="BS53" s="442">
        <f t="shared" si="23"/>
        <v>2.5</v>
      </c>
      <c r="BT53" s="440">
        <v>5</v>
      </c>
      <c r="BU53" s="435">
        <v>8000</v>
      </c>
      <c r="BV53" s="440">
        <v>1</v>
      </c>
      <c r="BW53" s="440">
        <v>1</v>
      </c>
      <c r="BX53" s="440">
        <v>1</v>
      </c>
      <c r="BY53" s="440">
        <v>1</v>
      </c>
      <c r="BZ53" s="440">
        <v>0</v>
      </c>
      <c r="CA53" s="440">
        <v>0</v>
      </c>
      <c r="CB53" s="442">
        <f t="shared" si="5"/>
        <v>0</v>
      </c>
      <c r="CC53" s="440">
        <v>0</v>
      </c>
      <c r="CD53" s="442">
        <f t="shared" si="24"/>
        <v>0</v>
      </c>
      <c r="CE53" s="441">
        <v>0</v>
      </c>
      <c r="CF53" s="435">
        <v>8000</v>
      </c>
      <c r="CG53" s="440">
        <v>-23</v>
      </c>
      <c r="CH53" s="440">
        <v>-19</v>
      </c>
      <c r="CI53" s="440">
        <v>-15</v>
      </c>
      <c r="CJ53" s="440">
        <v>-11</v>
      </c>
      <c r="CK53" s="440">
        <v>-8</v>
      </c>
      <c r="CL53" s="440">
        <v>-4</v>
      </c>
      <c r="CM53" s="442">
        <f t="shared" si="6"/>
        <v>-2</v>
      </c>
      <c r="CN53" s="440">
        <v>0</v>
      </c>
      <c r="CO53" s="442">
        <f t="shared" si="25"/>
        <v>2</v>
      </c>
      <c r="CP53" s="441">
        <v>4</v>
      </c>
      <c r="CQ53" s="435">
        <v>8000</v>
      </c>
      <c r="CR53" s="440">
        <v>1</v>
      </c>
      <c r="CS53" s="440">
        <v>1</v>
      </c>
      <c r="CT53" s="440">
        <v>1</v>
      </c>
      <c r="CU53" s="440">
        <v>1</v>
      </c>
      <c r="CV53" s="440">
        <v>0</v>
      </c>
      <c r="CW53" s="440">
        <v>0</v>
      </c>
      <c r="CX53" s="442">
        <f t="shared" si="7"/>
        <v>0</v>
      </c>
      <c r="CY53" s="440">
        <v>0</v>
      </c>
      <c r="CZ53" s="442">
        <f t="shared" si="26"/>
        <v>0</v>
      </c>
      <c r="DA53" s="441">
        <v>0</v>
      </c>
      <c r="DB53" s="435">
        <v>8000</v>
      </c>
      <c r="DC53" s="440">
        <v>-21</v>
      </c>
      <c r="DD53" s="440">
        <v>-17</v>
      </c>
      <c r="DE53" s="440">
        <v>-14</v>
      </c>
      <c r="DF53" s="440">
        <v>-10</v>
      </c>
      <c r="DG53" s="440">
        <v>-7</v>
      </c>
      <c r="DH53" s="440">
        <v>-3</v>
      </c>
      <c r="DI53" s="442">
        <f t="shared" si="8"/>
        <v>-1.5</v>
      </c>
      <c r="DJ53" s="440">
        <v>0</v>
      </c>
      <c r="DK53" s="442">
        <f t="shared" si="27"/>
        <v>1.5</v>
      </c>
      <c r="DL53" s="441">
        <v>3</v>
      </c>
      <c r="DM53" s="435">
        <v>8000</v>
      </c>
      <c r="DN53" s="440">
        <v>1</v>
      </c>
      <c r="DO53" s="440">
        <v>1</v>
      </c>
      <c r="DP53" s="440">
        <v>1</v>
      </c>
      <c r="DQ53" s="440">
        <v>1</v>
      </c>
      <c r="DR53" s="440">
        <v>0</v>
      </c>
      <c r="DS53" s="440">
        <v>0</v>
      </c>
      <c r="DT53" s="442">
        <f t="shared" si="9"/>
        <v>0</v>
      </c>
      <c r="DU53" s="440">
        <v>0</v>
      </c>
      <c r="DV53" s="442">
        <f t="shared" si="28"/>
        <v>0</v>
      </c>
      <c r="DW53" s="441">
        <v>0</v>
      </c>
      <c r="DX53" s="435">
        <v>8000</v>
      </c>
      <c r="DY53" s="440">
        <v>-24</v>
      </c>
      <c r="DZ53" s="440">
        <v>-20</v>
      </c>
      <c r="EA53" s="440">
        <v>-16</v>
      </c>
      <c r="EB53" s="440">
        <v>-12</v>
      </c>
      <c r="EC53" s="440">
        <v>-8</v>
      </c>
      <c r="ED53" s="440">
        <v>-4</v>
      </c>
      <c r="EE53" s="442">
        <f t="shared" si="10"/>
        <v>-2</v>
      </c>
      <c r="EF53" s="440">
        <v>0</v>
      </c>
      <c r="EG53" s="442">
        <f t="shared" si="29"/>
        <v>2</v>
      </c>
      <c r="EH53" s="440">
        <v>4</v>
      </c>
      <c r="EI53" s="435">
        <v>8000</v>
      </c>
      <c r="EJ53" s="440">
        <v>3</v>
      </c>
      <c r="EK53" s="440">
        <v>3</v>
      </c>
      <c r="EL53" s="440">
        <v>2</v>
      </c>
      <c r="EM53" s="440">
        <v>2</v>
      </c>
      <c r="EN53" s="440">
        <v>1</v>
      </c>
      <c r="EO53" s="440">
        <v>1</v>
      </c>
      <c r="EP53" s="442">
        <f t="shared" si="30"/>
        <v>0.5</v>
      </c>
      <c r="EQ53" s="440">
        <v>0</v>
      </c>
      <c r="ER53" s="442">
        <f t="shared" si="31"/>
        <v>-0.5</v>
      </c>
      <c r="ES53" s="441">
        <v>-1</v>
      </c>
      <c r="ET53" s="435">
        <v>8000</v>
      </c>
      <c r="EU53" s="440">
        <v>-22</v>
      </c>
      <c r="EV53" s="440">
        <v>-19</v>
      </c>
      <c r="EW53" s="440">
        <v>-15</v>
      </c>
      <c r="EX53" s="440">
        <v>-11</v>
      </c>
      <c r="EY53" s="440">
        <v>-7</v>
      </c>
      <c r="EZ53" s="440">
        <v>-4</v>
      </c>
      <c r="FA53" s="442">
        <f t="shared" si="32"/>
        <v>-2</v>
      </c>
      <c r="FB53" s="440">
        <v>0</v>
      </c>
      <c r="FC53" s="442">
        <f t="shared" si="33"/>
        <v>2</v>
      </c>
      <c r="FD53" s="440">
        <v>4</v>
      </c>
      <c r="FE53" s="435">
        <v>8000</v>
      </c>
      <c r="FF53" s="440">
        <v>2</v>
      </c>
      <c r="FG53" s="440">
        <v>1</v>
      </c>
      <c r="FH53" s="440">
        <v>1</v>
      </c>
      <c r="FI53" s="440">
        <v>1</v>
      </c>
      <c r="FJ53" s="440">
        <v>1</v>
      </c>
      <c r="FK53" s="440">
        <v>0</v>
      </c>
      <c r="FL53" s="442">
        <f t="shared" si="11"/>
        <v>0</v>
      </c>
      <c r="FM53" s="440">
        <v>0</v>
      </c>
      <c r="FN53" s="442">
        <f t="shared" si="34"/>
        <v>0</v>
      </c>
      <c r="FO53" s="441">
        <v>0</v>
      </c>
      <c r="FP53" s="435">
        <v>8000</v>
      </c>
      <c r="FQ53" s="440">
        <v>-22</v>
      </c>
      <c r="FR53" s="440">
        <v>-19</v>
      </c>
      <c r="FS53" s="440">
        <v>-15</v>
      </c>
      <c r="FT53" s="440">
        <v>-11</v>
      </c>
      <c r="FU53" s="440">
        <v>-7</v>
      </c>
      <c r="FV53" s="440">
        <v>-4</v>
      </c>
      <c r="FW53" s="442">
        <f t="shared" si="12"/>
        <v>-2</v>
      </c>
      <c r="FX53" s="440">
        <v>0</v>
      </c>
      <c r="FY53" s="442">
        <f t="shared" si="35"/>
        <v>2</v>
      </c>
      <c r="FZ53" s="440">
        <v>4</v>
      </c>
      <c r="GA53" s="435">
        <v>8000</v>
      </c>
      <c r="GB53" s="440">
        <v>-35</v>
      </c>
      <c r="GC53" s="440">
        <v>-29</v>
      </c>
      <c r="GD53" s="440">
        <v>-23</v>
      </c>
      <c r="GE53" s="440">
        <v>-17</v>
      </c>
      <c r="GF53" s="440">
        <v>-12</v>
      </c>
      <c r="GG53" s="440">
        <v>-6</v>
      </c>
      <c r="GH53" s="442">
        <f t="shared" si="13"/>
        <v>-3</v>
      </c>
      <c r="GI53" s="440">
        <v>0</v>
      </c>
      <c r="GJ53" s="442">
        <f t="shared" si="36"/>
        <v>3</v>
      </c>
      <c r="GK53" s="441">
        <v>6</v>
      </c>
      <c r="GL53" s="435">
        <v>8000</v>
      </c>
      <c r="GM53" s="440">
        <v>-34</v>
      </c>
      <c r="GN53" s="440">
        <v>-28</v>
      </c>
      <c r="GO53" s="440">
        <v>-23</v>
      </c>
      <c r="GP53" s="440">
        <v>-17</v>
      </c>
      <c r="GQ53" s="440">
        <v>-11</v>
      </c>
      <c r="GR53" s="440">
        <v>-6</v>
      </c>
      <c r="GS53" s="442">
        <f t="shared" si="14"/>
        <v>-3</v>
      </c>
      <c r="GT53" s="440">
        <v>0</v>
      </c>
      <c r="GU53" s="442">
        <f t="shared" si="37"/>
        <v>3</v>
      </c>
      <c r="GV53" s="441">
        <v>6</v>
      </c>
    </row>
    <row r="54" spans="7:204">
      <c r="G54" s="435">
        <v>7900</v>
      </c>
      <c r="H54" s="445">
        <v>34</v>
      </c>
      <c r="I54" s="249">
        <v>28</v>
      </c>
      <c r="J54" s="249">
        <v>24</v>
      </c>
      <c r="K54" s="249">
        <v>17</v>
      </c>
      <c r="L54" s="249">
        <v>11</v>
      </c>
      <c r="M54" s="249">
        <v>6</v>
      </c>
      <c r="N54" s="249">
        <f t="shared" si="15"/>
        <v>3</v>
      </c>
      <c r="O54" s="249">
        <v>0</v>
      </c>
      <c r="P54" s="249">
        <f t="shared" si="16"/>
        <v>-3</v>
      </c>
      <c r="Q54" s="446">
        <v>-6</v>
      </c>
      <c r="R54" s="435">
        <v>7900</v>
      </c>
      <c r="S54" s="248">
        <v>11</v>
      </c>
      <c r="T54" s="248">
        <v>9</v>
      </c>
      <c r="U54" s="248">
        <v>7</v>
      </c>
      <c r="V54" s="248">
        <v>5</v>
      </c>
      <c r="W54" s="248">
        <v>4</v>
      </c>
      <c r="X54" s="248">
        <v>2</v>
      </c>
      <c r="Y54" s="249">
        <f t="shared" si="17"/>
        <v>1</v>
      </c>
      <c r="Z54" s="248">
        <v>0</v>
      </c>
      <c r="AA54" s="439">
        <f t="shared" si="18"/>
        <v>-1</v>
      </c>
      <c r="AB54" s="248">
        <v>-2</v>
      </c>
      <c r="AC54" s="435">
        <v>7900</v>
      </c>
      <c r="AD54" s="440">
        <v>-33</v>
      </c>
      <c r="AE54" s="440">
        <v>-27</v>
      </c>
      <c r="AF54" s="440">
        <v>-22</v>
      </c>
      <c r="AG54" s="440">
        <v>-16</v>
      </c>
      <c r="AH54" s="440">
        <v>-11</v>
      </c>
      <c r="AI54" s="440">
        <v>-5</v>
      </c>
      <c r="AJ54" s="249">
        <f t="shared" si="19"/>
        <v>-2.5</v>
      </c>
      <c r="AK54" s="248">
        <v>0</v>
      </c>
      <c r="AL54" s="439">
        <f t="shared" si="20"/>
        <v>2.5</v>
      </c>
      <c r="AM54" s="441">
        <v>5</v>
      </c>
      <c r="AN54" s="435">
        <v>7900</v>
      </c>
      <c r="AO54" s="440">
        <v>-57</v>
      </c>
      <c r="AP54" s="440">
        <v>-47</v>
      </c>
      <c r="AQ54" s="440">
        <v>-38</v>
      </c>
      <c r="AR54" s="440">
        <v>-28</v>
      </c>
      <c r="AS54" s="440">
        <v>-19</v>
      </c>
      <c r="AT54" s="440">
        <v>-9</v>
      </c>
      <c r="AU54" s="442">
        <f t="shared" si="2"/>
        <v>-4.5</v>
      </c>
      <c r="AV54" s="440">
        <v>0</v>
      </c>
      <c r="AW54" s="442">
        <f t="shared" si="21"/>
        <v>4.5</v>
      </c>
      <c r="AX54" s="441">
        <v>9</v>
      </c>
      <c r="AY54" s="435">
        <v>7900</v>
      </c>
      <c r="AZ54" s="440">
        <v>4</v>
      </c>
      <c r="BA54" s="440">
        <v>3</v>
      </c>
      <c r="BB54" s="440">
        <v>2</v>
      </c>
      <c r="BC54" s="440">
        <v>2</v>
      </c>
      <c r="BD54" s="440">
        <v>1</v>
      </c>
      <c r="BE54" s="440">
        <v>1</v>
      </c>
      <c r="BF54" s="442">
        <f t="shared" si="3"/>
        <v>0.5</v>
      </c>
      <c r="BG54" s="440">
        <v>0</v>
      </c>
      <c r="BH54" s="442">
        <f t="shared" si="22"/>
        <v>-0.5</v>
      </c>
      <c r="BI54" s="441">
        <v>-1</v>
      </c>
      <c r="BJ54" s="447">
        <v>7900</v>
      </c>
      <c r="BK54" s="440">
        <v>-31</v>
      </c>
      <c r="BL54" s="440">
        <v>-26</v>
      </c>
      <c r="BM54" s="440">
        <v>-21</v>
      </c>
      <c r="BN54" s="440">
        <v>-16</v>
      </c>
      <c r="BO54" s="440">
        <v>-10</v>
      </c>
      <c r="BP54" s="440">
        <v>-5</v>
      </c>
      <c r="BQ54" s="442">
        <f t="shared" si="4"/>
        <v>-2.5</v>
      </c>
      <c r="BR54" s="440">
        <v>0</v>
      </c>
      <c r="BS54" s="442">
        <f t="shared" si="23"/>
        <v>2.5</v>
      </c>
      <c r="BT54" s="440">
        <v>5</v>
      </c>
      <c r="BU54" s="435">
        <v>7900</v>
      </c>
      <c r="BV54" s="440">
        <v>1</v>
      </c>
      <c r="BW54" s="440">
        <v>1</v>
      </c>
      <c r="BX54" s="440">
        <v>1</v>
      </c>
      <c r="BY54" s="440">
        <v>1</v>
      </c>
      <c r="BZ54" s="440">
        <v>0</v>
      </c>
      <c r="CA54" s="440">
        <v>0</v>
      </c>
      <c r="CB54" s="442">
        <f t="shared" si="5"/>
        <v>0</v>
      </c>
      <c r="CC54" s="440">
        <v>0</v>
      </c>
      <c r="CD54" s="442">
        <f t="shared" si="24"/>
        <v>0</v>
      </c>
      <c r="CE54" s="441">
        <v>0</v>
      </c>
      <c r="CF54" s="435">
        <v>7900</v>
      </c>
      <c r="CG54" s="440">
        <v>-23</v>
      </c>
      <c r="CH54" s="440">
        <v>-19</v>
      </c>
      <c r="CI54" s="440">
        <v>-15</v>
      </c>
      <c r="CJ54" s="440">
        <v>-11</v>
      </c>
      <c r="CK54" s="440">
        <v>-8</v>
      </c>
      <c r="CL54" s="440">
        <v>-4</v>
      </c>
      <c r="CM54" s="442">
        <f t="shared" si="6"/>
        <v>-2</v>
      </c>
      <c r="CN54" s="440">
        <v>0</v>
      </c>
      <c r="CO54" s="442">
        <f t="shared" si="25"/>
        <v>2</v>
      </c>
      <c r="CP54" s="441">
        <v>4</v>
      </c>
      <c r="CQ54" s="435">
        <v>7900</v>
      </c>
      <c r="CR54" s="440">
        <v>1</v>
      </c>
      <c r="CS54" s="440">
        <v>1</v>
      </c>
      <c r="CT54" s="440">
        <v>1</v>
      </c>
      <c r="CU54" s="440">
        <v>1</v>
      </c>
      <c r="CV54" s="440">
        <v>0</v>
      </c>
      <c r="CW54" s="440">
        <v>0</v>
      </c>
      <c r="CX54" s="442">
        <f t="shared" si="7"/>
        <v>0</v>
      </c>
      <c r="CY54" s="440">
        <v>0</v>
      </c>
      <c r="CZ54" s="442">
        <f t="shared" si="26"/>
        <v>0</v>
      </c>
      <c r="DA54" s="441">
        <v>0</v>
      </c>
      <c r="DB54" s="435">
        <v>7900</v>
      </c>
      <c r="DC54" s="440">
        <v>-21</v>
      </c>
      <c r="DD54" s="440">
        <v>-17</v>
      </c>
      <c r="DE54" s="440">
        <v>-14</v>
      </c>
      <c r="DF54" s="440">
        <v>-10</v>
      </c>
      <c r="DG54" s="440">
        <v>-7</v>
      </c>
      <c r="DH54" s="440">
        <v>-3</v>
      </c>
      <c r="DI54" s="442">
        <f t="shared" si="8"/>
        <v>-1.5</v>
      </c>
      <c r="DJ54" s="440">
        <v>0</v>
      </c>
      <c r="DK54" s="442">
        <f t="shared" si="27"/>
        <v>1.5</v>
      </c>
      <c r="DL54" s="441">
        <v>3</v>
      </c>
      <c r="DM54" s="435">
        <v>7900</v>
      </c>
      <c r="DN54" s="440">
        <v>1</v>
      </c>
      <c r="DO54" s="440">
        <v>1</v>
      </c>
      <c r="DP54" s="440">
        <v>1</v>
      </c>
      <c r="DQ54" s="440">
        <v>1</v>
      </c>
      <c r="DR54" s="440">
        <v>0</v>
      </c>
      <c r="DS54" s="440">
        <v>0</v>
      </c>
      <c r="DT54" s="442">
        <f t="shared" si="9"/>
        <v>0</v>
      </c>
      <c r="DU54" s="440">
        <v>0</v>
      </c>
      <c r="DV54" s="442">
        <f t="shared" si="28"/>
        <v>0</v>
      </c>
      <c r="DW54" s="441">
        <v>0</v>
      </c>
      <c r="DX54" s="435">
        <v>7900</v>
      </c>
      <c r="DY54" s="440">
        <v>-24</v>
      </c>
      <c r="DZ54" s="440">
        <v>-20</v>
      </c>
      <c r="EA54" s="440">
        <v>-16</v>
      </c>
      <c r="EB54" s="440">
        <v>-12</v>
      </c>
      <c r="EC54" s="440">
        <v>-8</v>
      </c>
      <c r="ED54" s="440">
        <v>-4</v>
      </c>
      <c r="EE54" s="442">
        <f t="shared" si="10"/>
        <v>-2</v>
      </c>
      <c r="EF54" s="440">
        <v>0</v>
      </c>
      <c r="EG54" s="442">
        <f t="shared" si="29"/>
        <v>2</v>
      </c>
      <c r="EH54" s="440">
        <v>4</v>
      </c>
      <c r="EI54" s="435">
        <v>7900</v>
      </c>
      <c r="EJ54" s="440">
        <v>3</v>
      </c>
      <c r="EK54" s="440">
        <v>3</v>
      </c>
      <c r="EL54" s="440">
        <v>2</v>
      </c>
      <c r="EM54" s="440">
        <v>2</v>
      </c>
      <c r="EN54" s="440">
        <v>1</v>
      </c>
      <c r="EO54" s="440">
        <v>1</v>
      </c>
      <c r="EP54" s="442">
        <f t="shared" si="30"/>
        <v>0.5</v>
      </c>
      <c r="EQ54" s="440">
        <v>0</v>
      </c>
      <c r="ER54" s="442">
        <f t="shared" si="31"/>
        <v>-0.5</v>
      </c>
      <c r="ES54" s="441">
        <v>-1</v>
      </c>
      <c r="ET54" s="435">
        <v>7900</v>
      </c>
      <c r="EU54" s="440">
        <v>-22</v>
      </c>
      <c r="EV54" s="440">
        <v>-19</v>
      </c>
      <c r="EW54" s="440">
        <v>-15</v>
      </c>
      <c r="EX54" s="440">
        <v>-11</v>
      </c>
      <c r="EY54" s="440">
        <v>-7</v>
      </c>
      <c r="EZ54" s="440">
        <v>-4</v>
      </c>
      <c r="FA54" s="442">
        <f t="shared" si="32"/>
        <v>-2</v>
      </c>
      <c r="FB54" s="440">
        <v>0</v>
      </c>
      <c r="FC54" s="442">
        <f t="shared" si="33"/>
        <v>2</v>
      </c>
      <c r="FD54" s="440">
        <v>4</v>
      </c>
      <c r="FE54" s="435">
        <v>7900</v>
      </c>
      <c r="FF54" s="440">
        <v>2</v>
      </c>
      <c r="FG54" s="440">
        <v>1</v>
      </c>
      <c r="FH54" s="440">
        <v>1</v>
      </c>
      <c r="FI54" s="440">
        <v>1</v>
      </c>
      <c r="FJ54" s="440">
        <v>1</v>
      </c>
      <c r="FK54" s="440">
        <v>0</v>
      </c>
      <c r="FL54" s="442">
        <f t="shared" si="11"/>
        <v>0</v>
      </c>
      <c r="FM54" s="440">
        <v>0</v>
      </c>
      <c r="FN54" s="442">
        <f t="shared" si="34"/>
        <v>0</v>
      </c>
      <c r="FO54" s="441">
        <v>0</v>
      </c>
      <c r="FP54" s="435">
        <v>7900</v>
      </c>
      <c r="FQ54" s="440">
        <v>-22</v>
      </c>
      <c r="FR54" s="440">
        <v>-19</v>
      </c>
      <c r="FS54" s="440">
        <v>-15</v>
      </c>
      <c r="FT54" s="440">
        <v>-11</v>
      </c>
      <c r="FU54" s="440">
        <v>-7</v>
      </c>
      <c r="FV54" s="440">
        <v>-4</v>
      </c>
      <c r="FW54" s="442">
        <f t="shared" si="12"/>
        <v>-2</v>
      </c>
      <c r="FX54" s="440">
        <v>0</v>
      </c>
      <c r="FY54" s="442">
        <f t="shared" si="35"/>
        <v>2</v>
      </c>
      <c r="FZ54" s="440">
        <v>4</v>
      </c>
      <c r="GA54" s="435">
        <v>7900</v>
      </c>
      <c r="GB54" s="440">
        <v>-35</v>
      </c>
      <c r="GC54" s="440">
        <v>-29</v>
      </c>
      <c r="GD54" s="440">
        <v>-23</v>
      </c>
      <c r="GE54" s="440">
        <v>-17</v>
      </c>
      <c r="GF54" s="440">
        <v>-12</v>
      </c>
      <c r="GG54" s="440">
        <v>-6</v>
      </c>
      <c r="GH54" s="442">
        <f t="shared" si="13"/>
        <v>-3</v>
      </c>
      <c r="GI54" s="440">
        <v>0</v>
      </c>
      <c r="GJ54" s="442">
        <f t="shared" si="36"/>
        <v>3</v>
      </c>
      <c r="GK54" s="441">
        <v>6</v>
      </c>
      <c r="GL54" s="435">
        <v>7900</v>
      </c>
      <c r="GM54" s="440">
        <v>-34</v>
      </c>
      <c r="GN54" s="440">
        <v>-28</v>
      </c>
      <c r="GO54" s="440">
        <v>-23</v>
      </c>
      <c r="GP54" s="440">
        <v>-17</v>
      </c>
      <c r="GQ54" s="440">
        <v>-11</v>
      </c>
      <c r="GR54" s="440">
        <v>-6</v>
      </c>
      <c r="GS54" s="442">
        <f t="shared" si="14"/>
        <v>-3</v>
      </c>
      <c r="GT54" s="440">
        <v>0</v>
      </c>
      <c r="GU54" s="442">
        <f t="shared" si="37"/>
        <v>3</v>
      </c>
      <c r="GV54" s="441">
        <v>6</v>
      </c>
    </row>
    <row r="55" spans="7:204">
      <c r="G55" s="435">
        <v>7800</v>
      </c>
      <c r="H55" s="445">
        <v>34</v>
      </c>
      <c r="I55" s="249">
        <v>28</v>
      </c>
      <c r="J55" s="249">
        <v>24</v>
      </c>
      <c r="K55" s="249">
        <v>17</v>
      </c>
      <c r="L55" s="249">
        <v>11</v>
      </c>
      <c r="M55" s="249">
        <v>6</v>
      </c>
      <c r="N55" s="249">
        <f t="shared" si="15"/>
        <v>3</v>
      </c>
      <c r="O55" s="249">
        <v>0</v>
      </c>
      <c r="P55" s="249">
        <f t="shared" si="16"/>
        <v>-3</v>
      </c>
      <c r="Q55" s="446">
        <v>-6</v>
      </c>
      <c r="R55" s="435">
        <v>7800</v>
      </c>
      <c r="S55" s="248">
        <v>11</v>
      </c>
      <c r="T55" s="248">
        <v>9</v>
      </c>
      <c r="U55" s="248">
        <v>7</v>
      </c>
      <c r="V55" s="248">
        <v>5</v>
      </c>
      <c r="W55" s="248">
        <v>4</v>
      </c>
      <c r="X55" s="248">
        <v>2</v>
      </c>
      <c r="Y55" s="249">
        <f t="shared" si="17"/>
        <v>1</v>
      </c>
      <c r="Z55" s="248">
        <v>0</v>
      </c>
      <c r="AA55" s="439">
        <f t="shared" si="18"/>
        <v>-1</v>
      </c>
      <c r="AB55" s="248">
        <v>-2</v>
      </c>
      <c r="AC55" s="435">
        <v>7800</v>
      </c>
      <c r="AD55" s="440">
        <v>-33</v>
      </c>
      <c r="AE55" s="440">
        <v>-27</v>
      </c>
      <c r="AF55" s="440">
        <v>-22</v>
      </c>
      <c r="AG55" s="440">
        <v>-16</v>
      </c>
      <c r="AH55" s="440">
        <v>-11</v>
      </c>
      <c r="AI55" s="440">
        <v>-5</v>
      </c>
      <c r="AJ55" s="249">
        <f t="shared" si="19"/>
        <v>-2.5</v>
      </c>
      <c r="AK55" s="248">
        <v>0</v>
      </c>
      <c r="AL55" s="439">
        <f t="shared" si="20"/>
        <v>2.5</v>
      </c>
      <c r="AM55" s="441">
        <v>5</v>
      </c>
      <c r="AN55" s="435">
        <v>7800</v>
      </c>
      <c r="AO55" s="440">
        <v>-57</v>
      </c>
      <c r="AP55" s="440">
        <v>-47</v>
      </c>
      <c r="AQ55" s="440">
        <v>-38</v>
      </c>
      <c r="AR55" s="440">
        <v>-28</v>
      </c>
      <c r="AS55" s="440">
        <v>-19</v>
      </c>
      <c r="AT55" s="440">
        <v>-9</v>
      </c>
      <c r="AU55" s="442">
        <f t="shared" si="2"/>
        <v>-4.5</v>
      </c>
      <c r="AV55" s="440">
        <v>0</v>
      </c>
      <c r="AW55" s="442">
        <f t="shared" si="21"/>
        <v>4.5</v>
      </c>
      <c r="AX55" s="441">
        <v>9</v>
      </c>
      <c r="AY55" s="435">
        <v>7800</v>
      </c>
      <c r="AZ55" s="440">
        <v>4</v>
      </c>
      <c r="BA55" s="440">
        <v>3</v>
      </c>
      <c r="BB55" s="440">
        <v>2</v>
      </c>
      <c r="BC55" s="440">
        <v>2</v>
      </c>
      <c r="BD55" s="440">
        <v>1</v>
      </c>
      <c r="BE55" s="440">
        <v>1</v>
      </c>
      <c r="BF55" s="442">
        <f t="shared" si="3"/>
        <v>0.5</v>
      </c>
      <c r="BG55" s="440">
        <v>0</v>
      </c>
      <c r="BH55" s="442">
        <f t="shared" si="22"/>
        <v>-0.5</v>
      </c>
      <c r="BI55" s="441">
        <v>-1</v>
      </c>
      <c r="BJ55" s="447">
        <v>7800</v>
      </c>
      <c r="BK55" s="440">
        <v>-31</v>
      </c>
      <c r="BL55" s="440">
        <v>-26</v>
      </c>
      <c r="BM55" s="440">
        <v>-21</v>
      </c>
      <c r="BN55" s="440">
        <v>-16</v>
      </c>
      <c r="BO55" s="440">
        <v>-10</v>
      </c>
      <c r="BP55" s="440">
        <v>-5</v>
      </c>
      <c r="BQ55" s="442">
        <f t="shared" si="4"/>
        <v>-2.5</v>
      </c>
      <c r="BR55" s="440">
        <v>0</v>
      </c>
      <c r="BS55" s="442">
        <f t="shared" si="23"/>
        <v>2.5</v>
      </c>
      <c r="BT55" s="440">
        <v>5</v>
      </c>
      <c r="BU55" s="435">
        <v>7800</v>
      </c>
      <c r="BV55" s="440">
        <v>1</v>
      </c>
      <c r="BW55" s="440">
        <v>1</v>
      </c>
      <c r="BX55" s="440">
        <v>1</v>
      </c>
      <c r="BY55" s="440">
        <v>1</v>
      </c>
      <c r="BZ55" s="440">
        <v>0</v>
      </c>
      <c r="CA55" s="440">
        <v>0</v>
      </c>
      <c r="CB55" s="442">
        <f t="shared" si="5"/>
        <v>0</v>
      </c>
      <c r="CC55" s="440">
        <v>0</v>
      </c>
      <c r="CD55" s="442">
        <f t="shared" si="24"/>
        <v>0</v>
      </c>
      <c r="CE55" s="441">
        <v>0</v>
      </c>
      <c r="CF55" s="435">
        <v>7800</v>
      </c>
      <c r="CG55" s="440">
        <v>-23</v>
      </c>
      <c r="CH55" s="440">
        <v>-19</v>
      </c>
      <c r="CI55" s="440">
        <v>-15</v>
      </c>
      <c r="CJ55" s="440">
        <v>-11</v>
      </c>
      <c r="CK55" s="440">
        <v>-8</v>
      </c>
      <c r="CL55" s="440">
        <v>-4</v>
      </c>
      <c r="CM55" s="442">
        <f t="shared" si="6"/>
        <v>-2</v>
      </c>
      <c r="CN55" s="440">
        <v>0</v>
      </c>
      <c r="CO55" s="442">
        <f t="shared" si="25"/>
        <v>2</v>
      </c>
      <c r="CP55" s="441">
        <v>4</v>
      </c>
      <c r="CQ55" s="435">
        <v>7800</v>
      </c>
      <c r="CR55" s="440">
        <v>1</v>
      </c>
      <c r="CS55" s="440">
        <v>1</v>
      </c>
      <c r="CT55" s="440">
        <v>1</v>
      </c>
      <c r="CU55" s="440">
        <v>1</v>
      </c>
      <c r="CV55" s="440">
        <v>0</v>
      </c>
      <c r="CW55" s="440">
        <v>0</v>
      </c>
      <c r="CX55" s="442">
        <f t="shared" si="7"/>
        <v>0</v>
      </c>
      <c r="CY55" s="440">
        <v>0</v>
      </c>
      <c r="CZ55" s="442">
        <f t="shared" si="26"/>
        <v>0</v>
      </c>
      <c r="DA55" s="441">
        <v>0</v>
      </c>
      <c r="DB55" s="435">
        <v>7800</v>
      </c>
      <c r="DC55" s="440">
        <v>-21</v>
      </c>
      <c r="DD55" s="440">
        <v>-17</v>
      </c>
      <c r="DE55" s="440">
        <v>-14</v>
      </c>
      <c r="DF55" s="440">
        <v>-10</v>
      </c>
      <c r="DG55" s="440">
        <v>-7</v>
      </c>
      <c r="DH55" s="440">
        <v>-3</v>
      </c>
      <c r="DI55" s="442">
        <f t="shared" si="8"/>
        <v>-1.5</v>
      </c>
      <c r="DJ55" s="440">
        <v>0</v>
      </c>
      <c r="DK55" s="442">
        <f t="shared" si="27"/>
        <v>1.5</v>
      </c>
      <c r="DL55" s="441">
        <v>3</v>
      </c>
      <c r="DM55" s="435">
        <v>7800</v>
      </c>
      <c r="DN55" s="440">
        <v>1</v>
      </c>
      <c r="DO55" s="440">
        <v>1</v>
      </c>
      <c r="DP55" s="440">
        <v>1</v>
      </c>
      <c r="DQ55" s="440">
        <v>1</v>
      </c>
      <c r="DR55" s="440">
        <v>0</v>
      </c>
      <c r="DS55" s="440">
        <v>0</v>
      </c>
      <c r="DT55" s="442">
        <f t="shared" si="9"/>
        <v>0</v>
      </c>
      <c r="DU55" s="440">
        <v>0</v>
      </c>
      <c r="DV55" s="442">
        <f t="shared" si="28"/>
        <v>0</v>
      </c>
      <c r="DW55" s="441">
        <v>0</v>
      </c>
      <c r="DX55" s="435">
        <v>7800</v>
      </c>
      <c r="DY55" s="440">
        <v>-24</v>
      </c>
      <c r="DZ55" s="440">
        <v>-20</v>
      </c>
      <c r="EA55" s="440">
        <v>-16</v>
      </c>
      <c r="EB55" s="440">
        <v>-12</v>
      </c>
      <c r="EC55" s="440">
        <v>-8</v>
      </c>
      <c r="ED55" s="440">
        <v>-4</v>
      </c>
      <c r="EE55" s="442">
        <f t="shared" si="10"/>
        <v>-2</v>
      </c>
      <c r="EF55" s="440">
        <v>0</v>
      </c>
      <c r="EG55" s="442">
        <f t="shared" si="29"/>
        <v>2</v>
      </c>
      <c r="EH55" s="440">
        <v>4</v>
      </c>
      <c r="EI55" s="435">
        <v>7800</v>
      </c>
      <c r="EJ55" s="440">
        <v>3</v>
      </c>
      <c r="EK55" s="440">
        <v>3</v>
      </c>
      <c r="EL55" s="440">
        <v>2</v>
      </c>
      <c r="EM55" s="440">
        <v>2</v>
      </c>
      <c r="EN55" s="440">
        <v>1</v>
      </c>
      <c r="EO55" s="440">
        <v>1</v>
      </c>
      <c r="EP55" s="442">
        <f t="shared" si="30"/>
        <v>0.5</v>
      </c>
      <c r="EQ55" s="440">
        <v>0</v>
      </c>
      <c r="ER55" s="442">
        <f t="shared" si="31"/>
        <v>-0.5</v>
      </c>
      <c r="ES55" s="441">
        <v>-1</v>
      </c>
      <c r="ET55" s="435">
        <v>7800</v>
      </c>
      <c r="EU55" s="440">
        <v>-22</v>
      </c>
      <c r="EV55" s="440">
        <v>-19</v>
      </c>
      <c r="EW55" s="440">
        <v>-15</v>
      </c>
      <c r="EX55" s="440">
        <v>-11</v>
      </c>
      <c r="EY55" s="440">
        <v>-7</v>
      </c>
      <c r="EZ55" s="440">
        <v>-4</v>
      </c>
      <c r="FA55" s="442">
        <f t="shared" si="32"/>
        <v>-2</v>
      </c>
      <c r="FB55" s="440">
        <v>0</v>
      </c>
      <c r="FC55" s="442">
        <f t="shared" si="33"/>
        <v>2</v>
      </c>
      <c r="FD55" s="440">
        <v>4</v>
      </c>
      <c r="FE55" s="435">
        <v>7800</v>
      </c>
      <c r="FF55" s="440">
        <v>2</v>
      </c>
      <c r="FG55" s="440">
        <v>1</v>
      </c>
      <c r="FH55" s="440">
        <v>1</v>
      </c>
      <c r="FI55" s="440">
        <v>1</v>
      </c>
      <c r="FJ55" s="440">
        <v>1</v>
      </c>
      <c r="FK55" s="440">
        <v>0</v>
      </c>
      <c r="FL55" s="442">
        <f t="shared" si="11"/>
        <v>0</v>
      </c>
      <c r="FM55" s="440">
        <v>0</v>
      </c>
      <c r="FN55" s="442">
        <f t="shared" si="34"/>
        <v>0</v>
      </c>
      <c r="FO55" s="441">
        <v>0</v>
      </c>
      <c r="FP55" s="435">
        <v>7800</v>
      </c>
      <c r="FQ55" s="440">
        <v>-22</v>
      </c>
      <c r="FR55" s="440">
        <v>-19</v>
      </c>
      <c r="FS55" s="440">
        <v>-15</v>
      </c>
      <c r="FT55" s="440">
        <v>-11</v>
      </c>
      <c r="FU55" s="440">
        <v>-7</v>
      </c>
      <c r="FV55" s="440">
        <v>-4</v>
      </c>
      <c r="FW55" s="442">
        <f t="shared" si="12"/>
        <v>-2</v>
      </c>
      <c r="FX55" s="440">
        <v>0</v>
      </c>
      <c r="FY55" s="442">
        <f t="shared" si="35"/>
        <v>2</v>
      </c>
      <c r="FZ55" s="440">
        <v>4</v>
      </c>
      <c r="GA55" s="435">
        <v>7800</v>
      </c>
      <c r="GB55" s="440">
        <v>-35</v>
      </c>
      <c r="GC55" s="440">
        <v>-29</v>
      </c>
      <c r="GD55" s="440">
        <v>-23</v>
      </c>
      <c r="GE55" s="440">
        <v>-17</v>
      </c>
      <c r="GF55" s="440">
        <v>-12</v>
      </c>
      <c r="GG55" s="440">
        <v>-6</v>
      </c>
      <c r="GH55" s="442">
        <f t="shared" si="13"/>
        <v>-3</v>
      </c>
      <c r="GI55" s="440">
        <v>0</v>
      </c>
      <c r="GJ55" s="442">
        <f t="shared" si="36"/>
        <v>3</v>
      </c>
      <c r="GK55" s="441">
        <v>6</v>
      </c>
      <c r="GL55" s="435">
        <v>7800</v>
      </c>
      <c r="GM55" s="440">
        <v>-34</v>
      </c>
      <c r="GN55" s="440">
        <v>-28</v>
      </c>
      <c r="GO55" s="440">
        <v>-23</v>
      </c>
      <c r="GP55" s="440">
        <v>-17</v>
      </c>
      <c r="GQ55" s="440">
        <v>-11</v>
      </c>
      <c r="GR55" s="440">
        <v>-6</v>
      </c>
      <c r="GS55" s="442">
        <f t="shared" si="14"/>
        <v>-3</v>
      </c>
      <c r="GT55" s="440">
        <v>0</v>
      </c>
      <c r="GU55" s="442">
        <f t="shared" si="37"/>
        <v>3</v>
      </c>
      <c r="GV55" s="441">
        <v>6</v>
      </c>
    </row>
    <row r="56" spans="7:204">
      <c r="G56" s="435">
        <v>7700</v>
      </c>
      <c r="H56" s="445">
        <v>34</v>
      </c>
      <c r="I56" s="249">
        <v>28</v>
      </c>
      <c r="J56" s="249">
        <v>24</v>
      </c>
      <c r="K56" s="249">
        <v>17</v>
      </c>
      <c r="L56" s="249">
        <v>11</v>
      </c>
      <c r="M56" s="249">
        <v>6</v>
      </c>
      <c r="N56" s="249">
        <f t="shared" si="15"/>
        <v>3</v>
      </c>
      <c r="O56" s="249">
        <v>0</v>
      </c>
      <c r="P56" s="249">
        <f t="shared" si="16"/>
        <v>-3</v>
      </c>
      <c r="Q56" s="446">
        <v>-6</v>
      </c>
      <c r="R56" s="435">
        <v>7700</v>
      </c>
      <c r="S56" s="248">
        <v>11</v>
      </c>
      <c r="T56" s="248">
        <v>9</v>
      </c>
      <c r="U56" s="248">
        <v>7</v>
      </c>
      <c r="V56" s="248">
        <v>5</v>
      </c>
      <c r="W56" s="248">
        <v>4</v>
      </c>
      <c r="X56" s="248">
        <v>2</v>
      </c>
      <c r="Y56" s="249">
        <f t="shared" si="17"/>
        <v>1</v>
      </c>
      <c r="Z56" s="248">
        <v>0</v>
      </c>
      <c r="AA56" s="439">
        <f t="shared" si="18"/>
        <v>-1</v>
      </c>
      <c r="AB56" s="248">
        <v>-2</v>
      </c>
      <c r="AC56" s="435">
        <v>7700</v>
      </c>
      <c r="AD56" s="440">
        <v>-33</v>
      </c>
      <c r="AE56" s="440">
        <v>-27</v>
      </c>
      <c r="AF56" s="440">
        <v>-22</v>
      </c>
      <c r="AG56" s="440">
        <v>-16</v>
      </c>
      <c r="AH56" s="440">
        <v>-11</v>
      </c>
      <c r="AI56" s="440">
        <v>-5</v>
      </c>
      <c r="AJ56" s="249">
        <f t="shared" si="19"/>
        <v>-2.5</v>
      </c>
      <c r="AK56" s="248">
        <v>0</v>
      </c>
      <c r="AL56" s="439">
        <f t="shared" si="20"/>
        <v>2.5</v>
      </c>
      <c r="AM56" s="441">
        <v>5</v>
      </c>
      <c r="AN56" s="435">
        <v>7700</v>
      </c>
      <c r="AO56" s="440">
        <v>-57</v>
      </c>
      <c r="AP56" s="440">
        <v>-47</v>
      </c>
      <c r="AQ56" s="440">
        <v>-38</v>
      </c>
      <c r="AR56" s="440">
        <v>-28</v>
      </c>
      <c r="AS56" s="440">
        <v>-19</v>
      </c>
      <c r="AT56" s="440">
        <v>-9</v>
      </c>
      <c r="AU56" s="442">
        <f t="shared" si="2"/>
        <v>-4.5</v>
      </c>
      <c r="AV56" s="440">
        <v>0</v>
      </c>
      <c r="AW56" s="442">
        <f t="shared" si="21"/>
        <v>4.5</v>
      </c>
      <c r="AX56" s="441">
        <v>9</v>
      </c>
      <c r="AY56" s="435">
        <v>7700</v>
      </c>
      <c r="AZ56" s="440">
        <v>4</v>
      </c>
      <c r="BA56" s="440">
        <v>3</v>
      </c>
      <c r="BB56" s="440">
        <v>2</v>
      </c>
      <c r="BC56" s="440">
        <v>2</v>
      </c>
      <c r="BD56" s="440">
        <v>1</v>
      </c>
      <c r="BE56" s="440">
        <v>1</v>
      </c>
      <c r="BF56" s="442">
        <f t="shared" si="3"/>
        <v>0.5</v>
      </c>
      <c r="BG56" s="440">
        <v>0</v>
      </c>
      <c r="BH56" s="442">
        <f t="shared" si="22"/>
        <v>-0.5</v>
      </c>
      <c r="BI56" s="441">
        <v>-1</v>
      </c>
      <c r="BJ56" s="447">
        <v>7700</v>
      </c>
      <c r="BK56" s="440">
        <v>-31</v>
      </c>
      <c r="BL56" s="440">
        <v>-26</v>
      </c>
      <c r="BM56" s="440">
        <v>-21</v>
      </c>
      <c r="BN56" s="440">
        <v>-16</v>
      </c>
      <c r="BO56" s="440">
        <v>-10</v>
      </c>
      <c r="BP56" s="440">
        <v>-5</v>
      </c>
      <c r="BQ56" s="442">
        <f t="shared" si="4"/>
        <v>-2.5</v>
      </c>
      <c r="BR56" s="440">
        <v>0</v>
      </c>
      <c r="BS56" s="442">
        <f t="shared" si="23"/>
        <v>2.5</v>
      </c>
      <c r="BT56" s="440">
        <v>5</v>
      </c>
      <c r="BU56" s="435">
        <v>7700</v>
      </c>
      <c r="BV56" s="440">
        <v>1</v>
      </c>
      <c r="BW56" s="440">
        <v>1</v>
      </c>
      <c r="BX56" s="440">
        <v>1</v>
      </c>
      <c r="BY56" s="440">
        <v>1</v>
      </c>
      <c r="BZ56" s="440">
        <v>0</v>
      </c>
      <c r="CA56" s="440">
        <v>0</v>
      </c>
      <c r="CB56" s="442">
        <f t="shared" si="5"/>
        <v>0</v>
      </c>
      <c r="CC56" s="440">
        <v>0</v>
      </c>
      <c r="CD56" s="442">
        <f t="shared" si="24"/>
        <v>0</v>
      </c>
      <c r="CE56" s="441">
        <v>0</v>
      </c>
      <c r="CF56" s="435">
        <v>7700</v>
      </c>
      <c r="CG56" s="440">
        <v>-23</v>
      </c>
      <c r="CH56" s="440">
        <v>-19</v>
      </c>
      <c r="CI56" s="440">
        <v>-15</v>
      </c>
      <c r="CJ56" s="440">
        <v>-11</v>
      </c>
      <c r="CK56" s="440">
        <v>-8</v>
      </c>
      <c r="CL56" s="440">
        <v>-4</v>
      </c>
      <c r="CM56" s="442">
        <f t="shared" si="6"/>
        <v>-2</v>
      </c>
      <c r="CN56" s="440">
        <v>0</v>
      </c>
      <c r="CO56" s="442">
        <f t="shared" si="25"/>
        <v>2</v>
      </c>
      <c r="CP56" s="441">
        <v>4</v>
      </c>
      <c r="CQ56" s="435">
        <v>7700</v>
      </c>
      <c r="CR56" s="440">
        <v>1</v>
      </c>
      <c r="CS56" s="440">
        <v>1</v>
      </c>
      <c r="CT56" s="440">
        <v>1</v>
      </c>
      <c r="CU56" s="440">
        <v>1</v>
      </c>
      <c r="CV56" s="440">
        <v>0</v>
      </c>
      <c r="CW56" s="440">
        <v>0</v>
      </c>
      <c r="CX56" s="442">
        <f t="shared" si="7"/>
        <v>0</v>
      </c>
      <c r="CY56" s="440">
        <v>0</v>
      </c>
      <c r="CZ56" s="442">
        <f t="shared" si="26"/>
        <v>0</v>
      </c>
      <c r="DA56" s="441">
        <v>0</v>
      </c>
      <c r="DB56" s="435">
        <v>7700</v>
      </c>
      <c r="DC56" s="440">
        <v>-21</v>
      </c>
      <c r="DD56" s="440">
        <v>-17</v>
      </c>
      <c r="DE56" s="440">
        <v>-14</v>
      </c>
      <c r="DF56" s="440">
        <v>-10</v>
      </c>
      <c r="DG56" s="440">
        <v>-7</v>
      </c>
      <c r="DH56" s="440">
        <v>-3</v>
      </c>
      <c r="DI56" s="442">
        <f t="shared" si="8"/>
        <v>-1.5</v>
      </c>
      <c r="DJ56" s="440">
        <v>0</v>
      </c>
      <c r="DK56" s="442">
        <f t="shared" si="27"/>
        <v>1.5</v>
      </c>
      <c r="DL56" s="441">
        <v>3</v>
      </c>
      <c r="DM56" s="435">
        <v>7700</v>
      </c>
      <c r="DN56" s="440">
        <v>1</v>
      </c>
      <c r="DO56" s="440">
        <v>1</v>
      </c>
      <c r="DP56" s="440">
        <v>1</v>
      </c>
      <c r="DQ56" s="440">
        <v>1</v>
      </c>
      <c r="DR56" s="440">
        <v>0</v>
      </c>
      <c r="DS56" s="440">
        <v>0</v>
      </c>
      <c r="DT56" s="442">
        <f t="shared" si="9"/>
        <v>0</v>
      </c>
      <c r="DU56" s="440">
        <v>0</v>
      </c>
      <c r="DV56" s="442">
        <f t="shared" si="28"/>
        <v>0</v>
      </c>
      <c r="DW56" s="441">
        <v>0</v>
      </c>
      <c r="DX56" s="435">
        <v>7700</v>
      </c>
      <c r="DY56" s="440">
        <v>-24</v>
      </c>
      <c r="DZ56" s="440">
        <v>-20</v>
      </c>
      <c r="EA56" s="440">
        <v>-16</v>
      </c>
      <c r="EB56" s="440">
        <v>-12</v>
      </c>
      <c r="EC56" s="440">
        <v>-8</v>
      </c>
      <c r="ED56" s="440">
        <v>-4</v>
      </c>
      <c r="EE56" s="442">
        <f t="shared" si="10"/>
        <v>-2</v>
      </c>
      <c r="EF56" s="440">
        <v>0</v>
      </c>
      <c r="EG56" s="442">
        <f t="shared" si="29"/>
        <v>2</v>
      </c>
      <c r="EH56" s="440">
        <v>4</v>
      </c>
      <c r="EI56" s="435">
        <v>7700</v>
      </c>
      <c r="EJ56" s="440">
        <v>3</v>
      </c>
      <c r="EK56" s="440">
        <v>3</v>
      </c>
      <c r="EL56" s="440">
        <v>2</v>
      </c>
      <c r="EM56" s="440">
        <v>2</v>
      </c>
      <c r="EN56" s="440">
        <v>1</v>
      </c>
      <c r="EO56" s="440">
        <v>1</v>
      </c>
      <c r="EP56" s="442">
        <f t="shared" si="30"/>
        <v>0.5</v>
      </c>
      <c r="EQ56" s="440">
        <v>0</v>
      </c>
      <c r="ER56" s="442">
        <f t="shared" si="31"/>
        <v>-0.5</v>
      </c>
      <c r="ES56" s="441">
        <v>-1</v>
      </c>
      <c r="ET56" s="435">
        <v>7700</v>
      </c>
      <c r="EU56" s="440">
        <v>-22</v>
      </c>
      <c r="EV56" s="440">
        <v>-19</v>
      </c>
      <c r="EW56" s="440">
        <v>-15</v>
      </c>
      <c r="EX56" s="440">
        <v>-11</v>
      </c>
      <c r="EY56" s="440">
        <v>-7</v>
      </c>
      <c r="EZ56" s="440">
        <v>-4</v>
      </c>
      <c r="FA56" s="442">
        <f t="shared" si="32"/>
        <v>-2</v>
      </c>
      <c r="FB56" s="440">
        <v>0</v>
      </c>
      <c r="FC56" s="442">
        <f t="shared" si="33"/>
        <v>2</v>
      </c>
      <c r="FD56" s="440">
        <v>4</v>
      </c>
      <c r="FE56" s="435">
        <v>7700</v>
      </c>
      <c r="FF56" s="440">
        <v>2</v>
      </c>
      <c r="FG56" s="440">
        <v>1</v>
      </c>
      <c r="FH56" s="440">
        <v>1</v>
      </c>
      <c r="FI56" s="440">
        <v>1</v>
      </c>
      <c r="FJ56" s="440">
        <v>1</v>
      </c>
      <c r="FK56" s="440">
        <v>0</v>
      </c>
      <c r="FL56" s="442">
        <f t="shared" si="11"/>
        <v>0</v>
      </c>
      <c r="FM56" s="440">
        <v>0</v>
      </c>
      <c r="FN56" s="442">
        <f t="shared" si="34"/>
        <v>0</v>
      </c>
      <c r="FO56" s="441">
        <v>0</v>
      </c>
      <c r="FP56" s="435">
        <v>7700</v>
      </c>
      <c r="FQ56" s="440">
        <v>-22</v>
      </c>
      <c r="FR56" s="440">
        <v>-19</v>
      </c>
      <c r="FS56" s="440">
        <v>-15</v>
      </c>
      <c r="FT56" s="440">
        <v>-11</v>
      </c>
      <c r="FU56" s="440">
        <v>-7</v>
      </c>
      <c r="FV56" s="440">
        <v>-4</v>
      </c>
      <c r="FW56" s="442">
        <f t="shared" si="12"/>
        <v>-2</v>
      </c>
      <c r="FX56" s="440">
        <v>0</v>
      </c>
      <c r="FY56" s="442">
        <f t="shared" si="35"/>
        <v>2</v>
      </c>
      <c r="FZ56" s="440">
        <v>4</v>
      </c>
      <c r="GA56" s="435">
        <v>7700</v>
      </c>
      <c r="GB56" s="440">
        <v>-35</v>
      </c>
      <c r="GC56" s="440">
        <v>-29</v>
      </c>
      <c r="GD56" s="440">
        <v>-23</v>
      </c>
      <c r="GE56" s="440">
        <v>-17</v>
      </c>
      <c r="GF56" s="440">
        <v>-12</v>
      </c>
      <c r="GG56" s="440">
        <v>-6</v>
      </c>
      <c r="GH56" s="442">
        <f t="shared" si="13"/>
        <v>-3</v>
      </c>
      <c r="GI56" s="440">
        <v>0</v>
      </c>
      <c r="GJ56" s="442">
        <f t="shared" si="36"/>
        <v>3</v>
      </c>
      <c r="GK56" s="441">
        <v>6</v>
      </c>
      <c r="GL56" s="435">
        <v>7700</v>
      </c>
      <c r="GM56" s="440">
        <v>-34</v>
      </c>
      <c r="GN56" s="440">
        <v>-28</v>
      </c>
      <c r="GO56" s="440">
        <v>-23</v>
      </c>
      <c r="GP56" s="440">
        <v>-17</v>
      </c>
      <c r="GQ56" s="440">
        <v>-11</v>
      </c>
      <c r="GR56" s="440">
        <v>-6</v>
      </c>
      <c r="GS56" s="442">
        <f t="shared" si="14"/>
        <v>-3</v>
      </c>
      <c r="GT56" s="440">
        <v>0</v>
      </c>
      <c r="GU56" s="442">
        <f t="shared" si="37"/>
        <v>3</v>
      </c>
      <c r="GV56" s="441">
        <v>6</v>
      </c>
    </row>
    <row r="57" spans="7:204">
      <c r="G57" s="435">
        <v>7600</v>
      </c>
      <c r="H57" s="445">
        <v>34</v>
      </c>
      <c r="I57" s="249">
        <v>28</v>
      </c>
      <c r="J57" s="249">
        <v>24</v>
      </c>
      <c r="K57" s="249">
        <v>17</v>
      </c>
      <c r="L57" s="249">
        <v>11</v>
      </c>
      <c r="M57" s="249">
        <v>6</v>
      </c>
      <c r="N57" s="249">
        <f t="shared" si="15"/>
        <v>3</v>
      </c>
      <c r="O57" s="249">
        <v>0</v>
      </c>
      <c r="P57" s="249">
        <f t="shared" si="16"/>
        <v>-3</v>
      </c>
      <c r="Q57" s="446">
        <v>-6</v>
      </c>
      <c r="R57" s="435">
        <v>7600</v>
      </c>
      <c r="S57" s="248">
        <v>11</v>
      </c>
      <c r="T57" s="248">
        <v>9</v>
      </c>
      <c r="U57" s="248">
        <v>7</v>
      </c>
      <c r="V57" s="248">
        <v>5</v>
      </c>
      <c r="W57" s="248">
        <v>4</v>
      </c>
      <c r="X57" s="248">
        <v>2</v>
      </c>
      <c r="Y57" s="249">
        <f t="shared" si="17"/>
        <v>1</v>
      </c>
      <c r="Z57" s="248">
        <v>0</v>
      </c>
      <c r="AA57" s="439">
        <f t="shared" si="18"/>
        <v>-1</v>
      </c>
      <c r="AB57" s="248">
        <v>-2</v>
      </c>
      <c r="AC57" s="435">
        <v>7600</v>
      </c>
      <c r="AD57" s="440">
        <v>-33</v>
      </c>
      <c r="AE57" s="440">
        <v>-27</v>
      </c>
      <c r="AF57" s="440">
        <v>-22</v>
      </c>
      <c r="AG57" s="440">
        <v>-16</v>
      </c>
      <c r="AH57" s="440">
        <v>-11</v>
      </c>
      <c r="AI57" s="440">
        <v>-5</v>
      </c>
      <c r="AJ57" s="249">
        <f t="shared" si="19"/>
        <v>-2.5</v>
      </c>
      <c r="AK57" s="248">
        <v>0</v>
      </c>
      <c r="AL57" s="439">
        <f t="shared" si="20"/>
        <v>2.5</v>
      </c>
      <c r="AM57" s="441">
        <v>5</v>
      </c>
      <c r="AN57" s="435">
        <v>7600</v>
      </c>
      <c r="AO57" s="440">
        <v>-57</v>
      </c>
      <c r="AP57" s="440">
        <v>-47</v>
      </c>
      <c r="AQ57" s="440">
        <v>-38</v>
      </c>
      <c r="AR57" s="440">
        <v>-28</v>
      </c>
      <c r="AS57" s="440">
        <v>-19</v>
      </c>
      <c r="AT57" s="440">
        <v>-9</v>
      </c>
      <c r="AU57" s="442">
        <f t="shared" si="2"/>
        <v>-4.5</v>
      </c>
      <c r="AV57" s="440">
        <v>0</v>
      </c>
      <c r="AW57" s="442">
        <f t="shared" si="21"/>
        <v>4.5</v>
      </c>
      <c r="AX57" s="441">
        <v>9</v>
      </c>
      <c r="AY57" s="435">
        <v>7600</v>
      </c>
      <c r="AZ57" s="440">
        <v>4</v>
      </c>
      <c r="BA57" s="440">
        <v>3</v>
      </c>
      <c r="BB57" s="440">
        <v>2</v>
      </c>
      <c r="BC57" s="440">
        <v>2</v>
      </c>
      <c r="BD57" s="440">
        <v>1</v>
      </c>
      <c r="BE57" s="440">
        <v>1</v>
      </c>
      <c r="BF57" s="442">
        <f t="shared" si="3"/>
        <v>0.5</v>
      </c>
      <c r="BG57" s="440">
        <v>0</v>
      </c>
      <c r="BH57" s="442">
        <f t="shared" si="22"/>
        <v>-0.5</v>
      </c>
      <c r="BI57" s="441">
        <v>-1</v>
      </c>
      <c r="BJ57" s="447">
        <v>7600</v>
      </c>
      <c r="BK57" s="440">
        <v>-31</v>
      </c>
      <c r="BL57" s="440">
        <v>-26</v>
      </c>
      <c r="BM57" s="440">
        <v>-21</v>
      </c>
      <c r="BN57" s="440">
        <v>-16</v>
      </c>
      <c r="BO57" s="440">
        <v>-10</v>
      </c>
      <c r="BP57" s="440">
        <v>-5</v>
      </c>
      <c r="BQ57" s="442">
        <f t="shared" si="4"/>
        <v>-2.5</v>
      </c>
      <c r="BR57" s="440">
        <v>0</v>
      </c>
      <c r="BS57" s="442">
        <f t="shared" si="23"/>
        <v>2.5</v>
      </c>
      <c r="BT57" s="440">
        <v>5</v>
      </c>
      <c r="BU57" s="435">
        <v>7600</v>
      </c>
      <c r="BV57" s="440">
        <v>1</v>
      </c>
      <c r="BW57" s="440">
        <v>1</v>
      </c>
      <c r="BX57" s="440">
        <v>1</v>
      </c>
      <c r="BY57" s="440">
        <v>1</v>
      </c>
      <c r="BZ57" s="440">
        <v>0</v>
      </c>
      <c r="CA57" s="440">
        <v>0</v>
      </c>
      <c r="CB57" s="442">
        <f t="shared" si="5"/>
        <v>0</v>
      </c>
      <c r="CC57" s="440">
        <v>0</v>
      </c>
      <c r="CD57" s="442">
        <f t="shared" si="24"/>
        <v>0</v>
      </c>
      <c r="CE57" s="441">
        <v>0</v>
      </c>
      <c r="CF57" s="435">
        <v>7600</v>
      </c>
      <c r="CG57" s="440">
        <v>-23</v>
      </c>
      <c r="CH57" s="440">
        <v>-19</v>
      </c>
      <c r="CI57" s="440">
        <v>-15</v>
      </c>
      <c r="CJ57" s="440">
        <v>-11</v>
      </c>
      <c r="CK57" s="440">
        <v>-8</v>
      </c>
      <c r="CL57" s="440">
        <v>-4</v>
      </c>
      <c r="CM57" s="442">
        <f t="shared" si="6"/>
        <v>-2</v>
      </c>
      <c r="CN57" s="440">
        <v>0</v>
      </c>
      <c r="CO57" s="442">
        <f t="shared" si="25"/>
        <v>2</v>
      </c>
      <c r="CP57" s="441">
        <v>4</v>
      </c>
      <c r="CQ57" s="435">
        <v>7600</v>
      </c>
      <c r="CR57" s="440">
        <v>1</v>
      </c>
      <c r="CS57" s="440">
        <v>1</v>
      </c>
      <c r="CT57" s="440">
        <v>1</v>
      </c>
      <c r="CU57" s="440">
        <v>1</v>
      </c>
      <c r="CV57" s="440">
        <v>0</v>
      </c>
      <c r="CW57" s="440">
        <v>0</v>
      </c>
      <c r="CX57" s="442">
        <f t="shared" si="7"/>
        <v>0</v>
      </c>
      <c r="CY57" s="440">
        <v>0</v>
      </c>
      <c r="CZ57" s="442">
        <f t="shared" si="26"/>
        <v>0</v>
      </c>
      <c r="DA57" s="441">
        <v>0</v>
      </c>
      <c r="DB57" s="435">
        <v>7600</v>
      </c>
      <c r="DC57" s="440">
        <v>-21</v>
      </c>
      <c r="DD57" s="440">
        <v>-17</v>
      </c>
      <c r="DE57" s="440">
        <v>-14</v>
      </c>
      <c r="DF57" s="440">
        <v>-10</v>
      </c>
      <c r="DG57" s="440">
        <v>-7</v>
      </c>
      <c r="DH57" s="440">
        <v>-3</v>
      </c>
      <c r="DI57" s="442">
        <f t="shared" si="8"/>
        <v>-1.5</v>
      </c>
      <c r="DJ57" s="440">
        <v>0</v>
      </c>
      <c r="DK57" s="442">
        <f t="shared" si="27"/>
        <v>1.5</v>
      </c>
      <c r="DL57" s="441">
        <v>3</v>
      </c>
      <c r="DM57" s="435">
        <v>7600</v>
      </c>
      <c r="DN57" s="440">
        <v>1</v>
      </c>
      <c r="DO57" s="440">
        <v>1</v>
      </c>
      <c r="DP57" s="440">
        <v>1</v>
      </c>
      <c r="DQ57" s="440">
        <v>1</v>
      </c>
      <c r="DR57" s="440">
        <v>0</v>
      </c>
      <c r="DS57" s="440">
        <v>0</v>
      </c>
      <c r="DT57" s="442">
        <f t="shared" si="9"/>
        <v>0</v>
      </c>
      <c r="DU57" s="440">
        <v>0</v>
      </c>
      <c r="DV57" s="442">
        <f t="shared" si="28"/>
        <v>0</v>
      </c>
      <c r="DW57" s="441">
        <v>0</v>
      </c>
      <c r="DX57" s="435">
        <v>7600</v>
      </c>
      <c r="DY57" s="440">
        <v>-24</v>
      </c>
      <c r="DZ57" s="440">
        <v>-20</v>
      </c>
      <c r="EA57" s="440">
        <v>-16</v>
      </c>
      <c r="EB57" s="440">
        <v>-12</v>
      </c>
      <c r="EC57" s="440">
        <v>-8</v>
      </c>
      <c r="ED57" s="440">
        <v>-4</v>
      </c>
      <c r="EE57" s="442">
        <f t="shared" si="10"/>
        <v>-2</v>
      </c>
      <c r="EF57" s="440">
        <v>0</v>
      </c>
      <c r="EG57" s="442">
        <f t="shared" si="29"/>
        <v>2</v>
      </c>
      <c r="EH57" s="440">
        <v>4</v>
      </c>
      <c r="EI57" s="435">
        <v>7600</v>
      </c>
      <c r="EJ57" s="440">
        <v>3</v>
      </c>
      <c r="EK57" s="440">
        <v>3</v>
      </c>
      <c r="EL57" s="440">
        <v>2</v>
      </c>
      <c r="EM57" s="440">
        <v>2</v>
      </c>
      <c r="EN57" s="440">
        <v>1</v>
      </c>
      <c r="EO57" s="440">
        <v>1</v>
      </c>
      <c r="EP57" s="442">
        <f t="shared" si="30"/>
        <v>0.5</v>
      </c>
      <c r="EQ57" s="440">
        <v>0</v>
      </c>
      <c r="ER57" s="442">
        <f t="shared" si="31"/>
        <v>-0.5</v>
      </c>
      <c r="ES57" s="441">
        <v>-1</v>
      </c>
      <c r="ET57" s="435">
        <v>7600</v>
      </c>
      <c r="EU57" s="440">
        <v>-22</v>
      </c>
      <c r="EV57" s="440">
        <v>-19</v>
      </c>
      <c r="EW57" s="440">
        <v>-15</v>
      </c>
      <c r="EX57" s="440">
        <v>-11</v>
      </c>
      <c r="EY57" s="440">
        <v>-7</v>
      </c>
      <c r="EZ57" s="440">
        <v>-4</v>
      </c>
      <c r="FA57" s="442">
        <f t="shared" si="32"/>
        <v>-2</v>
      </c>
      <c r="FB57" s="440">
        <v>0</v>
      </c>
      <c r="FC57" s="442">
        <f t="shared" si="33"/>
        <v>2</v>
      </c>
      <c r="FD57" s="440">
        <v>4</v>
      </c>
      <c r="FE57" s="435">
        <v>7600</v>
      </c>
      <c r="FF57" s="440">
        <v>2</v>
      </c>
      <c r="FG57" s="440">
        <v>1</v>
      </c>
      <c r="FH57" s="440">
        <v>1</v>
      </c>
      <c r="FI57" s="440">
        <v>1</v>
      </c>
      <c r="FJ57" s="440">
        <v>1</v>
      </c>
      <c r="FK57" s="440">
        <v>0</v>
      </c>
      <c r="FL57" s="442">
        <f t="shared" si="11"/>
        <v>0</v>
      </c>
      <c r="FM57" s="440">
        <v>0</v>
      </c>
      <c r="FN57" s="442">
        <f t="shared" si="34"/>
        <v>0</v>
      </c>
      <c r="FO57" s="441">
        <v>0</v>
      </c>
      <c r="FP57" s="435">
        <v>7600</v>
      </c>
      <c r="FQ57" s="440">
        <v>-22</v>
      </c>
      <c r="FR57" s="440">
        <v>-19</v>
      </c>
      <c r="FS57" s="440">
        <v>-15</v>
      </c>
      <c r="FT57" s="440">
        <v>-11</v>
      </c>
      <c r="FU57" s="440">
        <v>-7</v>
      </c>
      <c r="FV57" s="440">
        <v>-4</v>
      </c>
      <c r="FW57" s="442">
        <f t="shared" si="12"/>
        <v>-2</v>
      </c>
      <c r="FX57" s="440">
        <v>0</v>
      </c>
      <c r="FY57" s="442">
        <f t="shared" si="35"/>
        <v>2</v>
      </c>
      <c r="FZ57" s="440">
        <v>4</v>
      </c>
      <c r="GA57" s="435">
        <v>7600</v>
      </c>
      <c r="GB57" s="440">
        <v>-35</v>
      </c>
      <c r="GC57" s="440">
        <v>-29</v>
      </c>
      <c r="GD57" s="440">
        <v>-23</v>
      </c>
      <c r="GE57" s="440">
        <v>-17</v>
      </c>
      <c r="GF57" s="440">
        <v>-12</v>
      </c>
      <c r="GG57" s="440">
        <v>-6</v>
      </c>
      <c r="GH57" s="442">
        <f t="shared" si="13"/>
        <v>-3</v>
      </c>
      <c r="GI57" s="440">
        <v>0</v>
      </c>
      <c r="GJ57" s="442">
        <f t="shared" si="36"/>
        <v>3</v>
      </c>
      <c r="GK57" s="441">
        <v>6</v>
      </c>
      <c r="GL57" s="435">
        <v>7600</v>
      </c>
      <c r="GM57" s="440">
        <v>-34</v>
      </c>
      <c r="GN57" s="440">
        <v>-28</v>
      </c>
      <c r="GO57" s="440">
        <v>-23</v>
      </c>
      <c r="GP57" s="440">
        <v>-17</v>
      </c>
      <c r="GQ57" s="440">
        <v>-11</v>
      </c>
      <c r="GR57" s="440">
        <v>-6</v>
      </c>
      <c r="GS57" s="442">
        <f t="shared" si="14"/>
        <v>-3</v>
      </c>
      <c r="GT57" s="440">
        <v>0</v>
      </c>
      <c r="GU57" s="442">
        <f t="shared" si="37"/>
        <v>3</v>
      </c>
      <c r="GV57" s="441">
        <v>6</v>
      </c>
    </row>
    <row r="58" spans="7:204">
      <c r="G58" s="435">
        <v>7500</v>
      </c>
      <c r="H58" s="445">
        <v>34</v>
      </c>
      <c r="I58" s="249">
        <v>28</v>
      </c>
      <c r="J58" s="249">
        <v>24</v>
      </c>
      <c r="K58" s="249">
        <v>17</v>
      </c>
      <c r="L58" s="249">
        <v>11</v>
      </c>
      <c r="M58" s="249">
        <v>6</v>
      </c>
      <c r="N58" s="249">
        <f t="shared" si="15"/>
        <v>3</v>
      </c>
      <c r="O58" s="249">
        <v>0</v>
      </c>
      <c r="P58" s="249">
        <f t="shared" si="16"/>
        <v>-3</v>
      </c>
      <c r="Q58" s="446">
        <v>-6</v>
      </c>
      <c r="R58" s="435">
        <v>7500</v>
      </c>
      <c r="S58" s="248">
        <v>11</v>
      </c>
      <c r="T58" s="248">
        <v>9</v>
      </c>
      <c r="U58" s="248">
        <v>7</v>
      </c>
      <c r="V58" s="248">
        <v>5</v>
      </c>
      <c r="W58" s="248">
        <v>4</v>
      </c>
      <c r="X58" s="248">
        <v>2</v>
      </c>
      <c r="Y58" s="249">
        <f t="shared" si="17"/>
        <v>1</v>
      </c>
      <c r="Z58" s="248">
        <v>0</v>
      </c>
      <c r="AA58" s="439">
        <f t="shared" si="18"/>
        <v>-1</v>
      </c>
      <c r="AB58" s="248">
        <v>-2</v>
      </c>
      <c r="AC58" s="435">
        <v>7500</v>
      </c>
      <c r="AD58" s="440">
        <v>-33</v>
      </c>
      <c r="AE58" s="440">
        <v>-27</v>
      </c>
      <c r="AF58" s="440">
        <v>-22</v>
      </c>
      <c r="AG58" s="440">
        <v>-16</v>
      </c>
      <c r="AH58" s="440">
        <v>-11</v>
      </c>
      <c r="AI58" s="440">
        <v>-5</v>
      </c>
      <c r="AJ58" s="249">
        <f t="shared" si="19"/>
        <v>-2.5</v>
      </c>
      <c r="AK58" s="248">
        <v>0</v>
      </c>
      <c r="AL58" s="439">
        <f t="shared" si="20"/>
        <v>2.5</v>
      </c>
      <c r="AM58" s="441">
        <v>5</v>
      </c>
      <c r="AN58" s="435">
        <v>7500</v>
      </c>
      <c r="AO58" s="440">
        <v>-56</v>
      </c>
      <c r="AP58" s="440">
        <v>-47</v>
      </c>
      <c r="AQ58" s="440">
        <v>-38</v>
      </c>
      <c r="AR58" s="440">
        <v>-28</v>
      </c>
      <c r="AS58" s="440">
        <v>-19</v>
      </c>
      <c r="AT58" s="440">
        <v>-9</v>
      </c>
      <c r="AU58" s="442">
        <f t="shared" si="2"/>
        <v>-4.5</v>
      </c>
      <c r="AV58" s="440">
        <v>0</v>
      </c>
      <c r="AW58" s="442">
        <f t="shared" si="21"/>
        <v>4.5</v>
      </c>
      <c r="AX58" s="441">
        <v>9</v>
      </c>
      <c r="AY58" s="435">
        <v>7500</v>
      </c>
      <c r="AZ58" s="440">
        <v>4</v>
      </c>
      <c r="BA58" s="440">
        <v>3</v>
      </c>
      <c r="BB58" s="440">
        <v>2</v>
      </c>
      <c r="BC58" s="440">
        <v>2</v>
      </c>
      <c r="BD58" s="440">
        <v>1</v>
      </c>
      <c r="BE58" s="440">
        <v>1</v>
      </c>
      <c r="BF58" s="442">
        <f t="shared" si="3"/>
        <v>0.5</v>
      </c>
      <c r="BG58" s="440">
        <v>0</v>
      </c>
      <c r="BH58" s="442">
        <f t="shared" si="22"/>
        <v>-0.5</v>
      </c>
      <c r="BI58" s="441">
        <v>-1</v>
      </c>
      <c r="BJ58" s="447">
        <v>7500</v>
      </c>
      <c r="BK58" s="440">
        <v>-31</v>
      </c>
      <c r="BL58" s="440">
        <v>-26</v>
      </c>
      <c r="BM58" s="440">
        <v>-21</v>
      </c>
      <c r="BN58" s="440">
        <v>-16</v>
      </c>
      <c r="BO58" s="440">
        <v>-10</v>
      </c>
      <c r="BP58" s="440">
        <v>-5</v>
      </c>
      <c r="BQ58" s="442">
        <f t="shared" si="4"/>
        <v>-2.5</v>
      </c>
      <c r="BR58" s="440">
        <v>0</v>
      </c>
      <c r="BS58" s="442">
        <f t="shared" si="23"/>
        <v>2.5</v>
      </c>
      <c r="BT58" s="440">
        <v>5</v>
      </c>
      <c r="BU58" s="435">
        <v>7500</v>
      </c>
      <c r="BV58" s="440">
        <v>1</v>
      </c>
      <c r="BW58" s="440">
        <v>1</v>
      </c>
      <c r="BX58" s="440">
        <v>1</v>
      </c>
      <c r="BY58" s="440">
        <v>1</v>
      </c>
      <c r="BZ58" s="440">
        <v>0</v>
      </c>
      <c r="CA58" s="440">
        <v>0</v>
      </c>
      <c r="CB58" s="442">
        <f t="shared" si="5"/>
        <v>0</v>
      </c>
      <c r="CC58" s="440">
        <v>0</v>
      </c>
      <c r="CD58" s="442">
        <f t="shared" si="24"/>
        <v>0</v>
      </c>
      <c r="CE58" s="441">
        <v>0</v>
      </c>
      <c r="CF58" s="435">
        <v>7500</v>
      </c>
      <c r="CG58" s="440">
        <v>-23</v>
      </c>
      <c r="CH58" s="440">
        <v>-19</v>
      </c>
      <c r="CI58" s="440">
        <v>-15</v>
      </c>
      <c r="CJ58" s="440">
        <v>-11</v>
      </c>
      <c r="CK58" s="440">
        <v>-8</v>
      </c>
      <c r="CL58" s="440">
        <v>-4</v>
      </c>
      <c r="CM58" s="442">
        <f t="shared" si="6"/>
        <v>-2</v>
      </c>
      <c r="CN58" s="440">
        <v>0</v>
      </c>
      <c r="CO58" s="442">
        <f t="shared" si="25"/>
        <v>2</v>
      </c>
      <c r="CP58" s="441">
        <v>4</v>
      </c>
      <c r="CQ58" s="435">
        <v>7500</v>
      </c>
      <c r="CR58" s="440">
        <v>1</v>
      </c>
      <c r="CS58" s="440">
        <v>1</v>
      </c>
      <c r="CT58" s="440">
        <v>1</v>
      </c>
      <c r="CU58" s="440">
        <v>1</v>
      </c>
      <c r="CV58" s="440">
        <v>0</v>
      </c>
      <c r="CW58" s="440">
        <v>0</v>
      </c>
      <c r="CX58" s="442">
        <f t="shared" si="7"/>
        <v>0</v>
      </c>
      <c r="CY58" s="440">
        <v>0</v>
      </c>
      <c r="CZ58" s="442">
        <f t="shared" si="26"/>
        <v>0</v>
      </c>
      <c r="DA58" s="441">
        <v>0</v>
      </c>
      <c r="DB58" s="435">
        <v>7500</v>
      </c>
      <c r="DC58" s="440">
        <v>-21</v>
      </c>
      <c r="DD58" s="440">
        <v>-17</v>
      </c>
      <c r="DE58" s="440">
        <v>-14</v>
      </c>
      <c r="DF58" s="440">
        <v>-10</v>
      </c>
      <c r="DG58" s="440">
        <v>-7</v>
      </c>
      <c r="DH58" s="440">
        <v>-3</v>
      </c>
      <c r="DI58" s="442">
        <f t="shared" si="8"/>
        <v>-1.5</v>
      </c>
      <c r="DJ58" s="440">
        <v>0</v>
      </c>
      <c r="DK58" s="442">
        <f t="shared" si="27"/>
        <v>1.5</v>
      </c>
      <c r="DL58" s="441">
        <v>3</v>
      </c>
      <c r="DM58" s="435">
        <v>7500</v>
      </c>
      <c r="DN58" s="440">
        <v>1</v>
      </c>
      <c r="DO58" s="440">
        <v>1</v>
      </c>
      <c r="DP58" s="440">
        <v>1</v>
      </c>
      <c r="DQ58" s="440">
        <v>1</v>
      </c>
      <c r="DR58" s="440">
        <v>0</v>
      </c>
      <c r="DS58" s="440">
        <v>0</v>
      </c>
      <c r="DT58" s="442">
        <f t="shared" si="9"/>
        <v>0</v>
      </c>
      <c r="DU58" s="440">
        <v>0</v>
      </c>
      <c r="DV58" s="442">
        <f t="shared" si="28"/>
        <v>0</v>
      </c>
      <c r="DW58" s="441">
        <v>0</v>
      </c>
      <c r="DX58" s="435">
        <v>7500</v>
      </c>
      <c r="DY58" s="440">
        <v>-24</v>
      </c>
      <c r="DZ58" s="440">
        <v>-20</v>
      </c>
      <c r="EA58" s="440">
        <v>-16</v>
      </c>
      <c r="EB58" s="440">
        <v>-12</v>
      </c>
      <c r="EC58" s="440">
        <v>-8</v>
      </c>
      <c r="ED58" s="440">
        <v>-4</v>
      </c>
      <c r="EE58" s="442">
        <f t="shared" si="10"/>
        <v>-2</v>
      </c>
      <c r="EF58" s="440">
        <v>0</v>
      </c>
      <c r="EG58" s="442">
        <f t="shared" si="29"/>
        <v>2</v>
      </c>
      <c r="EH58" s="440">
        <v>4</v>
      </c>
      <c r="EI58" s="435">
        <v>7500</v>
      </c>
      <c r="EJ58" s="440">
        <v>3</v>
      </c>
      <c r="EK58" s="440">
        <v>3</v>
      </c>
      <c r="EL58" s="440">
        <v>2</v>
      </c>
      <c r="EM58" s="440">
        <v>2</v>
      </c>
      <c r="EN58" s="440">
        <v>1</v>
      </c>
      <c r="EO58" s="440">
        <v>1</v>
      </c>
      <c r="EP58" s="442">
        <f t="shared" si="30"/>
        <v>0.5</v>
      </c>
      <c r="EQ58" s="440">
        <v>0</v>
      </c>
      <c r="ER58" s="442">
        <f t="shared" si="31"/>
        <v>-0.5</v>
      </c>
      <c r="ES58" s="441">
        <v>-1</v>
      </c>
      <c r="ET58" s="435">
        <v>7500</v>
      </c>
      <c r="EU58" s="440">
        <v>-22</v>
      </c>
      <c r="EV58" s="440">
        <v>-19</v>
      </c>
      <c r="EW58" s="440">
        <v>-15</v>
      </c>
      <c r="EX58" s="440">
        <v>-11</v>
      </c>
      <c r="EY58" s="440">
        <v>-7</v>
      </c>
      <c r="EZ58" s="440">
        <v>-4</v>
      </c>
      <c r="FA58" s="442">
        <f t="shared" si="32"/>
        <v>-2</v>
      </c>
      <c r="FB58" s="440">
        <v>0</v>
      </c>
      <c r="FC58" s="442">
        <f t="shared" si="33"/>
        <v>2</v>
      </c>
      <c r="FD58" s="440">
        <v>4</v>
      </c>
      <c r="FE58" s="435">
        <v>7500</v>
      </c>
      <c r="FF58" s="440">
        <v>2</v>
      </c>
      <c r="FG58" s="440">
        <v>1</v>
      </c>
      <c r="FH58" s="440">
        <v>1</v>
      </c>
      <c r="FI58" s="440">
        <v>1</v>
      </c>
      <c r="FJ58" s="440">
        <v>1</v>
      </c>
      <c r="FK58" s="440">
        <v>0</v>
      </c>
      <c r="FL58" s="442">
        <f t="shared" si="11"/>
        <v>0</v>
      </c>
      <c r="FM58" s="440">
        <v>0</v>
      </c>
      <c r="FN58" s="442">
        <f t="shared" si="34"/>
        <v>0</v>
      </c>
      <c r="FO58" s="441">
        <v>0</v>
      </c>
      <c r="FP58" s="435">
        <v>7500</v>
      </c>
      <c r="FQ58" s="440">
        <v>-23</v>
      </c>
      <c r="FR58" s="440">
        <v>-19</v>
      </c>
      <c r="FS58" s="440">
        <v>-15</v>
      </c>
      <c r="FT58" s="440">
        <v>-11</v>
      </c>
      <c r="FU58" s="440">
        <v>-8</v>
      </c>
      <c r="FV58" s="440">
        <v>-4</v>
      </c>
      <c r="FW58" s="442">
        <f t="shared" si="12"/>
        <v>-2</v>
      </c>
      <c r="FX58" s="440">
        <v>0</v>
      </c>
      <c r="FY58" s="442">
        <f t="shared" si="35"/>
        <v>2</v>
      </c>
      <c r="FZ58" s="440">
        <v>4</v>
      </c>
      <c r="GA58" s="435">
        <v>7500</v>
      </c>
      <c r="GB58" s="440">
        <v>-35</v>
      </c>
      <c r="GC58" s="440">
        <v>-29</v>
      </c>
      <c r="GD58" s="440">
        <v>-23</v>
      </c>
      <c r="GE58" s="440">
        <v>-18</v>
      </c>
      <c r="GF58" s="440">
        <v>-12</v>
      </c>
      <c r="GG58" s="440">
        <v>-6</v>
      </c>
      <c r="GH58" s="442">
        <f t="shared" si="13"/>
        <v>-3</v>
      </c>
      <c r="GI58" s="440">
        <v>0</v>
      </c>
      <c r="GJ58" s="442">
        <f t="shared" si="36"/>
        <v>3</v>
      </c>
      <c r="GK58" s="441">
        <v>6</v>
      </c>
      <c r="GL58" s="435">
        <v>7500</v>
      </c>
      <c r="GM58" s="440">
        <v>-34</v>
      </c>
      <c r="GN58" s="440">
        <v>-29</v>
      </c>
      <c r="GO58" s="440">
        <v>-23</v>
      </c>
      <c r="GP58" s="440">
        <v>-17</v>
      </c>
      <c r="GQ58" s="440">
        <v>-11</v>
      </c>
      <c r="GR58" s="440">
        <v>-6</v>
      </c>
      <c r="GS58" s="442">
        <f t="shared" si="14"/>
        <v>-3</v>
      </c>
      <c r="GT58" s="440">
        <v>0</v>
      </c>
      <c r="GU58" s="442">
        <f t="shared" si="37"/>
        <v>3</v>
      </c>
      <c r="GV58" s="441">
        <v>6</v>
      </c>
    </row>
    <row r="59" spans="7:204">
      <c r="G59" s="435">
        <v>7400</v>
      </c>
      <c r="H59" s="445">
        <v>34</v>
      </c>
      <c r="I59" s="249">
        <v>28</v>
      </c>
      <c r="J59" s="249">
        <v>24</v>
      </c>
      <c r="K59" s="249">
        <v>17</v>
      </c>
      <c r="L59" s="249">
        <v>11</v>
      </c>
      <c r="M59" s="249">
        <v>6</v>
      </c>
      <c r="N59" s="249">
        <f t="shared" si="15"/>
        <v>3</v>
      </c>
      <c r="O59" s="249">
        <v>0</v>
      </c>
      <c r="P59" s="249">
        <f t="shared" si="16"/>
        <v>-3</v>
      </c>
      <c r="Q59" s="446">
        <v>-6</v>
      </c>
      <c r="R59" s="435">
        <v>7400</v>
      </c>
      <c r="S59" s="248">
        <v>11</v>
      </c>
      <c r="T59" s="248">
        <v>9</v>
      </c>
      <c r="U59" s="248">
        <v>7</v>
      </c>
      <c r="V59" s="248">
        <v>5</v>
      </c>
      <c r="W59" s="248">
        <v>4</v>
      </c>
      <c r="X59" s="248">
        <v>2</v>
      </c>
      <c r="Y59" s="249">
        <f t="shared" si="17"/>
        <v>1</v>
      </c>
      <c r="Z59" s="248">
        <v>0</v>
      </c>
      <c r="AA59" s="439">
        <f t="shared" si="18"/>
        <v>-1</v>
      </c>
      <c r="AB59" s="248">
        <v>-2</v>
      </c>
      <c r="AC59" s="435">
        <v>7400</v>
      </c>
      <c r="AD59" s="440">
        <v>-33</v>
      </c>
      <c r="AE59" s="440">
        <v>-27</v>
      </c>
      <c r="AF59" s="440">
        <v>-22</v>
      </c>
      <c r="AG59" s="440">
        <v>-16</v>
      </c>
      <c r="AH59" s="440">
        <v>-11</v>
      </c>
      <c r="AI59" s="440">
        <v>-5</v>
      </c>
      <c r="AJ59" s="249">
        <f t="shared" si="19"/>
        <v>-2.5</v>
      </c>
      <c r="AK59" s="248">
        <v>0</v>
      </c>
      <c r="AL59" s="439">
        <f t="shared" si="20"/>
        <v>2.5</v>
      </c>
      <c r="AM59" s="441">
        <v>5</v>
      </c>
      <c r="AN59" s="435">
        <v>7400</v>
      </c>
      <c r="AO59" s="440">
        <v>-56</v>
      </c>
      <c r="AP59" s="440">
        <v>-47</v>
      </c>
      <c r="AQ59" s="440">
        <v>-38</v>
      </c>
      <c r="AR59" s="440">
        <v>-28</v>
      </c>
      <c r="AS59" s="440">
        <v>-19</v>
      </c>
      <c r="AT59" s="440">
        <v>-9</v>
      </c>
      <c r="AU59" s="442">
        <f t="shared" si="2"/>
        <v>-4.5</v>
      </c>
      <c r="AV59" s="440">
        <v>0</v>
      </c>
      <c r="AW59" s="442">
        <f t="shared" si="21"/>
        <v>4.5</v>
      </c>
      <c r="AX59" s="441">
        <v>9</v>
      </c>
      <c r="AY59" s="435">
        <v>7400</v>
      </c>
      <c r="AZ59" s="440">
        <v>4</v>
      </c>
      <c r="BA59" s="440">
        <v>3</v>
      </c>
      <c r="BB59" s="440">
        <v>2</v>
      </c>
      <c r="BC59" s="440">
        <v>2</v>
      </c>
      <c r="BD59" s="440">
        <v>1</v>
      </c>
      <c r="BE59" s="440">
        <v>1</v>
      </c>
      <c r="BF59" s="442">
        <f t="shared" si="3"/>
        <v>0.5</v>
      </c>
      <c r="BG59" s="440">
        <v>0</v>
      </c>
      <c r="BH59" s="442">
        <f t="shared" si="22"/>
        <v>-0.5</v>
      </c>
      <c r="BI59" s="441">
        <v>-1</v>
      </c>
      <c r="BJ59" s="447">
        <v>7400</v>
      </c>
      <c r="BK59" s="440">
        <v>-31</v>
      </c>
      <c r="BL59" s="440">
        <v>-26</v>
      </c>
      <c r="BM59" s="440">
        <v>-21</v>
      </c>
      <c r="BN59" s="440">
        <v>-16</v>
      </c>
      <c r="BO59" s="440">
        <v>-10</v>
      </c>
      <c r="BP59" s="440">
        <v>-5</v>
      </c>
      <c r="BQ59" s="442">
        <f t="shared" si="4"/>
        <v>-2.5</v>
      </c>
      <c r="BR59" s="440">
        <v>0</v>
      </c>
      <c r="BS59" s="442">
        <f t="shared" si="23"/>
        <v>2.5</v>
      </c>
      <c r="BT59" s="440">
        <v>5</v>
      </c>
      <c r="BU59" s="435">
        <v>7400</v>
      </c>
      <c r="BV59" s="440">
        <v>1</v>
      </c>
      <c r="BW59" s="440">
        <v>1</v>
      </c>
      <c r="BX59" s="440">
        <v>1</v>
      </c>
      <c r="BY59" s="440">
        <v>1</v>
      </c>
      <c r="BZ59" s="440">
        <v>0</v>
      </c>
      <c r="CA59" s="440">
        <v>0</v>
      </c>
      <c r="CB59" s="442">
        <f t="shared" si="5"/>
        <v>0</v>
      </c>
      <c r="CC59" s="440">
        <v>0</v>
      </c>
      <c r="CD59" s="442">
        <f t="shared" si="24"/>
        <v>0</v>
      </c>
      <c r="CE59" s="441">
        <v>0</v>
      </c>
      <c r="CF59" s="435">
        <v>7400</v>
      </c>
      <c r="CG59" s="440">
        <v>-23</v>
      </c>
      <c r="CH59" s="440">
        <v>-19</v>
      </c>
      <c r="CI59" s="440">
        <v>-15</v>
      </c>
      <c r="CJ59" s="440">
        <v>-11</v>
      </c>
      <c r="CK59" s="440">
        <v>-8</v>
      </c>
      <c r="CL59" s="440">
        <v>-4</v>
      </c>
      <c r="CM59" s="442">
        <f t="shared" si="6"/>
        <v>-2</v>
      </c>
      <c r="CN59" s="440">
        <v>0</v>
      </c>
      <c r="CO59" s="442">
        <f t="shared" si="25"/>
        <v>2</v>
      </c>
      <c r="CP59" s="441">
        <v>4</v>
      </c>
      <c r="CQ59" s="435">
        <v>7400</v>
      </c>
      <c r="CR59" s="440">
        <v>1</v>
      </c>
      <c r="CS59" s="440">
        <v>1</v>
      </c>
      <c r="CT59" s="440">
        <v>1</v>
      </c>
      <c r="CU59" s="440">
        <v>1</v>
      </c>
      <c r="CV59" s="440">
        <v>0</v>
      </c>
      <c r="CW59" s="440">
        <v>0</v>
      </c>
      <c r="CX59" s="442">
        <f t="shared" si="7"/>
        <v>0</v>
      </c>
      <c r="CY59" s="440">
        <v>0</v>
      </c>
      <c r="CZ59" s="442">
        <f t="shared" si="26"/>
        <v>0</v>
      </c>
      <c r="DA59" s="441">
        <v>0</v>
      </c>
      <c r="DB59" s="435">
        <v>7400</v>
      </c>
      <c r="DC59" s="440">
        <v>-21</v>
      </c>
      <c r="DD59" s="440">
        <v>-17</v>
      </c>
      <c r="DE59" s="440">
        <v>-14</v>
      </c>
      <c r="DF59" s="440">
        <v>-10</v>
      </c>
      <c r="DG59" s="440">
        <v>-7</v>
      </c>
      <c r="DH59" s="440">
        <v>-3</v>
      </c>
      <c r="DI59" s="442">
        <f t="shared" si="8"/>
        <v>-1.5</v>
      </c>
      <c r="DJ59" s="440">
        <v>0</v>
      </c>
      <c r="DK59" s="442">
        <f t="shared" si="27"/>
        <v>1.5</v>
      </c>
      <c r="DL59" s="441">
        <v>3</v>
      </c>
      <c r="DM59" s="435">
        <v>7400</v>
      </c>
      <c r="DN59" s="440">
        <v>1</v>
      </c>
      <c r="DO59" s="440">
        <v>1</v>
      </c>
      <c r="DP59" s="440">
        <v>1</v>
      </c>
      <c r="DQ59" s="440">
        <v>1</v>
      </c>
      <c r="DR59" s="440">
        <v>0</v>
      </c>
      <c r="DS59" s="440">
        <v>0</v>
      </c>
      <c r="DT59" s="442">
        <f t="shared" si="9"/>
        <v>0</v>
      </c>
      <c r="DU59" s="440">
        <v>0</v>
      </c>
      <c r="DV59" s="442">
        <f t="shared" si="28"/>
        <v>0</v>
      </c>
      <c r="DW59" s="441">
        <v>0</v>
      </c>
      <c r="DX59" s="435">
        <v>7400</v>
      </c>
      <c r="DY59" s="440">
        <v>-24</v>
      </c>
      <c r="DZ59" s="440">
        <v>-20</v>
      </c>
      <c r="EA59" s="440">
        <v>-16</v>
      </c>
      <c r="EB59" s="440">
        <v>-12</v>
      </c>
      <c r="EC59" s="440">
        <v>-8</v>
      </c>
      <c r="ED59" s="440">
        <v>-4</v>
      </c>
      <c r="EE59" s="442">
        <f t="shared" si="10"/>
        <v>-2</v>
      </c>
      <c r="EF59" s="440">
        <v>0</v>
      </c>
      <c r="EG59" s="442">
        <f t="shared" si="29"/>
        <v>2</v>
      </c>
      <c r="EH59" s="440">
        <v>4</v>
      </c>
      <c r="EI59" s="435">
        <v>7400</v>
      </c>
      <c r="EJ59" s="440">
        <v>3</v>
      </c>
      <c r="EK59" s="440">
        <v>3</v>
      </c>
      <c r="EL59" s="440">
        <v>2</v>
      </c>
      <c r="EM59" s="440">
        <v>2</v>
      </c>
      <c r="EN59" s="440">
        <v>1</v>
      </c>
      <c r="EO59" s="440">
        <v>1</v>
      </c>
      <c r="EP59" s="442">
        <f t="shared" si="30"/>
        <v>0.5</v>
      </c>
      <c r="EQ59" s="440">
        <v>0</v>
      </c>
      <c r="ER59" s="442">
        <f t="shared" si="31"/>
        <v>-0.5</v>
      </c>
      <c r="ES59" s="441">
        <v>-1</v>
      </c>
      <c r="ET59" s="435">
        <v>7400</v>
      </c>
      <c r="EU59" s="440">
        <v>-22</v>
      </c>
      <c r="EV59" s="440">
        <v>-19</v>
      </c>
      <c r="EW59" s="440">
        <v>-15</v>
      </c>
      <c r="EX59" s="440">
        <v>-11</v>
      </c>
      <c r="EY59" s="440">
        <v>-7</v>
      </c>
      <c r="EZ59" s="440">
        <v>-4</v>
      </c>
      <c r="FA59" s="442">
        <f t="shared" si="32"/>
        <v>-2</v>
      </c>
      <c r="FB59" s="440">
        <v>0</v>
      </c>
      <c r="FC59" s="442">
        <f t="shared" si="33"/>
        <v>2</v>
      </c>
      <c r="FD59" s="440">
        <v>4</v>
      </c>
      <c r="FE59" s="435">
        <v>7400</v>
      </c>
      <c r="FF59" s="440">
        <v>2</v>
      </c>
      <c r="FG59" s="440">
        <v>1</v>
      </c>
      <c r="FH59" s="440">
        <v>1</v>
      </c>
      <c r="FI59" s="440">
        <v>1</v>
      </c>
      <c r="FJ59" s="440">
        <v>1</v>
      </c>
      <c r="FK59" s="440">
        <v>0</v>
      </c>
      <c r="FL59" s="442">
        <f t="shared" si="11"/>
        <v>0</v>
      </c>
      <c r="FM59" s="440">
        <v>0</v>
      </c>
      <c r="FN59" s="442">
        <f t="shared" si="34"/>
        <v>0</v>
      </c>
      <c r="FO59" s="441">
        <v>0</v>
      </c>
      <c r="FP59" s="435">
        <v>7400</v>
      </c>
      <c r="FQ59" s="440">
        <v>-23</v>
      </c>
      <c r="FR59" s="440">
        <v>-19</v>
      </c>
      <c r="FS59" s="440">
        <v>-15</v>
      </c>
      <c r="FT59" s="440">
        <v>-11</v>
      </c>
      <c r="FU59" s="440">
        <v>-8</v>
      </c>
      <c r="FV59" s="440">
        <v>-4</v>
      </c>
      <c r="FW59" s="442">
        <f t="shared" si="12"/>
        <v>-2</v>
      </c>
      <c r="FX59" s="440">
        <v>0</v>
      </c>
      <c r="FY59" s="442">
        <f t="shared" si="35"/>
        <v>2</v>
      </c>
      <c r="FZ59" s="440">
        <v>4</v>
      </c>
      <c r="GA59" s="435">
        <v>7400</v>
      </c>
      <c r="GB59" s="440">
        <v>-35</v>
      </c>
      <c r="GC59" s="440">
        <v>-29</v>
      </c>
      <c r="GD59" s="440">
        <v>-23</v>
      </c>
      <c r="GE59" s="440">
        <v>-18</v>
      </c>
      <c r="GF59" s="440">
        <v>-12</v>
      </c>
      <c r="GG59" s="440">
        <v>-6</v>
      </c>
      <c r="GH59" s="442">
        <f t="shared" si="13"/>
        <v>-3</v>
      </c>
      <c r="GI59" s="440">
        <v>0</v>
      </c>
      <c r="GJ59" s="442">
        <f t="shared" si="36"/>
        <v>3</v>
      </c>
      <c r="GK59" s="441">
        <v>6</v>
      </c>
      <c r="GL59" s="435">
        <v>7400</v>
      </c>
      <c r="GM59" s="440">
        <v>-34</v>
      </c>
      <c r="GN59" s="440">
        <v>-29</v>
      </c>
      <c r="GO59" s="440">
        <v>-23</v>
      </c>
      <c r="GP59" s="440">
        <v>-17</v>
      </c>
      <c r="GQ59" s="440">
        <v>-11</v>
      </c>
      <c r="GR59" s="440">
        <v>-6</v>
      </c>
      <c r="GS59" s="442">
        <f t="shared" si="14"/>
        <v>-3</v>
      </c>
      <c r="GT59" s="440">
        <v>0</v>
      </c>
      <c r="GU59" s="442">
        <f t="shared" si="37"/>
        <v>3</v>
      </c>
      <c r="GV59" s="441">
        <v>6</v>
      </c>
    </row>
    <row r="60" spans="7:204">
      <c r="G60" s="435">
        <v>7300</v>
      </c>
      <c r="H60" s="445">
        <v>34</v>
      </c>
      <c r="I60" s="249">
        <v>28</v>
      </c>
      <c r="J60" s="249">
        <v>24</v>
      </c>
      <c r="K60" s="249">
        <v>17</v>
      </c>
      <c r="L60" s="249">
        <v>11</v>
      </c>
      <c r="M60" s="249">
        <v>6</v>
      </c>
      <c r="N60" s="249">
        <f t="shared" si="15"/>
        <v>3</v>
      </c>
      <c r="O60" s="249">
        <v>0</v>
      </c>
      <c r="P60" s="249">
        <f t="shared" si="16"/>
        <v>-3</v>
      </c>
      <c r="Q60" s="446">
        <v>-6</v>
      </c>
      <c r="R60" s="435">
        <v>7300</v>
      </c>
      <c r="S60" s="248">
        <v>11</v>
      </c>
      <c r="T60" s="248">
        <v>9</v>
      </c>
      <c r="U60" s="248">
        <v>7</v>
      </c>
      <c r="V60" s="248">
        <v>5</v>
      </c>
      <c r="W60" s="248">
        <v>4</v>
      </c>
      <c r="X60" s="248">
        <v>2</v>
      </c>
      <c r="Y60" s="249">
        <f t="shared" si="17"/>
        <v>1</v>
      </c>
      <c r="Z60" s="248">
        <v>0</v>
      </c>
      <c r="AA60" s="439">
        <f t="shared" si="18"/>
        <v>-1</v>
      </c>
      <c r="AB60" s="248">
        <v>-2</v>
      </c>
      <c r="AC60" s="435">
        <v>7300</v>
      </c>
      <c r="AD60" s="440">
        <v>-33</v>
      </c>
      <c r="AE60" s="440">
        <v>-27</v>
      </c>
      <c r="AF60" s="440">
        <v>-22</v>
      </c>
      <c r="AG60" s="440">
        <v>-16</v>
      </c>
      <c r="AH60" s="440">
        <v>-11</v>
      </c>
      <c r="AI60" s="440">
        <v>-5</v>
      </c>
      <c r="AJ60" s="249">
        <f t="shared" si="19"/>
        <v>-2.5</v>
      </c>
      <c r="AK60" s="248">
        <v>0</v>
      </c>
      <c r="AL60" s="439">
        <f t="shared" si="20"/>
        <v>2.5</v>
      </c>
      <c r="AM60" s="441">
        <v>5</v>
      </c>
      <c r="AN60" s="435">
        <v>7300</v>
      </c>
      <c r="AO60" s="440">
        <v>-56</v>
      </c>
      <c r="AP60" s="440">
        <v>-47</v>
      </c>
      <c r="AQ60" s="440">
        <v>-38</v>
      </c>
      <c r="AR60" s="440">
        <v>-28</v>
      </c>
      <c r="AS60" s="440">
        <v>-19</v>
      </c>
      <c r="AT60" s="440">
        <v>-9</v>
      </c>
      <c r="AU60" s="442">
        <f t="shared" si="2"/>
        <v>-4.5</v>
      </c>
      <c r="AV60" s="440">
        <v>0</v>
      </c>
      <c r="AW60" s="442">
        <f t="shared" si="21"/>
        <v>4.5</v>
      </c>
      <c r="AX60" s="441">
        <v>9</v>
      </c>
      <c r="AY60" s="435">
        <v>7300</v>
      </c>
      <c r="AZ60" s="440">
        <v>4</v>
      </c>
      <c r="BA60" s="440">
        <v>3</v>
      </c>
      <c r="BB60" s="440">
        <v>2</v>
      </c>
      <c r="BC60" s="440">
        <v>2</v>
      </c>
      <c r="BD60" s="440">
        <v>1</v>
      </c>
      <c r="BE60" s="440">
        <v>1</v>
      </c>
      <c r="BF60" s="442">
        <f t="shared" si="3"/>
        <v>0.5</v>
      </c>
      <c r="BG60" s="440">
        <v>0</v>
      </c>
      <c r="BH60" s="442">
        <f t="shared" si="22"/>
        <v>-0.5</v>
      </c>
      <c r="BI60" s="441">
        <v>-1</v>
      </c>
      <c r="BJ60" s="447">
        <v>7300</v>
      </c>
      <c r="BK60" s="440">
        <v>-31</v>
      </c>
      <c r="BL60" s="440">
        <v>-26</v>
      </c>
      <c r="BM60" s="440">
        <v>-21</v>
      </c>
      <c r="BN60" s="440">
        <v>-16</v>
      </c>
      <c r="BO60" s="440">
        <v>-10</v>
      </c>
      <c r="BP60" s="440">
        <v>-5</v>
      </c>
      <c r="BQ60" s="442">
        <f t="shared" si="4"/>
        <v>-2.5</v>
      </c>
      <c r="BR60" s="440">
        <v>0</v>
      </c>
      <c r="BS60" s="442">
        <f t="shared" si="23"/>
        <v>2.5</v>
      </c>
      <c r="BT60" s="440">
        <v>5</v>
      </c>
      <c r="BU60" s="435">
        <v>7300</v>
      </c>
      <c r="BV60" s="440">
        <v>1</v>
      </c>
      <c r="BW60" s="440">
        <v>1</v>
      </c>
      <c r="BX60" s="440">
        <v>1</v>
      </c>
      <c r="BY60" s="440">
        <v>1</v>
      </c>
      <c r="BZ60" s="440">
        <v>0</v>
      </c>
      <c r="CA60" s="440">
        <v>0</v>
      </c>
      <c r="CB60" s="442">
        <f t="shared" si="5"/>
        <v>0</v>
      </c>
      <c r="CC60" s="440">
        <v>0</v>
      </c>
      <c r="CD60" s="442">
        <f t="shared" si="24"/>
        <v>0</v>
      </c>
      <c r="CE60" s="441">
        <v>0</v>
      </c>
      <c r="CF60" s="435">
        <v>7300</v>
      </c>
      <c r="CG60" s="440">
        <v>-23</v>
      </c>
      <c r="CH60" s="440">
        <v>-19</v>
      </c>
      <c r="CI60" s="440">
        <v>-15</v>
      </c>
      <c r="CJ60" s="440">
        <v>-11</v>
      </c>
      <c r="CK60" s="440">
        <v>-8</v>
      </c>
      <c r="CL60" s="440">
        <v>-4</v>
      </c>
      <c r="CM60" s="442">
        <f t="shared" si="6"/>
        <v>-2</v>
      </c>
      <c r="CN60" s="440">
        <v>0</v>
      </c>
      <c r="CO60" s="442">
        <f t="shared" si="25"/>
        <v>2</v>
      </c>
      <c r="CP60" s="441">
        <v>4</v>
      </c>
      <c r="CQ60" s="435">
        <v>7300</v>
      </c>
      <c r="CR60" s="440">
        <v>1</v>
      </c>
      <c r="CS60" s="440">
        <v>1</v>
      </c>
      <c r="CT60" s="440">
        <v>1</v>
      </c>
      <c r="CU60" s="440">
        <v>1</v>
      </c>
      <c r="CV60" s="440">
        <v>0</v>
      </c>
      <c r="CW60" s="440">
        <v>0</v>
      </c>
      <c r="CX60" s="442">
        <f t="shared" si="7"/>
        <v>0</v>
      </c>
      <c r="CY60" s="440">
        <v>0</v>
      </c>
      <c r="CZ60" s="442">
        <f t="shared" si="26"/>
        <v>0</v>
      </c>
      <c r="DA60" s="441">
        <v>0</v>
      </c>
      <c r="DB60" s="435">
        <v>7300</v>
      </c>
      <c r="DC60" s="440">
        <v>-21</v>
      </c>
      <c r="DD60" s="440">
        <v>-17</v>
      </c>
      <c r="DE60" s="440">
        <v>-14</v>
      </c>
      <c r="DF60" s="440">
        <v>-10</v>
      </c>
      <c r="DG60" s="440">
        <v>-7</v>
      </c>
      <c r="DH60" s="440">
        <v>-3</v>
      </c>
      <c r="DI60" s="442">
        <f t="shared" si="8"/>
        <v>-1.5</v>
      </c>
      <c r="DJ60" s="440">
        <v>0</v>
      </c>
      <c r="DK60" s="442">
        <f t="shared" si="27"/>
        <v>1.5</v>
      </c>
      <c r="DL60" s="441">
        <v>3</v>
      </c>
      <c r="DM60" s="435">
        <v>7300</v>
      </c>
      <c r="DN60" s="440">
        <v>1</v>
      </c>
      <c r="DO60" s="440">
        <v>1</v>
      </c>
      <c r="DP60" s="440">
        <v>1</v>
      </c>
      <c r="DQ60" s="440">
        <v>1</v>
      </c>
      <c r="DR60" s="440">
        <v>0</v>
      </c>
      <c r="DS60" s="440">
        <v>0</v>
      </c>
      <c r="DT60" s="442">
        <f t="shared" si="9"/>
        <v>0</v>
      </c>
      <c r="DU60" s="440">
        <v>0</v>
      </c>
      <c r="DV60" s="442">
        <f t="shared" si="28"/>
        <v>0</v>
      </c>
      <c r="DW60" s="441">
        <v>0</v>
      </c>
      <c r="DX60" s="435">
        <v>7300</v>
      </c>
      <c r="DY60" s="440">
        <v>-24</v>
      </c>
      <c r="DZ60" s="440">
        <v>-20</v>
      </c>
      <c r="EA60" s="440">
        <v>-16</v>
      </c>
      <c r="EB60" s="440">
        <v>-12</v>
      </c>
      <c r="EC60" s="440">
        <v>-8</v>
      </c>
      <c r="ED60" s="440">
        <v>-4</v>
      </c>
      <c r="EE60" s="442">
        <f t="shared" si="10"/>
        <v>-2</v>
      </c>
      <c r="EF60" s="440">
        <v>0</v>
      </c>
      <c r="EG60" s="442">
        <f t="shared" si="29"/>
        <v>2</v>
      </c>
      <c r="EH60" s="440">
        <v>4</v>
      </c>
      <c r="EI60" s="435">
        <v>7300</v>
      </c>
      <c r="EJ60" s="440">
        <v>3</v>
      </c>
      <c r="EK60" s="440">
        <v>3</v>
      </c>
      <c r="EL60" s="440">
        <v>2</v>
      </c>
      <c r="EM60" s="440">
        <v>2</v>
      </c>
      <c r="EN60" s="440">
        <v>1</v>
      </c>
      <c r="EO60" s="440">
        <v>1</v>
      </c>
      <c r="EP60" s="442">
        <f t="shared" si="30"/>
        <v>0.5</v>
      </c>
      <c r="EQ60" s="440">
        <v>0</v>
      </c>
      <c r="ER60" s="442">
        <f t="shared" si="31"/>
        <v>-0.5</v>
      </c>
      <c r="ES60" s="441">
        <v>-1</v>
      </c>
      <c r="ET60" s="435">
        <v>7300</v>
      </c>
      <c r="EU60" s="440">
        <v>-22</v>
      </c>
      <c r="EV60" s="440">
        <v>-19</v>
      </c>
      <c r="EW60" s="440">
        <v>-15</v>
      </c>
      <c r="EX60" s="440">
        <v>-11</v>
      </c>
      <c r="EY60" s="440">
        <v>-7</v>
      </c>
      <c r="EZ60" s="440">
        <v>-4</v>
      </c>
      <c r="FA60" s="442">
        <f t="shared" si="32"/>
        <v>-2</v>
      </c>
      <c r="FB60" s="440">
        <v>0</v>
      </c>
      <c r="FC60" s="442">
        <f t="shared" si="33"/>
        <v>2</v>
      </c>
      <c r="FD60" s="440">
        <v>4</v>
      </c>
      <c r="FE60" s="435">
        <v>7300</v>
      </c>
      <c r="FF60" s="440">
        <v>2</v>
      </c>
      <c r="FG60" s="440">
        <v>1</v>
      </c>
      <c r="FH60" s="440">
        <v>1</v>
      </c>
      <c r="FI60" s="440">
        <v>1</v>
      </c>
      <c r="FJ60" s="440">
        <v>1</v>
      </c>
      <c r="FK60" s="440">
        <v>0</v>
      </c>
      <c r="FL60" s="442">
        <f t="shared" si="11"/>
        <v>0</v>
      </c>
      <c r="FM60" s="440">
        <v>0</v>
      </c>
      <c r="FN60" s="442">
        <f t="shared" si="34"/>
        <v>0</v>
      </c>
      <c r="FO60" s="441">
        <v>0</v>
      </c>
      <c r="FP60" s="435">
        <v>7300</v>
      </c>
      <c r="FQ60" s="440">
        <v>-23</v>
      </c>
      <c r="FR60" s="440">
        <v>-19</v>
      </c>
      <c r="FS60" s="440">
        <v>-15</v>
      </c>
      <c r="FT60" s="440">
        <v>-11</v>
      </c>
      <c r="FU60" s="440">
        <v>-8</v>
      </c>
      <c r="FV60" s="440">
        <v>-4</v>
      </c>
      <c r="FW60" s="442">
        <f t="shared" si="12"/>
        <v>-2</v>
      </c>
      <c r="FX60" s="440">
        <v>0</v>
      </c>
      <c r="FY60" s="442">
        <f t="shared" si="35"/>
        <v>2</v>
      </c>
      <c r="FZ60" s="440">
        <v>4</v>
      </c>
      <c r="GA60" s="435">
        <v>7300</v>
      </c>
      <c r="GB60" s="440">
        <v>-35</v>
      </c>
      <c r="GC60" s="440">
        <v>-29</v>
      </c>
      <c r="GD60" s="440">
        <v>-23</v>
      </c>
      <c r="GE60" s="440">
        <v>-18</v>
      </c>
      <c r="GF60" s="440">
        <v>-12</v>
      </c>
      <c r="GG60" s="440">
        <v>-6</v>
      </c>
      <c r="GH60" s="442">
        <f t="shared" si="13"/>
        <v>-3</v>
      </c>
      <c r="GI60" s="440">
        <v>0</v>
      </c>
      <c r="GJ60" s="442">
        <f t="shared" si="36"/>
        <v>3</v>
      </c>
      <c r="GK60" s="441">
        <v>6</v>
      </c>
      <c r="GL60" s="435">
        <v>7300</v>
      </c>
      <c r="GM60" s="440">
        <v>-34</v>
      </c>
      <c r="GN60" s="440">
        <v>-29</v>
      </c>
      <c r="GO60" s="440">
        <v>-23</v>
      </c>
      <c r="GP60" s="440">
        <v>-17</v>
      </c>
      <c r="GQ60" s="440">
        <v>-11</v>
      </c>
      <c r="GR60" s="440">
        <v>-6</v>
      </c>
      <c r="GS60" s="442">
        <f t="shared" si="14"/>
        <v>-3</v>
      </c>
      <c r="GT60" s="440">
        <v>0</v>
      </c>
      <c r="GU60" s="442">
        <f t="shared" si="37"/>
        <v>3</v>
      </c>
      <c r="GV60" s="441">
        <v>6</v>
      </c>
    </row>
    <row r="61" spans="7:204">
      <c r="G61" s="435">
        <v>7200</v>
      </c>
      <c r="H61" s="445">
        <v>34</v>
      </c>
      <c r="I61" s="249">
        <v>28</v>
      </c>
      <c r="J61" s="249">
        <v>24</v>
      </c>
      <c r="K61" s="249">
        <v>17</v>
      </c>
      <c r="L61" s="249">
        <v>11</v>
      </c>
      <c r="M61" s="249">
        <v>6</v>
      </c>
      <c r="N61" s="249">
        <f t="shared" si="15"/>
        <v>3</v>
      </c>
      <c r="O61" s="249">
        <v>0</v>
      </c>
      <c r="P61" s="249">
        <f t="shared" si="16"/>
        <v>-3</v>
      </c>
      <c r="Q61" s="446">
        <v>-6</v>
      </c>
      <c r="R61" s="435">
        <v>7200</v>
      </c>
      <c r="S61" s="248">
        <v>11</v>
      </c>
      <c r="T61" s="248">
        <v>9</v>
      </c>
      <c r="U61" s="248">
        <v>7</v>
      </c>
      <c r="V61" s="248">
        <v>5</v>
      </c>
      <c r="W61" s="248">
        <v>4</v>
      </c>
      <c r="X61" s="248">
        <v>2</v>
      </c>
      <c r="Y61" s="249">
        <f t="shared" si="17"/>
        <v>1</v>
      </c>
      <c r="Z61" s="248">
        <v>0</v>
      </c>
      <c r="AA61" s="439">
        <f t="shared" si="18"/>
        <v>-1</v>
      </c>
      <c r="AB61" s="248">
        <v>-2</v>
      </c>
      <c r="AC61" s="435">
        <v>7200</v>
      </c>
      <c r="AD61" s="440">
        <v>-33</v>
      </c>
      <c r="AE61" s="440">
        <v>-27</v>
      </c>
      <c r="AF61" s="440">
        <v>-22</v>
      </c>
      <c r="AG61" s="440">
        <v>-16</v>
      </c>
      <c r="AH61" s="440">
        <v>-11</v>
      </c>
      <c r="AI61" s="440">
        <v>-5</v>
      </c>
      <c r="AJ61" s="249">
        <f t="shared" si="19"/>
        <v>-2.5</v>
      </c>
      <c r="AK61" s="248">
        <v>0</v>
      </c>
      <c r="AL61" s="439">
        <f t="shared" si="20"/>
        <v>2.5</v>
      </c>
      <c r="AM61" s="441">
        <v>5</v>
      </c>
      <c r="AN61" s="435">
        <v>7200</v>
      </c>
      <c r="AO61" s="440">
        <v>-56</v>
      </c>
      <c r="AP61" s="440">
        <v>-47</v>
      </c>
      <c r="AQ61" s="440">
        <v>-38</v>
      </c>
      <c r="AR61" s="440">
        <v>-28</v>
      </c>
      <c r="AS61" s="440">
        <v>-19</v>
      </c>
      <c r="AT61" s="440">
        <v>-9</v>
      </c>
      <c r="AU61" s="442">
        <f t="shared" si="2"/>
        <v>-4.5</v>
      </c>
      <c r="AV61" s="440">
        <v>0</v>
      </c>
      <c r="AW61" s="442">
        <f t="shared" si="21"/>
        <v>4.5</v>
      </c>
      <c r="AX61" s="441">
        <v>9</v>
      </c>
      <c r="AY61" s="435">
        <v>7200</v>
      </c>
      <c r="AZ61" s="440">
        <v>4</v>
      </c>
      <c r="BA61" s="440">
        <v>3</v>
      </c>
      <c r="BB61" s="440">
        <v>2</v>
      </c>
      <c r="BC61" s="440">
        <v>2</v>
      </c>
      <c r="BD61" s="440">
        <v>1</v>
      </c>
      <c r="BE61" s="440">
        <v>1</v>
      </c>
      <c r="BF61" s="442">
        <f t="shared" si="3"/>
        <v>0.5</v>
      </c>
      <c r="BG61" s="440">
        <v>0</v>
      </c>
      <c r="BH61" s="442">
        <f t="shared" si="22"/>
        <v>-0.5</v>
      </c>
      <c r="BI61" s="441">
        <v>-1</v>
      </c>
      <c r="BJ61" s="447">
        <v>7200</v>
      </c>
      <c r="BK61" s="440">
        <v>-31</v>
      </c>
      <c r="BL61" s="440">
        <v>-26</v>
      </c>
      <c r="BM61" s="440">
        <v>-21</v>
      </c>
      <c r="BN61" s="440">
        <v>-16</v>
      </c>
      <c r="BO61" s="440">
        <v>-10</v>
      </c>
      <c r="BP61" s="440">
        <v>-5</v>
      </c>
      <c r="BQ61" s="442">
        <f t="shared" si="4"/>
        <v>-2.5</v>
      </c>
      <c r="BR61" s="440">
        <v>0</v>
      </c>
      <c r="BS61" s="442">
        <f t="shared" si="23"/>
        <v>2.5</v>
      </c>
      <c r="BT61" s="440">
        <v>5</v>
      </c>
      <c r="BU61" s="435">
        <v>7200</v>
      </c>
      <c r="BV61" s="440">
        <v>1</v>
      </c>
      <c r="BW61" s="440">
        <v>1</v>
      </c>
      <c r="BX61" s="440">
        <v>1</v>
      </c>
      <c r="BY61" s="440">
        <v>1</v>
      </c>
      <c r="BZ61" s="440">
        <v>0</v>
      </c>
      <c r="CA61" s="440">
        <v>0</v>
      </c>
      <c r="CB61" s="442">
        <f t="shared" si="5"/>
        <v>0</v>
      </c>
      <c r="CC61" s="440">
        <v>0</v>
      </c>
      <c r="CD61" s="442">
        <f t="shared" si="24"/>
        <v>0</v>
      </c>
      <c r="CE61" s="441">
        <v>0</v>
      </c>
      <c r="CF61" s="435">
        <v>7200</v>
      </c>
      <c r="CG61" s="440">
        <v>-23</v>
      </c>
      <c r="CH61" s="440">
        <v>-19</v>
      </c>
      <c r="CI61" s="440">
        <v>-15</v>
      </c>
      <c r="CJ61" s="440">
        <v>-11</v>
      </c>
      <c r="CK61" s="440">
        <v>-8</v>
      </c>
      <c r="CL61" s="440">
        <v>-4</v>
      </c>
      <c r="CM61" s="442">
        <f t="shared" si="6"/>
        <v>-2</v>
      </c>
      <c r="CN61" s="440">
        <v>0</v>
      </c>
      <c r="CO61" s="442">
        <f t="shared" si="25"/>
        <v>2</v>
      </c>
      <c r="CP61" s="441">
        <v>4</v>
      </c>
      <c r="CQ61" s="435">
        <v>7200</v>
      </c>
      <c r="CR61" s="440">
        <v>1</v>
      </c>
      <c r="CS61" s="440">
        <v>1</v>
      </c>
      <c r="CT61" s="440">
        <v>1</v>
      </c>
      <c r="CU61" s="440">
        <v>1</v>
      </c>
      <c r="CV61" s="440">
        <v>0</v>
      </c>
      <c r="CW61" s="440">
        <v>0</v>
      </c>
      <c r="CX61" s="442">
        <f t="shared" si="7"/>
        <v>0</v>
      </c>
      <c r="CY61" s="440">
        <v>0</v>
      </c>
      <c r="CZ61" s="442">
        <f t="shared" si="26"/>
        <v>0</v>
      </c>
      <c r="DA61" s="441">
        <v>0</v>
      </c>
      <c r="DB61" s="435">
        <v>7200</v>
      </c>
      <c r="DC61" s="440">
        <v>-21</v>
      </c>
      <c r="DD61" s="440">
        <v>-17</v>
      </c>
      <c r="DE61" s="440">
        <v>-14</v>
      </c>
      <c r="DF61" s="440">
        <v>-10</v>
      </c>
      <c r="DG61" s="440">
        <v>-7</v>
      </c>
      <c r="DH61" s="440">
        <v>-3</v>
      </c>
      <c r="DI61" s="442">
        <f t="shared" si="8"/>
        <v>-1.5</v>
      </c>
      <c r="DJ61" s="440">
        <v>0</v>
      </c>
      <c r="DK61" s="442">
        <f t="shared" si="27"/>
        <v>1.5</v>
      </c>
      <c r="DL61" s="441">
        <v>3</v>
      </c>
      <c r="DM61" s="435">
        <v>7200</v>
      </c>
      <c r="DN61" s="440">
        <v>1</v>
      </c>
      <c r="DO61" s="440">
        <v>1</v>
      </c>
      <c r="DP61" s="440">
        <v>1</v>
      </c>
      <c r="DQ61" s="440">
        <v>1</v>
      </c>
      <c r="DR61" s="440">
        <v>0</v>
      </c>
      <c r="DS61" s="440">
        <v>0</v>
      </c>
      <c r="DT61" s="442">
        <f t="shared" si="9"/>
        <v>0</v>
      </c>
      <c r="DU61" s="440">
        <v>0</v>
      </c>
      <c r="DV61" s="442">
        <f t="shared" si="28"/>
        <v>0</v>
      </c>
      <c r="DW61" s="441">
        <v>0</v>
      </c>
      <c r="DX61" s="435">
        <v>7200</v>
      </c>
      <c r="DY61" s="440">
        <v>-24</v>
      </c>
      <c r="DZ61" s="440">
        <v>-20</v>
      </c>
      <c r="EA61" s="440">
        <v>-16</v>
      </c>
      <c r="EB61" s="440">
        <v>-12</v>
      </c>
      <c r="EC61" s="440">
        <v>-8</v>
      </c>
      <c r="ED61" s="440">
        <v>-4</v>
      </c>
      <c r="EE61" s="442">
        <f t="shared" si="10"/>
        <v>-2</v>
      </c>
      <c r="EF61" s="440">
        <v>0</v>
      </c>
      <c r="EG61" s="442">
        <f t="shared" si="29"/>
        <v>2</v>
      </c>
      <c r="EH61" s="440">
        <v>4</v>
      </c>
      <c r="EI61" s="435">
        <v>7200</v>
      </c>
      <c r="EJ61" s="440">
        <v>3</v>
      </c>
      <c r="EK61" s="440">
        <v>3</v>
      </c>
      <c r="EL61" s="440">
        <v>2</v>
      </c>
      <c r="EM61" s="440">
        <v>2</v>
      </c>
      <c r="EN61" s="440">
        <v>1</v>
      </c>
      <c r="EO61" s="440">
        <v>1</v>
      </c>
      <c r="EP61" s="442">
        <f t="shared" si="30"/>
        <v>0.5</v>
      </c>
      <c r="EQ61" s="440">
        <v>0</v>
      </c>
      <c r="ER61" s="442">
        <f t="shared" si="31"/>
        <v>-0.5</v>
      </c>
      <c r="ES61" s="441">
        <v>-1</v>
      </c>
      <c r="ET61" s="435">
        <v>7200</v>
      </c>
      <c r="EU61" s="440">
        <v>-22</v>
      </c>
      <c r="EV61" s="440">
        <v>-19</v>
      </c>
      <c r="EW61" s="440">
        <v>-15</v>
      </c>
      <c r="EX61" s="440">
        <v>-11</v>
      </c>
      <c r="EY61" s="440">
        <v>-7</v>
      </c>
      <c r="EZ61" s="440">
        <v>-4</v>
      </c>
      <c r="FA61" s="442">
        <f t="shared" si="32"/>
        <v>-2</v>
      </c>
      <c r="FB61" s="440">
        <v>0</v>
      </c>
      <c r="FC61" s="442">
        <f t="shared" si="33"/>
        <v>2</v>
      </c>
      <c r="FD61" s="440">
        <v>4</v>
      </c>
      <c r="FE61" s="435">
        <v>7200</v>
      </c>
      <c r="FF61" s="440">
        <v>2</v>
      </c>
      <c r="FG61" s="440">
        <v>1</v>
      </c>
      <c r="FH61" s="440">
        <v>1</v>
      </c>
      <c r="FI61" s="440">
        <v>1</v>
      </c>
      <c r="FJ61" s="440">
        <v>1</v>
      </c>
      <c r="FK61" s="440">
        <v>0</v>
      </c>
      <c r="FL61" s="442">
        <f t="shared" si="11"/>
        <v>0</v>
      </c>
      <c r="FM61" s="440">
        <v>0</v>
      </c>
      <c r="FN61" s="442">
        <f t="shared" si="34"/>
        <v>0</v>
      </c>
      <c r="FO61" s="441">
        <v>0</v>
      </c>
      <c r="FP61" s="435">
        <v>7200</v>
      </c>
      <c r="FQ61" s="440">
        <v>-23</v>
      </c>
      <c r="FR61" s="440">
        <v>-19</v>
      </c>
      <c r="FS61" s="440">
        <v>-15</v>
      </c>
      <c r="FT61" s="440">
        <v>-11</v>
      </c>
      <c r="FU61" s="440">
        <v>-8</v>
      </c>
      <c r="FV61" s="440">
        <v>-4</v>
      </c>
      <c r="FW61" s="442">
        <f t="shared" si="12"/>
        <v>-2</v>
      </c>
      <c r="FX61" s="440">
        <v>0</v>
      </c>
      <c r="FY61" s="442">
        <f t="shared" si="35"/>
        <v>2</v>
      </c>
      <c r="FZ61" s="440">
        <v>4</v>
      </c>
      <c r="GA61" s="435">
        <v>7200</v>
      </c>
      <c r="GB61" s="440">
        <v>-35</v>
      </c>
      <c r="GC61" s="440">
        <v>-29</v>
      </c>
      <c r="GD61" s="440">
        <v>-23</v>
      </c>
      <c r="GE61" s="440">
        <v>-18</v>
      </c>
      <c r="GF61" s="440">
        <v>-12</v>
      </c>
      <c r="GG61" s="440">
        <v>-6</v>
      </c>
      <c r="GH61" s="442">
        <f t="shared" si="13"/>
        <v>-3</v>
      </c>
      <c r="GI61" s="440">
        <v>0</v>
      </c>
      <c r="GJ61" s="442">
        <f t="shared" si="36"/>
        <v>3</v>
      </c>
      <c r="GK61" s="441">
        <v>6</v>
      </c>
      <c r="GL61" s="435">
        <v>7200</v>
      </c>
      <c r="GM61" s="440">
        <v>-34</v>
      </c>
      <c r="GN61" s="440">
        <v>-29</v>
      </c>
      <c r="GO61" s="440">
        <v>-23</v>
      </c>
      <c r="GP61" s="440">
        <v>-17</v>
      </c>
      <c r="GQ61" s="440">
        <v>-11</v>
      </c>
      <c r="GR61" s="440">
        <v>-6</v>
      </c>
      <c r="GS61" s="442">
        <f t="shared" si="14"/>
        <v>-3</v>
      </c>
      <c r="GT61" s="440">
        <v>0</v>
      </c>
      <c r="GU61" s="442">
        <f t="shared" si="37"/>
        <v>3</v>
      </c>
      <c r="GV61" s="441">
        <v>6</v>
      </c>
    </row>
    <row r="62" spans="7:204">
      <c r="G62" s="435">
        <v>7100</v>
      </c>
      <c r="H62" s="445">
        <v>34</v>
      </c>
      <c r="I62" s="249">
        <v>28</v>
      </c>
      <c r="J62" s="249">
        <v>24</v>
      </c>
      <c r="K62" s="249">
        <v>17</v>
      </c>
      <c r="L62" s="249">
        <v>11</v>
      </c>
      <c r="M62" s="249">
        <v>6</v>
      </c>
      <c r="N62" s="249">
        <f t="shared" si="15"/>
        <v>3</v>
      </c>
      <c r="O62" s="249">
        <v>0</v>
      </c>
      <c r="P62" s="249">
        <f t="shared" si="16"/>
        <v>-3</v>
      </c>
      <c r="Q62" s="446">
        <v>-6</v>
      </c>
      <c r="R62" s="435">
        <v>7100</v>
      </c>
      <c r="S62" s="248">
        <v>11</v>
      </c>
      <c r="T62" s="248">
        <v>9</v>
      </c>
      <c r="U62" s="248">
        <v>7</v>
      </c>
      <c r="V62" s="248">
        <v>5</v>
      </c>
      <c r="W62" s="248">
        <v>4</v>
      </c>
      <c r="X62" s="248">
        <v>2</v>
      </c>
      <c r="Y62" s="249">
        <f t="shared" si="17"/>
        <v>1</v>
      </c>
      <c r="Z62" s="248">
        <v>0</v>
      </c>
      <c r="AA62" s="439">
        <f t="shared" si="18"/>
        <v>-1</v>
      </c>
      <c r="AB62" s="248">
        <v>-2</v>
      </c>
      <c r="AC62" s="435">
        <v>7100</v>
      </c>
      <c r="AD62" s="440">
        <v>-33</v>
      </c>
      <c r="AE62" s="440">
        <v>-27</v>
      </c>
      <c r="AF62" s="440">
        <v>-22</v>
      </c>
      <c r="AG62" s="440">
        <v>-16</v>
      </c>
      <c r="AH62" s="440">
        <v>-11</v>
      </c>
      <c r="AI62" s="440">
        <v>-5</v>
      </c>
      <c r="AJ62" s="249">
        <f t="shared" si="19"/>
        <v>-2.5</v>
      </c>
      <c r="AK62" s="248">
        <v>0</v>
      </c>
      <c r="AL62" s="439">
        <f t="shared" si="20"/>
        <v>2.5</v>
      </c>
      <c r="AM62" s="441">
        <v>5</v>
      </c>
      <c r="AN62" s="435">
        <v>7100</v>
      </c>
      <c r="AO62" s="440">
        <v>-56</v>
      </c>
      <c r="AP62" s="440">
        <v>-47</v>
      </c>
      <c r="AQ62" s="440">
        <v>-38</v>
      </c>
      <c r="AR62" s="440">
        <v>-28</v>
      </c>
      <c r="AS62" s="440">
        <v>-19</v>
      </c>
      <c r="AT62" s="440">
        <v>-9</v>
      </c>
      <c r="AU62" s="442">
        <f t="shared" si="2"/>
        <v>-4.5</v>
      </c>
      <c r="AV62" s="440">
        <v>0</v>
      </c>
      <c r="AW62" s="442">
        <f t="shared" si="21"/>
        <v>4.5</v>
      </c>
      <c r="AX62" s="441">
        <v>9</v>
      </c>
      <c r="AY62" s="435">
        <v>7100</v>
      </c>
      <c r="AZ62" s="440">
        <v>4</v>
      </c>
      <c r="BA62" s="440">
        <v>3</v>
      </c>
      <c r="BB62" s="440">
        <v>2</v>
      </c>
      <c r="BC62" s="440">
        <v>2</v>
      </c>
      <c r="BD62" s="440">
        <v>1</v>
      </c>
      <c r="BE62" s="440">
        <v>1</v>
      </c>
      <c r="BF62" s="442">
        <f t="shared" si="3"/>
        <v>0.5</v>
      </c>
      <c r="BG62" s="440">
        <v>0</v>
      </c>
      <c r="BH62" s="442">
        <f t="shared" si="22"/>
        <v>-0.5</v>
      </c>
      <c r="BI62" s="441">
        <v>-1</v>
      </c>
      <c r="BJ62" s="447">
        <v>7100</v>
      </c>
      <c r="BK62" s="440">
        <v>-31</v>
      </c>
      <c r="BL62" s="440">
        <v>-26</v>
      </c>
      <c r="BM62" s="440">
        <v>-21</v>
      </c>
      <c r="BN62" s="440">
        <v>-16</v>
      </c>
      <c r="BO62" s="440">
        <v>-10</v>
      </c>
      <c r="BP62" s="440">
        <v>-5</v>
      </c>
      <c r="BQ62" s="442">
        <f t="shared" si="4"/>
        <v>-2.5</v>
      </c>
      <c r="BR62" s="440">
        <v>0</v>
      </c>
      <c r="BS62" s="442">
        <f t="shared" si="23"/>
        <v>2.5</v>
      </c>
      <c r="BT62" s="440">
        <v>5</v>
      </c>
      <c r="BU62" s="435">
        <v>7100</v>
      </c>
      <c r="BV62" s="440">
        <v>1</v>
      </c>
      <c r="BW62" s="440">
        <v>1</v>
      </c>
      <c r="BX62" s="440">
        <v>1</v>
      </c>
      <c r="BY62" s="440">
        <v>1</v>
      </c>
      <c r="BZ62" s="440">
        <v>0</v>
      </c>
      <c r="CA62" s="440">
        <v>0</v>
      </c>
      <c r="CB62" s="442">
        <f t="shared" si="5"/>
        <v>0</v>
      </c>
      <c r="CC62" s="440">
        <v>0</v>
      </c>
      <c r="CD62" s="442">
        <f t="shared" si="24"/>
        <v>0</v>
      </c>
      <c r="CE62" s="441">
        <v>0</v>
      </c>
      <c r="CF62" s="435">
        <v>7100</v>
      </c>
      <c r="CG62" s="440">
        <v>-23</v>
      </c>
      <c r="CH62" s="440">
        <v>-19</v>
      </c>
      <c r="CI62" s="440">
        <v>-15</v>
      </c>
      <c r="CJ62" s="440">
        <v>-11</v>
      </c>
      <c r="CK62" s="440">
        <v>-8</v>
      </c>
      <c r="CL62" s="440">
        <v>-4</v>
      </c>
      <c r="CM62" s="442">
        <f t="shared" si="6"/>
        <v>-2</v>
      </c>
      <c r="CN62" s="440">
        <v>0</v>
      </c>
      <c r="CO62" s="442">
        <f t="shared" si="25"/>
        <v>2</v>
      </c>
      <c r="CP62" s="441">
        <v>4</v>
      </c>
      <c r="CQ62" s="435">
        <v>7100</v>
      </c>
      <c r="CR62" s="440">
        <v>1</v>
      </c>
      <c r="CS62" s="440">
        <v>1</v>
      </c>
      <c r="CT62" s="440">
        <v>1</v>
      </c>
      <c r="CU62" s="440">
        <v>1</v>
      </c>
      <c r="CV62" s="440">
        <v>0</v>
      </c>
      <c r="CW62" s="440">
        <v>0</v>
      </c>
      <c r="CX62" s="442">
        <f t="shared" si="7"/>
        <v>0</v>
      </c>
      <c r="CY62" s="440">
        <v>0</v>
      </c>
      <c r="CZ62" s="442">
        <f t="shared" si="26"/>
        <v>0</v>
      </c>
      <c r="DA62" s="441">
        <v>0</v>
      </c>
      <c r="DB62" s="435">
        <v>7100</v>
      </c>
      <c r="DC62" s="440">
        <v>-21</v>
      </c>
      <c r="DD62" s="440">
        <v>-17</v>
      </c>
      <c r="DE62" s="440">
        <v>-14</v>
      </c>
      <c r="DF62" s="440">
        <v>-10</v>
      </c>
      <c r="DG62" s="440">
        <v>-7</v>
      </c>
      <c r="DH62" s="440">
        <v>-3</v>
      </c>
      <c r="DI62" s="442">
        <f t="shared" si="8"/>
        <v>-1.5</v>
      </c>
      <c r="DJ62" s="440">
        <v>0</v>
      </c>
      <c r="DK62" s="442">
        <f t="shared" si="27"/>
        <v>1.5</v>
      </c>
      <c r="DL62" s="441">
        <v>3</v>
      </c>
      <c r="DM62" s="435">
        <v>7100</v>
      </c>
      <c r="DN62" s="440">
        <v>1</v>
      </c>
      <c r="DO62" s="440">
        <v>1</v>
      </c>
      <c r="DP62" s="440">
        <v>1</v>
      </c>
      <c r="DQ62" s="440">
        <v>1</v>
      </c>
      <c r="DR62" s="440">
        <v>0</v>
      </c>
      <c r="DS62" s="440">
        <v>0</v>
      </c>
      <c r="DT62" s="442">
        <f t="shared" si="9"/>
        <v>0</v>
      </c>
      <c r="DU62" s="440">
        <v>0</v>
      </c>
      <c r="DV62" s="442">
        <f t="shared" si="28"/>
        <v>0</v>
      </c>
      <c r="DW62" s="441">
        <v>0</v>
      </c>
      <c r="DX62" s="435">
        <v>7100</v>
      </c>
      <c r="DY62" s="440">
        <v>-24</v>
      </c>
      <c r="DZ62" s="440">
        <v>-20</v>
      </c>
      <c r="EA62" s="440">
        <v>-16</v>
      </c>
      <c r="EB62" s="440">
        <v>-12</v>
      </c>
      <c r="EC62" s="440">
        <v>-8</v>
      </c>
      <c r="ED62" s="440">
        <v>-4</v>
      </c>
      <c r="EE62" s="442">
        <f t="shared" si="10"/>
        <v>-2</v>
      </c>
      <c r="EF62" s="440">
        <v>0</v>
      </c>
      <c r="EG62" s="442">
        <f t="shared" si="29"/>
        <v>2</v>
      </c>
      <c r="EH62" s="440">
        <v>4</v>
      </c>
      <c r="EI62" s="435">
        <v>7100</v>
      </c>
      <c r="EJ62" s="440">
        <v>3</v>
      </c>
      <c r="EK62" s="440">
        <v>3</v>
      </c>
      <c r="EL62" s="440">
        <v>2</v>
      </c>
      <c r="EM62" s="440">
        <v>2</v>
      </c>
      <c r="EN62" s="440">
        <v>1</v>
      </c>
      <c r="EO62" s="440">
        <v>1</v>
      </c>
      <c r="EP62" s="442">
        <f t="shared" si="30"/>
        <v>0.5</v>
      </c>
      <c r="EQ62" s="440">
        <v>0</v>
      </c>
      <c r="ER62" s="442">
        <f t="shared" si="31"/>
        <v>-0.5</v>
      </c>
      <c r="ES62" s="441">
        <v>-1</v>
      </c>
      <c r="ET62" s="435">
        <v>7100</v>
      </c>
      <c r="EU62" s="440">
        <v>-22</v>
      </c>
      <c r="EV62" s="440">
        <v>-19</v>
      </c>
      <c r="EW62" s="440">
        <v>-15</v>
      </c>
      <c r="EX62" s="440">
        <v>-11</v>
      </c>
      <c r="EY62" s="440">
        <v>-7</v>
      </c>
      <c r="EZ62" s="440">
        <v>-4</v>
      </c>
      <c r="FA62" s="442">
        <f t="shared" si="32"/>
        <v>-2</v>
      </c>
      <c r="FB62" s="440">
        <v>0</v>
      </c>
      <c r="FC62" s="442">
        <f t="shared" si="33"/>
        <v>2</v>
      </c>
      <c r="FD62" s="440">
        <v>4</v>
      </c>
      <c r="FE62" s="435">
        <v>7100</v>
      </c>
      <c r="FF62" s="440">
        <v>2</v>
      </c>
      <c r="FG62" s="440">
        <v>1</v>
      </c>
      <c r="FH62" s="440">
        <v>1</v>
      </c>
      <c r="FI62" s="440">
        <v>1</v>
      </c>
      <c r="FJ62" s="440">
        <v>1</v>
      </c>
      <c r="FK62" s="440">
        <v>0</v>
      </c>
      <c r="FL62" s="442">
        <f t="shared" si="11"/>
        <v>0</v>
      </c>
      <c r="FM62" s="440">
        <v>0</v>
      </c>
      <c r="FN62" s="442">
        <f t="shared" si="34"/>
        <v>0</v>
      </c>
      <c r="FO62" s="441">
        <v>0</v>
      </c>
      <c r="FP62" s="435">
        <v>7100</v>
      </c>
      <c r="FQ62" s="440">
        <v>-23</v>
      </c>
      <c r="FR62" s="440">
        <v>-19</v>
      </c>
      <c r="FS62" s="440">
        <v>-15</v>
      </c>
      <c r="FT62" s="440">
        <v>-11</v>
      </c>
      <c r="FU62" s="440">
        <v>-8</v>
      </c>
      <c r="FV62" s="440">
        <v>-4</v>
      </c>
      <c r="FW62" s="442">
        <f t="shared" si="12"/>
        <v>-2</v>
      </c>
      <c r="FX62" s="440">
        <v>0</v>
      </c>
      <c r="FY62" s="442">
        <f t="shared" si="35"/>
        <v>2</v>
      </c>
      <c r="FZ62" s="440">
        <v>4</v>
      </c>
      <c r="GA62" s="435">
        <v>7100</v>
      </c>
      <c r="GB62" s="440">
        <v>-35</v>
      </c>
      <c r="GC62" s="440">
        <v>-29</v>
      </c>
      <c r="GD62" s="440">
        <v>-23</v>
      </c>
      <c r="GE62" s="440">
        <v>-18</v>
      </c>
      <c r="GF62" s="440">
        <v>-12</v>
      </c>
      <c r="GG62" s="440">
        <v>-6</v>
      </c>
      <c r="GH62" s="442">
        <f t="shared" si="13"/>
        <v>-3</v>
      </c>
      <c r="GI62" s="440">
        <v>0</v>
      </c>
      <c r="GJ62" s="442">
        <f t="shared" si="36"/>
        <v>3</v>
      </c>
      <c r="GK62" s="441">
        <v>6</v>
      </c>
      <c r="GL62" s="435">
        <v>7100</v>
      </c>
      <c r="GM62" s="440">
        <v>-34</v>
      </c>
      <c r="GN62" s="440">
        <v>-29</v>
      </c>
      <c r="GO62" s="440">
        <v>-23</v>
      </c>
      <c r="GP62" s="440">
        <v>-17</v>
      </c>
      <c r="GQ62" s="440">
        <v>-11</v>
      </c>
      <c r="GR62" s="440">
        <v>-6</v>
      </c>
      <c r="GS62" s="442">
        <f t="shared" si="14"/>
        <v>-3</v>
      </c>
      <c r="GT62" s="440">
        <v>0</v>
      </c>
      <c r="GU62" s="442">
        <f t="shared" si="37"/>
        <v>3</v>
      </c>
      <c r="GV62" s="441">
        <v>6</v>
      </c>
    </row>
    <row r="63" spans="7:204">
      <c r="G63" s="435">
        <v>7000</v>
      </c>
      <c r="H63" s="445">
        <v>34</v>
      </c>
      <c r="I63" s="249">
        <v>29</v>
      </c>
      <c r="J63" s="249">
        <v>24</v>
      </c>
      <c r="K63" s="249">
        <v>17</v>
      </c>
      <c r="L63" s="249">
        <v>11</v>
      </c>
      <c r="M63" s="249">
        <v>6</v>
      </c>
      <c r="N63" s="249">
        <f t="shared" si="15"/>
        <v>3</v>
      </c>
      <c r="O63" s="249">
        <v>0</v>
      </c>
      <c r="P63" s="249">
        <f t="shared" si="16"/>
        <v>-3</v>
      </c>
      <c r="Q63" s="446">
        <v>-6</v>
      </c>
      <c r="R63" s="435">
        <v>7000</v>
      </c>
      <c r="S63" s="248">
        <v>11</v>
      </c>
      <c r="T63" s="248">
        <v>9</v>
      </c>
      <c r="U63" s="248">
        <v>7</v>
      </c>
      <c r="V63" s="248">
        <v>5</v>
      </c>
      <c r="W63" s="248">
        <v>4</v>
      </c>
      <c r="X63" s="248">
        <v>2</v>
      </c>
      <c r="Y63" s="249">
        <f t="shared" si="17"/>
        <v>1</v>
      </c>
      <c r="Z63" s="248">
        <v>0</v>
      </c>
      <c r="AA63" s="439">
        <f t="shared" si="18"/>
        <v>-1</v>
      </c>
      <c r="AB63" s="248">
        <v>-2</v>
      </c>
      <c r="AC63" s="435">
        <v>7000</v>
      </c>
      <c r="AD63" s="440">
        <v>-32</v>
      </c>
      <c r="AE63" s="440">
        <v>-27</v>
      </c>
      <c r="AF63" s="440">
        <v>-21</v>
      </c>
      <c r="AG63" s="440">
        <v>-16</v>
      </c>
      <c r="AH63" s="440">
        <v>-11</v>
      </c>
      <c r="AI63" s="440">
        <v>-5</v>
      </c>
      <c r="AJ63" s="249">
        <f t="shared" si="19"/>
        <v>-2.5</v>
      </c>
      <c r="AK63" s="248">
        <v>0</v>
      </c>
      <c r="AL63" s="439">
        <f t="shared" si="20"/>
        <v>2.5</v>
      </c>
      <c r="AM63" s="441">
        <v>5</v>
      </c>
      <c r="AN63" s="435">
        <v>7000</v>
      </c>
      <c r="AO63" s="440">
        <v>-56</v>
      </c>
      <c r="AP63" s="440">
        <v>-47</v>
      </c>
      <c r="AQ63" s="440">
        <v>-37</v>
      </c>
      <c r="AR63" s="440">
        <v>-28</v>
      </c>
      <c r="AS63" s="440">
        <v>-19</v>
      </c>
      <c r="AT63" s="440">
        <v>-9</v>
      </c>
      <c r="AU63" s="442">
        <f t="shared" si="2"/>
        <v>-4.5</v>
      </c>
      <c r="AV63" s="440">
        <v>0</v>
      </c>
      <c r="AW63" s="442">
        <f t="shared" si="21"/>
        <v>4.5</v>
      </c>
      <c r="AX63" s="441">
        <v>9</v>
      </c>
      <c r="AY63" s="435">
        <v>7000</v>
      </c>
      <c r="AZ63" s="440">
        <v>4</v>
      </c>
      <c r="BA63" s="440">
        <v>3</v>
      </c>
      <c r="BB63" s="440">
        <v>2</v>
      </c>
      <c r="BC63" s="440">
        <v>2</v>
      </c>
      <c r="BD63" s="440">
        <v>1</v>
      </c>
      <c r="BE63" s="440">
        <v>1</v>
      </c>
      <c r="BF63" s="442">
        <f t="shared" si="3"/>
        <v>0.5</v>
      </c>
      <c r="BG63" s="440">
        <v>0</v>
      </c>
      <c r="BH63" s="442">
        <f t="shared" si="22"/>
        <v>-0.5</v>
      </c>
      <c r="BI63" s="441">
        <v>-1</v>
      </c>
      <c r="BJ63" s="447">
        <v>7000</v>
      </c>
      <c r="BK63" s="440">
        <v>-31</v>
      </c>
      <c r="BL63" s="440">
        <v>-26</v>
      </c>
      <c r="BM63" s="440">
        <v>-21</v>
      </c>
      <c r="BN63" s="440">
        <v>-16</v>
      </c>
      <c r="BO63" s="440">
        <v>-10</v>
      </c>
      <c r="BP63" s="440">
        <v>-5</v>
      </c>
      <c r="BQ63" s="442">
        <f t="shared" si="4"/>
        <v>-2.5</v>
      </c>
      <c r="BR63" s="440">
        <v>0</v>
      </c>
      <c r="BS63" s="442">
        <f t="shared" si="23"/>
        <v>2.5</v>
      </c>
      <c r="BT63" s="440">
        <v>5</v>
      </c>
      <c r="BU63" s="435">
        <v>7000</v>
      </c>
      <c r="BV63" s="440">
        <v>1</v>
      </c>
      <c r="BW63" s="440">
        <v>1</v>
      </c>
      <c r="BX63" s="440">
        <v>1</v>
      </c>
      <c r="BY63" s="440">
        <v>1</v>
      </c>
      <c r="BZ63" s="440">
        <v>0</v>
      </c>
      <c r="CA63" s="440">
        <v>0</v>
      </c>
      <c r="CB63" s="442">
        <f t="shared" si="5"/>
        <v>0</v>
      </c>
      <c r="CC63" s="440">
        <v>0</v>
      </c>
      <c r="CD63" s="442">
        <f t="shared" si="24"/>
        <v>0</v>
      </c>
      <c r="CE63" s="441">
        <v>0</v>
      </c>
      <c r="CF63" s="435">
        <v>7000</v>
      </c>
      <c r="CG63" s="440">
        <v>-23</v>
      </c>
      <c r="CH63" s="440">
        <v>-19</v>
      </c>
      <c r="CI63" s="440">
        <v>-15</v>
      </c>
      <c r="CJ63" s="440">
        <v>-11</v>
      </c>
      <c r="CK63" s="440">
        <v>-8</v>
      </c>
      <c r="CL63" s="440">
        <v>-4</v>
      </c>
      <c r="CM63" s="442">
        <f t="shared" si="6"/>
        <v>-2</v>
      </c>
      <c r="CN63" s="440">
        <v>0</v>
      </c>
      <c r="CO63" s="442">
        <f t="shared" si="25"/>
        <v>2</v>
      </c>
      <c r="CP63" s="441">
        <v>4</v>
      </c>
      <c r="CQ63" s="435">
        <v>7000</v>
      </c>
      <c r="CR63" s="440">
        <v>1</v>
      </c>
      <c r="CS63" s="440">
        <v>1</v>
      </c>
      <c r="CT63" s="440">
        <v>1</v>
      </c>
      <c r="CU63" s="440">
        <v>1</v>
      </c>
      <c r="CV63" s="440">
        <v>0</v>
      </c>
      <c r="CW63" s="440">
        <v>0</v>
      </c>
      <c r="CX63" s="442">
        <f t="shared" si="7"/>
        <v>0</v>
      </c>
      <c r="CY63" s="440">
        <v>0</v>
      </c>
      <c r="CZ63" s="442">
        <f t="shared" si="26"/>
        <v>0</v>
      </c>
      <c r="DA63" s="441">
        <v>0</v>
      </c>
      <c r="DB63" s="435">
        <v>7000</v>
      </c>
      <c r="DC63" s="440">
        <v>-21</v>
      </c>
      <c r="DD63" s="440">
        <v>-17</v>
      </c>
      <c r="DE63" s="440">
        <v>-14</v>
      </c>
      <c r="DF63" s="440">
        <v>-10</v>
      </c>
      <c r="DG63" s="440">
        <v>-7</v>
      </c>
      <c r="DH63" s="440">
        <v>-3</v>
      </c>
      <c r="DI63" s="442">
        <f t="shared" si="8"/>
        <v>-1.5</v>
      </c>
      <c r="DJ63" s="440">
        <v>0</v>
      </c>
      <c r="DK63" s="442">
        <f t="shared" si="27"/>
        <v>1.5</v>
      </c>
      <c r="DL63" s="441">
        <v>3</v>
      </c>
      <c r="DM63" s="435">
        <v>7000</v>
      </c>
      <c r="DN63" s="440">
        <v>1</v>
      </c>
      <c r="DO63" s="440">
        <v>1</v>
      </c>
      <c r="DP63" s="440">
        <v>1</v>
      </c>
      <c r="DQ63" s="440">
        <v>1</v>
      </c>
      <c r="DR63" s="440">
        <v>0</v>
      </c>
      <c r="DS63" s="440">
        <v>0</v>
      </c>
      <c r="DT63" s="442">
        <f t="shared" si="9"/>
        <v>0</v>
      </c>
      <c r="DU63" s="440">
        <v>0</v>
      </c>
      <c r="DV63" s="442">
        <f t="shared" si="28"/>
        <v>0</v>
      </c>
      <c r="DW63" s="441">
        <v>0</v>
      </c>
      <c r="DX63" s="435">
        <v>7000</v>
      </c>
      <c r="DY63" s="440">
        <v>-24</v>
      </c>
      <c r="DZ63" s="440">
        <v>-20</v>
      </c>
      <c r="EA63" s="440">
        <v>-16</v>
      </c>
      <c r="EB63" s="440">
        <v>-12</v>
      </c>
      <c r="EC63" s="440">
        <v>-8</v>
      </c>
      <c r="ED63" s="440">
        <v>-4</v>
      </c>
      <c r="EE63" s="442">
        <f t="shared" si="10"/>
        <v>-2</v>
      </c>
      <c r="EF63" s="440">
        <v>0</v>
      </c>
      <c r="EG63" s="442">
        <f t="shared" si="29"/>
        <v>2</v>
      </c>
      <c r="EH63" s="440">
        <v>4</v>
      </c>
      <c r="EI63" s="435">
        <v>7000</v>
      </c>
      <c r="EJ63" s="440">
        <v>3</v>
      </c>
      <c r="EK63" s="440">
        <v>3</v>
      </c>
      <c r="EL63" s="440">
        <v>2</v>
      </c>
      <c r="EM63" s="440">
        <v>2</v>
      </c>
      <c r="EN63" s="440">
        <v>1</v>
      </c>
      <c r="EO63" s="440">
        <v>1</v>
      </c>
      <c r="EP63" s="442">
        <f t="shared" si="30"/>
        <v>0.5</v>
      </c>
      <c r="EQ63" s="440">
        <v>0</v>
      </c>
      <c r="ER63" s="442">
        <f t="shared" si="31"/>
        <v>-0.5</v>
      </c>
      <c r="ES63" s="441">
        <v>-1</v>
      </c>
      <c r="ET63" s="435">
        <v>7000</v>
      </c>
      <c r="EU63" s="440">
        <v>-22</v>
      </c>
      <c r="EV63" s="440">
        <v>-19</v>
      </c>
      <c r="EW63" s="440">
        <v>-15</v>
      </c>
      <c r="EX63" s="440">
        <v>-11</v>
      </c>
      <c r="EY63" s="440">
        <v>-7</v>
      </c>
      <c r="EZ63" s="440">
        <v>-4</v>
      </c>
      <c r="FA63" s="442">
        <f t="shared" si="32"/>
        <v>-2</v>
      </c>
      <c r="FB63" s="440">
        <v>0</v>
      </c>
      <c r="FC63" s="442">
        <f t="shared" si="33"/>
        <v>2</v>
      </c>
      <c r="FD63" s="440">
        <v>4</v>
      </c>
      <c r="FE63" s="435">
        <v>7000</v>
      </c>
      <c r="FF63" s="440">
        <v>1</v>
      </c>
      <c r="FG63" s="440">
        <v>1</v>
      </c>
      <c r="FH63" s="440">
        <v>1</v>
      </c>
      <c r="FI63" s="440">
        <v>1</v>
      </c>
      <c r="FJ63" s="440">
        <v>0</v>
      </c>
      <c r="FK63" s="440">
        <v>0</v>
      </c>
      <c r="FL63" s="442">
        <f t="shared" si="11"/>
        <v>0</v>
      </c>
      <c r="FM63" s="440">
        <v>0</v>
      </c>
      <c r="FN63" s="442">
        <f t="shared" si="34"/>
        <v>0</v>
      </c>
      <c r="FO63" s="441">
        <v>0</v>
      </c>
      <c r="FP63" s="435">
        <v>7000</v>
      </c>
      <c r="FQ63" s="440">
        <v>-23</v>
      </c>
      <c r="FR63" s="440">
        <v>-19</v>
      </c>
      <c r="FS63" s="440">
        <v>-15</v>
      </c>
      <c r="FT63" s="440">
        <v>-11</v>
      </c>
      <c r="FU63" s="440">
        <v>-8</v>
      </c>
      <c r="FV63" s="440">
        <v>-4</v>
      </c>
      <c r="FW63" s="442">
        <f t="shared" si="12"/>
        <v>-2</v>
      </c>
      <c r="FX63" s="440">
        <v>0</v>
      </c>
      <c r="FY63" s="442">
        <f t="shared" si="35"/>
        <v>2</v>
      </c>
      <c r="FZ63" s="440">
        <v>4</v>
      </c>
      <c r="GA63" s="435">
        <v>7000</v>
      </c>
      <c r="GB63" s="440">
        <v>-35</v>
      </c>
      <c r="GC63" s="440">
        <v>-29</v>
      </c>
      <c r="GD63" s="440">
        <v>-23</v>
      </c>
      <c r="GE63" s="440">
        <v>-18</v>
      </c>
      <c r="GF63" s="440">
        <v>-12</v>
      </c>
      <c r="GG63" s="440">
        <v>-6</v>
      </c>
      <c r="GH63" s="442">
        <f t="shared" si="13"/>
        <v>-3</v>
      </c>
      <c r="GI63" s="440">
        <v>0</v>
      </c>
      <c r="GJ63" s="442">
        <f t="shared" si="36"/>
        <v>3</v>
      </c>
      <c r="GK63" s="441">
        <v>6</v>
      </c>
      <c r="GL63" s="435">
        <v>7000</v>
      </c>
      <c r="GM63" s="440">
        <v>-34</v>
      </c>
      <c r="GN63" s="440">
        <v>-29</v>
      </c>
      <c r="GO63" s="440">
        <v>-23</v>
      </c>
      <c r="GP63" s="440">
        <v>-17</v>
      </c>
      <c r="GQ63" s="440">
        <v>-11</v>
      </c>
      <c r="GR63" s="440">
        <v>-6</v>
      </c>
      <c r="GS63" s="442">
        <f t="shared" si="14"/>
        <v>-3</v>
      </c>
      <c r="GT63" s="440">
        <v>0</v>
      </c>
      <c r="GU63" s="442">
        <f t="shared" si="37"/>
        <v>3</v>
      </c>
      <c r="GV63" s="441">
        <v>6</v>
      </c>
    </row>
    <row r="64" spans="7:204">
      <c r="G64" s="435">
        <v>6900</v>
      </c>
      <c r="H64" s="445">
        <v>34</v>
      </c>
      <c r="I64" s="249">
        <v>29</v>
      </c>
      <c r="J64" s="249">
        <v>24</v>
      </c>
      <c r="K64" s="249">
        <v>17</v>
      </c>
      <c r="L64" s="249">
        <v>11</v>
      </c>
      <c r="M64" s="249">
        <v>6</v>
      </c>
      <c r="N64" s="249">
        <f t="shared" si="15"/>
        <v>3</v>
      </c>
      <c r="O64" s="249">
        <v>0</v>
      </c>
      <c r="P64" s="249">
        <f t="shared" si="16"/>
        <v>-3</v>
      </c>
      <c r="Q64" s="446">
        <v>-6</v>
      </c>
      <c r="R64" s="435">
        <v>6900</v>
      </c>
      <c r="S64" s="248">
        <v>11</v>
      </c>
      <c r="T64" s="248">
        <v>9</v>
      </c>
      <c r="U64" s="248">
        <v>7</v>
      </c>
      <c r="V64" s="248">
        <v>5</v>
      </c>
      <c r="W64" s="248">
        <v>4</v>
      </c>
      <c r="X64" s="248">
        <v>2</v>
      </c>
      <c r="Y64" s="249">
        <f t="shared" si="17"/>
        <v>1</v>
      </c>
      <c r="Z64" s="248">
        <v>0</v>
      </c>
      <c r="AA64" s="439">
        <f t="shared" si="18"/>
        <v>-1</v>
      </c>
      <c r="AB64" s="248">
        <v>-2</v>
      </c>
      <c r="AC64" s="435">
        <v>6900</v>
      </c>
      <c r="AD64" s="440">
        <v>-32</v>
      </c>
      <c r="AE64" s="440">
        <v>-27</v>
      </c>
      <c r="AF64" s="440">
        <v>-21</v>
      </c>
      <c r="AG64" s="440">
        <v>-16</v>
      </c>
      <c r="AH64" s="440">
        <v>-11</v>
      </c>
      <c r="AI64" s="440">
        <v>-5</v>
      </c>
      <c r="AJ64" s="249">
        <f t="shared" si="19"/>
        <v>-2.5</v>
      </c>
      <c r="AK64" s="248">
        <v>0</v>
      </c>
      <c r="AL64" s="439">
        <f t="shared" si="20"/>
        <v>2.5</v>
      </c>
      <c r="AM64" s="441">
        <v>5</v>
      </c>
      <c r="AN64" s="435">
        <v>6900</v>
      </c>
      <c r="AO64" s="440">
        <v>-56</v>
      </c>
      <c r="AP64" s="440">
        <v>-47</v>
      </c>
      <c r="AQ64" s="440">
        <v>-37</v>
      </c>
      <c r="AR64" s="440">
        <v>-28</v>
      </c>
      <c r="AS64" s="440">
        <v>-19</v>
      </c>
      <c r="AT64" s="440">
        <v>-9</v>
      </c>
      <c r="AU64" s="442">
        <f t="shared" si="2"/>
        <v>-4.5</v>
      </c>
      <c r="AV64" s="440">
        <v>0</v>
      </c>
      <c r="AW64" s="442">
        <f t="shared" si="21"/>
        <v>4.5</v>
      </c>
      <c r="AX64" s="441">
        <v>9</v>
      </c>
      <c r="AY64" s="435">
        <v>6900</v>
      </c>
      <c r="AZ64" s="440">
        <v>4</v>
      </c>
      <c r="BA64" s="440">
        <v>3</v>
      </c>
      <c r="BB64" s="440">
        <v>2</v>
      </c>
      <c r="BC64" s="440">
        <v>2</v>
      </c>
      <c r="BD64" s="440">
        <v>1</v>
      </c>
      <c r="BE64" s="440">
        <v>1</v>
      </c>
      <c r="BF64" s="442">
        <f t="shared" si="3"/>
        <v>0.5</v>
      </c>
      <c r="BG64" s="440">
        <v>0</v>
      </c>
      <c r="BH64" s="442">
        <f t="shared" si="22"/>
        <v>-0.5</v>
      </c>
      <c r="BI64" s="441">
        <v>-1</v>
      </c>
      <c r="BJ64" s="447">
        <v>6900</v>
      </c>
      <c r="BK64" s="440">
        <v>-31</v>
      </c>
      <c r="BL64" s="440">
        <v>-26</v>
      </c>
      <c r="BM64" s="440">
        <v>-21</v>
      </c>
      <c r="BN64" s="440">
        <v>-16</v>
      </c>
      <c r="BO64" s="440">
        <v>-10</v>
      </c>
      <c r="BP64" s="440">
        <v>-5</v>
      </c>
      <c r="BQ64" s="442">
        <f t="shared" si="4"/>
        <v>-2.5</v>
      </c>
      <c r="BR64" s="440">
        <v>0</v>
      </c>
      <c r="BS64" s="442">
        <f t="shared" si="23"/>
        <v>2.5</v>
      </c>
      <c r="BT64" s="440">
        <v>5</v>
      </c>
      <c r="BU64" s="435">
        <v>6900</v>
      </c>
      <c r="BV64" s="440">
        <v>1</v>
      </c>
      <c r="BW64" s="440">
        <v>1</v>
      </c>
      <c r="BX64" s="440">
        <v>1</v>
      </c>
      <c r="BY64" s="440">
        <v>1</v>
      </c>
      <c r="BZ64" s="440">
        <v>0</v>
      </c>
      <c r="CA64" s="440">
        <v>0</v>
      </c>
      <c r="CB64" s="442">
        <f t="shared" si="5"/>
        <v>0</v>
      </c>
      <c r="CC64" s="440">
        <v>0</v>
      </c>
      <c r="CD64" s="442">
        <f t="shared" si="24"/>
        <v>0</v>
      </c>
      <c r="CE64" s="441">
        <v>0</v>
      </c>
      <c r="CF64" s="435">
        <v>6900</v>
      </c>
      <c r="CG64" s="440">
        <v>-23</v>
      </c>
      <c r="CH64" s="440">
        <v>-19</v>
      </c>
      <c r="CI64" s="440">
        <v>-15</v>
      </c>
      <c r="CJ64" s="440">
        <v>-11</v>
      </c>
      <c r="CK64" s="440">
        <v>-8</v>
      </c>
      <c r="CL64" s="440">
        <v>-4</v>
      </c>
      <c r="CM64" s="442">
        <f t="shared" si="6"/>
        <v>-2</v>
      </c>
      <c r="CN64" s="440">
        <v>0</v>
      </c>
      <c r="CO64" s="442">
        <f t="shared" si="25"/>
        <v>2</v>
      </c>
      <c r="CP64" s="441">
        <v>4</v>
      </c>
      <c r="CQ64" s="435">
        <v>6900</v>
      </c>
      <c r="CR64" s="440">
        <v>1</v>
      </c>
      <c r="CS64" s="440">
        <v>1</v>
      </c>
      <c r="CT64" s="440">
        <v>1</v>
      </c>
      <c r="CU64" s="440">
        <v>1</v>
      </c>
      <c r="CV64" s="440">
        <v>0</v>
      </c>
      <c r="CW64" s="440">
        <v>0</v>
      </c>
      <c r="CX64" s="442">
        <f t="shared" si="7"/>
        <v>0</v>
      </c>
      <c r="CY64" s="440">
        <v>0</v>
      </c>
      <c r="CZ64" s="442">
        <f t="shared" si="26"/>
        <v>0</v>
      </c>
      <c r="DA64" s="441">
        <v>0</v>
      </c>
      <c r="DB64" s="435">
        <v>6900</v>
      </c>
      <c r="DC64" s="440">
        <v>-21</v>
      </c>
      <c r="DD64" s="440">
        <v>-17</v>
      </c>
      <c r="DE64" s="440">
        <v>-14</v>
      </c>
      <c r="DF64" s="440">
        <v>-10</v>
      </c>
      <c r="DG64" s="440">
        <v>-7</v>
      </c>
      <c r="DH64" s="440">
        <v>-3</v>
      </c>
      <c r="DI64" s="442">
        <f t="shared" si="8"/>
        <v>-1.5</v>
      </c>
      <c r="DJ64" s="440">
        <v>0</v>
      </c>
      <c r="DK64" s="442">
        <f t="shared" si="27"/>
        <v>1.5</v>
      </c>
      <c r="DL64" s="441">
        <v>3</v>
      </c>
      <c r="DM64" s="435">
        <v>6900</v>
      </c>
      <c r="DN64" s="440">
        <v>1</v>
      </c>
      <c r="DO64" s="440">
        <v>1</v>
      </c>
      <c r="DP64" s="440">
        <v>1</v>
      </c>
      <c r="DQ64" s="440">
        <v>1</v>
      </c>
      <c r="DR64" s="440">
        <v>0</v>
      </c>
      <c r="DS64" s="440">
        <v>0</v>
      </c>
      <c r="DT64" s="442">
        <f t="shared" si="9"/>
        <v>0</v>
      </c>
      <c r="DU64" s="440">
        <v>0</v>
      </c>
      <c r="DV64" s="442">
        <f t="shared" si="28"/>
        <v>0</v>
      </c>
      <c r="DW64" s="441">
        <v>0</v>
      </c>
      <c r="DX64" s="435">
        <v>6900</v>
      </c>
      <c r="DY64" s="440">
        <v>-24</v>
      </c>
      <c r="DZ64" s="440">
        <v>-20</v>
      </c>
      <c r="EA64" s="440">
        <v>-16</v>
      </c>
      <c r="EB64" s="440">
        <v>-12</v>
      </c>
      <c r="EC64" s="440">
        <v>-8</v>
      </c>
      <c r="ED64" s="440">
        <v>-4</v>
      </c>
      <c r="EE64" s="442">
        <f t="shared" si="10"/>
        <v>-2</v>
      </c>
      <c r="EF64" s="440">
        <v>0</v>
      </c>
      <c r="EG64" s="442">
        <f t="shared" si="29"/>
        <v>2</v>
      </c>
      <c r="EH64" s="440">
        <v>4</v>
      </c>
      <c r="EI64" s="435">
        <v>6900</v>
      </c>
      <c r="EJ64" s="440">
        <v>3</v>
      </c>
      <c r="EK64" s="440">
        <v>3</v>
      </c>
      <c r="EL64" s="440">
        <v>2</v>
      </c>
      <c r="EM64" s="440">
        <v>2</v>
      </c>
      <c r="EN64" s="440">
        <v>1</v>
      </c>
      <c r="EO64" s="440">
        <v>1</v>
      </c>
      <c r="EP64" s="442">
        <f t="shared" si="30"/>
        <v>0.5</v>
      </c>
      <c r="EQ64" s="440">
        <v>0</v>
      </c>
      <c r="ER64" s="442">
        <f t="shared" si="31"/>
        <v>-0.5</v>
      </c>
      <c r="ES64" s="441">
        <v>-1</v>
      </c>
      <c r="ET64" s="435">
        <v>6900</v>
      </c>
      <c r="EU64" s="440">
        <v>-22</v>
      </c>
      <c r="EV64" s="440">
        <v>-19</v>
      </c>
      <c r="EW64" s="440">
        <v>-15</v>
      </c>
      <c r="EX64" s="440">
        <v>-11</v>
      </c>
      <c r="EY64" s="440">
        <v>-7</v>
      </c>
      <c r="EZ64" s="440">
        <v>-4</v>
      </c>
      <c r="FA64" s="442">
        <f t="shared" si="32"/>
        <v>-2</v>
      </c>
      <c r="FB64" s="440">
        <v>0</v>
      </c>
      <c r="FC64" s="442">
        <f t="shared" si="33"/>
        <v>2</v>
      </c>
      <c r="FD64" s="440">
        <v>4</v>
      </c>
      <c r="FE64" s="435">
        <v>6900</v>
      </c>
      <c r="FF64" s="440">
        <v>1</v>
      </c>
      <c r="FG64" s="440">
        <v>1</v>
      </c>
      <c r="FH64" s="440">
        <v>1</v>
      </c>
      <c r="FI64" s="440">
        <v>1</v>
      </c>
      <c r="FJ64" s="440">
        <v>0</v>
      </c>
      <c r="FK64" s="440">
        <v>0</v>
      </c>
      <c r="FL64" s="442">
        <f t="shared" si="11"/>
        <v>0</v>
      </c>
      <c r="FM64" s="440">
        <v>0</v>
      </c>
      <c r="FN64" s="442">
        <f t="shared" si="34"/>
        <v>0</v>
      </c>
      <c r="FO64" s="441">
        <v>0</v>
      </c>
      <c r="FP64" s="435">
        <v>6900</v>
      </c>
      <c r="FQ64" s="440">
        <v>-23</v>
      </c>
      <c r="FR64" s="440">
        <v>-19</v>
      </c>
      <c r="FS64" s="440">
        <v>-15</v>
      </c>
      <c r="FT64" s="440">
        <v>-11</v>
      </c>
      <c r="FU64" s="440">
        <v>-8</v>
      </c>
      <c r="FV64" s="440">
        <v>-4</v>
      </c>
      <c r="FW64" s="442">
        <f t="shared" si="12"/>
        <v>-2</v>
      </c>
      <c r="FX64" s="440">
        <v>0</v>
      </c>
      <c r="FY64" s="442">
        <f t="shared" si="35"/>
        <v>2</v>
      </c>
      <c r="FZ64" s="440">
        <v>4</v>
      </c>
      <c r="GA64" s="435">
        <v>6900</v>
      </c>
      <c r="GB64" s="440">
        <v>-35</v>
      </c>
      <c r="GC64" s="440">
        <v>-29</v>
      </c>
      <c r="GD64" s="440">
        <v>-23</v>
      </c>
      <c r="GE64" s="440">
        <v>-18</v>
      </c>
      <c r="GF64" s="440">
        <v>-12</v>
      </c>
      <c r="GG64" s="440">
        <v>-6</v>
      </c>
      <c r="GH64" s="442">
        <f t="shared" si="13"/>
        <v>-3</v>
      </c>
      <c r="GI64" s="440">
        <v>0</v>
      </c>
      <c r="GJ64" s="442">
        <f t="shared" si="36"/>
        <v>3</v>
      </c>
      <c r="GK64" s="441">
        <v>6</v>
      </c>
      <c r="GL64" s="435">
        <v>6900</v>
      </c>
      <c r="GM64" s="440">
        <v>-34</v>
      </c>
      <c r="GN64" s="440">
        <v>-29</v>
      </c>
      <c r="GO64" s="440">
        <v>-23</v>
      </c>
      <c r="GP64" s="440">
        <v>-17</v>
      </c>
      <c r="GQ64" s="440">
        <v>-11</v>
      </c>
      <c r="GR64" s="440">
        <v>-6</v>
      </c>
      <c r="GS64" s="442">
        <f t="shared" si="14"/>
        <v>-3</v>
      </c>
      <c r="GT64" s="440">
        <v>0</v>
      </c>
      <c r="GU64" s="442">
        <f t="shared" si="37"/>
        <v>3</v>
      </c>
      <c r="GV64" s="441">
        <v>6</v>
      </c>
    </row>
    <row r="65" spans="7:204">
      <c r="G65" s="435">
        <v>6800</v>
      </c>
      <c r="H65" s="445">
        <v>34</v>
      </c>
      <c r="I65" s="249">
        <v>29</v>
      </c>
      <c r="J65" s="249">
        <v>24</v>
      </c>
      <c r="K65" s="249">
        <v>17</v>
      </c>
      <c r="L65" s="249">
        <v>11</v>
      </c>
      <c r="M65" s="249">
        <v>6</v>
      </c>
      <c r="N65" s="249">
        <f t="shared" si="15"/>
        <v>3</v>
      </c>
      <c r="O65" s="249">
        <v>0</v>
      </c>
      <c r="P65" s="249">
        <f t="shared" si="16"/>
        <v>-3</v>
      </c>
      <c r="Q65" s="446">
        <v>-6</v>
      </c>
      <c r="R65" s="435">
        <v>6800</v>
      </c>
      <c r="S65" s="248">
        <v>11</v>
      </c>
      <c r="T65" s="248">
        <v>9</v>
      </c>
      <c r="U65" s="248">
        <v>7</v>
      </c>
      <c r="V65" s="248">
        <v>5</v>
      </c>
      <c r="W65" s="248">
        <v>4</v>
      </c>
      <c r="X65" s="248">
        <v>2</v>
      </c>
      <c r="Y65" s="249">
        <f t="shared" si="17"/>
        <v>1</v>
      </c>
      <c r="Z65" s="248">
        <v>0</v>
      </c>
      <c r="AA65" s="439">
        <f t="shared" si="18"/>
        <v>-1</v>
      </c>
      <c r="AB65" s="248">
        <v>-2</v>
      </c>
      <c r="AC65" s="435">
        <v>6800</v>
      </c>
      <c r="AD65" s="440">
        <v>-32</v>
      </c>
      <c r="AE65" s="440">
        <v>-27</v>
      </c>
      <c r="AF65" s="440">
        <v>-21</v>
      </c>
      <c r="AG65" s="440">
        <v>-16</v>
      </c>
      <c r="AH65" s="440">
        <v>-11</v>
      </c>
      <c r="AI65" s="440">
        <v>-5</v>
      </c>
      <c r="AJ65" s="249">
        <f t="shared" si="19"/>
        <v>-2.5</v>
      </c>
      <c r="AK65" s="248">
        <v>0</v>
      </c>
      <c r="AL65" s="439">
        <f t="shared" si="20"/>
        <v>2.5</v>
      </c>
      <c r="AM65" s="441">
        <v>5</v>
      </c>
      <c r="AN65" s="435">
        <v>6800</v>
      </c>
      <c r="AO65" s="440">
        <v>-56</v>
      </c>
      <c r="AP65" s="440">
        <v>-47</v>
      </c>
      <c r="AQ65" s="440">
        <v>-37</v>
      </c>
      <c r="AR65" s="440">
        <v>-28</v>
      </c>
      <c r="AS65" s="440">
        <v>-19</v>
      </c>
      <c r="AT65" s="440">
        <v>-9</v>
      </c>
      <c r="AU65" s="442">
        <f t="shared" si="2"/>
        <v>-4.5</v>
      </c>
      <c r="AV65" s="440">
        <v>0</v>
      </c>
      <c r="AW65" s="442">
        <f t="shared" si="21"/>
        <v>4.5</v>
      </c>
      <c r="AX65" s="441">
        <v>9</v>
      </c>
      <c r="AY65" s="435">
        <v>6800</v>
      </c>
      <c r="AZ65" s="440">
        <v>4</v>
      </c>
      <c r="BA65" s="440">
        <v>3</v>
      </c>
      <c r="BB65" s="440">
        <v>2</v>
      </c>
      <c r="BC65" s="440">
        <v>2</v>
      </c>
      <c r="BD65" s="440">
        <v>1</v>
      </c>
      <c r="BE65" s="440">
        <v>1</v>
      </c>
      <c r="BF65" s="442">
        <f t="shared" si="3"/>
        <v>0.5</v>
      </c>
      <c r="BG65" s="440">
        <v>0</v>
      </c>
      <c r="BH65" s="442">
        <f t="shared" si="22"/>
        <v>-0.5</v>
      </c>
      <c r="BI65" s="441">
        <v>-1</v>
      </c>
      <c r="BJ65" s="447">
        <v>6800</v>
      </c>
      <c r="BK65" s="440">
        <v>-31</v>
      </c>
      <c r="BL65" s="440">
        <v>-26</v>
      </c>
      <c r="BM65" s="440">
        <v>-21</v>
      </c>
      <c r="BN65" s="440">
        <v>-16</v>
      </c>
      <c r="BO65" s="440">
        <v>-10</v>
      </c>
      <c r="BP65" s="440">
        <v>-5</v>
      </c>
      <c r="BQ65" s="442">
        <f t="shared" si="4"/>
        <v>-2.5</v>
      </c>
      <c r="BR65" s="440">
        <v>0</v>
      </c>
      <c r="BS65" s="442">
        <f t="shared" si="23"/>
        <v>2.5</v>
      </c>
      <c r="BT65" s="440">
        <v>5</v>
      </c>
      <c r="BU65" s="435">
        <v>6800</v>
      </c>
      <c r="BV65" s="440">
        <v>1</v>
      </c>
      <c r="BW65" s="440">
        <v>1</v>
      </c>
      <c r="BX65" s="440">
        <v>1</v>
      </c>
      <c r="BY65" s="440">
        <v>1</v>
      </c>
      <c r="BZ65" s="440">
        <v>0</v>
      </c>
      <c r="CA65" s="440">
        <v>0</v>
      </c>
      <c r="CB65" s="442">
        <f t="shared" si="5"/>
        <v>0</v>
      </c>
      <c r="CC65" s="440">
        <v>0</v>
      </c>
      <c r="CD65" s="442">
        <f t="shared" si="24"/>
        <v>0</v>
      </c>
      <c r="CE65" s="441">
        <v>0</v>
      </c>
      <c r="CF65" s="435">
        <v>6800</v>
      </c>
      <c r="CG65" s="440">
        <v>-23</v>
      </c>
      <c r="CH65" s="440">
        <v>-19</v>
      </c>
      <c r="CI65" s="440">
        <v>-15</v>
      </c>
      <c r="CJ65" s="440">
        <v>-11</v>
      </c>
      <c r="CK65" s="440">
        <v>-8</v>
      </c>
      <c r="CL65" s="440">
        <v>-4</v>
      </c>
      <c r="CM65" s="442">
        <f t="shared" si="6"/>
        <v>-2</v>
      </c>
      <c r="CN65" s="440">
        <v>0</v>
      </c>
      <c r="CO65" s="442">
        <f t="shared" si="25"/>
        <v>2</v>
      </c>
      <c r="CP65" s="441">
        <v>4</v>
      </c>
      <c r="CQ65" s="435">
        <v>6800</v>
      </c>
      <c r="CR65" s="440">
        <v>1</v>
      </c>
      <c r="CS65" s="440">
        <v>1</v>
      </c>
      <c r="CT65" s="440">
        <v>1</v>
      </c>
      <c r="CU65" s="440">
        <v>1</v>
      </c>
      <c r="CV65" s="440">
        <v>0</v>
      </c>
      <c r="CW65" s="440">
        <v>0</v>
      </c>
      <c r="CX65" s="442">
        <f t="shared" si="7"/>
        <v>0</v>
      </c>
      <c r="CY65" s="440">
        <v>0</v>
      </c>
      <c r="CZ65" s="442">
        <f t="shared" si="26"/>
        <v>0</v>
      </c>
      <c r="DA65" s="441">
        <v>0</v>
      </c>
      <c r="DB65" s="435">
        <v>6800</v>
      </c>
      <c r="DC65" s="440">
        <v>-21</v>
      </c>
      <c r="DD65" s="440">
        <v>-17</v>
      </c>
      <c r="DE65" s="440">
        <v>-14</v>
      </c>
      <c r="DF65" s="440">
        <v>-10</v>
      </c>
      <c r="DG65" s="440">
        <v>-7</v>
      </c>
      <c r="DH65" s="440">
        <v>-3</v>
      </c>
      <c r="DI65" s="442">
        <f t="shared" si="8"/>
        <v>-1.5</v>
      </c>
      <c r="DJ65" s="440">
        <v>0</v>
      </c>
      <c r="DK65" s="442">
        <f t="shared" si="27"/>
        <v>1.5</v>
      </c>
      <c r="DL65" s="441">
        <v>3</v>
      </c>
      <c r="DM65" s="435">
        <v>6800</v>
      </c>
      <c r="DN65" s="440">
        <v>1</v>
      </c>
      <c r="DO65" s="440">
        <v>1</v>
      </c>
      <c r="DP65" s="440">
        <v>1</v>
      </c>
      <c r="DQ65" s="440">
        <v>1</v>
      </c>
      <c r="DR65" s="440">
        <v>0</v>
      </c>
      <c r="DS65" s="440">
        <v>0</v>
      </c>
      <c r="DT65" s="442">
        <f t="shared" si="9"/>
        <v>0</v>
      </c>
      <c r="DU65" s="440">
        <v>0</v>
      </c>
      <c r="DV65" s="442">
        <f t="shared" si="28"/>
        <v>0</v>
      </c>
      <c r="DW65" s="441">
        <v>0</v>
      </c>
      <c r="DX65" s="435">
        <v>6800</v>
      </c>
      <c r="DY65" s="440">
        <v>-24</v>
      </c>
      <c r="DZ65" s="440">
        <v>-20</v>
      </c>
      <c r="EA65" s="440">
        <v>-16</v>
      </c>
      <c r="EB65" s="440">
        <v>-12</v>
      </c>
      <c r="EC65" s="440">
        <v>-8</v>
      </c>
      <c r="ED65" s="440">
        <v>-4</v>
      </c>
      <c r="EE65" s="442">
        <f t="shared" si="10"/>
        <v>-2</v>
      </c>
      <c r="EF65" s="440">
        <v>0</v>
      </c>
      <c r="EG65" s="442">
        <f t="shared" si="29"/>
        <v>2</v>
      </c>
      <c r="EH65" s="440">
        <v>4</v>
      </c>
      <c r="EI65" s="435">
        <v>6800</v>
      </c>
      <c r="EJ65" s="440">
        <v>3</v>
      </c>
      <c r="EK65" s="440">
        <v>3</v>
      </c>
      <c r="EL65" s="440">
        <v>2</v>
      </c>
      <c r="EM65" s="440">
        <v>2</v>
      </c>
      <c r="EN65" s="440">
        <v>1</v>
      </c>
      <c r="EO65" s="440">
        <v>1</v>
      </c>
      <c r="EP65" s="442">
        <f t="shared" si="30"/>
        <v>0.5</v>
      </c>
      <c r="EQ65" s="440">
        <v>0</v>
      </c>
      <c r="ER65" s="442">
        <f t="shared" si="31"/>
        <v>-0.5</v>
      </c>
      <c r="ES65" s="441">
        <v>-1</v>
      </c>
      <c r="ET65" s="435">
        <v>6800</v>
      </c>
      <c r="EU65" s="440">
        <v>-22</v>
      </c>
      <c r="EV65" s="440">
        <v>-19</v>
      </c>
      <c r="EW65" s="440">
        <v>-15</v>
      </c>
      <c r="EX65" s="440">
        <v>-11</v>
      </c>
      <c r="EY65" s="440">
        <v>-7</v>
      </c>
      <c r="EZ65" s="440">
        <v>-4</v>
      </c>
      <c r="FA65" s="442">
        <f t="shared" si="32"/>
        <v>-2</v>
      </c>
      <c r="FB65" s="440">
        <v>0</v>
      </c>
      <c r="FC65" s="442">
        <f t="shared" si="33"/>
        <v>2</v>
      </c>
      <c r="FD65" s="440">
        <v>4</v>
      </c>
      <c r="FE65" s="435">
        <v>6800</v>
      </c>
      <c r="FF65" s="440">
        <v>1</v>
      </c>
      <c r="FG65" s="440">
        <v>1</v>
      </c>
      <c r="FH65" s="440">
        <v>1</v>
      </c>
      <c r="FI65" s="440">
        <v>1</v>
      </c>
      <c r="FJ65" s="440">
        <v>0</v>
      </c>
      <c r="FK65" s="440">
        <v>0</v>
      </c>
      <c r="FL65" s="442">
        <f t="shared" si="11"/>
        <v>0</v>
      </c>
      <c r="FM65" s="440">
        <v>0</v>
      </c>
      <c r="FN65" s="442">
        <f t="shared" si="34"/>
        <v>0</v>
      </c>
      <c r="FO65" s="441">
        <v>0</v>
      </c>
      <c r="FP65" s="435">
        <v>6800</v>
      </c>
      <c r="FQ65" s="440">
        <v>-23</v>
      </c>
      <c r="FR65" s="440">
        <v>-19</v>
      </c>
      <c r="FS65" s="440">
        <v>-15</v>
      </c>
      <c r="FT65" s="440">
        <v>-11</v>
      </c>
      <c r="FU65" s="440">
        <v>-8</v>
      </c>
      <c r="FV65" s="440">
        <v>-4</v>
      </c>
      <c r="FW65" s="442">
        <f t="shared" si="12"/>
        <v>-2</v>
      </c>
      <c r="FX65" s="440">
        <v>0</v>
      </c>
      <c r="FY65" s="442">
        <f t="shared" si="35"/>
        <v>2</v>
      </c>
      <c r="FZ65" s="440">
        <v>4</v>
      </c>
      <c r="GA65" s="435">
        <v>6800</v>
      </c>
      <c r="GB65" s="440">
        <v>-35</v>
      </c>
      <c r="GC65" s="440">
        <v>-29</v>
      </c>
      <c r="GD65" s="440">
        <v>-23</v>
      </c>
      <c r="GE65" s="440">
        <v>-18</v>
      </c>
      <c r="GF65" s="440">
        <v>-12</v>
      </c>
      <c r="GG65" s="440">
        <v>-6</v>
      </c>
      <c r="GH65" s="442">
        <f t="shared" si="13"/>
        <v>-3</v>
      </c>
      <c r="GI65" s="440">
        <v>0</v>
      </c>
      <c r="GJ65" s="442">
        <f t="shared" si="36"/>
        <v>3</v>
      </c>
      <c r="GK65" s="441">
        <v>6</v>
      </c>
      <c r="GL65" s="435">
        <v>6800</v>
      </c>
      <c r="GM65" s="440">
        <v>-34</v>
      </c>
      <c r="GN65" s="440">
        <v>-29</v>
      </c>
      <c r="GO65" s="440">
        <v>-23</v>
      </c>
      <c r="GP65" s="440">
        <v>-17</v>
      </c>
      <c r="GQ65" s="440">
        <v>-11</v>
      </c>
      <c r="GR65" s="440">
        <v>-6</v>
      </c>
      <c r="GS65" s="442">
        <f t="shared" si="14"/>
        <v>-3</v>
      </c>
      <c r="GT65" s="440">
        <v>0</v>
      </c>
      <c r="GU65" s="442">
        <f t="shared" si="37"/>
        <v>3</v>
      </c>
      <c r="GV65" s="441">
        <v>6</v>
      </c>
    </row>
    <row r="66" spans="7:204">
      <c r="G66" s="435">
        <v>6700</v>
      </c>
      <c r="H66" s="445">
        <v>34</v>
      </c>
      <c r="I66" s="249">
        <v>29</v>
      </c>
      <c r="J66" s="249">
        <v>24</v>
      </c>
      <c r="K66" s="249">
        <v>17</v>
      </c>
      <c r="L66" s="249">
        <v>11</v>
      </c>
      <c r="M66" s="249">
        <v>6</v>
      </c>
      <c r="N66" s="249">
        <f t="shared" si="15"/>
        <v>3</v>
      </c>
      <c r="O66" s="249">
        <v>0</v>
      </c>
      <c r="P66" s="249">
        <f t="shared" si="16"/>
        <v>-3</v>
      </c>
      <c r="Q66" s="446">
        <v>-6</v>
      </c>
      <c r="R66" s="435">
        <v>6700</v>
      </c>
      <c r="S66" s="248">
        <v>11</v>
      </c>
      <c r="T66" s="248">
        <v>9</v>
      </c>
      <c r="U66" s="248">
        <v>7</v>
      </c>
      <c r="V66" s="248">
        <v>5</v>
      </c>
      <c r="W66" s="248">
        <v>4</v>
      </c>
      <c r="X66" s="248">
        <v>2</v>
      </c>
      <c r="Y66" s="249">
        <f t="shared" si="17"/>
        <v>1</v>
      </c>
      <c r="Z66" s="248">
        <v>0</v>
      </c>
      <c r="AA66" s="439">
        <f t="shared" si="18"/>
        <v>-1</v>
      </c>
      <c r="AB66" s="248">
        <v>-2</v>
      </c>
      <c r="AC66" s="435">
        <v>6700</v>
      </c>
      <c r="AD66" s="440">
        <v>-32</v>
      </c>
      <c r="AE66" s="440">
        <v>-27</v>
      </c>
      <c r="AF66" s="440">
        <v>-21</v>
      </c>
      <c r="AG66" s="440">
        <v>-16</v>
      </c>
      <c r="AH66" s="440">
        <v>-11</v>
      </c>
      <c r="AI66" s="440">
        <v>-5</v>
      </c>
      <c r="AJ66" s="249">
        <f t="shared" si="19"/>
        <v>-2.5</v>
      </c>
      <c r="AK66" s="248">
        <v>0</v>
      </c>
      <c r="AL66" s="439">
        <f t="shared" si="20"/>
        <v>2.5</v>
      </c>
      <c r="AM66" s="441">
        <v>5</v>
      </c>
      <c r="AN66" s="435">
        <v>6700</v>
      </c>
      <c r="AO66" s="440">
        <v>-56</v>
      </c>
      <c r="AP66" s="440">
        <v>-47</v>
      </c>
      <c r="AQ66" s="440">
        <v>-37</v>
      </c>
      <c r="AR66" s="440">
        <v>-28</v>
      </c>
      <c r="AS66" s="440">
        <v>-19</v>
      </c>
      <c r="AT66" s="440">
        <v>-9</v>
      </c>
      <c r="AU66" s="442">
        <f t="shared" si="2"/>
        <v>-4.5</v>
      </c>
      <c r="AV66" s="440">
        <v>0</v>
      </c>
      <c r="AW66" s="442">
        <f t="shared" si="21"/>
        <v>4.5</v>
      </c>
      <c r="AX66" s="441">
        <v>9</v>
      </c>
      <c r="AY66" s="435">
        <v>6700</v>
      </c>
      <c r="AZ66" s="440">
        <v>4</v>
      </c>
      <c r="BA66" s="440">
        <v>3</v>
      </c>
      <c r="BB66" s="440">
        <v>2</v>
      </c>
      <c r="BC66" s="440">
        <v>2</v>
      </c>
      <c r="BD66" s="440">
        <v>1</v>
      </c>
      <c r="BE66" s="440">
        <v>1</v>
      </c>
      <c r="BF66" s="442">
        <f t="shared" si="3"/>
        <v>0.5</v>
      </c>
      <c r="BG66" s="440">
        <v>0</v>
      </c>
      <c r="BH66" s="442">
        <f t="shared" si="22"/>
        <v>-0.5</v>
      </c>
      <c r="BI66" s="441">
        <v>-1</v>
      </c>
      <c r="BJ66" s="447">
        <v>6700</v>
      </c>
      <c r="BK66" s="440">
        <v>-31</v>
      </c>
      <c r="BL66" s="440">
        <v>-26</v>
      </c>
      <c r="BM66" s="440">
        <v>-21</v>
      </c>
      <c r="BN66" s="440">
        <v>-16</v>
      </c>
      <c r="BO66" s="440">
        <v>-10</v>
      </c>
      <c r="BP66" s="440">
        <v>-5</v>
      </c>
      <c r="BQ66" s="442">
        <f t="shared" si="4"/>
        <v>-2.5</v>
      </c>
      <c r="BR66" s="440">
        <v>0</v>
      </c>
      <c r="BS66" s="442">
        <f t="shared" si="23"/>
        <v>2.5</v>
      </c>
      <c r="BT66" s="440">
        <v>5</v>
      </c>
      <c r="BU66" s="435">
        <v>6700</v>
      </c>
      <c r="BV66" s="440">
        <v>1</v>
      </c>
      <c r="BW66" s="440">
        <v>1</v>
      </c>
      <c r="BX66" s="440">
        <v>1</v>
      </c>
      <c r="BY66" s="440">
        <v>1</v>
      </c>
      <c r="BZ66" s="440">
        <v>0</v>
      </c>
      <c r="CA66" s="440">
        <v>0</v>
      </c>
      <c r="CB66" s="442">
        <f t="shared" si="5"/>
        <v>0</v>
      </c>
      <c r="CC66" s="440">
        <v>0</v>
      </c>
      <c r="CD66" s="442">
        <f t="shared" si="24"/>
        <v>0</v>
      </c>
      <c r="CE66" s="441">
        <v>0</v>
      </c>
      <c r="CF66" s="435">
        <v>6700</v>
      </c>
      <c r="CG66" s="440">
        <v>-23</v>
      </c>
      <c r="CH66" s="440">
        <v>-19</v>
      </c>
      <c r="CI66" s="440">
        <v>-15</v>
      </c>
      <c r="CJ66" s="440">
        <v>-11</v>
      </c>
      <c r="CK66" s="440">
        <v>-8</v>
      </c>
      <c r="CL66" s="440">
        <v>-4</v>
      </c>
      <c r="CM66" s="442">
        <f t="shared" si="6"/>
        <v>-2</v>
      </c>
      <c r="CN66" s="440">
        <v>0</v>
      </c>
      <c r="CO66" s="442">
        <f t="shared" si="25"/>
        <v>2</v>
      </c>
      <c r="CP66" s="441">
        <v>4</v>
      </c>
      <c r="CQ66" s="435">
        <v>6700</v>
      </c>
      <c r="CR66" s="440">
        <v>1</v>
      </c>
      <c r="CS66" s="440">
        <v>1</v>
      </c>
      <c r="CT66" s="440">
        <v>1</v>
      </c>
      <c r="CU66" s="440">
        <v>1</v>
      </c>
      <c r="CV66" s="440">
        <v>0</v>
      </c>
      <c r="CW66" s="440">
        <v>0</v>
      </c>
      <c r="CX66" s="442">
        <f t="shared" si="7"/>
        <v>0</v>
      </c>
      <c r="CY66" s="440">
        <v>0</v>
      </c>
      <c r="CZ66" s="442">
        <f t="shared" si="26"/>
        <v>0</v>
      </c>
      <c r="DA66" s="441">
        <v>0</v>
      </c>
      <c r="DB66" s="435">
        <v>6700</v>
      </c>
      <c r="DC66" s="440">
        <v>-21</v>
      </c>
      <c r="DD66" s="440">
        <v>-17</v>
      </c>
      <c r="DE66" s="440">
        <v>-14</v>
      </c>
      <c r="DF66" s="440">
        <v>-10</v>
      </c>
      <c r="DG66" s="440">
        <v>-7</v>
      </c>
      <c r="DH66" s="440">
        <v>-3</v>
      </c>
      <c r="DI66" s="442">
        <f t="shared" si="8"/>
        <v>-1.5</v>
      </c>
      <c r="DJ66" s="440">
        <v>0</v>
      </c>
      <c r="DK66" s="442">
        <f t="shared" si="27"/>
        <v>1.5</v>
      </c>
      <c r="DL66" s="441">
        <v>3</v>
      </c>
      <c r="DM66" s="435">
        <v>6700</v>
      </c>
      <c r="DN66" s="440">
        <v>1</v>
      </c>
      <c r="DO66" s="440">
        <v>1</v>
      </c>
      <c r="DP66" s="440">
        <v>1</v>
      </c>
      <c r="DQ66" s="440">
        <v>1</v>
      </c>
      <c r="DR66" s="440">
        <v>0</v>
      </c>
      <c r="DS66" s="440">
        <v>0</v>
      </c>
      <c r="DT66" s="442">
        <f t="shared" si="9"/>
        <v>0</v>
      </c>
      <c r="DU66" s="440">
        <v>0</v>
      </c>
      <c r="DV66" s="442">
        <f t="shared" si="28"/>
        <v>0</v>
      </c>
      <c r="DW66" s="441">
        <v>0</v>
      </c>
      <c r="DX66" s="435">
        <v>6700</v>
      </c>
      <c r="DY66" s="440">
        <v>-24</v>
      </c>
      <c r="DZ66" s="440">
        <v>-20</v>
      </c>
      <c r="EA66" s="440">
        <v>-16</v>
      </c>
      <c r="EB66" s="440">
        <v>-12</v>
      </c>
      <c r="EC66" s="440">
        <v>-8</v>
      </c>
      <c r="ED66" s="440">
        <v>-4</v>
      </c>
      <c r="EE66" s="442">
        <f t="shared" si="10"/>
        <v>-2</v>
      </c>
      <c r="EF66" s="440">
        <v>0</v>
      </c>
      <c r="EG66" s="442">
        <f t="shared" si="29"/>
        <v>2</v>
      </c>
      <c r="EH66" s="440">
        <v>4</v>
      </c>
      <c r="EI66" s="435">
        <v>6700</v>
      </c>
      <c r="EJ66" s="440">
        <v>3</v>
      </c>
      <c r="EK66" s="440">
        <v>3</v>
      </c>
      <c r="EL66" s="440">
        <v>2</v>
      </c>
      <c r="EM66" s="440">
        <v>2</v>
      </c>
      <c r="EN66" s="440">
        <v>1</v>
      </c>
      <c r="EO66" s="440">
        <v>1</v>
      </c>
      <c r="EP66" s="442">
        <f t="shared" si="30"/>
        <v>0.5</v>
      </c>
      <c r="EQ66" s="440">
        <v>0</v>
      </c>
      <c r="ER66" s="442">
        <f t="shared" si="31"/>
        <v>-0.5</v>
      </c>
      <c r="ES66" s="441">
        <v>-1</v>
      </c>
      <c r="ET66" s="435">
        <v>6700</v>
      </c>
      <c r="EU66" s="440">
        <v>-22</v>
      </c>
      <c r="EV66" s="440">
        <v>-19</v>
      </c>
      <c r="EW66" s="440">
        <v>-15</v>
      </c>
      <c r="EX66" s="440">
        <v>-11</v>
      </c>
      <c r="EY66" s="440">
        <v>-7</v>
      </c>
      <c r="EZ66" s="440">
        <v>-4</v>
      </c>
      <c r="FA66" s="442">
        <f t="shared" si="32"/>
        <v>-2</v>
      </c>
      <c r="FB66" s="440">
        <v>0</v>
      </c>
      <c r="FC66" s="442">
        <f t="shared" si="33"/>
        <v>2</v>
      </c>
      <c r="FD66" s="440">
        <v>4</v>
      </c>
      <c r="FE66" s="435">
        <v>6700</v>
      </c>
      <c r="FF66" s="440">
        <v>1</v>
      </c>
      <c r="FG66" s="440">
        <v>1</v>
      </c>
      <c r="FH66" s="440">
        <v>1</v>
      </c>
      <c r="FI66" s="440">
        <v>1</v>
      </c>
      <c r="FJ66" s="440">
        <v>0</v>
      </c>
      <c r="FK66" s="440">
        <v>0</v>
      </c>
      <c r="FL66" s="442">
        <f t="shared" si="11"/>
        <v>0</v>
      </c>
      <c r="FM66" s="440">
        <v>0</v>
      </c>
      <c r="FN66" s="442">
        <f t="shared" si="34"/>
        <v>0</v>
      </c>
      <c r="FO66" s="441">
        <v>0</v>
      </c>
      <c r="FP66" s="435">
        <v>6700</v>
      </c>
      <c r="FQ66" s="440">
        <v>-23</v>
      </c>
      <c r="FR66" s="440">
        <v>-19</v>
      </c>
      <c r="FS66" s="440">
        <v>-15</v>
      </c>
      <c r="FT66" s="440">
        <v>-11</v>
      </c>
      <c r="FU66" s="440">
        <v>-8</v>
      </c>
      <c r="FV66" s="440">
        <v>-4</v>
      </c>
      <c r="FW66" s="442">
        <f t="shared" si="12"/>
        <v>-2</v>
      </c>
      <c r="FX66" s="440">
        <v>0</v>
      </c>
      <c r="FY66" s="442">
        <f t="shared" si="35"/>
        <v>2</v>
      </c>
      <c r="FZ66" s="440">
        <v>4</v>
      </c>
      <c r="GA66" s="435">
        <v>6700</v>
      </c>
      <c r="GB66" s="440">
        <v>-35</v>
      </c>
      <c r="GC66" s="440">
        <v>-29</v>
      </c>
      <c r="GD66" s="440">
        <v>-23</v>
      </c>
      <c r="GE66" s="440">
        <v>-18</v>
      </c>
      <c r="GF66" s="440">
        <v>-12</v>
      </c>
      <c r="GG66" s="440">
        <v>-6</v>
      </c>
      <c r="GH66" s="442">
        <f t="shared" si="13"/>
        <v>-3</v>
      </c>
      <c r="GI66" s="440">
        <v>0</v>
      </c>
      <c r="GJ66" s="442">
        <f t="shared" si="36"/>
        <v>3</v>
      </c>
      <c r="GK66" s="441">
        <v>6</v>
      </c>
      <c r="GL66" s="435">
        <v>6700</v>
      </c>
      <c r="GM66" s="440">
        <v>-34</v>
      </c>
      <c r="GN66" s="440">
        <v>-29</v>
      </c>
      <c r="GO66" s="440">
        <v>-23</v>
      </c>
      <c r="GP66" s="440">
        <v>-17</v>
      </c>
      <c r="GQ66" s="440">
        <v>-11</v>
      </c>
      <c r="GR66" s="440">
        <v>-6</v>
      </c>
      <c r="GS66" s="442">
        <f t="shared" si="14"/>
        <v>-3</v>
      </c>
      <c r="GT66" s="440">
        <v>0</v>
      </c>
      <c r="GU66" s="442">
        <f t="shared" si="37"/>
        <v>3</v>
      </c>
      <c r="GV66" s="441">
        <v>6</v>
      </c>
    </row>
    <row r="67" spans="7:204">
      <c r="G67" s="435">
        <v>6600</v>
      </c>
      <c r="H67" s="445">
        <v>34</v>
      </c>
      <c r="I67" s="249">
        <v>29</v>
      </c>
      <c r="J67" s="249">
        <v>24</v>
      </c>
      <c r="K67" s="249">
        <v>17</v>
      </c>
      <c r="L67" s="249">
        <v>11</v>
      </c>
      <c r="M67" s="249">
        <v>6</v>
      </c>
      <c r="N67" s="249">
        <f t="shared" si="15"/>
        <v>3</v>
      </c>
      <c r="O67" s="249">
        <v>0</v>
      </c>
      <c r="P67" s="249">
        <f t="shared" si="16"/>
        <v>-3</v>
      </c>
      <c r="Q67" s="446">
        <v>-6</v>
      </c>
      <c r="R67" s="435">
        <v>6600</v>
      </c>
      <c r="S67" s="248">
        <v>11</v>
      </c>
      <c r="T67" s="248">
        <v>9</v>
      </c>
      <c r="U67" s="248">
        <v>7</v>
      </c>
      <c r="V67" s="248">
        <v>5</v>
      </c>
      <c r="W67" s="248">
        <v>4</v>
      </c>
      <c r="X67" s="248">
        <v>2</v>
      </c>
      <c r="Y67" s="249">
        <f t="shared" si="17"/>
        <v>1</v>
      </c>
      <c r="Z67" s="248">
        <v>0</v>
      </c>
      <c r="AA67" s="439">
        <f t="shared" si="18"/>
        <v>-1</v>
      </c>
      <c r="AB67" s="248">
        <v>-2</v>
      </c>
      <c r="AC67" s="435">
        <v>6600</v>
      </c>
      <c r="AD67" s="440">
        <v>-32</v>
      </c>
      <c r="AE67" s="440">
        <v>-27</v>
      </c>
      <c r="AF67" s="440">
        <v>-21</v>
      </c>
      <c r="AG67" s="440">
        <v>-16</v>
      </c>
      <c r="AH67" s="440">
        <v>-11</v>
      </c>
      <c r="AI67" s="440">
        <v>-5</v>
      </c>
      <c r="AJ67" s="249">
        <f t="shared" si="19"/>
        <v>-2.5</v>
      </c>
      <c r="AK67" s="248">
        <v>0</v>
      </c>
      <c r="AL67" s="439">
        <f t="shared" si="20"/>
        <v>2.5</v>
      </c>
      <c r="AM67" s="441">
        <v>5</v>
      </c>
      <c r="AN67" s="435">
        <v>6600</v>
      </c>
      <c r="AO67" s="440">
        <v>-56</v>
      </c>
      <c r="AP67" s="440">
        <v>-47</v>
      </c>
      <c r="AQ67" s="440">
        <v>-37</v>
      </c>
      <c r="AR67" s="440">
        <v>-28</v>
      </c>
      <c r="AS67" s="440">
        <v>-19</v>
      </c>
      <c r="AT67" s="440">
        <v>-9</v>
      </c>
      <c r="AU67" s="442">
        <f t="shared" si="2"/>
        <v>-4.5</v>
      </c>
      <c r="AV67" s="440">
        <v>0</v>
      </c>
      <c r="AW67" s="442">
        <f t="shared" si="21"/>
        <v>4.5</v>
      </c>
      <c r="AX67" s="441">
        <v>9</v>
      </c>
      <c r="AY67" s="435">
        <v>6600</v>
      </c>
      <c r="AZ67" s="440">
        <v>4</v>
      </c>
      <c r="BA67" s="440">
        <v>3</v>
      </c>
      <c r="BB67" s="440">
        <v>2</v>
      </c>
      <c r="BC67" s="440">
        <v>2</v>
      </c>
      <c r="BD67" s="440">
        <v>1</v>
      </c>
      <c r="BE67" s="440">
        <v>1</v>
      </c>
      <c r="BF67" s="442">
        <f t="shared" si="3"/>
        <v>0.5</v>
      </c>
      <c r="BG67" s="440">
        <v>0</v>
      </c>
      <c r="BH67" s="442">
        <f t="shared" si="22"/>
        <v>-0.5</v>
      </c>
      <c r="BI67" s="441">
        <v>-1</v>
      </c>
      <c r="BJ67" s="447">
        <v>6600</v>
      </c>
      <c r="BK67" s="440">
        <v>-31</v>
      </c>
      <c r="BL67" s="440">
        <v>-26</v>
      </c>
      <c r="BM67" s="440">
        <v>-21</v>
      </c>
      <c r="BN67" s="440">
        <v>-16</v>
      </c>
      <c r="BO67" s="440">
        <v>-10</v>
      </c>
      <c r="BP67" s="440">
        <v>-5</v>
      </c>
      <c r="BQ67" s="442">
        <f t="shared" si="4"/>
        <v>-2.5</v>
      </c>
      <c r="BR67" s="440">
        <v>0</v>
      </c>
      <c r="BS67" s="442">
        <f t="shared" si="23"/>
        <v>2.5</v>
      </c>
      <c r="BT67" s="440">
        <v>5</v>
      </c>
      <c r="BU67" s="435">
        <v>6600</v>
      </c>
      <c r="BV67" s="440">
        <v>1</v>
      </c>
      <c r="BW67" s="440">
        <v>1</v>
      </c>
      <c r="BX67" s="440">
        <v>1</v>
      </c>
      <c r="BY67" s="440">
        <v>1</v>
      </c>
      <c r="BZ67" s="440">
        <v>0</v>
      </c>
      <c r="CA67" s="440">
        <v>0</v>
      </c>
      <c r="CB67" s="442">
        <f t="shared" si="5"/>
        <v>0</v>
      </c>
      <c r="CC67" s="440">
        <v>0</v>
      </c>
      <c r="CD67" s="442">
        <f t="shared" si="24"/>
        <v>0</v>
      </c>
      <c r="CE67" s="441">
        <v>0</v>
      </c>
      <c r="CF67" s="435">
        <v>6600</v>
      </c>
      <c r="CG67" s="440">
        <v>-23</v>
      </c>
      <c r="CH67" s="440">
        <v>-19</v>
      </c>
      <c r="CI67" s="440">
        <v>-15</v>
      </c>
      <c r="CJ67" s="440">
        <v>-11</v>
      </c>
      <c r="CK67" s="440">
        <v>-8</v>
      </c>
      <c r="CL67" s="440">
        <v>-4</v>
      </c>
      <c r="CM67" s="442">
        <f t="shared" si="6"/>
        <v>-2</v>
      </c>
      <c r="CN67" s="440">
        <v>0</v>
      </c>
      <c r="CO67" s="442">
        <f t="shared" si="25"/>
        <v>2</v>
      </c>
      <c r="CP67" s="441">
        <v>4</v>
      </c>
      <c r="CQ67" s="435">
        <v>6600</v>
      </c>
      <c r="CR67" s="440">
        <v>1</v>
      </c>
      <c r="CS67" s="440">
        <v>1</v>
      </c>
      <c r="CT67" s="440">
        <v>1</v>
      </c>
      <c r="CU67" s="440">
        <v>1</v>
      </c>
      <c r="CV67" s="440">
        <v>0</v>
      </c>
      <c r="CW67" s="440">
        <v>0</v>
      </c>
      <c r="CX67" s="442">
        <f t="shared" si="7"/>
        <v>0</v>
      </c>
      <c r="CY67" s="440">
        <v>0</v>
      </c>
      <c r="CZ67" s="442">
        <f t="shared" si="26"/>
        <v>0</v>
      </c>
      <c r="DA67" s="441">
        <v>0</v>
      </c>
      <c r="DB67" s="435">
        <v>6600</v>
      </c>
      <c r="DC67" s="440">
        <v>-21</v>
      </c>
      <c r="DD67" s="440">
        <v>-17</v>
      </c>
      <c r="DE67" s="440">
        <v>-14</v>
      </c>
      <c r="DF67" s="440">
        <v>-10</v>
      </c>
      <c r="DG67" s="440">
        <v>-7</v>
      </c>
      <c r="DH67" s="440">
        <v>-3</v>
      </c>
      <c r="DI67" s="442">
        <f t="shared" si="8"/>
        <v>-1.5</v>
      </c>
      <c r="DJ67" s="440">
        <v>0</v>
      </c>
      <c r="DK67" s="442">
        <f t="shared" si="27"/>
        <v>1.5</v>
      </c>
      <c r="DL67" s="441">
        <v>3</v>
      </c>
      <c r="DM67" s="435">
        <v>6600</v>
      </c>
      <c r="DN67" s="440">
        <v>1</v>
      </c>
      <c r="DO67" s="440">
        <v>1</v>
      </c>
      <c r="DP67" s="440">
        <v>1</v>
      </c>
      <c r="DQ67" s="440">
        <v>1</v>
      </c>
      <c r="DR67" s="440">
        <v>0</v>
      </c>
      <c r="DS67" s="440">
        <v>0</v>
      </c>
      <c r="DT67" s="442">
        <f t="shared" si="9"/>
        <v>0</v>
      </c>
      <c r="DU67" s="440">
        <v>0</v>
      </c>
      <c r="DV67" s="442">
        <f t="shared" si="28"/>
        <v>0</v>
      </c>
      <c r="DW67" s="441">
        <v>0</v>
      </c>
      <c r="DX67" s="435">
        <v>6600</v>
      </c>
      <c r="DY67" s="440">
        <v>-24</v>
      </c>
      <c r="DZ67" s="440">
        <v>-20</v>
      </c>
      <c r="EA67" s="440">
        <v>-16</v>
      </c>
      <c r="EB67" s="440">
        <v>-12</v>
      </c>
      <c r="EC67" s="440">
        <v>-8</v>
      </c>
      <c r="ED67" s="440">
        <v>-4</v>
      </c>
      <c r="EE67" s="442">
        <f t="shared" si="10"/>
        <v>-2</v>
      </c>
      <c r="EF67" s="440">
        <v>0</v>
      </c>
      <c r="EG67" s="442">
        <f t="shared" si="29"/>
        <v>2</v>
      </c>
      <c r="EH67" s="440">
        <v>4</v>
      </c>
      <c r="EI67" s="435">
        <v>6600</v>
      </c>
      <c r="EJ67" s="440">
        <v>3</v>
      </c>
      <c r="EK67" s="440">
        <v>3</v>
      </c>
      <c r="EL67" s="440">
        <v>2</v>
      </c>
      <c r="EM67" s="440">
        <v>2</v>
      </c>
      <c r="EN67" s="440">
        <v>1</v>
      </c>
      <c r="EO67" s="440">
        <v>1</v>
      </c>
      <c r="EP67" s="442">
        <f t="shared" si="30"/>
        <v>0.5</v>
      </c>
      <c r="EQ67" s="440">
        <v>0</v>
      </c>
      <c r="ER67" s="442">
        <f t="shared" si="31"/>
        <v>-0.5</v>
      </c>
      <c r="ES67" s="441">
        <v>-1</v>
      </c>
      <c r="ET67" s="435">
        <v>6600</v>
      </c>
      <c r="EU67" s="440">
        <v>-22</v>
      </c>
      <c r="EV67" s="440">
        <v>-19</v>
      </c>
      <c r="EW67" s="440">
        <v>-15</v>
      </c>
      <c r="EX67" s="440">
        <v>-11</v>
      </c>
      <c r="EY67" s="440">
        <v>-7</v>
      </c>
      <c r="EZ67" s="440">
        <v>-4</v>
      </c>
      <c r="FA67" s="442">
        <f t="shared" si="32"/>
        <v>-2</v>
      </c>
      <c r="FB67" s="440">
        <v>0</v>
      </c>
      <c r="FC67" s="442">
        <f t="shared" si="33"/>
        <v>2</v>
      </c>
      <c r="FD67" s="440">
        <v>4</v>
      </c>
      <c r="FE67" s="435">
        <v>6600</v>
      </c>
      <c r="FF67" s="440">
        <v>1</v>
      </c>
      <c r="FG67" s="440">
        <v>1</v>
      </c>
      <c r="FH67" s="440">
        <v>1</v>
      </c>
      <c r="FI67" s="440">
        <v>1</v>
      </c>
      <c r="FJ67" s="440">
        <v>0</v>
      </c>
      <c r="FK67" s="440">
        <v>0</v>
      </c>
      <c r="FL67" s="442">
        <f t="shared" si="11"/>
        <v>0</v>
      </c>
      <c r="FM67" s="440">
        <v>0</v>
      </c>
      <c r="FN67" s="442">
        <f t="shared" si="34"/>
        <v>0</v>
      </c>
      <c r="FO67" s="441">
        <v>0</v>
      </c>
      <c r="FP67" s="435">
        <v>6600</v>
      </c>
      <c r="FQ67" s="440">
        <v>-23</v>
      </c>
      <c r="FR67" s="440">
        <v>-19</v>
      </c>
      <c r="FS67" s="440">
        <v>-15</v>
      </c>
      <c r="FT67" s="440">
        <v>-11</v>
      </c>
      <c r="FU67" s="440">
        <v>-8</v>
      </c>
      <c r="FV67" s="440">
        <v>-4</v>
      </c>
      <c r="FW67" s="442">
        <f t="shared" si="12"/>
        <v>-2</v>
      </c>
      <c r="FX67" s="440">
        <v>0</v>
      </c>
      <c r="FY67" s="442">
        <f t="shared" si="35"/>
        <v>2</v>
      </c>
      <c r="FZ67" s="440">
        <v>4</v>
      </c>
      <c r="GA67" s="435">
        <v>6600</v>
      </c>
      <c r="GB67" s="440">
        <v>-35</v>
      </c>
      <c r="GC67" s="440">
        <v>-29</v>
      </c>
      <c r="GD67" s="440">
        <v>-23</v>
      </c>
      <c r="GE67" s="440">
        <v>-18</v>
      </c>
      <c r="GF67" s="440">
        <v>-12</v>
      </c>
      <c r="GG67" s="440">
        <v>-6</v>
      </c>
      <c r="GH67" s="442">
        <f t="shared" si="13"/>
        <v>-3</v>
      </c>
      <c r="GI67" s="440">
        <v>0</v>
      </c>
      <c r="GJ67" s="442">
        <f t="shared" si="36"/>
        <v>3</v>
      </c>
      <c r="GK67" s="441">
        <v>6</v>
      </c>
      <c r="GL67" s="435">
        <v>6600</v>
      </c>
      <c r="GM67" s="440">
        <v>-34</v>
      </c>
      <c r="GN67" s="440">
        <v>-29</v>
      </c>
      <c r="GO67" s="440">
        <v>-23</v>
      </c>
      <c r="GP67" s="440">
        <v>-17</v>
      </c>
      <c r="GQ67" s="440">
        <v>-11</v>
      </c>
      <c r="GR67" s="440">
        <v>-6</v>
      </c>
      <c r="GS67" s="442">
        <f t="shared" si="14"/>
        <v>-3</v>
      </c>
      <c r="GT67" s="440">
        <v>0</v>
      </c>
      <c r="GU67" s="442">
        <f t="shared" si="37"/>
        <v>3</v>
      </c>
      <c r="GV67" s="441">
        <v>6</v>
      </c>
    </row>
    <row r="68" spans="7:204">
      <c r="G68" s="435">
        <v>6500</v>
      </c>
      <c r="H68" s="445">
        <v>34</v>
      </c>
      <c r="I68" s="249">
        <v>29</v>
      </c>
      <c r="J68" s="249">
        <v>24</v>
      </c>
      <c r="K68" s="249">
        <v>17</v>
      </c>
      <c r="L68" s="249">
        <v>11</v>
      </c>
      <c r="M68" s="249">
        <v>6</v>
      </c>
      <c r="N68" s="249">
        <f t="shared" si="15"/>
        <v>3</v>
      </c>
      <c r="O68" s="249">
        <v>0</v>
      </c>
      <c r="P68" s="249">
        <f t="shared" si="16"/>
        <v>-3</v>
      </c>
      <c r="Q68" s="446">
        <v>-6</v>
      </c>
      <c r="R68" s="435">
        <v>6500</v>
      </c>
      <c r="S68" s="248">
        <v>11</v>
      </c>
      <c r="T68" s="248">
        <v>9</v>
      </c>
      <c r="U68" s="248">
        <v>7</v>
      </c>
      <c r="V68" s="248">
        <v>5</v>
      </c>
      <c r="W68" s="248">
        <v>4</v>
      </c>
      <c r="X68" s="248">
        <v>2</v>
      </c>
      <c r="Y68" s="249">
        <f t="shared" si="17"/>
        <v>1</v>
      </c>
      <c r="Z68" s="248">
        <v>0</v>
      </c>
      <c r="AA68" s="439">
        <f t="shared" si="18"/>
        <v>-1</v>
      </c>
      <c r="AB68" s="248">
        <v>-2</v>
      </c>
      <c r="AC68" s="435">
        <v>6500</v>
      </c>
      <c r="AD68" s="440">
        <v>-32</v>
      </c>
      <c r="AE68" s="440">
        <v>-27</v>
      </c>
      <c r="AF68" s="440">
        <v>-21</v>
      </c>
      <c r="AG68" s="440">
        <v>-16</v>
      </c>
      <c r="AH68" s="440">
        <v>-11</v>
      </c>
      <c r="AI68" s="440">
        <v>-5</v>
      </c>
      <c r="AJ68" s="249">
        <f t="shared" si="19"/>
        <v>-2.5</v>
      </c>
      <c r="AK68" s="248">
        <v>0</v>
      </c>
      <c r="AL68" s="439">
        <f t="shared" si="20"/>
        <v>2.5</v>
      </c>
      <c r="AM68" s="441">
        <v>5</v>
      </c>
      <c r="AN68" s="435">
        <v>6500</v>
      </c>
      <c r="AO68" s="440">
        <v>-56</v>
      </c>
      <c r="AP68" s="440">
        <v>-46</v>
      </c>
      <c r="AQ68" s="440">
        <v>-37</v>
      </c>
      <c r="AR68" s="440">
        <v>-28</v>
      </c>
      <c r="AS68" s="440">
        <v>-19</v>
      </c>
      <c r="AT68" s="440">
        <v>-9</v>
      </c>
      <c r="AU68" s="442">
        <f t="shared" si="2"/>
        <v>-4.5</v>
      </c>
      <c r="AV68" s="440">
        <v>0</v>
      </c>
      <c r="AW68" s="442">
        <f t="shared" si="21"/>
        <v>4.5</v>
      </c>
      <c r="AX68" s="441">
        <v>9</v>
      </c>
      <c r="AY68" s="435">
        <v>6500</v>
      </c>
      <c r="AZ68" s="440">
        <v>4</v>
      </c>
      <c r="BA68" s="440">
        <v>3</v>
      </c>
      <c r="BB68" s="440">
        <v>2</v>
      </c>
      <c r="BC68" s="440">
        <v>2</v>
      </c>
      <c r="BD68" s="440">
        <v>1</v>
      </c>
      <c r="BE68" s="440">
        <v>1</v>
      </c>
      <c r="BF68" s="442">
        <f t="shared" si="3"/>
        <v>0.5</v>
      </c>
      <c r="BG68" s="440">
        <v>0</v>
      </c>
      <c r="BH68" s="442">
        <f t="shared" si="22"/>
        <v>-0.5</v>
      </c>
      <c r="BI68" s="441">
        <v>-1</v>
      </c>
      <c r="BJ68" s="447">
        <v>6500</v>
      </c>
      <c r="BK68" s="440">
        <v>-31</v>
      </c>
      <c r="BL68" s="440">
        <v>-26</v>
      </c>
      <c r="BM68" s="440">
        <v>-21</v>
      </c>
      <c r="BN68" s="440">
        <v>-16</v>
      </c>
      <c r="BO68" s="440">
        <v>-10</v>
      </c>
      <c r="BP68" s="440">
        <v>-5</v>
      </c>
      <c r="BQ68" s="442">
        <f t="shared" si="4"/>
        <v>-2.5</v>
      </c>
      <c r="BR68" s="440">
        <v>0</v>
      </c>
      <c r="BS68" s="442">
        <f t="shared" si="23"/>
        <v>2.5</v>
      </c>
      <c r="BT68" s="440">
        <v>5</v>
      </c>
      <c r="BU68" s="435">
        <v>6500</v>
      </c>
      <c r="BV68" s="440">
        <v>1</v>
      </c>
      <c r="BW68" s="440">
        <v>1</v>
      </c>
      <c r="BX68" s="440">
        <v>1</v>
      </c>
      <c r="BY68" s="440">
        <v>1</v>
      </c>
      <c r="BZ68" s="440">
        <v>0</v>
      </c>
      <c r="CA68" s="440">
        <v>0</v>
      </c>
      <c r="CB68" s="442">
        <f t="shared" si="5"/>
        <v>0</v>
      </c>
      <c r="CC68" s="440">
        <v>0</v>
      </c>
      <c r="CD68" s="442">
        <f t="shared" si="24"/>
        <v>0</v>
      </c>
      <c r="CE68" s="441">
        <v>0</v>
      </c>
      <c r="CF68" s="435">
        <v>6500</v>
      </c>
      <c r="CG68" s="440">
        <v>-23</v>
      </c>
      <c r="CH68" s="440">
        <v>-19</v>
      </c>
      <c r="CI68" s="440">
        <v>-15</v>
      </c>
      <c r="CJ68" s="440">
        <v>-11</v>
      </c>
      <c r="CK68" s="440">
        <v>-8</v>
      </c>
      <c r="CL68" s="440">
        <v>-4</v>
      </c>
      <c r="CM68" s="442">
        <f t="shared" si="6"/>
        <v>-2</v>
      </c>
      <c r="CN68" s="440">
        <v>0</v>
      </c>
      <c r="CO68" s="442">
        <f t="shared" si="25"/>
        <v>2</v>
      </c>
      <c r="CP68" s="441">
        <v>4</v>
      </c>
      <c r="CQ68" s="435">
        <v>6500</v>
      </c>
      <c r="CR68" s="440">
        <v>1</v>
      </c>
      <c r="CS68" s="440">
        <v>1</v>
      </c>
      <c r="CT68" s="440">
        <v>1</v>
      </c>
      <c r="CU68" s="440">
        <v>1</v>
      </c>
      <c r="CV68" s="440">
        <v>0</v>
      </c>
      <c r="CW68" s="440">
        <v>0</v>
      </c>
      <c r="CX68" s="442">
        <f t="shared" si="7"/>
        <v>0</v>
      </c>
      <c r="CY68" s="440">
        <v>0</v>
      </c>
      <c r="CZ68" s="442">
        <f t="shared" si="26"/>
        <v>0</v>
      </c>
      <c r="DA68" s="441">
        <v>0</v>
      </c>
      <c r="DB68" s="435">
        <v>6500</v>
      </c>
      <c r="DC68" s="440">
        <v>-21</v>
      </c>
      <c r="DD68" s="440">
        <v>-17</v>
      </c>
      <c r="DE68" s="440">
        <v>-14</v>
      </c>
      <c r="DF68" s="440">
        <v>-10</v>
      </c>
      <c r="DG68" s="440">
        <v>-7</v>
      </c>
      <c r="DH68" s="440">
        <v>-3</v>
      </c>
      <c r="DI68" s="442">
        <f t="shared" si="8"/>
        <v>-1.5</v>
      </c>
      <c r="DJ68" s="440">
        <v>0</v>
      </c>
      <c r="DK68" s="442">
        <f t="shared" si="27"/>
        <v>1.5</v>
      </c>
      <c r="DL68" s="441">
        <v>3</v>
      </c>
      <c r="DM68" s="435">
        <v>6500</v>
      </c>
      <c r="DN68" s="440">
        <v>1</v>
      </c>
      <c r="DO68" s="440">
        <v>1</v>
      </c>
      <c r="DP68" s="440">
        <v>1</v>
      </c>
      <c r="DQ68" s="440">
        <v>1</v>
      </c>
      <c r="DR68" s="440">
        <v>0</v>
      </c>
      <c r="DS68" s="440">
        <v>0</v>
      </c>
      <c r="DT68" s="442">
        <f t="shared" si="9"/>
        <v>0</v>
      </c>
      <c r="DU68" s="440">
        <v>0</v>
      </c>
      <c r="DV68" s="442">
        <f t="shared" si="28"/>
        <v>0</v>
      </c>
      <c r="DW68" s="441">
        <v>0</v>
      </c>
      <c r="DX68" s="435">
        <v>6500</v>
      </c>
      <c r="DY68" s="440">
        <v>-24</v>
      </c>
      <c r="DZ68" s="440">
        <v>-20</v>
      </c>
      <c r="EA68" s="440">
        <v>-16</v>
      </c>
      <c r="EB68" s="440">
        <v>-12</v>
      </c>
      <c r="EC68" s="440">
        <v>-8</v>
      </c>
      <c r="ED68" s="440">
        <v>-4</v>
      </c>
      <c r="EE68" s="442">
        <f t="shared" si="10"/>
        <v>-2</v>
      </c>
      <c r="EF68" s="440">
        <v>0</v>
      </c>
      <c r="EG68" s="442">
        <f t="shared" si="29"/>
        <v>2</v>
      </c>
      <c r="EH68" s="440">
        <v>4</v>
      </c>
      <c r="EI68" s="435">
        <v>6500</v>
      </c>
      <c r="EJ68" s="440">
        <v>3</v>
      </c>
      <c r="EK68" s="440">
        <v>3</v>
      </c>
      <c r="EL68" s="440">
        <v>2</v>
      </c>
      <c r="EM68" s="440">
        <v>2</v>
      </c>
      <c r="EN68" s="440">
        <v>1</v>
      </c>
      <c r="EO68" s="440">
        <v>1</v>
      </c>
      <c r="EP68" s="442">
        <f t="shared" si="30"/>
        <v>0.5</v>
      </c>
      <c r="EQ68" s="440">
        <v>0</v>
      </c>
      <c r="ER68" s="442">
        <f t="shared" si="31"/>
        <v>-0.5</v>
      </c>
      <c r="ES68" s="441">
        <v>-1</v>
      </c>
      <c r="ET68" s="435">
        <v>6500</v>
      </c>
      <c r="EU68" s="440">
        <v>-22</v>
      </c>
      <c r="EV68" s="440">
        <v>-19</v>
      </c>
      <c r="EW68" s="440">
        <v>-15</v>
      </c>
      <c r="EX68" s="440">
        <v>-11</v>
      </c>
      <c r="EY68" s="440">
        <v>-7</v>
      </c>
      <c r="EZ68" s="440">
        <v>-4</v>
      </c>
      <c r="FA68" s="442">
        <f t="shared" si="32"/>
        <v>-2</v>
      </c>
      <c r="FB68" s="440">
        <v>0</v>
      </c>
      <c r="FC68" s="442">
        <f t="shared" si="33"/>
        <v>2</v>
      </c>
      <c r="FD68" s="440">
        <v>4</v>
      </c>
      <c r="FE68" s="435">
        <v>6500</v>
      </c>
      <c r="FF68" s="440">
        <v>1</v>
      </c>
      <c r="FG68" s="440">
        <v>1</v>
      </c>
      <c r="FH68" s="440">
        <v>1</v>
      </c>
      <c r="FI68" s="440">
        <v>1</v>
      </c>
      <c r="FJ68" s="440">
        <v>0</v>
      </c>
      <c r="FK68" s="440">
        <v>0</v>
      </c>
      <c r="FL68" s="442">
        <f t="shared" si="11"/>
        <v>0</v>
      </c>
      <c r="FM68" s="440">
        <v>0</v>
      </c>
      <c r="FN68" s="442">
        <f t="shared" si="34"/>
        <v>0</v>
      </c>
      <c r="FO68" s="441">
        <v>0</v>
      </c>
      <c r="FP68" s="435">
        <v>6500</v>
      </c>
      <c r="FQ68" s="440">
        <v>-23</v>
      </c>
      <c r="FR68" s="440">
        <v>-19</v>
      </c>
      <c r="FS68" s="440">
        <v>-15</v>
      </c>
      <c r="FT68" s="440">
        <v>-11</v>
      </c>
      <c r="FU68" s="440">
        <v>-8</v>
      </c>
      <c r="FV68" s="440">
        <v>-4</v>
      </c>
      <c r="FW68" s="442">
        <f t="shared" si="12"/>
        <v>-2</v>
      </c>
      <c r="FX68" s="440">
        <v>0</v>
      </c>
      <c r="FY68" s="442">
        <f t="shared" si="35"/>
        <v>2</v>
      </c>
      <c r="FZ68" s="440">
        <v>4</v>
      </c>
      <c r="GA68" s="435">
        <v>6500</v>
      </c>
      <c r="GB68" s="440">
        <v>-35</v>
      </c>
      <c r="GC68" s="440">
        <v>-29</v>
      </c>
      <c r="GD68" s="440">
        <v>-23</v>
      </c>
      <c r="GE68" s="440">
        <v>-18</v>
      </c>
      <c r="GF68" s="440">
        <v>-12</v>
      </c>
      <c r="GG68" s="440">
        <v>-6</v>
      </c>
      <c r="GH68" s="442">
        <f t="shared" si="13"/>
        <v>-3</v>
      </c>
      <c r="GI68" s="440">
        <v>0</v>
      </c>
      <c r="GJ68" s="442">
        <f t="shared" si="36"/>
        <v>3</v>
      </c>
      <c r="GK68" s="441">
        <v>6</v>
      </c>
      <c r="GL68" s="435">
        <v>6500</v>
      </c>
      <c r="GM68" s="440">
        <v>-34</v>
      </c>
      <c r="GN68" s="440">
        <v>-29</v>
      </c>
      <c r="GO68" s="440">
        <v>-23</v>
      </c>
      <c r="GP68" s="440">
        <v>-17</v>
      </c>
      <c r="GQ68" s="440">
        <v>-11</v>
      </c>
      <c r="GR68" s="440">
        <v>-6</v>
      </c>
      <c r="GS68" s="442">
        <f t="shared" si="14"/>
        <v>-3</v>
      </c>
      <c r="GT68" s="440">
        <v>0</v>
      </c>
      <c r="GU68" s="442">
        <f t="shared" si="37"/>
        <v>3</v>
      </c>
      <c r="GV68" s="441">
        <v>6</v>
      </c>
    </row>
    <row r="69" spans="7:204">
      <c r="G69" s="435">
        <v>6400</v>
      </c>
      <c r="H69" s="445">
        <v>34</v>
      </c>
      <c r="I69" s="249">
        <v>29</v>
      </c>
      <c r="J69" s="249">
        <v>24</v>
      </c>
      <c r="K69" s="249">
        <v>17</v>
      </c>
      <c r="L69" s="249">
        <v>11</v>
      </c>
      <c r="M69" s="249">
        <v>6</v>
      </c>
      <c r="N69" s="249">
        <f t="shared" si="15"/>
        <v>3</v>
      </c>
      <c r="O69" s="249">
        <v>0</v>
      </c>
      <c r="P69" s="249">
        <f t="shared" si="16"/>
        <v>-3</v>
      </c>
      <c r="Q69" s="446">
        <v>-6</v>
      </c>
      <c r="R69" s="435">
        <v>6400</v>
      </c>
      <c r="S69" s="248">
        <v>11</v>
      </c>
      <c r="T69" s="248">
        <v>9</v>
      </c>
      <c r="U69" s="248">
        <v>7</v>
      </c>
      <c r="V69" s="248">
        <v>5</v>
      </c>
      <c r="W69" s="248">
        <v>4</v>
      </c>
      <c r="X69" s="248">
        <v>2</v>
      </c>
      <c r="Y69" s="249">
        <f t="shared" si="17"/>
        <v>1</v>
      </c>
      <c r="Z69" s="248">
        <v>0</v>
      </c>
      <c r="AA69" s="439">
        <f t="shared" si="18"/>
        <v>-1</v>
      </c>
      <c r="AB69" s="248">
        <v>-2</v>
      </c>
      <c r="AC69" s="435">
        <v>6400</v>
      </c>
      <c r="AD69" s="440">
        <v>-32</v>
      </c>
      <c r="AE69" s="440">
        <v>-27</v>
      </c>
      <c r="AF69" s="440">
        <v>-21</v>
      </c>
      <c r="AG69" s="440">
        <v>-16</v>
      </c>
      <c r="AH69" s="440">
        <v>-11</v>
      </c>
      <c r="AI69" s="440">
        <v>-5</v>
      </c>
      <c r="AJ69" s="249">
        <f t="shared" si="19"/>
        <v>-2.5</v>
      </c>
      <c r="AK69" s="248">
        <v>0</v>
      </c>
      <c r="AL69" s="439">
        <f t="shared" si="20"/>
        <v>2.5</v>
      </c>
      <c r="AM69" s="441">
        <v>5</v>
      </c>
      <c r="AN69" s="435">
        <v>6400</v>
      </c>
      <c r="AO69" s="440">
        <v>-56</v>
      </c>
      <c r="AP69" s="440">
        <v>-46</v>
      </c>
      <c r="AQ69" s="440">
        <v>-37</v>
      </c>
      <c r="AR69" s="440">
        <v>-28</v>
      </c>
      <c r="AS69" s="440">
        <v>-19</v>
      </c>
      <c r="AT69" s="440">
        <v>-9</v>
      </c>
      <c r="AU69" s="442">
        <f t="shared" si="2"/>
        <v>-4.5</v>
      </c>
      <c r="AV69" s="440">
        <v>0</v>
      </c>
      <c r="AW69" s="442">
        <f t="shared" si="21"/>
        <v>4.5</v>
      </c>
      <c r="AX69" s="441">
        <v>9</v>
      </c>
      <c r="AY69" s="435">
        <v>6400</v>
      </c>
      <c r="AZ69" s="440">
        <v>4</v>
      </c>
      <c r="BA69" s="440">
        <v>3</v>
      </c>
      <c r="BB69" s="440">
        <v>2</v>
      </c>
      <c r="BC69" s="440">
        <v>2</v>
      </c>
      <c r="BD69" s="440">
        <v>1</v>
      </c>
      <c r="BE69" s="440">
        <v>1</v>
      </c>
      <c r="BF69" s="442">
        <f t="shared" si="3"/>
        <v>0.5</v>
      </c>
      <c r="BG69" s="440">
        <v>0</v>
      </c>
      <c r="BH69" s="442">
        <f t="shared" si="22"/>
        <v>-0.5</v>
      </c>
      <c r="BI69" s="441">
        <v>-1</v>
      </c>
      <c r="BJ69" s="447">
        <v>6400</v>
      </c>
      <c r="BK69" s="440">
        <v>-31</v>
      </c>
      <c r="BL69" s="440">
        <v>-26</v>
      </c>
      <c r="BM69" s="440">
        <v>-21</v>
      </c>
      <c r="BN69" s="440">
        <v>-16</v>
      </c>
      <c r="BO69" s="440">
        <v>-10</v>
      </c>
      <c r="BP69" s="440">
        <v>-5</v>
      </c>
      <c r="BQ69" s="442">
        <f t="shared" si="4"/>
        <v>-2.5</v>
      </c>
      <c r="BR69" s="440">
        <v>0</v>
      </c>
      <c r="BS69" s="442">
        <f t="shared" si="23"/>
        <v>2.5</v>
      </c>
      <c r="BT69" s="440">
        <v>5</v>
      </c>
      <c r="BU69" s="435">
        <v>6400</v>
      </c>
      <c r="BV69" s="440">
        <v>1</v>
      </c>
      <c r="BW69" s="440">
        <v>1</v>
      </c>
      <c r="BX69" s="440">
        <v>1</v>
      </c>
      <c r="BY69" s="440">
        <v>1</v>
      </c>
      <c r="BZ69" s="440">
        <v>0</v>
      </c>
      <c r="CA69" s="440">
        <v>0</v>
      </c>
      <c r="CB69" s="442">
        <f t="shared" si="5"/>
        <v>0</v>
      </c>
      <c r="CC69" s="440">
        <v>0</v>
      </c>
      <c r="CD69" s="442">
        <f t="shared" si="24"/>
        <v>0</v>
      </c>
      <c r="CE69" s="441">
        <v>0</v>
      </c>
      <c r="CF69" s="435">
        <v>6400</v>
      </c>
      <c r="CG69" s="440">
        <v>-23</v>
      </c>
      <c r="CH69" s="440">
        <v>-19</v>
      </c>
      <c r="CI69" s="440">
        <v>-15</v>
      </c>
      <c r="CJ69" s="440">
        <v>-11</v>
      </c>
      <c r="CK69" s="440">
        <v>-8</v>
      </c>
      <c r="CL69" s="440">
        <v>-4</v>
      </c>
      <c r="CM69" s="442">
        <f t="shared" si="6"/>
        <v>-2</v>
      </c>
      <c r="CN69" s="440">
        <v>0</v>
      </c>
      <c r="CO69" s="442">
        <f t="shared" si="25"/>
        <v>2</v>
      </c>
      <c r="CP69" s="441">
        <v>4</v>
      </c>
      <c r="CQ69" s="435">
        <v>6400</v>
      </c>
      <c r="CR69" s="440">
        <v>1</v>
      </c>
      <c r="CS69" s="440">
        <v>1</v>
      </c>
      <c r="CT69" s="440">
        <v>1</v>
      </c>
      <c r="CU69" s="440">
        <v>1</v>
      </c>
      <c r="CV69" s="440">
        <v>0</v>
      </c>
      <c r="CW69" s="440">
        <v>0</v>
      </c>
      <c r="CX69" s="442">
        <f t="shared" si="7"/>
        <v>0</v>
      </c>
      <c r="CY69" s="440">
        <v>0</v>
      </c>
      <c r="CZ69" s="442">
        <f t="shared" si="26"/>
        <v>0</v>
      </c>
      <c r="DA69" s="441">
        <v>0</v>
      </c>
      <c r="DB69" s="435">
        <v>6400</v>
      </c>
      <c r="DC69" s="440">
        <v>-21</v>
      </c>
      <c r="DD69" s="440">
        <v>-17</v>
      </c>
      <c r="DE69" s="440">
        <v>-14</v>
      </c>
      <c r="DF69" s="440">
        <v>-10</v>
      </c>
      <c r="DG69" s="440">
        <v>-7</v>
      </c>
      <c r="DH69" s="440">
        <v>-3</v>
      </c>
      <c r="DI69" s="442">
        <f t="shared" si="8"/>
        <v>-1.5</v>
      </c>
      <c r="DJ69" s="440">
        <v>0</v>
      </c>
      <c r="DK69" s="442">
        <f t="shared" si="27"/>
        <v>1.5</v>
      </c>
      <c r="DL69" s="441">
        <v>3</v>
      </c>
      <c r="DM69" s="435">
        <v>6400</v>
      </c>
      <c r="DN69" s="440">
        <v>1</v>
      </c>
      <c r="DO69" s="440">
        <v>1</v>
      </c>
      <c r="DP69" s="440">
        <v>1</v>
      </c>
      <c r="DQ69" s="440">
        <v>1</v>
      </c>
      <c r="DR69" s="440">
        <v>0</v>
      </c>
      <c r="DS69" s="440">
        <v>0</v>
      </c>
      <c r="DT69" s="442">
        <f t="shared" si="9"/>
        <v>0</v>
      </c>
      <c r="DU69" s="440">
        <v>0</v>
      </c>
      <c r="DV69" s="442">
        <f t="shared" si="28"/>
        <v>0</v>
      </c>
      <c r="DW69" s="441">
        <v>0</v>
      </c>
      <c r="DX69" s="435">
        <v>6400</v>
      </c>
      <c r="DY69" s="440">
        <v>-24</v>
      </c>
      <c r="DZ69" s="440">
        <v>-20</v>
      </c>
      <c r="EA69" s="440">
        <v>-16</v>
      </c>
      <c r="EB69" s="440">
        <v>-12</v>
      </c>
      <c r="EC69" s="440">
        <v>-8</v>
      </c>
      <c r="ED69" s="440">
        <v>-4</v>
      </c>
      <c r="EE69" s="442">
        <f t="shared" si="10"/>
        <v>-2</v>
      </c>
      <c r="EF69" s="440">
        <v>0</v>
      </c>
      <c r="EG69" s="442">
        <f t="shared" si="29"/>
        <v>2</v>
      </c>
      <c r="EH69" s="440">
        <v>4</v>
      </c>
      <c r="EI69" s="435">
        <v>6400</v>
      </c>
      <c r="EJ69" s="440">
        <v>3</v>
      </c>
      <c r="EK69" s="440">
        <v>3</v>
      </c>
      <c r="EL69" s="440">
        <v>2</v>
      </c>
      <c r="EM69" s="440">
        <v>2</v>
      </c>
      <c r="EN69" s="440">
        <v>1</v>
      </c>
      <c r="EO69" s="440">
        <v>1</v>
      </c>
      <c r="EP69" s="442">
        <f t="shared" si="30"/>
        <v>0.5</v>
      </c>
      <c r="EQ69" s="440">
        <v>0</v>
      </c>
      <c r="ER69" s="442">
        <f t="shared" si="31"/>
        <v>-0.5</v>
      </c>
      <c r="ES69" s="441">
        <v>-1</v>
      </c>
      <c r="ET69" s="435">
        <v>6400</v>
      </c>
      <c r="EU69" s="440">
        <v>-22</v>
      </c>
      <c r="EV69" s="440">
        <v>-19</v>
      </c>
      <c r="EW69" s="440">
        <v>-15</v>
      </c>
      <c r="EX69" s="440">
        <v>-11</v>
      </c>
      <c r="EY69" s="440">
        <v>-7</v>
      </c>
      <c r="EZ69" s="440">
        <v>-4</v>
      </c>
      <c r="FA69" s="442">
        <f t="shared" si="32"/>
        <v>-2</v>
      </c>
      <c r="FB69" s="440">
        <v>0</v>
      </c>
      <c r="FC69" s="442">
        <f t="shared" si="33"/>
        <v>2</v>
      </c>
      <c r="FD69" s="440">
        <v>4</v>
      </c>
      <c r="FE69" s="435">
        <v>6400</v>
      </c>
      <c r="FF69" s="440">
        <v>1</v>
      </c>
      <c r="FG69" s="440">
        <v>1</v>
      </c>
      <c r="FH69" s="440">
        <v>1</v>
      </c>
      <c r="FI69" s="440">
        <v>1</v>
      </c>
      <c r="FJ69" s="440">
        <v>0</v>
      </c>
      <c r="FK69" s="440">
        <v>0</v>
      </c>
      <c r="FL69" s="442">
        <f t="shared" si="11"/>
        <v>0</v>
      </c>
      <c r="FM69" s="440">
        <v>0</v>
      </c>
      <c r="FN69" s="442">
        <f t="shared" si="34"/>
        <v>0</v>
      </c>
      <c r="FO69" s="441">
        <v>0</v>
      </c>
      <c r="FP69" s="435">
        <v>6400</v>
      </c>
      <c r="FQ69" s="440">
        <v>-23</v>
      </c>
      <c r="FR69" s="440">
        <v>-19</v>
      </c>
      <c r="FS69" s="440">
        <v>-15</v>
      </c>
      <c r="FT69" s="440">
        <v>-11</v>
      </c>
      <c r="FU69" s="440">
        <v>-8</v>
      </c>
      <c r="FV69" s="440">
        <v>-4</v>
      </c>
      <c r="FW69" s="442">
        <f t="shared" si="12"/>
        <v>-2</v>
      </c>
      <c r="FX69" s="440">
        <v>0</v>
      </c>
      <c r="FY69" s="442">
        <f t="shared" si="35"/>
        <v>2</v>
      </c>
      <c r="FZ69" s="440">
        <v>4</v>
      </c>
      <c r="GA69" s="435">
        <v>6400</v>
      </c>
      <c r="GB69" s="440">
        <v>-35</v>
      </c>
      <c r="GC69" s="440">
        <v>-29</v>
      </c>
      <c r="GD69" s="440">
        <v>-23</v>
      </c>
      <c r="GE69" s="440">
        <v>-18</v>
      </c>
      <c r="GF69" s="440">
        <v>-12</v>
      </c>
      <c r="GG69" s="440">
        <v>-6</v>
      </c>
      <c r="GH69" s="442">
        <f t="shared" si="13"/>
        <v>-3</v>
      </c>
      <c r="GI69" s="440">
        <v>0</v>
      </c>
      <c r="GJ69" s="442">
        <f t="shared" si="36"/>
        <v>3</v>
      </c>
      <c r="GK69" s="441">
        <v>6</v>
      </c>
      <c r="GL69" s="435">
        <v>6400</v>
      </c>
      <c r="GM69" s="440">
        <v>-34</v>
      </c>
      <c r="GN69" s="440">
        <v>-29</v>
      </c>
      <c r="GO69" s="440">
        <v>-23</v>
      </c>
      <c r="GP69" s="440">
        <v>-17</v>
      </c>
      <c r="GQ69" s="440">
        <v>-11</v>
      </c>
      <c r="GR69" s="440">
        <v>-6</v>
      </c>
      <c r="GS69" s="442">
        <f t="shared" si="14"/>
        <v>-3</v>
      </c>
      <c r="GT69" s="440">
        <v>0</v>
      </c>
      <c r="GU69" s="442">
        <f t="shared" si="37"/>
        <v>3</v>
      </c>
      <c r="GV69" s="441">
        <v>6</v>
      </c>
    </row>
    <row r="70" spans="7:204">
      <c r="G70" s="435">
        <v>6300</v>
      </c>
      <c r="H70" s="445">
        <v>34</v>
      </c>
      <c r="I70" s="249">
        <v>29</v>
      </c>
      <c r="J70" s="249">
        <v>24</v>
      </c>
      <c r="K70" s="249">
        <v>17</v>
      </c>
      <c r="L70" s="249">
        <v>11</v>
      </c>
      <c r="M70" s="249">
        <v>6</v>
      </c>
      <c r="N70" s="249">
        <f t="shared" si="15"/>
        <v>3</v>
      </c>
      <c r="O70" s="249">
        <v>0</v>
      </c>
      <c r="P70" s="249">
        <f t="shared" si="16"/>
        <v>-3</v>
      </c>
      <c r="Q70" s="446">
        <v>-6</v>
      </c>
      <c r="R70" s="435">
        <v>6300</v>
      </c>
      <c r="S70" s="248">
        <v>11</v>
      </c>
      <c r="T70" s="248">
        <v>9</v>
      </c>
      <c r="U70" s="248">
        <v>7</v>
      </c>
      <c r="V70" s="248">
        <v>5</v>
      </c>
      <c r="W70" s="248">
        <v>4</v>
      </c>
      <c r="X70" s="248">
        <v>2</v>
      </c>
      <c r="Y70" s="249">
        <f t="shared" si="17"/>
        <v>1</v>
      </c>
      <c r="Z70" s="248">
        <v>0</v>
      </c>
      <c r="AA70" s="439">
        <f t="shared" si="18"/>
        <v>-1</v>
      </c>
      <c r="AB70" s="248">
        <v>-2</v>
      </c>
      <c r="AC70" s="435">
        <v>6300</v>
      </c>
      <c r="AD70" s="440">
        <v>-32</v>
      </c>
      <c r="AE70" s="440">
        <v>-27</v>
      </c>
      <c r="AF70" s="440">
        <v>-21</v>
      </c>
      <c r="AG70" s="440">
        <v>-16</v>
      </c>
      <c r="AH70" s="440">
        <v>-11</v>
      </c>
      <c r="AI70" s="440">
        <v>-5</v>
      </c>
      <c r="AJ70" s="249">
        <f t="shared" si="19"/>
        <v>-2.5</v>
      </c>
      <c r="AK70" s="248">
        <v>0</v>
      </c>
      <c r="AL70" s="439">
        <f t="shared" si="20"/>
        <v>2.5</v>
      </c>
      <c r="AM70" s="441">
        <v>5</v>
      </c>
      <c r="AN70" s="435">
        <v>6300</v>
      </c>
      <c r="AO70" s="440">
        <v>-56</v>
      </c>
      <c r="AP70" s="440">
        <v>-46</v>
      </c>
      <c r="AQ70" s="440">
        <v>-37</v>
      </c>
      <c r="AR70" s="440">
        <v>-28</v>
      </c>
      <c r="AS70" s="440">
        <v>-19</v>
      </c>
      <c r="AT70" s="440">
        <v>-9</v>
      </c>
      <c r="AU70" s="442">
        <f t="shared" si="2"/>
        <v>-4.5</v>
      </c>
      <c r="AV70" s="440">
        <v>0</v>
      </c>
      <c r="AW70" s="442">
        <f t="shared" si="21"/>
        <v>4.5</v>
      </c>
      <c r="AX70" s="441">
        <v>9</v>
      </c>
      <c r="AY70" s="435">
        <v>6300</v>
      </c>
      <c r="AZ70" s="440">
        <v>4</v>
      </c>
      <c r="BA70" s="440">
        <v>3</v>
      </c>
      <c r="BB70" s="440">
        <v>2</v>
      </c>
      <c r="BC70" s="440">
        <v>2</v>
      </c>
      <c r="BD70" s="440">
        <v>1</v>
      </c>
      <c r="BE70" s="440">
        <v>1</v>
      </c>
      <c r="BF70" s="442">
        <f t="shared" si="3"/>
        <v>0.5</v>
      </c>
      <c r="BG70" s="440">
        <v>0</v>
      </c>
      <c r="BH70" s="442">
        <f t="shared" si="22"/>
        <v>-0.5</v>
      </c>
      <c r="BI70" s="441">
        <v>-1</v>
      </c>
      <c r="BJ70" s="447">
        <v>6300</v>
      </c>
      <c r="BK70" s="440">
        <v>-31</v>
      </c>
      <c r="BL70" s="440">
        <v>-26</v>
      </c>
      <c r="BM70" s="440">
        <v>-21</v>
      </c>
      <c r="BN70" s="440">
        <v>-16</v>
      </c>
      <c r="BO70" s="440">
        <v>-10</v>
      </c>
      <c r="BP70" s="440">
        <v>-5</v>
      </c>
      <c r="BQ70" s="442">
        <f t="shared" si="4"/>
        <v>-2.5</v>
      </c>
      <c r="BR70" s="440">
        <v>0</v>
      </c>
      <c r="BS70" s="442">
        <f t="shared" si="23"/>
        <v>2.5</v>
      </c>
      <c r="BT70" s="440">
        <v>5</v>
      </c>
      <c r="BU70" s="435">
        <v>6300</v>
      </c>
      <c r="BV70" s="440">
        <v>1</v>
      </c>
      <c r="BW70" s="440">
        <v>1</v>
      </c>
      <c r="BX70" s="440">
        <v>1</v>
      </c>
      <c r="BY70" s="440">
        <v>1</v>
      </c>
      <c r="BZ70" s="440">
        <v>0</v>
      </c>
      <c r="CA70" s="440">
        <v>0</v>
      </c>
      <c r="CB70" s="442">
        <f t="shared" si="5"/>
        <v>0</v>
      </c>
      <c r="CC70" s="440">
        <v>0</v>
      </c>
      <c r="CD70" s="442">
        <f t="shared" si="24"/>
        <v>0</v>
      </c>
      <c r="CE70" s="441">
        <v>0</v>
      </c>
      <c r="CF70" s="435">
        <v>6300</v>
      </c>
      <c r="CG70" s="440">
        <v>-23</v>
      </c>
      <c r="CH70" s="440">
        <v>-19</v>
      </c>
      <c r="CI70" s="440">
        <v>-15</v>
      </c>
      <c r="CJ70" s="440">
        <v>-11</v>
      </c>
      <c r="CK70" s="440">
        <v>-8</v>
      </c>
      <c r="CL70" s="440">
        <v>-4</v>
      </c>
      <c r="CM70" s="442">
        <f t="shared" si="6"/>
        <v>-2</v>
      </c>
      <c r="CN70" s="440">
        <v>0</v>
      </c>
      <c r="CO70" s="442">
        <f t="shared" si="25"/>
        <v>2</v>
      </c>
      <c r="CP70" s="441">
        <v>4</v>
      </c>
      <c r="CQ70" s="435">
        <v>6300</v>
      </c>
      <c r="CR70" s="440">
        <v>1</v>
      </c>
      <c r="CS70" s="440">
        <v>1</v>
      </c>
      <c r="CT70" s="440">
        <v>1</v>
      </c>
      <c r="CU70" s="440">
        <v>1</v>
      </c>
      <c r="CV70" s="440">
        <v>0</v>
      </c>
      <c r="CW70" s="440">
        <v>0</v>
      </c>
      <c r="CX70" s="442">
        <f t="shared" si="7"/>
        <v>0</v>
      </c>
      <c r="CY70" s="440">
        <v>0</v>
      </c>
      <c r="CZ70" s="442">
        <f t="shared" si="26"/>
        <v>0</v>
      </c>
      <c r="DA70" s="441">
        <v>0</v>
      </c>
      <c r="DB70" s="435">
        <v>6300</v>
      </c>
      <c r="DC70" s="440">
        <v>-21</v>
      </c>
      <c r="DD70" s="440">
        <v>-17</v>
      </c>
      <c r="DE70" s="440">
        <v>-14</v>
      </c>
      <c r="DF70" s="440">
        <v>-10</v>
      </c>
      <c r="DG70" s="440">
        <v>-7</v>
      </c>
      <c r="DH70" s="440">
        <v>-3</v>
      </c>
      <c r="DI70" s="442">
        <f t="shared" si="8"/>
        <v>-1.5</v>
      </c>
      <c r="DJ70" s="440">
        <v>0</v>
      </c>
      <c r="DK70" s="442">
        <f t="shared" si="27"/>
        <v>1.5</v>
      </c>
      <c r="DL70" s="441">
        <v>3</v>
      </c>
      <c r="DM70" s="435">
        <v>6300</v>
      </c>
      <c r="DN70" s="440">
        <v>1</v>
      </c>
      <c r="DO70" s="440">
        <v>1</v>
      </c>
      <c r="DP70" s="440">
        <v>1</v>
      </c>
      <c r="DQ70" s="440">
        <v>1</v>
      </c>
      <c r="DR70" s="440">
        <v>0</v>
      </c>
      <c r="DS70" s="440">
        <v>0</v>
      </c>
      <c r="DT70" s="442">
        <f t="shared" si="9"/>
        <v>0</v>
      </c>
      <c r="DU70" s="440">
        <v>0</v>
      </c>
      <c r="DV70" s="442">
        <f t="shared" si="28"/>
        <v>0</v>
      </c>
      <c r="DW70" s="441">
        <v>0</v>
      </c>
      <c r="DX70" s="435">
        <v>6300</v>
      </c>
      <c r="DY70" s="440">
        <v>-24</v>
      </c>
      <c r="DZ70" s="440">
        <v>-20</v>
      </c>
      <c r="EA70" s="440">
        <v>-16</v>
      </c>
      <c r="EB70" s="440">
        <v>-12</v>
      </c>
      <c r="EC70" s="440">
        <v>-8</v>
      </c>
      <c r="ED70" s="440">
        <v>-4</v>
      </c>
      <c r="EE70" s="442">
        <f t="shared" si="10"/>
        <v>-2</v>
      </c>
      <c r="EF70" s="440">
        <v>0</v>
      </c>
      <c r="EG70" s="442">
        <f t="shared" si="29"/>
        <v>2</v>
      </c>
      <c r="EH70" s="440">
        <v>4</v>
      </c>
      <c r="EI70" s="435">
        <v>6300</v>
      </c>
      <c r="EJ70" s="440">
        <v>3</v>
      </c>
      <c r="EK70" s="440">
        <v>3</v>
      </c>
      <c r="EL70" s="440">
        <v>2</v>
      </c>
      <c r="EM70" s="440">
        <v>2</v>
      </c>
      <c r="EN70" s="440">
        <v>1</v>
      </c>
      <c r="EO70" s="440">
        <v>1</v>
      </c>
      <c r="EP70" s="442">
        <f t="shared" si="30"/>
        <v>0.5</v>
      </c>
      <c r="EQ70" s="440">
        <v>0</v>
      </c>
      <c r="ER70" s="442">
        <f t="shared" si="31"/>
        <v>-0.5</v>
      </c>
      <c r="ES70" s="441">
        <v>-1</v>
      </c>
      <c r="ET70" s="435">
        <v>6300</v>
      </c>
      <c r="EU70" s="440">
        <v>-22</v>
      </c>
      <c r="EV70" s="440">
        <v>-19</v>
      </c>
      <c r="EW70" s="440">
        <v>-15</v>
      </c>
      <c r="EX70" s="440">
        <v>-11</v>
      </c>
      <c r="EY70" s="440">
        <v>-7</v>
      </c>
      <c r="EZ70" s="440">
        <v>-4</v>
      </c>
      <c r="FA70" s="442">
        <f t="shared" si="32"/>
        <v>-2</v>
      </c>
      <c r="FB70" s="440">
        <v>0</v>
      </c>
      <c r="FC70" s="442">
        <f t="shared" si="33"/>
        <v>2</v>
      </c>
      <c r="FD70" s="440">
        <v>4</v>
      </c>
      <c r="FE70" s="435">
        <v>6300</v>
      </c>
      <c r="FF70" s="440">
        <v>1</v>
      </c>
      <c r="FG70" s="440">
        <v>1</v>
      </c>
      <c r="FH70" s="440">
        <v>1</v>
      </c>
      <c r="FI70" s="440">
        <v>1</v>
      </c>
      <c r="FJ70" s="440">
        <v>0</v>
      </c>
      <c r="FK70" s="440">
        <v>0</v>
      </c>
      <c r="FL70" s="442">
        <f t="shared" si="11"/>
        <v>0</v>
      </c>
      <c r="FM70" s="440">
        <v>0</v>
      </c>
      <c r="FN70" s="442">
        <f t="shared" si="34"/>
        <v>0</v>
      </c>
      <c r="FO70" s="441">
        <v>0</v>
      </c>
      <c r="FP70" s="435">
        <v>6300</v>
      </c>
      <c r="FQ70" s="440">
        <v>-23</v>
      </c>
      <c r="FR70" s="440">
        <v>-19</v>
      </c>
      <c r="FS70" s="440">
        <v>-15</v>
      </c>
      <c r="FT70" s="440">
        <v>-11</v>
      </c>
      <c r="FU70" s="440">
        <v>-8</v>
      </c>
      <c r="FV70" s="440">
        <v>-4</v>
      </c>
      <c r="FW70" s="442">
        <f t="shared" si="12"/>
        <v>-2</v>
      </c>
      <c r="FX70" s="440">
        <v>0</v>
      </c>
      <c r="FY70" s="442">
        <f t="shared" si="35"/>
        <v>2</v>
      </c>
      <c r="FZ70" s="440">
        <v>4</v>
      </c>
      <c r="GA70" s="435">
        <v>6300</v>
      </c>
      <c r="GB70" s="440">
        <v>-35</v>
      </c>
      <c r="GC70" s="440">
        <v>-29</v>
      </c>
      <c r="GD70" s="440">
        <v>-23</v>
      </c>
      <c r="GE70" s="440">
        <v>-18</v>
      </c>
      <c r="GF70" s="440">
        <v>-12</v>
      </c>
      <c r="GG70" s="440">
        <v>-6</v>
      </c>
      <c r="GH70" s="442">
        <f t="shared" si="13"/>
        <v>-3</v>
      </c>
      <c r="GI70" s="440">
        <v>0</v>
      </c>
      <c r="GJ70" s="442">
        <f t="shared" si="36"/>
        <v>3</v>
      </c>
      <c r="GK70" s="441">
        <v>6</v>
      </c>
      <c r="GL70" s="435">
        <v>6300</v>
      </c>
      <c r="GM70" s="440">
        <v>-34</v>
      </c>
      <c r="GN70" s="440">
        <v>-29</v>
      </c>
      <c r="GO70" s="440">
        <v>-23</v>
      </c>
      <c r="GP70" s="440">
        <v>-17</v>
      </c>
      <c r="GQ70" s="440">
        <v>-11</v>
      </c>
      <c r="GR70" s="440">
        <v>-6</v>
      </c>
      <c r="GS70" s="442">
        <f t="shared" si="14"/>
        <v>-3</v>
      </c>
      <c r="GT70" s="440">
        <v>0</v>
      </c>
      <c r="GU70" s="442">
        <f t="shared" si="37"/>
        <v>3</v>
      </c>
      <c r="GV70" s="441">
        <v>6</v>
      </c>
    </row>
    <row r="71" spans="7:204">
      <c r="G71" s="435">
        <v>6200</v>
      </c>
      <c r="H71" s="445">
        <v>34</v>
      </c>
      <c r="I71" s="249">
        <v>29</v>
      </c>
      <c r="J71" s="249">
        <v>24</v>
      </c>
      <c r="K71" s="249">
        <v>17</v>
      </c>
      <c r="L71" s="249">
        <v>11</v>
      </c>
      <c r="M71" s="249">
        <v>6</v>
      </c>
      <c r="N71" s="249">
        <f t="shared" si="15"/>
        <v>3</v>
      </c>
      <c r="O71" s="249">
        <v>0</v>
      </c>
      <c r="P71" s="249">
        <f t="shared" si="16"/>
        <v>-3</v>
      </c>
      <c r="Q71" s="446">
        <v>-6</v>
      </c>
      <c r="R71" s="435">
        <v>6200</v>
      </c>
      <c r="S71" s="248">
        <v>11</v>
      </c>
      <c r="T71" s="248">
        <v>9</v>
      </c>
      <c r="U71" s="248">
        <v>7</v>
      </c>
      <c r="V71" s="248">
        <v>5</v>
      </c>
      <c r="W71" s="248">
        <v>4</v>
      </c>
      <c r="X71" s="248">
        <v>2</v>
      </c>
      <c r="Y71" s="249">
        <f t="shared" si="17"/>
        <v>1</v>
      </c>
      <c r="Z71" s="248">
        <v>0</v>
      </c>
      <c r="AA71" s="439">
        <f t="shared" si="18"/>
        <v>-1</v>
      </c>
      <c r="AB71" s="248">
        <v>-2</v>
      </c>
      <c r="AC71" s="435">
        <v>6200</v>
      </c>
      <c r="AD71" s="440">
        <v>-32</v>
      </c>
      <c r="AE71" s="440">
        <v>-27</v>
      </c>
      <c r="AF71" s="440">
        <v>-21</v>
      </c>
      <c r="AG71" s="440">
        <v>-16</v>
      </c>
      <c r="AH71" s="440">
        <v>-11</v>
      </c>
      <c r="AI71" s="440">
        <v>-5</v>
      </c>
      <c r="AJ71" s="249">
        <f t="shared" si="19"/>
        <v>-2.5</v>
      </c>
      <c r="AK71" s="248">
        <v>0</v>
      </c>
      <c r="AL71" s="439">
        <f t="shared" si="20"/>
        <v>2.5</v>
      </c>
      <c r="AM71" s="441">
        <v>5</v>
      </c>
      <c r="AN71" s="435">
        <v>6200</v>
      </c>
      <c r="AO71" s="440">
        <v>-56</v>
      </c>
      <c r="AP71" s="440">
        <v>-46</v>
      </c>
      <c r="AQ71" s="440">
        <v>-37</v>
      </c>
      <c r="AR71" s="440">
        <v>-28</v>
      </c>
      <c r="AS71" s="440">
        <v>-19</v>
      </c>
      <c r="AT71" s="440">
        <v>-9</v>
      </c>
      <c r="AU71" s="442">
        <f t="shared" si="2"/>
        <v>-4.5</v>
      </c>
      <c r="AV71" s="440">
        <v>0</v>
      </c>
      <c r="AW71" s="442">
        <f t="shared" si="21"/>
        <v>4.5</v>
      </c>
      <c r="AX71" s="441">
        <v>9</v>
      </c>
      <c r="AY71" s="435">
        <v>6200</v>
      </c>
      <c r="AZ71" s="440">
        <v>4</v>
      </c>
      <c r="BA71" s="440">
        <v>3</v>
      </c>
      <c r="BB71" s="440">
        <v>2</v>
      </c>
      <c r="BC71" s="440">
        <v>2</v>
      </c>
      <c r="BD71" s="440">
        <v>1</v>
      </c>
      <c r="BE71" s="440">
        <v>1</v>
      </c>
      <c r="BF71" s="442">
        <f t="shared" si="3"/>
        <v>0.5</v>
      </c>
      <c r="BG71" s="440">
        <v>0</v>
      </c>
      <c r="BH71" s="442">
        <f t="shared" si="22"/>
        <v>-0.5</v>
      </c>
      <c r="BI71" s="441">
        <v>-1</v>
      </c>
      <c r="BJ71" s="447">
        <v>6200</v>
      </c>
      <c r="BK71" s="440">
        <v>-31</v>
      </c>
      <c r="BL71" s="440">
        <v>-26</v>
      </c>
      <c r="BM71" s="440">
        <v>-21</v>
      </c>
      <c r="BN71" s="440">
        <v>-16</v>
      </c>
      <c r="BO71" s="440">
        <v>-10</v>
      </c>
      <c r="BP71" s="440">
        <v>-5</v>
      </c>
      <c r="BQ71" s="442">
        <f t="shared" si="4"/>
        <v>-2.5</v>
      </c>
      <c r="BR71" s="440">
        <v>0</v>
      </c>
      <c r="BS71" s="442">
        <f t="shared" si="23"/>
        <v>2.5</v>
      </c>
      <c r="BT71" s="440">
        <v>5</v>
      </c>
      <c r="BU71" s="435">
        <v>6200</v>
      </c>
      <c r="BV71" s="440">
        <v>1</v>
      </c>
      <c r="BW71" s="440">
        <v>1</v>
      </c>
      <c r="BX71" s="440">
        <v>1</v>
      </c>
      <c r="BY71" s="440">
        <v>1</v>
      </c>
      <c r="BZ71" s="440">
        <v>0</v>
      </c>
      <c r="CA71" s="440">
        <v>0</v>
      </c>
      <c r="CB71" s="442">
        <f t="shared" si="5"/>
        <v>0</v>
      </c>
      <c r="CC71" s="440">
        <v>0</v>
      </c>
      <c r="CD71" s="442">
        <f t="shared" si="24"/>
        <v>0</v>
      </c>
      <c r="CE71" s="441">
        <v>0</v>
      </c>
      <c r="CF71" s="435">
        <v>6200</v>
      </c>
      <c r="CG71" s="440">
        <v>-23</v>
      </c>
      <c r="CH71" s="440">
        <v>-19</v>
      </c>
      <c r="CI71" s="440">
        <v>-15</v>
      </c>
      <c r="CJ71" s="440">
        <v>-11</v>
      </c>
      <c r="CK71" s="440">
        <v>-8</v>
      </c>
      <c r="CL71" s="440">
        <v>-4</v>
      </c>
      <c r="CM71" s="442">
        <f t="shared" si="6"/>
        <v>-2</v>
      </c>
      <c r="CN71" s="440">
        <v>0</v>
      </c>
      <c r="CO71" s="442">
        <f t="shared" si="25"/>
        <v>2</v>
      </c>
      <c r="CP71" s="441">
        <v>4</v>
      </c>
      <c r="CQ71" s="435">
        <v>6200</v>
      </c>
      <c r="CR71" s="440">
        <v>1</v>
      </c>
      <c r="CS71" s="440">
        <v>1</v>
      </c>
      <c r="CT71" s="440">
        <v>1</v>
      </c>
      <c r="CU71" s="440">
        <v>1</v>
      </c>
      <c r="CV71" s="440">
        <v>0</v>
      </c>
      <c r="CW71" s="440">
        <v>0</v>
      </c>
      <c r="CX71" s="442">
        <f t="shared" si="7"/>
        <v>0</v>
      </c>
      <c r="CY71" s="440">
        <v>0</v>
      </c>
      <c r="CZ71" s="442">
        <f t="shared" si="26"/>
        <v>0</v>
      </c>
      <c r="DA71" s="441">
        <v>0</v>
      </c>
      <c r="DB71" s="435">
        <v>6200</v>
      </c>
      <c r="DC71" s="440">
        <v>-21</v>
      </c>
      <c r="DD71" s="440">
        <v>-17</v>
      </c>
      <c r="DE71" s="440">
        <v>-14</v>
      </c>
      <c r="DF71" s="440">
        <v>-10</v>
      </c>
      <c r="DG71" s="440">
        <v>-7</v>
      </c>
      <c r="DH71" s="440">
        <v>-3</v>
      </c>
      <c r="DI71" s="442">
        <f t="shared" si="8"/>
        <v>-1.5</v>
      </c>
      <c r="DJ71" s="440">
        <v>0</v>
      </c>
      <c r="DK71" s="442">
        <f t="shared" si="27"/>
        <v>1.5</v>
      </c>
      <c r="DL71" s="441">
        <v>3</v>
      </c>
      <c r="DM71" s="435">
        <v>6200</v>
      </c>
      <c r="DN71" s="440">
        <v>1</v>
      </c>
      <c r="DO71" s="440">
        <v>1</v>
      </c>
      <c r="DP71" s="440">
        <v>1</v>
      </c>
      <c r="DQ71" s="440">
        <v>1</v>
      </c>
      <c r="DR71" s="440">
        <v>0</v>
      </c>
      <c r="DS71" s="440">
        <v>0</v>
      </c>
      <c r="DT71" s="442">
        <f t="shared" si="9"/>
        <v>0</v>
      </c>
      <c r="DU71" s="440">
        <v>0</v>
      </c>
      <c r="DV71" s="442">
        <f t="shared" si="28"/>
        <v>0</v>
      </c>
      <c r="DW71" s="441">
        <v>0</v>
      </c>
      <c r="DX71" s="435">
        <v>6200</v>
      </c>
      <c r="DY71" s="440">
        <v>-24</v>
      </c>
      <c r="DZ71" s="440">
        <v>-20</v>
      </c>
      <c r="EA71" s="440">
        <v>-16</v>
      </c>
      <c r="EB71" s="440">
        <v>-12</v>
      </c>
      <c r="EC71" s="440">
        <v>-8</v>
      </c>
      <c r="ED71" s="440">
        <v>-4</v>
      </c>
      <c r="EE71" s="442">
        <f t="shared" si="10"/>
        <v>-2</v>
      </c>
      <c r="EF71" s="440">
        <v>0</v>
      </c>
      <c r="EG71" s="442">
        <f t="shared" si="29"/>
        <v>2</v>
      </c>
      <c r="EH71" s="440">
        <v>4</v>
      </c>
      <c r="EI71" s="435">
        <v>6200</v>
      </c>
      <c r="EJ71" s="440">
        <v>3</v>
      </c>
      <c r="EK71" s="440">
        <v>3</v>
      </c>
      <c r="EL71" s="440">
        <v>2</v>
      </c>
      <c r="EM71" s="440">
        <v>2</v>
      </c>
      <c r="EN71" s="440">
        <v>1</v>
      </c>
      <c r="EO71" s="440">
        <v>1</v>
      </c>
      <c r="EP71" s="442">
        <f t="shared" si="30"/>
        <v>0.5</v>
      </c>
      <c r="EQ71" s="440">
        <v>0</v>
      </c>
      <c r="ER71" s="442">
        <f t="shared" si="31"/>
        <v>-0.5</v>
      </c>
      <c r="ES71" s="441">
        <v>-1</v>
      </c>
      <c r="ET71" s="435">
        <v>6200</v>
      </c>
      <c r="EU71" s="440">
        <v>-22</v>
      </c>
      <c r="EV71" s="440">
        <v>-19</v>
      </c>
      <c r="EW71" s="440">
        <v>-15</v>
      </c>
      <c r="EX71" s="440">
        <v>-11</v>
      </c>
      <c r="EY71" s="440">
        <v>-7</v>
      </c>
      <c r="EZ71" s="440">
        <v>-4</v>
      </c>
      <c r="FA71" s="442">
        <f t="shared" si="32"/>
        <v>-2</v>
      </c>
      <c r="FB71" s="440">
        <v>0</v>
      </c>
      <c r="FC71" s="442">
        <f t="shared" si="33"/>
        <v>2</v>
      </c>
      <c r="FD71" s="440">
        <v>4</v>
      </c>
      <c r="FE71" s="435">
        <v>6200</v>
      </c>
      <c r="FF71" s="440">
        <v>1</v>
      </c>
      <c r="FG71" s="440">
        <v>1</v>
      </c>
      <c r="FH71" s="440">
        <v>1</v>
      </c>
      <c r="FI71" s="440">
        <v>1</v>
      </c>
      <c r="FJ71" s="440">
        <v>0</v>
      </c>
      <c r="FK71" s="440">
        <v>0</v>
      </c>
      <c r="FL71" s="442">
        <f t="shared" si="11"/>
        <v>0</v>
      </c>
      <c r="FM71" s="440">
        <v>0</v>
      </c>
      <c r="FN71" s="442">
        <f t="shared" si="34"/>
        <v>0</v>
      </c>
      <c r="FO71" s="441">
        <v>0</v>
      </c>
      <c r="FP71" s="435">
        <v>6200</v>
      </c>
      <c r="FQ71" s="440">
        <v>-23</v>
      </c>
      <c r="FR71" s="440">
        <v>-19</v>
      </c>
      <c r="FS71" s="440">
        <v>-15</v>
      </c>
      <c r="FT71" s="440">
        <v>-11</v>
      </c>
      <c r="FU71" s="440">
        <v>-8</v>
      </c>
      <c r="FV71" s="440">
        <v>-4</v>
      </c>
      <c r="FW71" s="442">
        <f t="shared" si="12"/>
        <v>-2</v>
      </c>
      <c r="FX71" s="440">
        <v>0</v>
      </c>
      <c r="FY71" s="442">
        <f t="shared" si="35"/>
        <v>2</v>
      </c>
      <c r="FZ71" s="440">
        <v>4</v>
      </c>
      <c r="GA71" s="435">
        <v>6200</v>
      </c>
      <c r="GB71" s="440">
        <v>-35</v>
      </c>
      <c r="GC71" s="440">
        <v>-29</v>
      </c>
      <c r="GD71" s="440">
        <v>-23</v>
      </c>
      <c r="GE71" s="440">
        <v>-18</v>
      </c>
      <c r="GF71" s="440">
        <v>-12</v>
      </c>
      <c r="GG71" s="440">
        <v>-6</v>
      </c>
      <c r="GH71" s="442">
        <f t="shared" si="13"/>
        <v>-3</v>
      </c>
      <c r="GI71" s="440">
        <v>0</v>
      </c>
      <c r="GJ71" s="442">
        <f t="shared" si="36"/>
        <v>3</v>
      </c>
      <c r="GK71" s="441">
        <v>6</v>
      </c>
      <c r="GL71" s="435">
        <v>6200</v>
      </c>
      <c r="GM71" s="440">
        <v>-34</v>
      </c>
      <c r="GN71" s="440">
        <v>-29</v>
      </c>
      <c r="GO71" s="440">
        <v>-23</v>
      </c>
      <c r="GP71" s="440">
        <v>-17</v>
      </c>
      <c r="GQ71" s="440">
        <v>-11</v>
      </c>
      <c r="GR71" s="440">
        <v>-6</v>
      </c>
      <c r="GS71" s="442">
        <f t="shared" si="14"/>
        <v>-3</v>
      </c>
      <c r="GT71" s="440">
        <v>0</v>
      </c>
      <c r="GU71" s="442">
        <f t="shared" si="37"/>
        <v>3</v>
      </c>
      <c r="GV71" s="441">
        <v>6</v>
      </c>
    </row>
    <row r="72" spans="7:204">
      <c r="G72" s="435">
        <v>6100</v>
      </c>
      <c r="H72" s="445">
        <v>34</v>
      </c>
      <c r="I72" s="249">
        <v>29</v>
      </c>
      <c r="J72" s="249">
        <v>24</v>
      </c>
      <c r="K72" s="249">
        <v>17</v>
      </c>
      <c r="L72" s="249">
        <v>11</v>
      </c>
      <c r="M72" s="249">
        <v>6</v>
      </c>
      <c r="N72" s="249">
        <f t="shared" si="15"/>
        <v>3</v>
      </c>
      <c r="O72" s="249">
        <v>0</v>
      </c>
      <c r="P72" s="249">
        <f t="shared" si="16"/>
        <v>-3</v>
      </c>
      <c r="Q72" s="446">
        <v>-6</v>
      </c>
      <c r="R72" s="435">
        <v>6100</v>
      </c>
      <c r="S72" s="248">
        <v>11</v>
      </c>
      <c r="T72" s="248">
        <v>9</v>
      </c>
      <c r="U72" s="248">
        <v>7</v>
      </c>
      <c r="V72" s="248">
        <v>5</v>
      </c>
      <c r="W72" s="248">
        <v>4</v>
      </c>
      <c r="X72" s="248">
        <v>2</v>
      </c>
      <c r="Y72" s="249">
        <f t="shared" si="17"/>
        <v>1</v>
      </c>
      <c r="Z72" s="248">
        <v>0</v>
      </c>
      <c r="AA72" s="439">
        <f t="shared" si="18"/>
        <v>-1</v>
      </c>
      <c r="AB72" s="248">
        <v>-2</v>
      </c>
      <c r="AC72" s="435">
        <v>6100</v>
      </c>
      <c r="AD72" s="440">
        <v>-32</v>
      </c>
      <c r="AE72" s="440">
        <v>-27</v>
      </c>
      <c r="AF72" s="440">
        <v>-21</v>
      </c>
      <c r="AG72" s="440">
        <v>-16</v>
      </c>
      <c r="AH72" s="440">
        <v>-11</v>
      </c>
      <c r="AI72" s="440">
        <v>-5</v>
      </c>
      <c r="AJ72" s="249">
        <f t="shared" si="19"/>
        <v>-2.5</v>
      </c>
      <c r="AK72" s="248">
        <v>0</v>
      </c>
      <c r="AL72" s="439">
        <f t="shared" si="20"/>
        <v>2.5</v>
      </c>
      <c r="AM72" s="441">
        <v>5</v>
      </c>
      <c r="AN72" s="435">
        <v>6100</v>
      </c>
      <c r="AO72" s="440">
        <v>-56</v>
      </c>
      <c r="AP72" s="440">
        <v>-46</v>
      </c>
      <c r="AQ72" s="440">
        <v>-37</v>
      </c>
      <c r="AR72" s="440">
        <v>-28</v>
      </c>
      <c r="AS72" s="440">
        <v>-19</v>
      </c>
      <c r="AT72" s="440">
        <v>-9</v>
      </c>
      <c r="AU72" s="442">
        <f t="shared" si="2"/>
        <v>-4.5</v>
      </c>
      <c r="AV72" s="440">
        <v>0</v>
      </c>
      <c r="AW72" s="442">
        <f t="shared" si="21"/>
        <v>4.5</v>
      </c>
      <c r="AX72" s="441">
        <v>9</v>
      </c>
      <c r="AY72" s="435">
        <v>6100</v>
      </c>
      <c r="AZ72" s="440">
        <v>4</v>
      </c>
      <c r="BA72" s="440">
        <v>3</v>
      </c>
      <c r="BB72" s="440">
        <v>2</v>
      </c>
      <c r="BC72" s="440">
        <v>2</v>
      </c>
      <c r="BD72" s="440">
        <v>1</v>
      </c>
      <c r="BE72" s="440">
        <v>1</v>
      </c>
      <c r="BF72" s="442">
        <f t="shared" si="3"/>
        <v>0.5</v>
      </c>
      <c r="BG72" s="440">
        <v>0</v>
      </c>
      <c r="BH72" s="442">
        <f t="shared" si="22"/>
        <v>-0.5</v>
      </c>
      <c r="BI72" s="441">
        <v>-1</v>
      </c>
      <c r="BJ72" s="447">
        <v>6100</v>
      </c>
      <c r="BK72" s="440">
        <v>-31</v>
      </c>
      <c r="BL72" s="440">
        <v>-26</v>
      </c>
      <c r="BM72" s="440">
        <v>-21</v>
      </c>
      <c r="BN72" s="440">
        <v>-16</v>
      </c>
      <c r="BO72" s="440">
        <v>-10</v>
      </c>
      <c r="BP72" s="440">
        <v>-5</v>
      </c>
      <c r="BQ72" s="442">
        <f t="shared" si="4"/>
        <v>-2.5</v>
      </c>
      <c r="BR72" s="440">
        <v>0</v>
      </c>
      <c r="BS72" s="442">
        <f t="shared" si="23"/>
        <v>2.5</v>
      </c>
      <c r="BT72" s="440">
        <v>5</v>
      </c>
      <c r="BU72" s="435">
        <v>6100</v>
      </c>
      <c r="BV72" s="440">
        <v>1</v>
      </c>
      <c r="BW72" s="440">
        <v>1</v>
      </c>
      <c r="BX72" s="440">
        <v>1</v>
      </c>
      <c r="BY72" s="440">
        <v>1</v>
      </c>
      <c r="BZ72" s="440">
        <v>0</v>
      </c>
      <c r="CA72" s="440">
        <v>0</v>
      </c>
      <c r="CB72" s="442">
        <f t="shared" si="5"/>
        <v>0</v>
      </c>
      <c r="CC72" s="440">
        <v>0</v>
      </c>
      <c r="CD72" s="442">
        <f t="shared" si="24"/>
        <v>0</v>
      </c>
      <c r="CE72" s="441">
        <v>0</v>
      </c>
      <c r="CF72" s="435">
        <v>6100</v>
      </c>
      <c r="CG72" s="440">
        <v>-23</v>
      </c>
      <c r="CH72" s="440">
        <v>-19</v>
      </c>
      <c r="CI72" s="440">
        <v>-15</v>
      </c>
      <c r="CJ72" s="440">
        <v>-11</v>
      </c>
      <c r="CK72" s="440">
        <v>-8</v>
      </c>
      <c r="CL72" s="440">
        <v>-4</v>
      </c>
      <c r="CM72" s="442">
        <f t="shared" si="6"/>
        <v>-2</v>
      </c>
      <c r="CN72" s="440">
        <v>0</v>
      </c>
      <c r="CO72" s="442">
        <f t="shared" si="25"/>
        <v>2</v>
      </c>
      <c r="CP72" s="441">
        <v>4</v>
      </c>
      <c r="CQ72" s="435">
        <v>6100</v>
      </c>
      <c r="CR72" s="440">
        <v>1</v>
      </c>
      <c r="CS72" s="440">
        <v>1</v>
      </c>
      <c r="CT72" s="440">
        <v>1</v>
      </c>
      <c r="CU72" s="440">
        <v>1</v>
      </c>
      <c r="CV72" s="440">
        <v>0</v>
      </c>
      <c r="CW72" s="440">
        <v>0</v>
      </c>
      <c r="CX72" s="442">
        <f t="shared" si="7"/>
        <v>0</v>
      </c>
      <c r="CY72" s="440">
        <v>0</v>
      </c>
      <c r="CZ72" s="442">
        <f t="shared" si="26"/>
        <v>0</v>
      </c>
      <c r="DA72" s="441">
        <v>0</v>
      </c>
      <c r="DB72" s="435">
        <v>6100</v>
      </c>
      <c r="DC72" s="440">
        <v>-21</v>
      </c>
      <c r="DD72" s="440">
        <v>-17</v>
      </c>
      <c r="DE72" s="440">
        <v>-14</v>
      </c>
      <c r="DF72" s="440">
        <v>-10</v>
      </c>
      <c r="DG72" s="440">
        <v>-7</v>
      </c>
      <c r="DH72" s="440">
        <v>-3</v>
      </c>
      <c r="DI72" s="442">
        <f t="shared" si="8"/>
        <v>-1.5</v>
      </c>
      <c r="DJ72" s="440">
        <v>0</v>
      </c>
      <c r="DK72" s="442">
        <f t="shared" si="27"/>
        <v>1.5</v>
      </c>
      <c r="DL72" s="441">
        <v>3</v>
      </c>
      <c r="DM72" s="435">
        <v>6100</v>
      </c>
      <c r="DN72" s="440">
        <v>1</v>
      </c>
      <c r="DO72" s="440">
        <v>1</v>
      </c>
      <c r="DP72" s="440">
        <v>1</v>
      </c>
      <c r="DQ72" s="440">
        <v>1</v>
      </c>
      <c r="DR72" s="440">
        <v>0</v>
      </c>
      <c r="DS72" s="440">
        <v>0</v>
      </c>
      <c r="DT72" s="442">
        <f t="shared" si="9"/>
        <v>0</v>
      </c>
      <c r="DU72" s="440">
        <v>0</v>
      </c>
      <c r="DV72" s="442">
        <f t="shared" si="28"/>
        <v>0</v>
      </c>
      <c r="DW72" s="441">
        <v>0</v>
      </c>
      <c r="DX72" s="435">
        <v>6100</v>
      </c>
      <c r="DY72" s="440">
        <v>-24</v>
      </c>
      <c r="DZ72" s="440">
        <v>-20</v>
      </c>
      <c r="EA72" s="440">
        <v>-16</v>
      </c>
      <c r="EB72" s="440">
        <v>-12</v>
      </c>
      <c r="EC72" s="440">
        <v>-8</v>
      </c>
      <c r="ED72" s="440">
        <v>-4</v>
      </c>
      <c r="EE72" s="442">
        <f t="shared" si="10"/>
        <v>-2</v>
      </c>
      <c r="EF72" s="440">
        <v>0</v>
      </c>
      <c r="EG72" s="442">
        <f t="shared" si="29"/>
        <v>2</v>
      </c>
      <c r="EH72" s="440">
        <v>4</v>
      </c>
      <c r="EI72" s="435">
        <v>6100</v>
      </c>
      <c r="EJ72" s="440">
        <v>3</v>
      </c>
      <c r="EK72" s="440">
        <v>3</v>
      </c>
      <c r="EL72" s="440">
        <v>2</v>
      </c>
      <c r="EM72" s="440">
        <v>2</v>
      </c>
      <c r="EN72" s="440">
        <v>1</v>
      </c>
      <c r="EO72" s="440">
        <v>1</v>
      </c>
      <c r="EP72" s="442">
        <f t="shared" si="30"/>
        <v>0.5</v>
      </c>
      <c r="EQ72" s="440">
        <v>0</v>
      </c>
      <c r="ER72" s="442">
        <f t="shared" si="31"/>
        <v>-0.5</v>
      </c>
      <c r="ES72" s="441">
        <v>-1</v>
      </c>
      <c r="ET72" s="435">
        <v>6100</v>
      </c>
      <c r="EU72" s="440">
        <v>-22</v>
      </c>
      <c r="EV72" s="440">
        <v>-19</v>
      </c>
      <c r="EW72" s="440">
        <v>-15</v>
      </c>
      <c r="EX72" s="440">
        <v>-11</v>
      </c>
      <c r="EY72" s="440">
        <v>-7</v>
      </c>
      <c r="EZ72" s="440">
        <v>-4</v>
      </c>
      <c r="FA72" s="442">
        <f t="shared" si="32"/>
        <v>-2</v>
      </c>
      <c r="FB72" s="440">
        <v>0</v>
      </c>
      <c r="FC72" s="442">
        <f t="shared" si="33"/>
        <v>2</v>
      </c>
      <c r="FD72" s="440">
        <v>4</v>
      </c>
      <c r="FE72" s="435">
        <v>6100</v>
      </c>
      <c r="FF72" s="440">
        <v>1</v>
      </c>
      <c r="FG72" s="440">
        <v>1</v>
      </c>
      <c r="FH72" s="440">
        <v>1</v>
      </c>
      <c r="FI72" s="440">
        <v>1</v>
      </c>
      <c r="FJ72" s="440">
        <v>0</v>
      </c>
      <c r="FK72" s="440">
        <v>0</v>
      </c>
      <c r="FL72" s="442">
        <f t="shared" si="11"/>
        <v>0</v>
      </c>
      <c r="FM72" s="440">
        <v>0</v>
      </c>
      <c r="FN72" s="442">
        <f t="shared" si="34"/>
        <v>0</v>
      </c>
      <c r="FO72" s="441">
        <v>0</v>
      </c>
      <c r="FP72" s="435">
        <v>6100</v>
      </c>
      <c r="FQ72" s="440">
        <v>-23</v>
      </c>
      <c r="FR72" s="440">
        <v>-19</v>
      </c>
      <c r="FS72" s="440">
        <v>-15</v>
      </c>
      <c r="FT72" s="440">
        <v>-11</v>
      </c>
      <c r="FU72" s="440">
        <v>-8</v>
      </c>
      <c r="FV72" s="440">
        <v>-4</v>
      </c>
      <c r="FW72" s="442">
        <f t="shared" si="12"/>
        <v>-2</v>
      </c>
      <c r="FX72" s="440">
        <v>0</v>
      </c>
      <c r="FY72" s="442">
        <f t="shared" si="35"/>
        <v>2</v>
      </c>
      <c r="FZ72" s="440">
        <v>4</v>
      </c>
      <c r="GA72" s="435">
        <v>6100</v>
      </c>
      <c r="GB72" s="440">
        <v>-35</v>
      </c>
      <c r="GC72" s="440">
        <v>-29</v>
      </c>
      <c r="GD72" s="440">
        <v>-23</v>
      </c>
      <c r="GE72" s="440">
        <v>-18</v>
      </c>
      <c r="GF72" s="440">
        <v>-12</v>
      </c>
      <c r="GG72" s="440">
        <v>-6</v>
      </c>
      <c r="GH72" s="442">
        <f t="shared" si="13"/>
        <v>-3</v>
      </c>
      <c r="GI72" s="440">
        <v>0</v>
      </c>
      <c r="GJ72" s="442">
        <f t="shared" si="36"/>
        <v>3</v>
      </c>
      <c r="GK72" s="441">
        <v>6</v>
      </c>
      <c r="GL72" s="435">
        <v>6100</v>
      </c>
      <c r="GM72" s="440">
        <v>-34</v>
      </c>
      <c r="GN72" s="440">
        <v>-29</v>
      </c>
      <c r="GO72" s="440">
        <v>-23</v>
      </c>
      <c r="GP72" s="440">
        <v>-17</v>
      </c>
      <c r="GQ72" s="440">
        <v>-11</v>
      </c>
      <c r="GR72" s="440">
        <v>-6</v>
      </c>
      <c r="GS72" s="442">
        <f t="shared" si="14"/>
        <v>-3</v>
      </c>
      <c r="GT72" s="440">
        <v>0</v>
      </c>
      <c r="GU72" s="442">
        <f t="shared" si="37"/>
        <v>3</v>
      </c>
      <c r="GV72" s="441">
        <v>6</v>
      </c>
    </row>
    <row r="73" spans="7:204">
      <c r="G73" s="435">
        <v>6000</v>
      </c>
      <c r="H73" s="445">
        <v>35</v>
      </c>
      <c r="I73" s="249">
        <v>29</v>
      </c>
      <c r="J73" s="249">
        <v>24</v>
      </c>
      <c r="K73" s="249">
        <v>17</v>
      </c>
      <c r="L73" s="249">
        <v>12</v>
      </c>
      <c r="M73" s="249">
        <v>6</v>
      </c>
      <c r="N73" s="249">
        <f t="shared" si="15"/>
        <v>3</v>
      </c>
      <c r="O73" s="249">
        <v>0</v>
      </c>
      <c r="P73" s="249">
        <f t="shared" si="16"/>
        <v>-3</v>
      </c>
      <c r="Q73" s="446">
        <v>-6</v>
      </c>
      <c r="R73" s="435">
        <v>6000</v>
      </c>
      <c r="S73" s="248">
        <v>11</v>
      </c>
      <c r="T73" s="248">
        <v>9</v>
      </c>
      <c r="U73" s="248">
        <v>7</v>
      </c>
      <c r="V73" s="248">
        <v>6</v>
      </c>
      <c r="W73" s="248">
        <v>4</v>
      </c>
      <c r="X73" s="248">
        <v>2</v>
      </c>
      <c r="Y73" s="249">
        <f t="shared" si="17"/>
        <v>1</v>
      </c>
      <c r="Z73" s="248">
        <v>0</v>
      </c>
      <c r="AA73" s="439">
        <f t="shared" si="18"/>
        <v>-1</v>
      </c>
      <c r="AB73" s="248">
        <v>-2</v>
      </c>
      <c r="AC73" s="435">
        <v>6000</v>
      </c>
      <c r="AD73" s="440">
        <v>-31</v>
      </c>
      <c r="AE73" s="440">
        <v>-26</v>
      </c>
      <c r="AF73" s="440">
        <v>-21</v>
      </c>
      <c r="AG73" s="440">
        <v>-16</v>
      </c>
      <c r="AH73" s="440">
        <v>-10</v>
      </c>
      <c r="AI73" s="440">
        <v>-5</v>
      </c>
      <c r="AJ73" s="249">
        <f t="shared" si="19"/>
        <v>-2.5</v>
      </c>
      <c r="AK73" s="248">
        <v>0</v>
      </c>
      <c r="AL73" s="439">
        <f t="shared" si="20"/>
        <v>2.5</v>
      </c>
      <c r="AM73" s="441">
        <v>5</v>
      </c>
      <c r="AN73" s="435">
        <v>6000</v>
      </c>
      <c r="AO73" s="440">
        <v>-55</v>
      </c>
      <c r="AP73" s="440">
        <v>-46</v>
      </c>
      <c r="AQ73" s="440">
        <v>-37</v>
      </c>
      <c r="AR73" s="440">
        <v>-28</v>
      </c>
      <c r="AS73" s="440">
        <v>-18</v>
      </c>
      <c r="AT73" s="440">
        <v>-9</v>
      </c>
      <c r="AU73" s="442">
        <f t="shared" si="2"/>
        <v>-4.5</v>
      </c>
      <c r="AV73" s="440">
        <v>0</v>
      </c>
      <c r="AW73" s="442">
        <f t="shared" si="21"/>
        <v>4.5</v>
      </c>
      <c r="AX73" s="441">
        <v>9</v>
      </c>
      <c r="AY73" s="435">
        <v>6000</v>
      </c>
      <c r="AZ73" s="440">
        <v>4</v>
      </c>
      <c r="BA73" s="440">
        <v>3</v>
      </c>
      <c r="BB73" s="440">
        <v>2</v>
      </c>
      <c r="BC73" s="440">
        <v>2</v>
      </c>
      <c r="BD73" s="440">
        <v>1</v>
      </c>
      <c r="BE73" s="440">
        <v>1</v>
      </c>
      <c r="BF73" s="442">
        <f t="shared" si="3"/>
        <v>0.5</v>
      </c>
      <c r="BG73" s="440">
        <v>0</v>
      </c>
      <c r="BH73" s="442">
        <f t="shared" si="22"/>
        <v>-0.5</v>
      </c>
      <c r="BI73" s="441">
        <v>-1</v>
      </c>
      <c r="BJ73" s="447">
        <v>6000</v>
      </c>
      <c r="BK73" s="440">
        <v>-31</v>
      </c>
      <c r="BL73" s="440">
        <v>-26</v>
      </c>
      <c r="BM73" s="440">
        <v>-21</v>
      </c>
      <c r="BN73" s="440">
        <v>-16</v>
      </c>
      <c r="BO73" s="440">
        <v>-10</v>
      </c>
      <c r="BP73" s="440">
        <v>-5</v>
      </c>
      <c r="BQ73" s="442">
        <f t="shared" si="4"/>
        <v>-2.5</v>
      </c>
      <c r="BR73" s="440">
        <v>0</v>
      </c>
      <c r="BS73" s="442">
        <f t="shared" si="23"/>
        <v>2.5</v>
      </c>
      <c r="BT73" s="440">
        <v>5</v>
      </c>
      <c r="BU73" s="435">
        <v>6000</v>
      </c>
      <c r="BV73" s="440">
        <v>1</v>
      </c>
      <c r="BW73" s="440">
        <v>1</v>
      </c>
      <c r="BX73" s="440">
        <v>1</v>
      </c>
      <c r="BY73" s="440">
        <v>1</v>
      </c>
      <c r="BZ73" s="440">
        <v>0</v>
      </c>
      <c r="CA73" s="440">
        <v>0</v>
      </c>
      <c r="CB73" s="442">
        <f t="shared" si="5"/>
        <v>0</v>
      </c>
      <c r="CC73" s="440">
        <v>0</v>
      </c>
      <c r="CD73" s="442">
        <f t="shared" si="24"/>
        <v>0</v>
      </c>
      <c r="CE73" s="441">
        <v>0</v>
      </c>
      <c r="CF73" s="435">
        <v>6000</v>
      </c>
      <c r="CG73" s="440">
        <v>-23</v>
      </c>
      <c r="CH73" s="440">
        <v>-19</v>
      </c>
      <c r="CI73" s="440">
        <v>-15</v>
      </c>
      <c r="CJ73" s="440">
        <v>-11</v>
      </c>
      <c r="CK73" s="440">
        <v>-8</v>
      </c>
      <c r="CL73" s="440">
        <v>-4</v>
      </c>
      <c r="CM73" s="442">
        <f t="shared" si="6"/>
        <v>-2</v>
      </c>
      <c r="CN73" s="440">
        <v>0</v>
      </c>
      <c r="CO73" s="442">
        <f t="shared" si="25"/>
        <v>2</v>
      </c>
      <c r="CP73" s="441">
        <v>4</v>
      </c>
      <c r="CQ73" s="435">
        <v>6000</v>
      </c>
      <c r="CR73" s="440">
        <v>1</v>
      </c>
      <c r="CS73" s="440">
        <v>1</v>
      </c>
      <c r="CT73" s="440">
        <v>1</v>
      </c>
      <c r="CU73" s="440">
        <v>1</v>
      </c>
      <c r="CV73" s="440">
        <v>0</v>
      </c>
      <c r="CW73" s="440">
        <v>0</v>
      </c>
      <c r="CX73" s="442">
        <f t="shared" si="7"/>
        <v>0</v>
      </c>
      <c r="CY73" s="440">
        <v>0</v>
      </c>
      <c r="CZ73" s="442">
        <f t="shared" si="26"/>
        <v>0</v>
      </c>
      <c r="DA73" s="441">
        <v>0</v>
      </c>
      <c r="DB73" s="435">
        <v>6000</v>
      </c>
      <c r="DC73" s="440">
        <v>-21</v>
      </c>
      <c r="DD73" s="440">
        <v>-17</v>
      </c>
      <c r="DE73" s="440">
        <v>-14</v>
      </c>
      <c r="DF73" s="440">
        <v>-10</v>
      </c>
      <c r="DG73" s="440">
        <v>-7</v>
      </c>
      <c r="DH73" s="440">
        <v>-3</v>
      </c>
      <c r="DI73" s="442">
        <f t="shared" si="8"/>
        <v>-1.5</v>
      </c>
      <c r="DJ73" s="440">
        <v>0</v>
      </c>
      <c r="DK73" s="442">
        <f t="shared" si="27"/>
        <v>1.5</v>
      </c>
      <c r="DL73" s="441">
        <v>3</v>
      </c>
      <c r="DM73" s="435">
        <v>6000</v>
      </c>
      <c r="DN73" s="440">
        <v>1</v>
      </c>
      <c r="DO73" s="440">
        <v>1</v>
      </c>
      <c r="DP73" s="440">
        <v>1</v>
      </c>
      <c r="DQ73" s="440">
        <v>1</v>
      </c>
      <c r="DR73" s="440">
        <v>0</v>
      </c>
      <c r="DS73" s="440">
        <v>0</v>
      </c>
      <c r="DT73" s="442">
        <f t="shared" si="9"/>
        <v>0</v>
      </c>
      <c r="DU73" s="440">
        <v>0</v>
      </c>
      <c r="DV73" s="442">
        <f t="shared" si="28"/>
        <v>0</v>
      </c>
      <c r="DW73" s="441">
        <v>0</v>
      </c>
      <c r="DX73" s="435">
        <v>6000</v>
      </c>
      <c r="DY73" s="440">
        <v>-24</v>
      </c>
      <c r="DZ73" s="440">
        <v>-20</v>
      </c>
      <c r="EA73" s="440">
        <v>-16</v>
      </c>
      <c r="EB73" s="440">
        <v>-12</v>
      </c>
      <c r="EC73" s="440">
        <v>-8</v>
      </c>
      <c r="ED73" s="440">
        <v>-4</v>
      </c>
      <c r="EE73" s="442">
        <f t="shared" si="10"/>
        <v>-2</v>
      </c>
      <c r="EF73" s="440">
        <v>0</v>
      </c>
      <c r="EG73" s="442">
        <f t="shared" si="29"/>
        <v>2</v>
      </c>
      <c r="EH73" s="440">
        <v>4</v>
      </c>
      <c r="EI73" s="435">
        <v>6000</v>
      </c>
      <c r="EJ73" s="440">
        <v>3</v>
      </c>
      <c r="EK73" s="440">
        <v>3</v>
      </c>
      <c r="EL73" s="440">
        <v>2</v>
      </c>
      <c r="EM73" s="440">
        <v>2</v>
      </c>
      <c r="EN73" s="440">
        <v>1</v>
      </c>
      <c r="EO73" s="440">
        <v>1</v>
      </c>
      <c r="EP73" s="442">
        <f t="shared" si="30"/>
        <v>0.5</v>
      </c>
      <c r="EQ73" s="440">
        <v>0</v>
      </c>
      <c r="ER73" s="442">
        <f t="shared" si="31"/>
        <v>-0.5</v>
      </c>
      <c r="ES73" s="441">
        <v>-1</v>
      </c>
      <c r="ET73" s="435">
        <v>6000</v>
      </c>
      <c r="EU73" s="440">
        <v>-22</v>
      </c>
      <c r="EV73" s="440">
        <v>-19</v>
      </c>
      <c r="EW73" s="440">
        <v>-15</v>
      </c>
      <c r="EX73" s="440">
        <v>-11</v>
      </c>
      <c r="EY73" s="440">
        <v>-7</v>
      </c>
      <c r="EZ73" s="440">
        <v>-4</v>
      </c>
      <c r="FA73" s="442">
        <f t="shared" si="32"/>
        <v>-2</v>
      </c>
      <c r="FB73" s="440">
        <v>0</v>
      </c>
      <c r="FC73" s="442">
        <f t="shared" si="33"/>
        <v>2</v>
      </c>
      <c r="FD73" s="440">
        <v>4</v>
      </c>
      <c r="FE73" s="435">
        <v>6000</v>
      </c>
      <c r="FF73" s="440">
        <v>1</v>
      </c>
      <c r="FG73" s="440">
        <v>1</v>
      </c>
      <c r="FH73" s="440">
        <v>1</v>
      </c>
      <c r="FI73" s="440">
        <v>1</v>
      </c>
      <c r="FJ73" s="440">
        <v>0</v>
      </c>
      <c r="FK73" s="440">
        <v>0</v>
      </c>
      <c r="FL73" s="442">
        <f t="shared" si="11"/>
        <v>0</v>
      </c>
      <c r="FM73" s="440">
        <v>0</v>
      </c>
      <c r="FN73" s="442">
        <f t="shared" si="34"/>
        <v>0</v>
      </c>
      <c r="FO73" s="441">
        <v>0</v>
      </c>
      <c r="FP73" s="435">
        <v>6000</v>
      </c>
      <c r="FQ73" s="440">
        <v>-23</v>
      </c>
      <c r="FR73" s="440">
        <v>-19</v>
      </c>
      <c r="FS73" s="440">
        <v>-15</v>
      </c>
      <c r="FT73" s="440">
        <v>-11</v>
      </c>
      <c r="FU73" s="440">
        <v>-8</v>
      </c>
      <c r="FV73" s="440">
        <v>-4</v>
      </c>
      <c r="FW73" s="442">
        <f t="shared" si="12"/>
        <v>-2</v>
      </c>
      <c r="FX73" s="440">
        <v>0</v>
      </c>
      <c r="FY73" s="442">
        <f t="shared" si="35"/>
        <v>2</v>
      </c>
      <c r="FZ73" s="440">
        <v>4</v>
      </c>
      <c r="GA73" s="435">
        <v>6000</v>
      </c>
      <c r="GB73" s="440">
        <v>-35</v>
      </c>
      <c r="GC73" s="440">
        <v>-29</v>
      </c>
      <c r="GD73" s="440">
        <v>-23</v>
      </c>
      <c r="GE73" s="440">
        <v>-18</v>
      </c>
      <c r="GF73" s="440">
        <v>-12</v>
      </c>
      <c r="GG73" s="440">
        <v>-6</v>
      </c>
      <c r="GH73" s="442">
        <f t="shared" si="13"/>
        <v>-3</v>
      </c>
      <c r="GI73" s="440">
        <v>0</v>
      </c>
      <c r="GJ73" s="442">
        <f t="shared" si="36"/>
        <v>3</v>
      </c>
      <c r="GK73" s="441">
        <v>6</v>
      </c>
      <c r="GL73" s="435">
        <v>6000</v>
      </c>
      <c r="GM73" s="440">
        <v>-34</v>
      </c>
      <c r="GN73" s="440">
        <v>-29</v>
      </c>
      <c r="GO73" s="440">
        <v>-23</v>
      </c>
      <c r="GP73" s="440">
        <v>-17</v>
      </c>
      <c r="GQ73" s="440">
        <v>-11</v>
      </c>
      <c r="GR73" s="440">
        <v>-6</v>
      </c>
      <c r="GS73" s="442">
        <f t="shared" si="14"/>
        <v>-3</v>
      </c>
      <c r="GT73" s="440">
        <v>0</v>
      </c>
      <c r="GU73" s="442">
        <f t="shared" si="37"/>
        <v>3</v>
      </c>
      <c r="GV73" s="441">
        <v>6</v>
      </c>
    </row>
    <row r="74" spans="7:204">
      <c r="G74" s="435">
        <v>5900</v>
      </c>
      <c r="H74" s="445">
        <v>35</v>
      </c>
      <c r="I74" s="249">
        <v>29</v>
      </c>
      <c r="J74" s="249">
        <v>24</v>
      </c>
      <c r="K74" s="249">
        <v>17</v>
      </c>
      <c r="L74" s="249">
        <v>12</v>
      </c>
      <c r="M74" s="249">
        <v>6</v>
      </c>
      <c r="N74" s="249">
        <f t="shared" si="15"/>
        <v>3</v>
      </c>
      <c r="O74" s="249">
        <v>0</v>
      </c>
      <c r="P74" s="249">
        <f t="shared" si="16"/>
        <v>-3</v>
      </c>
      <c r="Q74" s="446">
        <v>-6</v>
      </c>
      <c r="R74" s="435">
        <v>5900</v>
      </c>
      <c r="S74" s="248">
        <v>11</v>
      </c>
      <c r="T74" s="248">
        <v>9</v>
      </c>
      <c r="U74" s="248">
        <v>7</v>
      </c>
      <c r="V74" s="248">
        <v>6</v>
      </c>
      <c r="W74" s="248">
        <v>4</v>
      </c>
      <c r="X74" s="248">
        <v>2</v>
      </c>
      <c r="Y74" s="249">
        <f t="shared" si="17"/>
        <v>1</v>
      </c>
      <c r="Z74" s="248">
        <v>0</v>
      </c>
      <c r="AA74" s="439">
        <f t="shared" si="18"/>
        <v>-1</v>
      </c>
      <c r="AB74" s="248">
        <v>-2</v>
      </c>
      <c r="AC74" s="435">
        <v>5900</v>
      </c>
      <c r="AD74" s="440">
        <v>-31</v>
      </c>
      <c r="AE74" s="440">
        <v>-26</v>
      </c>
      <c r="AF74" s="440">
        <v>-21</v>
      </c>
      <c r="AG74" s="440">
        <v>-16</v>
      </c>
      <c r="AH74" s="440">
        <v>-10</v>
      </c>
      <c r="AI74" s="440">
        <v>-5</v>
      </c>
      <c r="AJ74" s="249">
        <f t="shared" si="19"/>
        <v>-2.5</v>
      </c>
      <c r="AK74" s="248">
        <v>0</v>
      </c>
      <c r="AL74" s="439">
        <f t="shared" si="20"/>
        <v>2.5</v>
      </c>
      <c r="AM74" s="441">
        <v>5</v>
      </c>
      <c r="AN74" s="435">
        <v>5900</v>
      </c>
      <c r="AO74" s="440">
        <v>-55</v>
      </c>
      <c r="AP74" s="440">
        <v>-46</v>
      </c>
      <c r="AQ74" s="440">
        <v>-37</v>
      </c>
      <c r="AR74" s="440">
        <v>-28</v>
      </c>
      <c r="AS74" s="440">
        <v>-18</v>
      </c>
      <c r="AT74" s="440">
        <v>-9</v>
      </c>
      <c r="AU74" s="442">
        <f t="shared" ref="AU74:AU125" si="38">(AV74+AT74)/2</f>
        <v>-4.5</v>
      </c>
      <c r="AV74" s="440">
        <v>0</v>
      </c>
      <c r="AW74" s="442">
        <f t="shared" si="21"/>
        <v>4.5</v>
      </c>
      <c r="AX74" s="441">
        <v>9</v>
      </c>
      <c r="AY74" s="435">
        <v>5900</v>
      </c>
      <c r="AZ74" s="440">
        <v>4</v>
      </c>
      <c r="BA74" s="440">
        <v>3</v>
      </c>
      <c r="BB74" s="440">
        <v>2</v>
      </c>
      <c r="BC74" s="440">
        <v>2</v>
      </c>
      <c r="BD74" s="440">
        <v>1</v>
      </c>
      <c r="BE74" s="440">
        <v>1</v>
      </c>
      <c r="BF74" s="442">
        <f t="shared" ref="BF74:BF125" si="39">(BG74+BE74)/2</f>
        <v>0.5</v>
      </c>
      <c r="BG74" s="440">
        <v>0</v>
      </c>
      <c r="BH74" s="442">
        <f t="shared" si="22"/>
        <v>-0.5</v>
      </c>
      <c r="BI74" s="441">
        <v>-1</v>
      </c>
      <c r="BJ74" s="447">
        <v>5900</v>
      </c>
      <c r="BK74" s="440">
        <v>-31</v>
      </c>
      <c r="BL74" s="440">
        <v>-26</v>
      </c>
      <c r="BM74" s="440">
        <v>-21</v>
      </c>
      <c r="BN74" s="440">
        <v>-16</v>
      </c>
      <c r="BO74" s="440">
        <v>-10</v>
      </c>
      <c r="BP74" s="440">
        <v>-5</v>
      </c>
      <c r="BQ74" s="442">
        <f t="shared" ref="BQ74:BQ125" si="40">(BR74+BP74)/2</f>
        <v>-2.5</v>
      </c>
      <c r="BR74" s="440">
        <v>0</v>
      </c>
      <c r="BS74" s="442">
        <f t="shared" si="23"/>
        <v>2.5</v>
      </c>
      <c r="BT74" s="440">
        <v>5</v>
      </c>
      <c r="BU74" s="435">
        <v>5900</v>
      </c>
      <c r="BV74" s="440">
        <v>1</v>
      </c>
      <c r="BW74" s="440">
        <v>1</v>
      </c>
      <c r="BX74" s="440">
        <v>1</v>
      </c>
      <c r="BY74" s="440">
        <v>1</v>
      </c>
      <c r="BZ74" s="440">
        <v>0</v>
      </c>
      <c r="CA74" s="440">
        <v>0</v>
      </c>
      <c r="CB74" s="442">
        <f t="shared" ref="CB74:CB125" si="41">(CC74+CA74)/2</f>
        <v>0</v>
      </c>
      <c r="CC74" s="440">
        <v>0</v>
      </c>
      <c r="CD74" s="442">
        <f t="shared" si="24"/>
        <v>0</v>
      </c>
      <c r="CE74" s="441">
        <v>0</v>
      </c>
      <c r="CF74" s="435">
        <v>5900</v>
      </c>
      <c r="CG74" s="440">
        <v>-23</v>
      </c>
      <c r="CH74" s="440">
        <v>-19</v>
      </c>
      <c r="CI74" s="440">
        <v>-15</v>
      </c>
      <c r="CJ74" s="440">
        <v>-11</v>
      </c>
      <c r="CK74" s="440">
        <v>-8</v>
      </c>
      <c r="CL74" s="440">
        <v>-4</v>
      </c>
      <c r="CM74" s="442">
        <f t="shared" ref="CM74:CM125" si="42">(CN74+CL74)/2</f>
        <v>-2</v>
      </c>
      <c r="CN74" s="440">
        <v>0</v>
      </c>
      <c r="CO74" s="442">
        <f t="shared" si="25"/>
        <v>2</v>
      </c>
      <c r="CP74" s="441">
        <v>4</v>
      </c>
      <c r="CQ74" s="435">
        <v>5900</v>
      </c>
      <c r="CR74" s="440">
        <v>1</v>
      </c>
      <c r="CS74" s="440">
        <v>1</v>
      </c>
      <c r="CT74" s="440">
        <v>1</v>
      </c>
      <c r="CU74" s="440">
        <v>1</v>
      </c>
      <c r="CV74" s="440">
        <v>0</v>
      </c>
      <c r="CW74" s="440">
        <v>0</v>
      </c>
      <c r="CX74" s="442">
        <f t="shared" ref="CX74:CX125" si="43">(CY74+CW74)/2</f>
        <v>0</v>
      </c>
      <c r="CY74" s="440">
        <v>0</v>
      </c>
      <c r="CZ74" s="442">
        <f t="shared" si="26"/>
        <v>0</v>
      </c>
      <c r="DA74" s="441">
        <v>0</v>
      </c>
      <c r="DB74" s="435">
        <v>5900</v>
      </c>
      <c r="DC74" s="440">
        <v>-21</v>
      </c>
      <c r="DD74" s="440">
        <v>-17</v>
      </c>
      <c r="DE74" s="440">
        <v>-14</v>
      </c>
      <c r="DF74" s="440">
        <v>-10</v>
      </c>
      <c r="DG74" s="440">
        <v>-7</v>
      </c>
      <c r="DH74" s="440">
        <v>-3</v>
      </c>
      <c r="DI74" s="442">
        <f t="shared" ref="DI74:DI125" si="44">(DJ74+DH74)/2</f>
        <v>-1.5</v>
      </c>
      <c r="DJ74" s="440">
        <v>0</v>
      </c>
      <c r="DK74" s="442">
        <f t="shared" si="27"/>
        <v>1.5</v>
      </c>
      <c r="DL74" s="441">
        <v>3</v>
      </c>
      <c r="DM74" s="435">
        <v>5900</v>
      </c>
      <c r="DN74" s="440">
        <v>1</v>
      </c>
      <c r="DO74" s="440">
        <v>1</v>
      </c>
      <c r="DP74" s="440">
        <v>1</v>
      </c>
      <c r="DQ74" s="440">
        <v>1</v>
      </c>
      <c r="DR74" s="440">
        <v>0</v>
      </c>
      <c r="DS74" s="440">
        <v>0</v>
      </c>
      <c r="DT74" s="442">
        <f t="shared" ref="DT74:DT125" si="45">(DU74+DS74)/2</f>
        <v>0</v>
      </c>
      <c r="DU74" s="440">
        <v>0</v>
      </c>
      <c r="DV74" s="442">
        <f t="shared" si="28"/>
        <v>0</v>
      </c>
      <c r="DW74" s="441">
        <v>0</v>
      </c>
      <c r="DX74" s="435">
        <v>5900</v>
      </c>
      <c r="DY74" s="440">
        <v>-24</v>
      </c>
      <c r="DZ74" s="440">
        <v>-20</v>
      </c>
      <c r="EA74" s="440">
        <v>-16</v>
      </c>
      <c r="EB74" s="440">
        <v>-12</v>
      </c>
      <c r="EC74" s="440">
        <v>-8</v>
      </c>
      <c r="ED74" s="440">
        <v>-4</v>
      </c>
      <c r="EE74" s="442">
        <f t="shared" ref="EE74:EE125" si="46">(EF74+ED74)/2</f>
        <v>-2</v>
      </c>
      <c r="EF74" s="440">
        <v>0</v>
      </c>
      <c r="EG74" s="442">
        <f t="shared" si="29"/>
        <v>2</v>
      </c>
      <c r="EH74" s="440">
        <v>4</v>
      </c>
      <c r="EI74" s="435">
        <v>5900</v>
      </c>
      <c r="EJ74" s="440">
        <v>3</v>
      </c>
      <c r="EK74" s="440">
        <v>3</v>
      </c>
      <c r="EL74" s="440">
        <v>2</v>
      </c>
      <c r="EM74" s="440">
        <v>2</v>
      </c>
      <c r="EN74" s="440">
        <v>1</v>
      </c>
      <c r="EO74" s="440">
        <v>1</v>
      </c>
      <c r="EP74" s="442">
        <f t="shared" si="30"/>
        <v>0.5</v>
      </c>
      <c r="EQ74" s="440">
        <v>0</v>
      </c>
      <c r="ER74" s="442">
        <f t="shared" si="31"/>
        <v>-0.5</v>
      </c>
      <c r="ES74" s="441">
        <v>-1</v>
      </c>
      <c r="ET74" s="435">
        <v>5900</v>
      </c>
      <c r="EU74" s="440">
        <v>-22</v>
      </c>
      <c r="EV74" s="440">
        <v>-19</v>
      </c>
      <c r="EW74" s="440">
        <v>-15</v>
      </c>
      <c r="EX74" s="440">
        <v>-11</v>
      </c>
      <c r="EY74" s="440">
        <v>-7</v>
      </c>
      <c r="EZ74" s="440">
        <v>-4</v>
      </c>
      <c r="FA74" s="442">
        <f t="shared" si="32"/>
        <v>-2</v>
      </c>
      <c r="FB74" s="440">
        <v>0</v>
      </c>
      <c r="FC74" s="442">
        <f t="shared" si="33"/>
        <v>2</v>
      </c>
      <c r="FD74" s="440">
        <v>4</v>
      </c>
      <c r="FE74" s="435">
        <v>5900</v>
      </c>
      <c r="FF74" s="440">
        <v>1</v>
      </c>
      <c r="FG74" s="440">
        <v>1</v>
      </c>
      <c r="FH74" s="440">
        <v>1</v>
      </c>
      <c r="FI74" s="440">
        <v>1</v>
      </c>
      <c r="FJ74" s="440">
        <v>0</v>
      </c>
      <c r="FK74" s="440">
        <v>0</v>
      </c>
      <c r="FL74" s="442">
        <f t="shared" ref="FL74:FL125" si="47">(FM74+FK74)/2</f>
        <v>0</v>
      </c>
      <c r="FM74" s="440">
        <v>0</v>
      </c>
      <c r="FN74" s="442">
        <f t="shared" si="34"/>
        <v>0</v>
      </c>
      <c r="FO74" s="441">
        <v>0</v>
      </c>
      <c r="FP74" s="435">
        <v>5900</v>
      </c>
      <c r="FQ74" s="440">
        <v>-23</v>
      </c>
      <c r="FR74" s="440">
        <v>-19</v>
      </c>
      <c r="FS74" s="440">
        <v>-15</v>
      </c>
      <c r="FT74" s="440">
        <v>-11</v>
      </c>
      <c r="FU74" s="440">
        <v>-8</v>
      </c>
      <c r="FV74" s="440">
        <v>-4</v>
      </c>
      <c r="FW74" s="442">
        <f t="shared" ref="FW74:FW125" si="48">(FX74+FV74)/2</f>
        <v>-2</v>
      </c>
      <c r="FX74" s="440">
        <v>0</v>
      </c>
      <c r="FY74" s="442">
        <f t="shared" si="35"/>
        <v>2</v>
      </c>
      <c r="FZ74" s="440">
        <v>4</v>
      </c>
      <c r="GA74" s="435">
        <v>5900</v>
      </c>
      <c r="GB74" s="440">
        <v>-35</v>
      </c>
      <c r="GC74" s="440">
        <v>-29</v>
      </c>
      <c r="GD74" s="440">
        <v>-23</v>
      </c>
      <c r="GE74" s="440">
        <v>-18</v>
      </c>
      <c r="GF74" s="440">
        <v>-12</v>
      </c>
      <c r="GG74" s="440">
        <v>-6</v>
      </c>
      <c r="GH74" s="442">
        <f t="shared" ref="GH74:GH125" si="49">(GI74+GG74)/2</f>
        <v>-3</v>
      </c>
      <c r="GI74" s="440">
        <v>0</v>
      </c>
      <c r="GJ74" s="442">
        <f t="shared" si="36"/>
        <v>3</v>
      </c>
      <c r="GK74" s="441">
        <v>6</v>
      </c>
      <c r="GL74" s="435">
        <v>5900</v>
      </c>
      <c r="GM74" s="440">
        <v>-34</v>
      </c>
      <c r="GN74" s="440">
        <v>-29</v>
      </c>
      <c r="GO74" s="440">
        <v>-23</v>
      </c>
      <c r="GP74" s="440">
        <v>-17</v>
      </c>
      <c r="GQ74" s="440">
        <v>-11</v>
      </c>
      <c r="GR74" s="440">
        <v>-6</v>
      </c>
      <c r="GS74" s="442">
        <f t="shared" ref="GS74:GS125" si="50">(GT74+GR74)/2</f>
        <v>-3</v>
      </c>
      <c r="GT74" s="440">
        <v>0</v>
      </c>
      <c r="GU74" s="442">
        <f t="shared" si="37"/>
        <v>3</v>
      </c>
      <c r="GV74" s="441">
        <v>6</v>
      </c>
    </row>
    <row r="75" spans="7:204">
      <c r="G75" s="435">
        <v>5800</v>
      </c>
      <c r="H75" s="445">
        <v>35</v>
      </c>
      <c r="I75" s="249">
        <v>29</v>
      </c>
      <c r="J75" s="249">
        <v>24</v>
      </c>
      <c r="K75" s="249">
        <v>17</v>
      </c>
      <c r="L75" s="249">
        <v>12</v>
      </c>
      <c r="M75" s="249">
        <v>6</v>
      </c>
      <c r="N75" s="249">
        <f t="shared" ref="N75:N125" si="51">(O75+M75)/2</f>
        <v>3</v>
      </c>
      <c r="O75" s="249">
        <v>0</v>
      </c>
      <c r="P75" s="249">
        <f t="shared" ref="P75:P125" si="52">(O75+Q75)/2</f>
        <v>-3</v>
      </c>
      <c r="Q75" s="446">
        <v>-6</v>
      </c>
      <c r="R75" s="435">
        <v>5800</v>
      </c>
      <c r="S75" s="248">
        <v>11</v>
      </c>
      <c r="T75" s="248">
        <v>9</v>
      </c>
      <c r="U75" s="248">
        <v>7</v>
      </c>
      <c r="V75" s="248">
        <v>6</v>
      </c>
      <c r="W75" s="248">
        <v>4</v>
      </c>
      <c r="X75" s="248">
        <v>2</v>
      </c>
      <c r="Y75" s="249">
        <f t="shared" ref="Y75:Y125" si="53">(X75+Z75)/2</f>
        <v>1</v>
      </c>
      <c r="Z75" s="248">
        <v>0</v>
      </c>
      <c r="AA75" s="439">
        <f t="shared" ref="AA75:AA125" si="54">(Z75+AB75)/2</f>
        <v>-1</v>
      </c>
      <c r="AB75" s="248">
        <v>-2</v>
      </c>
      <c r="AC75" s="435">
        <v>5800</v>
      </c>
      <c r="AD75" s="440">
        <v>-31</v>
      </c>
      <c r="AE75" s="440">
        <v>-26</v>
      </c>
      <c r="AF75" s="440">
        <v>-21</v>
      </c>
      <c r="AG75" s="440">
        <v>-16</v>
      </c>
      <c r="AH75" s="440">
        <v>-10</v>
      </c>
      <c r="AI75" s="440">
        <v>-5</v>
      </c>
      <c r="AJ75" s="249">
        <f t="shared" ref="AJ75:AJ125" si="55">(AI75+AK75)/2</f>
        <v>-2.5</v>
      </c>
      <c r="AK75" s="248">
        <v>0</v>
      </c>
      <c r="AL75" s="439">
        <f t="shared" ref="AL75:AL125" si="56">(AK75+AM75)/2</f>
        <v>2.5</v>
      </c>
      <c r="AM75" s="441">
        <v>5</v>
      </c>
      <c r="AN75" s="435">
        <v>5800</v>
      </c>
      <c r="AO75" s="440">
        <v>-55</v>
      </c>
      <c r="AP75" s="440">
        <v>-46</v>
      </c>
      <c r="AQ75" s="440">
        <v>-37</v>
      </c>
      <c r="AR75" s="440">
        <v>-28</v>
      </c>
      <c r="AS75" s="440">
        <v>-18</v>
      </c>
      <c r="AT75" s="440">
        <v>-9</v>
      </c>
      <c r="AU75" s="442">
        <f t="shared" si="38"/>
        <v>-4.5</v>
      </c>
      <c r="AV75" s="440">
        <v>0</v>
      </c>
      <c r="AW75" s="442">
        <f t="shared" ref="AW75:AW125" si="57">(AX75+AV75)/2</f>
        <v>4.5</v>
      </c>
      <c r="AX75" s="441">
        <v>9</v>
      </c>
      <c r="AY75" s="435">
        <v>5800</v>
      </c>
      <c r="AZ75" s="440">
        <v>4</v>
      </c>
      <c r="BA75" s="440">
        <v>3</v>
      </c>
      <c r="BB75" s="440">
        <v>2</v>
      </c>
      <c r="BC75" s="440">
        <v>2</v>
      </c>
      <c r="BD75" s="440">
        <v>1</v>
      </c>
      <c r="BE75" s="440">
        <v>1</v>
      </c>
      <c r="BF75" s="442">
        <f t="shared" si="39"/>
        <v>0.5</v>
      </c>
      <c r="BG75" s="440">
        <v>0</v>
      </c>
      <c r="BH75" s="442">
        <f t="shared" ref="BH75:BH125" si="58">(BI75+BG75)/2</f>
        <v>-0.5</v>
      </c>
      <c r="BI75" s="441">
        <v>-1</v>
      </c>
      <c r="BJ75" s="447">
        <v>5800</v>
      </c>
      <c r="BK75" s="440">
        <v>-31</v>
      </c>
      <c r="BL75" s="440">
        <v>-26</v>
      </c>
      <c r="BM75" s="440">
        <v>-21</v>
      </c>
      <c r="BN75" s="440">
        <v>-16</v>
      </c>
      <c r="BO75" s="440">
        <v>-10</v>
      </c>
      <c r="BP75" s="440">
        <v>-5</v>
      </c>
      <c r="BQ75" s="442">
        <f t="shared" si="40"/>
        <v>-2.5</v>
      </c>
      <c r="BR75" s="440">
        <v>0</v>
      </c>
      <c r="BS75" s="442">
        <f t="shared" ref="BS75:BS125" si="59">(BT75+BR75)/2</f>
        <v>2.5</v>
      </c>
      <c r="BT75" s="440">
        <v>5</v>
      </c>
      <c r="BU75" s="435">
        <v>5800</v>
      </c>
      <c r="BV75" s="440">
        <v>1</v>
      </c>
      <c r="BW75" s="440">
        <v>1</v>
      </c>
      <c r="BX75" s="440">
        <v>1</v>
      </c>
      <c r="BY75" s="440">
        <v>1</v>
      </c>
      <c r="BZ75" s="440">
        <v>0</v>
      </c>
      <c r="CA75" s="440">
        <v>0</v>
      </c>
      <c r="CB75" s="442">
        <f t="shared" si="41"/>
        <v>0</v>
      </c>
      <c r="CC75" s="440">
        <v>0</v>
      </c>
      <c r="CD75" s="442">
        <f t="shared" ref="CD75:CD125" si="60">(CE75+CC75)/2</f>
        <v>0</v>
      </c>
      <c r="CE75" s="441">
        <v>0</v>
      </c>
      <c r="CF75" s="435">
        <v>5800</v>
      </c>
      <c r="CG75" s="440">
        <v>-23</v>
      </c>
      <c r="CH75" s="440">
        <v>-19</v>
      </c>
      <c r="CI75" s="440">
        <v>-15</v>
      </c>
      <c r="CJ75" s="440">
        <v>-11</v>
      </c>
      <c r="CK75" s="440">
        <v>-8</v>
      </c>
      <c r="CL75" s="440">
        <v>-4</v>
      </c>
      <c r="CM75" s="442">
        <f t="shared" si="42"/>
        <v>-2</v>
      </c>
      <c r="CN75" s="440">
        <v>0</v>
      </c>
      <c r="CO75" s="442">
        <f t="shared" ref="CO75:CO125" si="61">(CP75+CN75)/2</f>
        <v>2</v>
      </c>
      <c r="CP75" s="441">
        <v>4</v>
      </c>
      <c r="CQ75" s="435">
        <v>5800</v>
      </c>
      <c r="CR75" s="440">
        <v>1</v>
      </c>
      <c r="CS75" s="440">
        <v>1</v>
      </c>
      <c r="CT75" s="440">
        <v>1</v>
      </c>
      <c r="CU75" s="440">
        <v>1</v>
      </c>
      <c r="CV75" s="440">
        <v>0</v>
      </c>
      <c r="CW75" s="440">
        <v>0</v>
      </c>
      <c r="CX75" s="442">
        <f t="shared" si="43"/>
        <v>0</v>
      </c>
      <c r="CY75" s="440">
        <v>0</v>
      </c>
      <c r="CZ75" s="442">
        <f t="shared" ref="CZ75:CZ125" si="62">(DA75+CY75)/2</f>
        <v>0</v>
      </c>
      <c r="DA75" s="441">
        <v>0</v>
      </c>
      <c r="DB75" s="435">
        <v>5800</v>
      </c>
      <c r="DC75" s="440">
        <v>-21</v>
      </c>
      <c r="DD75" s="440">
        <v>-17</v>
      </c>
      <c r="DE75" s="440">
        <v>-14</v>
      </c>
      <c r="DF75" s="440">
        <v>-10</v>
      </c>
      <c r="DG75" s="440">
        <v>-7</v>
      </c>
      <c r="DH75" s="440">
        <v>-3</v>
      </c>
      <c r="DI75" s="442">
        <f t="shared" si="44"/>
        <v>-1.5</v>
      </c>
      <c r="DJ75" s="440">
        <v>0</v>
      </c>
      <c r="DK75" s="442">
        <f t="shared" ref="DK75:DK125" si="63">(DL75+DJ75)/2</f>
        <v>1.5</v>
      </c>
      <c r="DL75" s="441">
        <v>3</v>
      </c>
      <c r="DM75" s="435">
        <v>5800</v>
      </c>
      <c r="DN75" s="440">
        <v>1</v>
      </c>
      <c r="DO75" s="440">
        <v>1</v>
      </c>
      <c r="DP75" s="440">
        <v>1</v>
      </c>
      <c r="DQ75" s="440">
        <v>1</v>
      </c>
      <c r="DR75" s="440">
        <v>0</v>
      </c>
      <c r="DS75" s="440">
        <v>0</v>
      </c>
      <c r="DT75" s="442">
        <f t="shared" si="45"/>
        <v>0</v>
      </c>
      <c r="DU75" s="440">
        <v>0</v>
      </c>
      <c r="DV75" s="442">
        <f t="shared" ref="DV75:DV125" si="64">(DW75+DU75)/2</f>
        <v>0</v>
      </c>
      <c r="DW75" s="441">
        <v>0</v>
      </c>
      <c r="DX75" s="435">
        <v>5800</v>
      </c>
      <c r="DY75" s="440">
        <v>-24</v>
      </c>
      <c r="DZ75" s="440">
        <v>-20</v>
      </c>
      <c r="EA75" s="440">
        <v>-16</v>
      </c>
      <c r="EB75" s="440">
        <v>-12</v>
      </c>
      <c r="EC75" s="440">
        <v>-8</v>
      </c>
      <c r="ED75" s="440">
        <v>-4</v>
      </c>
      <c r="EE75" s="442">
        <f t="shared" si="46"/>
        <v>-2</v>
      </c>
      <c r="EF75" s="440">
        <v>0</v>
      </c>
      <c r="EG75" s="442">
        <f t="shared" ref="EG75:EG125" si="65">(EH75+EF75)/2</f>
        <v>2</v>
      </c>
      <c r="EH75" s="440">
        <v>4</v>
      </c>
      <c r="EI75" s="435">
        <v>5800</v>
      </c>
      <c r="EJ75" s="440">
        <v>3</v>
      </c>
      <c r="EK75" s="440">
        <v>3</v>
      </c>
      <c r="EL75" s="440">
        <v>2</v>
      </c>
      <c r="EM75" s="440">
        <v>2</v>
      </c>
      <c r="EN75" s="440">
        <v>1</v>
      </c>
      <c r="EO75" s="440">
        <v>1</v>
      </c>
      <c r="EP75" s="442">
        <f t="shared" ref="EP75:EP125" si="66">(EQ75+EO75)/2</f>
        <v>0.5</v>
      </c>
      <c r="EQ75" s="440">
        <v>0</v>
      </c>
      <c r="ER75" s="442">
        <f t="shared" ref="ER75:ER125" si="67">(ES75+EQ75)/2</f>
        <v>-0.5</v>
      </c>
      <c r="ES75" s="441">
        <v>-1</v>
      </c>
      <c r="ET75" s="435">
        <v>5800</v>
      </c>
      <c r="EU75" s="440">
        <v>-22</v>
      </c>
      <c r="EV75" s="440">
        <v>-19</v>
      </c>
      <c r="EW75" s="440">
        <v>-15</v>
      </c>
      <c r="EX75" s="440">
        <v>-11</v>
      </c>
      <c r="EY75" s="440">
        <v>-7</v>
      </c>
      <c r="EZ75" s="440">
        <v>-4</v>
      </c>
      <c r="FA75" s="442">
        <f t="shared" ref="FA75:FA125" si="68">(FB75+EZ75)/2</f>
        <v>-2</v>
      </c>
      <c r="FB75" s="440">
        <v>0</v>
      </c>
      <c r="FC75" s="442">
        <f t="shared" ref="FC75:FC125" si="69">(FD75+FB75)/2</f>
        <v>2</v>
      </c>
      <c r="FD75" s="440">
        <v>4</v>
      </c>
      <c r="FE75" s="435">
        <v>5800</v>
      </c>
      <c r="FF75" s="440">
        <v>1</v>
      </c>
      <c r="FG75" s="440">
        <v>1</v>
      </c>
      <c r="FH75" s="440">
        <v>1</v>
      </c>
      <c r="FI75" s="440">
        <v>1</v>
      </c>
      <c r="FJ75" s="440">
        <v>0</v>
      </c>
      <c r="FK75" s="440">
        <v>0</v>
      </c>
      <c r="FL75" s="442">
        <f t="shared" si="47"/>
        <v>0</v>
      </c>
      <c r="FM75" s="440">
        <v>0</v>
      </c>
      <c r="FN75" s="442">
        <f t="shared" ref="FN75:FN125" si="70">(FO75+FM75)/2</f>
        <v>0</v>
      </c>
      <c r="FO75" s="441">
        <v>0</v>
      </c>
      <c r="FP75" s="435">
        <v>5800</v>
      </c>
      <c r="FQ75" s="440">
        <v>-23</v>
      </c>
      <c r="FR75" s="440">
        <v>-19</v>
      </c>
      <c r="FS75" s="440">
        <v>-15</v>
      </c>
      <c r="FT75" s="440">
        <v>-11</v>
      </c>
      <c r="FU75" s="440">
        <v>-8</v>
      </c>
      <c r="FV75" s="440">
        <v>-4</v>
      </c>
      <c r="FW75" s="442">
        <f t="shared" si="48"/>
        <v>-2</v>
      </c>
      <c r="FX75" s="440">
        <v>0</v>
      </c>
      <c r="FY75" s="442">
        <f t="shared" ref="FY75:FY125" si="71">(FZ75+FX75)/2</f>
        <v>2</v>
      </c>
      <c r="FZ75" s="440">
        <v>4</v>
      </c>
      <c r="GA75" s="435">
        <v>5800</v>
      </c>
      <c r="GB75" s="440">
        <v>-35</v>
      </c>
      <c r="GC75" s="440">
        <v>-29</v>
      </c>
      <c r="GD75" s="440">
        <v>-23</v>
      </c>
      <c r="GE75" s="440">
        <v>-18</v>
      </c>
      <c r="GF75" s="440">
        <v>-12</v>
      </c>
      <c r="GG75" s="440">
        <v>-6</v>
      </c>
      <c r="GH75" s="442">
        <f t="shared" si="49"/>
        <v>-3</v>
      </c>
      <c r="GI75" s="440">
        <v>0</v>
      </c>
      <c r="GJ75" s="442">
        <f t="shared" ref="GJ75:GJ125" si="72">(GK75+GI75)/2</f>
        <v>3</v>
      </c>
      <c r="GK75" s="441">
        <v>6</v>
      </c>
      <c r="GL75" s="435">
        <v>5800</v>
      </c>
      <c r="GM75" s="440">
        <v>-34</v>
      </c>
      <c r="GN75" s="440">
        <v>-29</v>
      </c>
      <c r="GO75" s="440">
        <v>-23</v>
      </c>
      <c r="GP75" s="440">
        <v>-17</v>
      </c>
      <c r="GQ75" s="440">
        <v>-11</v>
      </c>
      <c r="GR75" s="440">
        <v>-6</v>
      </c>
      <c r="GS75" s="442">
        <f t="shared" si="50"/>
        <v>-3</v>
      </c>
      <c r="GT75" s="440">
        <v>0</v>
      </c>
      <c r="GU75" s="442">
        <f t="shared" ref="GU75:GU125" si="73">(GV75+GT75)/2</f>
        <v>3</v>
      </c>
      <c r="GV75" s="441">
        <v>6</v>
      </c>
    </row>
    <row r="76" spans="7:204">
      <c r="G76" s="435">
        <v>5700</v>
      </c>
      <c r="H76" s="445">
        <v>35</v>
      </c>
      <c r="I76" s="249">
        <v>29</v>
      </c>
      <c r="J76" s="249">
        <v>24</v>
      </c>
      <c r="K76" s="249">
        <v>17</v>
      </c>
      <c r="L76" s="249">
        <v>12</v>
      </c>
      <c r="M76" s="249">
        <v>6</v>
      </c>
      <c r="N76" s="249">
        <f t="shared" si="51"/>
        <v>3</v>
      </c>
      <c r="O76" s="249">
        <v>0</v>
      </c>
      <c r="P76" s="249">
        <f t="shared" si="52"/>
        <v>-3</v>
      </c>
      <c r="Q76" s="446">
        <v>-6</v>
      </c>
      <c r="R76" s="435">
        <v>5700</v>
      </c>
      <c r="S76" s="248">
        <v>11</v>
      </c>
      <c r="T76" s="248">
        <v>9</v>
      </c>
      <c r="U76" s="248">
        <v>7</v>
      </c>
      <c r="V76" s="248">
        <v>6</v>
      </c>
      <c r="W76" s="248">
        <v>4</v>
      </c>
      <c r="X76" s="248">
        <v>2</v>
      </c>
      <c r="Y76" s="249">
        <f t="shared" si="53"/>
        <v>1</v>
      </c>
      <c r="Z76" s="248">
        <v>0</v>
      </c>
      <c r="AA76" s="439">
        <f t="shared" si="54"/>
        <v>-1</v>
      </c>
      <c r="AB76" s="248">
        <v>-2</v>
      </c>
      <c r="AC76" s="435">
        <v>5700</v>
      </c>
      <c r="AD76" s="440">
        <v>-31</v>
      </c>
      <c r="AE76" s="440">
        <v>-26</v>
      </c>
      <c r="AF76" s="440">
        <v>-21</v>
      </c>
      <c r="AG76" s="440">
        <v>-16</v>
      </c>
      <c r="AH76" s="440">
        <v>-10</v>
      </c>
      <c r="AI76" s="440">
        <v>-5</v>
      </c>
      <c r="AJ76" s="249">
        <f t="shared" si="55"/>
        <v>-2.5</v>
      </c>
      <c r="AK76" s="248">
        <v>0</v>
      </c>
      <c r="AL76" s="439">
        <f t="shared" si="56"/>
        <v>2.5</v>
      </c>
      <c r="AM76" s="441">
        <v>5</v>
      </c>
      <c r="AN76" s="435">
        <v>5700</v>
      </c>
      <c r="AO76" s="440">
        <v>-55</v>
      </c>
      <c r="AP76" s="440">
        <v>-46</v>
      </c>
      <c r="AQ76" s="440">
        <v>-37</v>
      </c>
      <c r="AR76" s="440">
        <v>-28</v>
      </c>
      <c r="AS76" s="440">
        <v>-18</v>
      </c>
      <c r="AT76" s="440">
        <v>-9</v>
      </c>
      <c r="AU76" s="442">
        <f t="shared" si="38"/>
        <v>-4.5</v>
      </c>
      <c r="AV76" s="440">
        <v>0</v>
      </c>
      <c r="AW76" s="442">
        <f t="shared" si="57"/>
        <v>4.5</v>
      </c>
      <c r="AX76" s="441">
        <v>9</v>
      </c>
      <c r="AY76" s="435">
        <v>5700</v>
      </c>
      <c r="AZ76" s="440">
        <v>4</v>
      </c>
      <c r="BA76" s="440">
        <v>3</v>
      </c>
      <c r="BB76" s="440">
        <v>2</v>
      </c>
      <c r="BC76" s="440">
        <v>2</v>
      </c>
      <c r="BD76" s="440">
        <v>1</v>
      </c>
      <c r="BE76" s="440">
        <v>1</v>
      </c>
      <c r="BF76" s="442">
        <f t="shared" si="39"/>
        <v>0.5</v>
      </c>
      <c r="BG76" s="440">
        <v>0</v>
      </c>
      <c r="BH76" s="442">
        <f t="shared" si="58"/>
        <v>-0.5</v>
      </c>
      <c r="BI76" s="441">
        <v>-1</v>
      </c>
      <c r="BJ76" s="447">
        <v>5700</v>
      </c>
      <c r="BK76" s="440">
        <v>-31</v>
      </c>
      <c r="BL76" s="440">
        <v>-26</v>
      </c>
      <c r="BM76" s="440">
        <v>-21</v>
      </c>
      <c r="BN76" s="440">
        <v>-16</v>
      </c>
      <c r="BO76" s="440">
        <v>-10</v>
      </c>
      <c r="BP76" s="440">
        <v>-5</v>
      </c>
      <c r="BQ76" s="442">
        <f t="shared" si="40"/>
        <v>-2.5</v>
      </c>
      <c r="BR76" s="440">
        <v>0</v>
      </c>
      <c r="BS76" s="442">
        <f t="shared" si="59"/>
        <v>2.5</v>
      </c>
      <c r="BT76" s="440">
        <v>5</v>
      </c>
      <c r="BU76" s="435">
        <v>5700</v>
      </c>
      <c r="BV76" s="440">
        <v>1</v>
      </c>
      <c r="BW76" s="440">
        <v>1</v>
      </c>
      <c r="BX76" s="440">
        <v>1</v>
      </c>
      <c r="BY76" s="440">
        <v>1</v>
      </c>
      <c r="BZ76" s="440">
        <v>0</v>
      </c>
      <c r="CA76" s="440">
        <v>0</v>
      </c>
      <c r="CB76" s="442">
        <f t="shared" si="41"/>
        <v>0</v>
      </c>
      <c r="CC76" s="440">
        <v>0</v>
      </c>
      <c r="CD76" s="442">
        <f t="shared" si="60"/>
        <v>0</v>
      </c>
      <c r="CE76" s="441">
        <v>0</v>
      </c>
      <c r="CF76" s="435">
        <v>5700</v>
      </c>
      <c r="CG76" s="440">
        <v>-23</v>
      </c>
      <c r="CH76" s="440">
        <v>-19</v>
      </c>
      <c r="CI76" s="440">
        <v>-15</v>
      </c>
      <c r="CJ76" s="440">
        <v>-11</v>
      </c>
      <c r="CK76" s="440">
        <v>-8</v>
      </c>
      <c r="CL76" s="440">
        <v>-4</v>
      </c>
      <c r="CM76" s="442">
        <f t="shared" si="42"/>
        <v>-2</v>
      </c>
      <c r="CN76" s="440">
        <v>0</v>
      </c>
      <c r="CO76" s="442">
        <f t="shared" si="61"/>
        <v>2</v>
      </c>
      <c r="CP76" s="441">
        <v>4</v>
      </c>
      <c r="CQ76" s="435">
        <v>5700</v>
      </c>
      <c r="CR76" s="440">
        <v>1</v>
      </c>
      <c r="CS76" s="440">
        <v>1</v>
      </c>
      <c r="CT76" s="440">
        <v>1</v>
      </c>
      <c r="CU76" s="440">
        <v>1</v>
      </c>
      <c r="CV76" s="440">
        <v>0</v>
      </c>
      <c r="CW76" s="440">
        <v>0</v>
      </c>
      <c r="CX76" s="442">
        <f t="shared" si="43"/>
        <v>0</v>
      </c>
      <c r="CY76" s="440">
        <v>0</v>
      </c>
      <c r="CZ76" s="442">
        <f t="shared" si="62"/>
        <v>0</v>
      </c>
      <c r="DA76" s="441">
        <v>0</v>
      </c>
      <c r="DB76" s="435">
        <v>5700</v>
      </c>
      <c r="DC76" s="440">
        <v>-21</v>
      </c>
      <c r="DD76" s="440">
        <v>-17</v>
      </c>
      <c r="DE76" s="440">
        <v>-14</v>
      </c>
      <c r="DF76" s="440">
        <v>-10</v>
      </c>
      <c r="DG76" s="440">
        <v>-7</v>
      </c>
      <c r="DH76" s="440">
        <v>-3</v>
      </c>
      <c r="DI76" s="442">
        <f t="shared" si="44"/>
        <v>-1.5</v>
      </c>
      <c r="DJ76" s="440">
        <v>0</v>
      </c>
      <c r="DK76" s="442">
        <f t="shared" si="63"/>
        <v>1.5</v>
      </c>
      <c r="DL76" s="441">
        <v>3</v>
      </c>
      <c r="DM76" s="435">
        <v>5700</v>
      </c>
      <c r="DN76" s="440">
        <v>1</v>
      </c>
      <c r="DO76" s="440">
        <v>1</v>
      </c>
      <c r="DP76" s="440">
        <v>1</v>
      </c>
      <c r="DQ76" s="440">
        <v>1</v>
      </c>
      <c r="DR76" s="440">
        <v>0</v>
      </c>
      <c r="DS76" s="440">
        <v>0</v>
      </c>
      <c r="DT76" s="442">
        <f t="shared" si="45"/>
        <v>0</v>
      </c>
      <c r="DU76" s="440">
        <v>0</v>
      </c>
      <c r="DV76" s="442">
        <f t="shared" si="64"/>
        <v>0</v>
      </c>
      <c r="DW76" s="441">
        <v>0</v>
      </c>
      <c r="DX76" s="435">
        <v>5700</v>
      </c>
      <c r="DY76" s="440">
        <v>-24</v>
      </c>
      <c r="DZ76" s="440">
        <v>-20</v>
      </c>
      <c r="EA76" s="440">
        <v>-16</v>
      </c>
      <c r="EB76" s="440">
        <v>-12</v>
      </c>
      <c r="EC76" s="440">
        <v>-8</v>
      </c>
      <c r="ED76" s="440">
        <v>-4</v>
      </c>
      <c r="EE76" s="442">
        <f t="shared" si="46"/>
        <v>-2</v>
      </c>
      <c r="EF76" s="440">
        <v>0</v>
      </c>
      <c r="EG76" s="442">
        <f t="shared" si="65"/>
        <v>2</v>
      </c>
      <c r="EH76" s="440">
        <v>4</v>
      </c>
      <c r="EI76" s="435">
        <v>5700</v>
      </c>
      <c r="EJ76" s="440">
        <v>3</v>
      </c>
      <c r="EK76" s="440">
        <v>3</v>
      </c>
      <c r="EL76" s="440">
        <v>2</v>
      </c>
      <c r="EM76" s="440">
        <v>2</v>
      </c>
      <c r="EN76" s="440">
        <v>1</v>
      </c>
      <c r="EO76" s="440">
        <v>1</v>
      </c>
      <c r="EP76" s="442">
        <f t="shared" si="66"/>
        <v>0.5</v>
      </c>
      <c r="EQ76" s="440">
        <v>0</v>
      </c>
      <c r="ER76" s="442">
        <f t="shared" si="67"/>
        <v>-0.5</v>
      </c>
      <c r="ES76" s="441">
        <v>-1</v>
      </c>
      <c r="ET76" s="435">
        <v>5700</v>
      </c>
      <c r="EU76" s="440">
        <v>-22</v>
      </c>
      <c r="EV76" s="440">
        <v>-19</v>
      </c>
      <c r="EW76" s="440">
        <v>-15</v>
      </c>
      <c r="EX76" s="440">
        <v>-11</v>
      </c>
      <c r="EY76" s="440">
        <v>-7</v>
      </c>
      <c r="EZ76" s="440">
        <v>-4</v>
      </c>
      <c r="FA76" s="442">
        <f t="shared" si="68"/>
        <v>-2</v>
      </c>
      <c r="FB76" s="440">
        <v>0</v>
      </c>
      <c r="FC76" s="442">
        <f t="shared" si="69"/>
        <v>2</v>
      </c>
      <c r="FD76" s="440">
        <v>4</v>
      </c>
      <c r="FE76" s="435">
        <v>5700</v>
      </c>
      <c r="FF76" s="440">
        <v>1</v>
      </c>
      <c r="FG76" s="440">
        <v>1</v>
      </c>
      <c r="FH76" s="440">
        <v>1</v>
      </c>
      <c r="FI76" s="440">
        <v>1</v>
      </c>
      <c r="FJ76" s="440">
        <v>0</v>
      </c>
      <c r="FK76" s="440">
        <v>0</v>
      </c>
      <c r="FL76" s="442">
        <f t="shared" si="47"/>
        <v>0</v>
      </c>
      <c r="FM76" s="440">
        <v>0</v>
      </c>
      <c r="FN76" s="442">
        <f t="shared" si="70"/>
        <v>0</v>
      </c>
      <c r="FO76" s="441">
        <v>0</v>
      </c>
      <c r="FP76" s="435">
        <v>5700</v>
      </c>
      <c r="FQ76" s="440">
        <v>-23</v>
      </c>
      <c r="FR76" s="440">
        <v>-19</v>
      </c>
      <c r="FS76" s="440">
        <v>-15</v>
      </c>
      <c r="FT76" s="440">
        <v>-11</v>
      </c>
      <c r="FU76" s="440">
        <v>-8</v>
      </c>
      <c r="FV76" s="440">
        <v>-4</v>
      </c>
      <c r="FW76" s="442">
        <f t="shared" si="48"/>
        <v>-2</v>
      </c>
      <c r="FX76" s="440">
        <v>0</v>
      </c>
      <c r="FY76" s="442">
        <f t="shared" si="71"/>
        <v>2</v>
      </c>
      <c r="FZ76" s="440">
        <v>4</v>
      </c>
      <c r="GA76" s="435">
        <v>5700</v>
      </c>
      <c r="GB76" s="440">
        <v>-35</v>
      </c>
      <c r="GC76" s="440">
        <v>-29</v>
      </c>
      <c r="GD76" s="440">
        <v>-23</v>
      </c>
      <c r="GE76" s="440">
        <v>-18</v>
      </c>
      <c r="GF76" s="440">
        <v>-12</v>
      </c>
      <c r="GG76" s="440">
        <v>-6</v>
      </c>
      <c r="GH76" s="442">
        <f t="shared" si="49"/>
        <v>-3</v>
      </c>
      <c r="GI76" s="440">
        <v>0</v>
      </c>
      <c r="GJ76" s="442">
        <f t="shared" si="72"/>
        <v>3</v>
      </c>
      <c r="GK76" s="441">
        <v>6</v>
      </c>
      <c r="GL76" s="435">
        <v>5700</v>
      </c>
      <c r="GM76" s="440">
        <v>-34</v>
      </c>
      <c r="GN76" s="440">
        <v>-29</v>
      </c>
      <c r="GO76" s="440">
        <v>-23</v>
      </c>
      <c r="GP76" s="440">
        <v>-17</v>
      </c>
      <c r="GQ76" s="440">
        <v>-11</v>
      </c>
      <c r="GR76" s="440">
        <v>-6</v>
      </c>
      <c r="GS76" s="442">
        <f t="shared" si="50"/>
        <v>-3</v>
      </c>
      <c r="GT76" s="440">
        <v>0</v>
      </c>
      <c r="GU76" s="442">
        <f t="shared" si="73"/>
        <v>3</v>
      </c>
      <c r="GV76" s="441">
        <v>6</v>
      </c>
    </row>
    <row r="77" spans="7:204">
      <c r="G77" s="435">
        <v>5600</v>
      </c>
      <c r="H77" s="445">
        <v>35</v>
      </c>
      <c r="I77" s="249">
        <v>29</v>
      </c>
      <c r="J77" s="249">
        <v>24</v>
      </c>
      <c r="K77" s="249">
        <v>17</v>
      </c>
      <c r="L77" s="249">
        <v>12</v>
      </c>
      <c r="M77" s="249">
        <v>6</v>
      </c>
      <c r="N77" s="249">
        <f t="shared" si="51"/>
        <v>3</v>
      </c>
      <c r="O77" s="249">
        <v>0</v>
      </c>
      <c r="P77" s="249">
        <f t="shared" si="52"/>
        <v>-3</v>
      </c>
      <c r="Q77" s="446">
        <v>-6</v>
      </c>
      <c r="R77" s="435">
        <v>5600</v>
      </c>
      <c r="S77" s="248">
        <v>11</v>
      </c>
      <c r="T77" s="248">
        <v>9</v>
      </c>
      <c r="U77" s="248">
        <v>7</v>
      </c>
      <c r="V77" s="248">
        <v>6</v>
      </c>
      <c r="W77" s="248">
        <v>4</v>
      </c>
      <c r="X77" s="248">
        <v>2</v>
      </c>
      <c r="Y77" s="249">
        <f t="shared" si="53"/>
        <v>1</v>
      </c>
      <c r="Z77" s="248">
        <v>0</v>
      </c>
      <c r="AA77" s="439">
        <f t="shared" si="54"/>
        <v>-1</v>
      </c>
      <c r="AB77" s="248">
        <v>-2</v>
      </c>
      <c r="AC77" s="435">
        <v>5600</v>
      </c>
      <c r="AD77" s="440">
        <v>-31</v>
      </c>
      <c r="AE77" s="440">
        <v>-26</v>
      </c>
      <c r="AF77" s="440">
        <v>-21</v>
      </c>
      <c r="AG77" s="440">
        <v>-16</v>
      </c>
      <c r="AH77" s="440">
        <v>-10</v>
      </c>
      <c r="AI77" s="440">
        <v>-5</v>
      </c>
      <c r="AJ77" s="249">
        <f t="shared" si="55"/>
        <v>-2.5</v>
      </c>
      <c r="AK77" s="248">
        <v>0</v>
      </c>
      <c r="AL77" s="439">
        <f t="shared" si="56"/>
        <v>2.5</v>
      </c>
      <c r="AM77" s="441">
        <v>5</v>
      </c>
      <c r="AN77" s="435">
        <v>5600</v>
      </c>
      <c r="AO77" s="440">
        <v>-55</v>
      </c>
      <c r="AP77" s="440">
        <v>-46</v>
      </c>
      <c r="AQ77" s="440">
        <v>-37</v>
      </c>
      <c r="AR77" s="440">
        <v>-28</v>
      </c>
      <c r="AS77" s="440">
        <v>-18</v>
      </c>
      <c r="AT77" s="440">
        <v>-9</v>
      </c>
      <c r="AU77" s="442">
        <f t="shared" si="38"/>
        <v>-4.5</v>
      </c>
      <c r="AV77" s="440">
        <v>0</v>
      </c>
      <c r="AW77" s="442">
        <f t="shared" si="57"/>
        <v>4.5</v>
      </c>
      <c r="AX77" s="441">
        <v>9</v>
      </c>
      <c r="AY77" s="435">
        <v>5600</v>
      </c>
      <c r="AZ77" s="440">
        <v>4</v>
      </c>
      <c r="BA77" s="440">
        <v>3</v>
      </c>
      <c r="BB77" s="440">
        <v>2</v>
      </c>
      <c r="BC77" s="440">
        <v>2</v>
      </c>
      <c r="BD77" s="440">
        <v>1</v>
      </c>
      <c r="BE77" s="440">
        <v>1</v>
      </c>
      <c r="BF77" s="442">
        <f t="shared" si="39"/>
        <v>0.5</v>
      </c>
      <c r="BG77" s="440">
        <v>0</v>
      </c>
      <c r="BH77" s="442">
        <f t="shared" si="58"/>
        <v>-0.5</v>
      </c>
      <c r="BI77" s="441">
        <v>-1</v>
      </c>
      <c r="BJ77" s="447">
        <v>5600</v>
      </c>
      <c r="BK77" s="440">
        <v>-31</v>
      </c>
      <c r="BL77" s="440">
        <v>-26</v>
      </c>
      <c r="BM77" s="440">
        <v>-21</v>
      </c>
      <c r="BN77" s="440">
        <v>-16</v>
      </c>
      <c r="BO77" s="440">
        <v>-10</v>
      </c>
      <c r="BP77" s="440">
        <v>-5</v>
      </c>
      <c r="BQ77" s="442">
        <f t="shared" si="40"/>
        <v>-2.5</v>
      </c>
      <c r="BR77" s="440">
        <v>0</v>
      </c>
      <c r="BS77" s="442">
        <f t="shared" si="59"/>
        <v>2.5</v>
      </c>
      <c r="BT77" s="440">
        <v>5</v>
      </c>
      <c r="BU77" s="435">
        <v>5600</v>
      </c>
      <c r="BV77" s="440">
        <v>1</v>
      </c>
      <c r="BW77" s="440">
        <v>1</v>
      </c>
      <c r="BX77" s="440">
        <v>1</v>
      </c>
      <c r="BY77" s="440">
        <v>1</v>
      </c>
      <c r="BZ77" s="440">
        <v>0</v>
      </c>
      <c r="CA77" s="440">
        <v>0</v>
      </c>
      <c r="CB77" s="442">
        <f t="shared" si="41"/>
        <v>0</v>
      </c>
      <c r="CC77" s="440">
        <v>0</v>
      </c>
      <c r="CD77" s="442">
        <f t="shared" si="60"/>
        <v>0</v>
      </c>
      <c r="CE77" s="441">
        <v>0</v>
      </c>
      <c r="CF77" s="435">
        <v>5600</v>
      </c>
      <c r="CG77" s="440">
        <v>-23</v>
      </c>
      <c r="CH77" s="440">
        <v>-19</v>
      </c>
      <c r="CI77" s="440">
        <v>-15</v>
      </c>
      <c r="CJ77" s="440">
        <v>-11</v>
      </c>
      <c r="CK77" s="440">
        <v>-8</v>
      </c>
      <c r="CL77" s="440">
        <v>-4</v>
      </c>
      <c r="CM77" s="442">
        <f t="shared" si="42"/>
        <v>-2</v>
      </c>
      <c r="CN77" s="440">
        <v>0</v>
      </c>
      <c r="CO77" s="442">
        <f t="shared" si="61"/>
        <v>2</v>
      </c>
      <c r="CP77" s="441">
        <v>4</v>
      </c>
      <c r="CQ77" s="435">
        <v>5600</v>
      </c>
      <c r="CR77" s="440">
        <v>1</v>
      </c>
      <c r="CS77" s="440">
        <v>1</v>
      </c>
      <c r="CT77" s="440">
        <v>1</v>
      </c>
      <c r="CU77" s="440">
        <v>1</v>
      </c>
      <c r="CV77" s="440">
        <v>0</v>
      </c>
      <c r="CW77" s="440">
        <v>0</v>
      </c>
      <c r="CX77" s="442">
        <f t="shared" si="43"/>
        <v>0</v>
      </c>
      <c r="CY77" s="440">
        <v>0</v>
      </c>
      <c r="CZ77" s="442">
        <f t="shared" si="62"/>
        <v>0</v>
      </c>
      <c r="DA77" s="441">
        <v>0</v>
      </c>
      <c r="DB77" s="435">
        <v>5600</v>
      </c>
      <c r="DC77" s="440">
        <v>-21</v>
      </c>
      <c r="DD77" s="440">
        <v>-17</v>
      </c>
      <c r="DE77" s="440">
        <v>-14</v>
      </c>
      <c r="DF77" s="440">
        <v>-10</v>
      </c>
      <c r="DG77" s="440">
        <v>-7</v>
      </c>
      <c r="DH77" s="440">
        <v>-3</v>
      </c>
      <c r="DI77" s="442">
        <f t="shared" si="44"/>
        <v>-1.5</v>
      </c>
      <c r="DJ77" s="440">
        <v>0</v>
      </c>
      <c r="DK77" s="442">
        <f t="shared" si="63"/>
        <v>1.5</v>
      </c>
      <c r="DL77" s="441">
        <v>3</v>
      </c>
      <c r="DM77" s="435">
        <v>5600</v>
      </c>
      <c r="DN77" s="440">
        <v>1</v>
      </c>
      <c r="DO77" s="440">
        <v>1</v>
      </c>
      <c r="DP77" s="440">
        <v>1</v>
      </c>
      <c r="DQ77" s="440">
        <v>1</v>
      </c>
      <c r="DR77" s="440">
        <v>0</v>
      </c>
      <c r="DS77" s="440">
        <v>0</v>
      </c>
      <c r="DT77" s="442">
        <f t="shared" si="45"/>
        <v>0</v>
      </c>
      <c r="DU77" s="440">
        <v>0</v>
      </c>
      <c r="DV77" s="442">
        <f t="shared" si="64"/>
        <v>0</v>
      </c>
      <c r="DW77" s="441">
        <v>0</v>
      </c>
      <c r="DX77" s="435">
        <v>5600</v>
      </c>
      <c r="DY77" s="440">
        <v>-24</v>
      </c>
      <c r="DZ77" s="440">
        <v>-20</v>
      </c>
      <c r="EA77" s="440">
        <v>-16</v>
      </c>
      <c r="EB77" s="440">
        <v>-12</v>
      </c>
      <c r="EC77" s="440">
        <v>-8</v>
      </c>
      <c r="ED77" s="440">
        <v>-4</v>
      </c>
      <c r="EE77" s="442">
        <f t="shared" si="46"/>
        <v>-2</v>
      </c>
      <c r="EF77" s="440">
        <v>0</v>
      </c>
      <c r="EG77" s="442">
        <f t="shared" si="65"/>
        <v>2</v>
      </c>
      <c r="EH77" s="440">
        <v>4</v>
      </c>
      <c r="EI77" s="435">
        <v>5600</v>
      </c>
      <c r="EJ77" s="440">
        <v>3</v>
      </c>
      <c r="EK77" s="440">
        <v>3</v>
      </c>
      <c r="EL77" s="440">
        <v>2</v>
      </c>
      <c r="EM77" s="440">
        <v>2</v>
      </c>
      <c r="EN77" s="440">
        <v>1</v>
      </c>
      <c r="EO77" s="440">
        <v>1</v>
      </c>
      <c r="EP77" s="442">
        <f t="shared" si="66"/>
        <v>0.5</v>
      </c>
      <c r="EQ77" s="440">
        <v>0</v>
      </c>
      <c r="ER77" s="442">
        <f t="shared" si="67"/>
        <v>-0.5</v>
      </c>
      <c r="ES77" s="441">
        <v>-1</v>
      </c>
      <c r="ET77" s="435">
        <v>5600</v>
      </c>
      <c r="EU77" s="440">
        <v>-22</v>
      </c>
      <c r="EV77" s="440">
        <v>-19</v>
      </c>
      <c r="EW77" s="440">
        <v>-15</v>
      </c>
      <c r="EX77" s="440">
        <v>-11</v>
      </c>
      <c r="EY77" s="440">
        <v>-7</v>
      </c>
      <c r="EZ77" s="440">
        <v>-4</v>
      </c>
      <c r="FA77" s="442">
        <f t="shared" si="68"/>
        <v>-2</v>
      </c>
      <c r="FB77" s="440">
        <v>0</v>
      </c>
      <c r="FC77" s="442">
        <f t="shared" si="69"/>
        <v>2</v>
      </c>
      <c r="FD77" s="440">
        <v>4</v>
      </c>
      <c r="FE77" s="435">
        <v>5600</v>
      </c>
      <c r="FF77" s="440">
        <v>1</v>
      </c>
      <c r="FG77" s="440">
        <v>1</v>
      </c>
      <c r="FH77" s="440">
        <v>1</v>
      </c>
      <c r="FI77" s="440">
        <v>1</v>
      </c>
      <c r="FJ77" s="440">
        <v>0</v>
      </c>
      <c r="FK77" s="440">
        <v>0</v>
      </c>
      <c r="FL77" s="442">
        <f t="shared" si="47"/>
        <v>0</v>
      </c>
      <c r="FM77" s="440">
        <v>0</v>
      </c>
      <c r="FN77" s="442">
        <f t="shared" si="70"/>
        <v>0</v>
      </c>
      <c r="FO77" s="441">
        <v>0</v>
      </c>
      <c r="FP77" s="435">
        <v>5600</v>
      </c>
      <c r="FQ77" s="440">
        <v>-23</v>
      </c>
      <c r="FR77" s="440">
        <v>-19</v>
      </c>
      <c r="FS77" s="440">
        <v>-15</v>
      </c>
      <c r="FT77" s="440">
        <v>-11</v>
      </c>
      <c r="FU77" s="440">
        <v>-8</v>
      </c>
      <c r="FV77" s="440">
        <v>-4</v>
      </c>
      <c r="FW77" s="442">
        <f t="shared" si="48"/>
        <v>-2</v>
      </c>
      <c r="FX77" s="440">
        <v>0</v>
      </c>
      <c r="FY77" s="442">
        <f t="shared" si="71"/>
        <v>2</v>
      </c>
      <c r="FZ77" s="440">
        <v>4</v>
      </c>
      <c r="GA77" s="435">
        <v>5600</v>
      </c>
      <c r="GB77" s="440">
        <v>-35</v>
      </c>
      <c r="GC77" s="440">
        <v>-29</v>
      </c>
      <c r="GD77" s="440">
        <v>-23</v>
      </c>
      <c r="GE77" s="440">
        <v>-18</v>
      </c>
      <c r="GF77" s="440">
        <v>-12</v>
      </c>
      <c r="GG77" s="440">
        <v>-6</v>
      </c>
      <c r="GH77" s="442">
        <f t="shared" si="49"/>
        <v>-3</v>
      </c>
      <c r="GI77" s="440">
        <v>0</v>
      </c>
      <c r="GJ77" s="442">
        <f t="shared" si="72"/>
        <v>3</v>
      </c>
      <c r="GK77" s="441">
        <v>6</v>
      </c>
      <c r="GL77" s="435">
        <v>5600</v>
      </c>
      <c r="GM77" s="440">
        <v>-34</v>
      </c>
      <c r="GN77" s="440">
        <v>-29</v>
      </c>
      <c r="GO77" s="440">
        <v>-23</v>
      </c>
      <c r="GP77" s="440">
        <v>-17</v>
      </c>
      <c r="GQ77" s="440">
        <v>-11</v>
      </c>
      <c r="GR77" s="440">
        <v>-6</v>
      </c>
      <c r="GS77" s="442">
        <f t="shared" si="50"/>
        <v>-3</v>
      </c>
      <c r="GT77" s="440">
        <v>0</v>
      </c>
      <c r="GU77" s="442">
        <f t="shared" si="73"/>
        <v>3</v>
      </c>
      <c r="GV77" s="441">
        <v>6</v>
      </c>
    </row>
    <row r="78" spans="7:204">
      <c r="G78" s="435">
        <v>5500</v>
      </c>
      <c r="H78" s="445">
        <v>35</v>
      </c>
      <c r="I78" s="249">
        <v>29</v>
      </c>
      <c r="J78" s="249">
        <v>24</v>
      </c>
      <c r="K78" s="249">
        <v>17</v>
      </c>
      <c r="L78" s="249">
        <v>12</v>
      </c>
      <c r="M78" s="249">
        <v>6</v>
      </c>
      <c r="N78" s="249">
        <f t="shared" si="51"/>
        <v>3</v>
      </c>
      <c r="O78" s="249">
        <v>0</v>
      </c>
      <c r="P78" s="249">
        <f t="shared" si="52"/>
        <v>-3</v>
      </c>
      <c r="Q78" s="446">
        <v>-6</v>
      </c>
      <c r="R78" s="435">
        <v>5500</v>
      </c>
      <c r="S78" s="248">
        <v>11</v>
      </c>
      <c r="T78" s="248">
        <v>9</v>
      </c>
      <c r="U78" s="248">
        <v>8</v>
      </c>
      <c r="V78" s="248">
        <v>6</v>
      </c>
      <c r="W78" s="248">
        <v>4</v>
      </c>
      <c r="X78" s="248">
        <v>2</v>
      </c>
      <c r="Y78" s="249">
        <f t="shared" si="53"/>
        <v>1</v>
      </c>
      <c r="Z78" s="248">
        <v>0</v>
      </c>
      <c r="AA78" s="439">
        <f t="shared" si="54"/>
        <v>-1</v>
      </c>
      <c r="AB78" s="248">
        <v>-2</v>
      </c>
      <c r="AC78" s="435">
        <v>5500</v>
      </c>
      <c r="AD78" s="440">
        <v>-31</v>
      </c>
      <c r="AE78" s="440">
        <v>-26</v>
      </c>
      <c r="AF78" s="440">
        <v>-21</v>
      </c>
      <c r="AG78" s="440">
        <v>-16</v>
      </c>
      <c r="AH78" s="440">
        <v>-10</v>
      </c>
      <c r="AI78" s="440">
        <v>-5</v>
      </c>
      <c r="AJ78" s="249">
        <f t="shared" si="55"/>
        <v>-2.5</v>
      </c>
      <c r="AK78" s="248">
        <v>0</v>
      </c>
      <c r="AL78" s="439">
        <f t="shared" si="56"/>
        <v>2.5</v>
      </c>
      <c r="AM78" s="441">
        <v>5</v>
      </c>
      <c r="AN78" s="435">
        <v>5500</v>
      </c>
      <c r="AO78" s="440">
        <v>-55</v>
      </c>
      <c r="AP78" s="440">
        <v>-46</v>
      </c>
      <c r="AQ78" s="440">
        <v>-37</v>
      </c>
      <c r="AR78" s="440">
        <v>-27</v>
      </c>
      <c r="AS78" s="440">
        <v>-18</v>
      </c>
      <c r="AT78" s="440">
        <v>-9</v>
      </c>
      <c r="AU78" s="442">
        <f t="shared" si="38"/>
        <v>-4.5</v>
      </c>
      <c r="AV78" s="440">
        <v>0</v>
      </c>
      <c r="AW78" s="442">
        <f t="shared" si="57"/>
        <v>4.5</v>
      </c>
      <c r="AX78" s="441">
        <v>9</v>
      </c>
      <c r="AY78" s="435">
        <v>5500</v>
      </c>
      <c r="AZ78" s="440">
        <v>4</v>
      </c>
      <c r="BA78" s="440">
        <v>3</v>
      </c>
      <c r="BB78" s="440">
        <v>2</v>
      </c>
      <c r="BC78" s="440">
        <v>2</v>
      </c>
      <c r="BD78" s="440">
        <v>1</v>
      </c>
      <c r="BE78" s="440">
        <v>1</v>
      </c>
      <c r="BF78" s="442">
        <f t="shared" si="39"/>
        <v>0.5</v>
      </c>
      <c r="BG78" s="440">
        <v>0</v>
      </c>
      <c r="BH78" s="442">
        <f t="shared" si="58"/>
        <v>-0.5</v>
      </c>
      <c r="BI78" s="441">
        <v>-1</v>
      </c>
      <c r="BJ78" s="447">
        <v>5500</v>
      </c>
      <c r="BK78" s="440">
        <v>-31</v>
      </c>
      <c r="BL78" s="440">
        <v>-26</v>
      </c>
      <c r="BM78" s="440">
        <v>-21</v>
      </c>
      <c r="BN78" s="440">
        <v>-16</v>
      </c>
      <c r="BO78" s="440">
        <v>-10</v>
      </c>
      <c r="BP78" s="440">
        <v>-5</v>
      </c>
      <c r="BQ78" s="442">
        <f t="shared" si="40"/>
        <v>-2.5</v>
      </c>
      <c r="BR78" s="440">
        <v>0</v>
      </c>
      <c r="BS78" s="442">
        <f t="shared" si="59"/>
        <v>2.5</v>
      </c>
      <c r="BT78" s="440">
        <v>5</v>
      </c>
      <c r="BU78" s="435">
        <v>5500</v>
      </c>
      <c r="BV78" s="440">
        <v>1</v>
      </c>
      <c r="BW78" s="440">
        <v>1</v>
      </c>
      <c r="BX78" s="440">
        <v>1</v>
      </c>
      <c r="BY78" s="440">
        <v>1</v>
      </c>
      <c r="BZ78" s="440">
        <v>0</v>
      </c>
      <c r="CA78" s="440">
        <v>0</v>
      </c>
      <c r="CB78" s="442">
        <f t="shared" si="41"/>
        <v>0</v>
      </c>
      <c r="CC78" s="440">
        <v>0</v>
      </c>
      <c r="CD78" s="442">
        <f t="shared" si="60"/>
        <v>0</v>
      </c>
      <c r="CE78" s="441">
        <v>0</v>
      </c>
      <c r="CF78" s="435">
        <v>5500</v>
      </c>
      <c r="CG78" s="440">
        <v>-23</v>
      </c>
      <c r="CH78" s="440">
        <v>-19</v>
      </c>
      <c r="CI78" s="440">
        <v>-15</v>
      </c>
      <c r="CJ78" s="440">
        <v>-11</v>
      </c>
      <c r="CK78" s="440">
        <v>-8</v>
      </c>
      <c r="CL78" s="440">
        <v>-4</v>
      </c>
      <c r="CM78" s="442">
        <f t="shared" si="42"/>
        <v>-2</v>
      </c>
      <c r="CN78" s="440">
        <v>0</v>
      </c>
      <c r="CO78" s="442">
        <f t="shared" si="61"/>
        <v>2</v>
      </c>
      <c r="CP78" s="441">
        <v>4</v>
      </c>
      <c r="CQ78" s="435">
        <v>5500</v>
      </c>
      <c r="CR78" s="440">
        <v>1</v>
      </c>
      <c r="CS78" s="440">
        <v>1</v>
      </c>
      <c r="CT78" s="440">
        <v>1</v>
      </c>
      <c r="CU78" s="440">
        <v>1</v>
      </c>
      <c r="CV78" s="440">
        <v>0</v>
      </c>
      <c r="CW78" s="440">
        <v>0</v>
      </c>
      <c r="CX78" s="442">
        <f t="shared" si="43"/>
        <v>0</v>
      </c>
      <c r="CY78" s="440">
        <v>0</v>
      </c>
      <c r="CZ78" s="442">
        <f t="shared" si="62"/>
        <v>0</v>
      </c>
      <c r="DA78" s="441">
        <v>0</v>
      </c>
      <c r="DB78" s="435">
        <v>5500</v>
      </c>
      <c r="DC78" s="440">
        <v>-21</v>
      </c>
      <c r="DD78" s="440">
        <v>-17</v>
      </c>
      <c r="DE78" s="440">
        <v>-14</v>
      </c>
      <c r="DF78" s="440">
        <v>-10</v>
      </c>
      <c r="DG78" s="440">
        <v>-7</v>
      </c>
      <c r="DH78" s="440">
        <v>-3</v>
      </c>
      <c r="DI78" s="442">
        <f t="shared" si="44"/>
        <v>-1.5</v>
      </c>
      <c r="DJ78" s="440">
        <v>0</v>
      </c>
      <c r="DK78" s="442">
        <f t="shared" si="63"/>
        <v>1.5</v>
      </c>
      <c r="DL78" s="441">
        <v>3</v>
      </c>
      <c r="DM78" s="435">
        <v>5500</v>
      </c>
      <c r="DN78" s="440">
        <v>1</v>
      </c>
      <c r="DO78" s="440">
        <v>1</v>
      </c>
      <c r="DP78" s="440">
        <v>1</v>
      </c>
      <c r="DQ78" s="440">
        <v>1</v>
      </c>
      <c r="DR78" s="440">
        <v>0</v>
      </c>
      <c r="DS78" s="440">
        <v>0</v>
      </c>
      <c r="DT78" s="442">
        <f t="shared" si="45"/>
        <v>0</v>
      </c>
      <c r="DU78" s="440">
        <v>0</v>
      </c>
      <c r="DV78" s="442">
        <f t="shared" si="64"/>
        <v>0</v>
      </c>
      <c r="DW78" s="441">
        <v>0</v>
      </c>
      <c r="DX78" s="435">
        <v>5500</v>
      </c>
      <c r="DY78" s="440">
        <v>-24</v>
      </c>
      <c r="DZ78" s="440">
        <v>-20</v>
      </c>
      <c r="EA78" s="440">
        <v>-16</v>
      </c>
      <c r="EB78" s="440">
        <v>-12</v>
      </c>
      <c r="EC78" s="440">
        <v>-8</v>
      </c>
      <c r="ED78" s="440">
        <v>-4</v>
      </c>
      <c r="EE78" s="442">
        <f t="shared" si="46"/>
        <v>-2</v>
      </c>
      <c r="EF78" s="440">
        <v>0</v>
      </c>
      <c r="EG78" s="442">
        <f t="shared" si="65"/>
        <v>2</v>
      </c>
      <c r="EH78" s="440">
        <v>4</v>
      </c>
      <c r="EI78" s="435">
        <v>5500</v>
      </c>
      <c r="EJ78" s="440">
        <v>3</v>
      </c>
      <c r="EK78" s="440">
        <v>3</v>
      </c>
      <c r="EL78" s="440">
        <v>2</v>
      </c>
      <c r="EM78" s="440">
        <v>2</v>
      </c>
      <c r="EN78" s="440">
        <v>1</v>
      </c>
      <c r="EO78" s="440">
        <v>1</v>
      </c>
      <c r="EP78" s="442">
        <f t="shared" si="66"/>
        <v>0.5</v>
      </c>
      <c r="EQ78" s="440">
        <v>0</v>
      </c>
      <c r="ER78" s="442">
        <f t="shared" si="67"/>
        <v>-0.5</v>
      </c>
      <c r="ES78" s="441">
        <v>-1</v>
      </c>
      <c r="ET78" s="435">
        <v>5500</v>
      </c>
      <c r="EU78" s="440">
        <v>-22</v>
      </c>
      <c r="EV78" s="440">
        <v>-19</v>
      </c>
      <c r="EW78" s="440">
        <v>-15</v>
      </c>
      <c r="EX78" s="440">
        <v>-11</v>
      </c>
      <c r="EY78" s="440">
        <v>-7</v>
      </c>
      <c r="EZ78" s="440">
        <v>-4</v>
      </c>
      <c r="FA78" s="442">
        <f t="shared" si="68"/>
        <v>-2</v>
      </c>
      <c r="FB78" s="440">
        <v>0</v>
      </c>
      <c r="FC78" s="442">
        <f t="shared" si="69"/>
        <v>2</v>
      </c>
      <c r="FD78" s="440">
        <v>4</v>
      </c>
      <c r="FE78" s="435">
        <v>5500</v>
      </c>
      <c r="FF78" s="440">
        <v>1</v>
      </c>
      <c r="FG78" s="440">
        <v>1</v>
      </c>
      <c r="FH78" s="440">
        <v>1</v>
      </c>
      <c r="FI78" s="440">
        <v>1</v>
      </c>
      <c r="FJ78" s="440">
        <v>0</v>
      </c>
      <c r="FK78" s="440">
        <v>0</v>
      </c>
      <c r="FL78" s="442">
        <f t="shared" si="47"/>
        <v>0</v>
      </c>
      <c r="FM78" s="440">
        <v>0</v>
      </c>
      <c r="FN78" s="442">
        <f t="shared" si="70"/>
        <v>0</v>
      </c>
      <c r="FO78" s="441">
        <v>0</v>
      </c>
      <c r="FP78" s="435">
        <v>5500</v>
      </c>
      <c r="FQ78" s="440">
        <v>-23</v>
      </c>
      <c r="FR78" s="440">
        <v>-19</v>
      </c>
      <c r="FS78" s="440">
        <v>-15</v>
      </c>
      <c r="FT78" s="440">
        <v>-11</v>
      </c>
      <c r="FU78" s="440">
        <v>-8</v>
      </c>
      <c r="FV78" s="440">
        <v>-4</v>
      </c>
      <c r="FW78" s="442">
        <f t="shared" si="48"/>
        <v>-2</v>
      </c>
      <c r="FX78" s="440">
        <v>0</v>
      </c>
      <c r="FY78" s="442">
        <f t="shared" si="71"/>
        <v>2</v>
      </c>
      <c r="FZ78" s="440">
        <v>4</v>
      </c>
      <c r="GA78" s="435">
        <v>5500</v>
      </c>
      <c r="GB78" s="440">
        <v>-35</v>
      </c>
      <c r="GC78" s="440">
        <v>-29</v>
      </c>
      <c r="GD78" s="440">
        <v>-24</v>
      </c>
      <c r="GE78" s="440">
        <v>-18</v>
      </c>
      <c r="GF78" s="440">
        <v>-12</v>
      </c>
      <c r="GG78" s="440">
        <v>-6</v>
      </c>
      <c r="GH78" s="442">
        <f t="shared" si="49"/>
        <v>-3</v>
      </c>
      <c r="GI78" s="440">
        <v>0</v>
      </c>
      <c r="GJ78" s="442">
        <f t="shared" si="72"/>
        <v>3</v>
      </c>
      <c r="GK78" s="441">
        <v>6</v>
      </c>
      <c r="GL78" s="435">
        <v>5500</v>
      </c>
      <c r="GM78" s="440">
        <v>-35</v>
      </c>
      <c r="GN78" s="440">
        <v>-29</v>
      </c>
      <c r="GO78" s="440">
        <v>-23</v>
      </c>
      <c r="GP78" s="440">
        <v>-17</v>
      </c>
      <c r="GQ78" s="440">
        <v>-12</v>
      </c>
      <c r="GR78" s="440">
        <v>-6</v>
      </c>
      <c r="GS78" s="442">
        <f t="shared" si="50"/>
        <v>-3</v>
      </c>
      <c r="GT78" s="440">
        <v>0</v>
      </c>
      <c r="GU78" s="442">
        <f t="shared" si="73"/>
        <v>3</v>
      </c>
      <c r="GV78" s="441">
        <v>6</v>
      </c>
    </row>
    <row r="79" spans="7:204">
      <c r="G79" s="435">
        <v>5400</v>
      </c>
      <c r="H79" s="445">
        <v>35</v>
      </c>
      <c r="I79" s="249">
        <v>29</v>
      </c>
      <c r="J79" s="249">
        <v>24</v>
      </c>
      <c r="K79" s="249">
        <v>17</v>
      </c>
      <c r="L79" s="249">
        <v>12</v>
      </c>
      <c r="M79" s="249">
        <v>6</v>
      </c>
      <c r="N79" s="249">
        <f t="shared" si="51"/>
        <v>3</v>
      </c>
      <c r="O79" s="249">
        <v>0</v>
      </c>
      <c r="P79" s="249">
        <f t="shared" si="52"/>
        <v>-3</v>
      </c>
      <c r="Q79" s="446">
        <v>-6</v>
      </c>
      <c r="R79" s="435">
        <v>5400</v>
      </c>
      <c r="S79" s="248">
        <v>11</v>
      </c>
      <c r="T79" s="248">
        <v>9</v>
      </c>
      <c r="U79" s="248">
        <v>8</v>
      </c>
      <c r="V79" s="248">
        <v>6</v>
      </c>
      <c r="W79" s="248">
        <v>4</v>
      </c>
      <c r="X79" s="248">
        <v>2</v>
      </c>
      <c r="Y79" s="249">
        <f t="shared" si="53"/>
        <v>1</v>
      </c>
      <c r="Z79" s="248">
        <v>0</v>
      </c>
      <c r="AA79" s="439">
        <f t="shared" si="54"/>
        <v>-1</v>
      </c>
      <c r="AB79" s="248">
        <v>-2</v>
      </c>
      <c r="AC79" s="435">
        <v>5400</v>
      </c>
      <c r="AD79" s="440">
        <v>-31</v>
      </c>
      <c r="AE79" s="440">
        <v>-26</v>
      </c>
      <c r="AF79" s="440">
        <v>-21</v>
      </c>
      <c r="AG79" s="440">
        <v>-16</v>
      </c>
      <c r="AH79" s="440">
        <v>-10</v>
      </c>
      <c r="AI79" s="440">
        <v>-5</v>
      </c>
      <c r="AJ79" s="249">
        <f t="shared" si="55"/>
        <v>-2.5</v>
      </c>
      <c r="AK79" s="248">
        <v>0</v>
      </c>
      <c r="AL79" s="439">
        <f t="shared" si="56"/>
        <v>2.5</v>
      </c>
      <c r="AM79" s="441">
        <v>5</v>
      </c>
      <c r="AN79" s="435">
        <v>5400</v>
      </c>
      <c r="AO79" s="440">
        <v>-55</v>
      </c>
      <c r="AP79" s="440">
        <v>-46</v>
      </c>
      <c r="AQ79" s="440">
        <v>-37</v>
      </c>
      <c r="AR79" s="440">
        <v>-27</v>
      </c>
      <c r="AS79" s="440">
        <v>-18</v>
      </c>
      <c r="AT79" s="440">
        <v>-9</v>
      </c>
      <c r="AU79" s="442">
        <f t="shared" si="38"/>
        <v>-4.5</v>
      </c>
      <c r="AV79" s="440">
        <v>0</v>
      </c>
      <c r="AW79" s="442">
        <f t="shared" si="57"/>
        <v>4.5</v>
      </c>
      <c r="AX79" s="441">
        <v>9</v>
      </c>
      <c r="AY79" s="435">
        <v>5400</v>
      </c>
      <c r="AZ79" s="440">
        <v>4</v>
      </c>
      <c r="BA79" s="440">
        <v>3</v>
      </c>
      <c r="BB79" s="440">
        <v>2</v>
      </c>
      <c r="BC79" s="440">
        <v>2</v>
      </c>
      <c r="BD79" s="440">
        <v>1</v>
      </c>
      <c r="BE79" s="440">
        <v>1</v>
      </c>
      <c r="BF79" s="442">
        <f t="shared" si="39"/>
        <v>0.5</v>
      </c>
      <c r="BG79" s="440">
        <v>0</v>
      </c>
      <c r="BH79" s="442">
        <f t="shared" si="58"/>
        <v>-0.5</v>
      </c>
      <c r="BI79" s="441">
        <v>-1</v>
      </c>
      <c r="BJ79" s="447">
        <v>5400</v>
      </c>
      <c r="BK79" s="440">
        <v>-31</v>
      </c>
      <c r="BL79" s="440">
        <v>-26</v>
      </c>
      <c r="BM79" s="440">
        <v>-21</v>
      </c>
      <c r="BN79" s="440">
        <v>-16</v>
      </c>
      <c r="BO79" s="440">
        <v>-10</v>
      </c>
      <c r="BP79" s="440">
        <v>-5</v>
      </c>
      <c r="BQ79" s="442">
        <f t="shared" si="40"/>
        <v>-2.5</v>
      </c>
      <c r="BR79" s="440">
        <v>0</v>
      </c>
      <c r="BS79" s="442">
        <f t="shared" si="59"/>
        <v>2.5</v>
      </c>
      <c r="BT79" s="440">
        <v>5</v>
      </c>
      <c r="BU79" s="435">
        <v>5400</v>
      </c>
      <c r="BV79" s="440">
        <v>1</v>
      </c>
      <c r="BW79" s="440">
        <v>1</v>
      </c>
      <c r="BX79" s="440">
        <v>1</v>
      </c>
      <c r="BY79" s="440">
        <v>1</v>
      </c>
      <c r="BZ79" s="440">
        <v>0</v>
      </c>
      <c r="CA79" s="440">
        <v>0</v>
      </c>
      <c r="CB79" s="442">
        <f t="shared" si="41"/>
        <v>0</v>
      </c>
      <c r="CC79" s="440">
        <v>0</v>
      </c>
      <c r="CD79" s="442">
        <f t="shared" si="60"/>
        <v>0</v>
      </c>
      <c r="CE79" s="441">
        <v>0</v>
      </c>
      <c r="CF79" s="435">
        <v>5400</v>
      </c>
      <c r="CG79" s="440">
        <v>-23</v>
      </c>
      <c r="CH79" s="440">
        <v>-19</v>
      </c>
      <c r="CI79" s="440">
        <v>-15</v>
      </c>
      <c r="CJ79" s="440">
        <v>-11</v>
      </c>
      <c r="CK79" s="440">
        <v>-8</v>
      </c>
      <c r="CL79" s="440">
        <v>-4</v>
      </c>
      <c r="CM79" s="442">
        <f t="shared" si="42"/>
        <v>-2</v>
      </c>
      <c r="CN79" s="440">
        <v>0</v>
      </c>
      <c r="CO79" s="442">
        <f t="shared" si="61"/>
        <v>2</v>
      </c>
      <c r="CP79" s="441">
        <v>4</v>
      </c>
      <c r="CQ79" s="435">
        <v>5400</v>
      </c>
      <c r="CR79" s="440">
        <v>1</v>
      </c>
      <c r="CS79" s="440">
        <v>1</v>
      </c>
      <c r="CT79" s="440">
        <v>1</v>
      </c>
      <c r="CU79" s="440">
        <v>1</v>
      </c>
      <c r="CV79" s="440">
        <v>0</v>
      </c>
      <c r="CW79" s="440">
        <v>0</v>
      </c>
      <c r="CX79" s="442">
        <f t="shared" si="43"/>
        <v>0</v>
      </c>
      <c r="CY79" s="440">
        <v>0</v>
      </c>
      <c r="CZ79" s="442">
        <f t="shared" si="62"/>
        <v>0</v>
      </c>
      <c r="DA79" s="441">
        <v>0</v>
      </c>
      <c r="DB79" s="435">
        <v>5400</v>
      </c>
      <c r="DC79" s="440">
        <v>-21</v>
      </c>
      <c r="DD79" s="440">
        <v>-17</v>
      </c>
      <c r="DE79" s="440">
        <v>-14</v>
      </c>
      <c r="DF79" s="440">
        <v>-10</v>
      </c>
      <c r="DG79" s="440">
        <v>-7</v>
      </c>
      <c r="DH79" s="440">
        <v>-3</v>
      </c>
      <c r="DI79" s="442">
        <f t="shared" si="44"/>
        <v>-1.5</v>
      </c>
      <c r="DJ79" s="440">
        <v>0</v>
      </c>
      <c r="DK79" s="442">
        <f t="shared" si="63"/>
        <v>1.5</v>
      </c>
      <c r="DL79" s="441">
        <v>3</v>
      </c>
      <c r="DM79" s="435">
        <v>5400</v>
      </c>
      <c r="DN79" s="440">
        <v>1</v>
      </c>
      <c r="DO79" s="440">
        <v>1</v>
      </c>
      <c r="DP79" s="440">
        <v>1</v>
      </c>
      <c r="DQ79" s="440">
        <v>1</v>
      </c>
      <c r="DR79" s="440">
        <v>0</v>
      </c>
      <c r="DS79" s="440">
        <v>0</v>
      </c>
      <c r="DT79" s="442">
        <f t="shared" si="45"/>
        <v>0</v>
      </c>
      <c r="DU79" s="440">
        <v>0</v>
      </c>
      <c r="DV79" s="442">
        <f t="shared" si="64"/>
        <v>0</v>
      </c>
      <c r="DW79" s="441">
        <v>0</v>
      </c>
      <c r="DX79" s="435">
        <v>5400</v>
      </c>
      <c r="DY79" s="440">
        <v>-24</v>
      </c>
      <c r="DZ79" s="440">
        <v>-20</v>
      </c>
      <c r="EA79" s="440">
        <v>-16</v>
      </c>
      <c r="EB79" s="440">
        <v>-12</v>
      </c>
      <c r="EC79" s="440">
        <v>-8</v>
      </c>
      <c r="ED79" s="440">
        <v>-4</v>
      </c>
      <c r="EE79" s="442">
        <f t="shared" si="46"/>
        <v>-2</v>
      </c>
      <c r="EF79" s="440">
        <v>0</v>
      </c>
      <c r="EG79" s="442">
        <f t="shared" si="65"/>
        <v>2</v>
      </c>
      <c r="EH79" s="440">
        <v>4</v>
      </c>
      <c r="EI79" s="435">
        <v>5400</v>
      </c>
      <c r="EJ79" s="440">
        <v>3</v>
      </c>
      <c r="EK79" s="440">
        <v>3</v>
      </c>
      <c r="EL79" s="440">
        <v>2</v>
      </c>
      <c r="EM79" s="440">
        <v>2</v>
      </c>
      <c r="EN79" s="440">
        <v>1</v>
      </c>
      <c r="EO79" s="440">
        <v>1</v>
      </c>
      <c r="EP79" s="442">
        <f t="shared" si="66"/>
        <v>0.5</v>
      </c>
      <c r="EQ79" s="440">
        <v>0</v>
      </c>
      <c r="ER79" s="442">
        <f t="shared" si="67"/>
        <v>-0.5</v>
      </c>
      <c r="ES79" s="441">
        <v>-1</v>
      </c>
      <c r="ET79" s="435">
        <v>5400</v>
      </c>
      <c r="EU79" s="440">
        <v>-22</v>
      </c>
      <c r="EV79" s="440">
        <v>-19</v>
      </c>
      <c r="EW79" s="440">
        <v>-15</v>
      </c>
      <c r="EX79" s="440">
        <v>-11</v>
      </c>
      <c r="EY79" s="440">
        <v>-7</v>
      </c>
      <c r="EZ79" s="440">
        <v>-4</v>
      </c>
      <c r="FA79" s="442">
        <f t="shared" si="68"/>
        <v>-2</v>
      </c>
      <c r="FB79" s="440">
        <v>0</v>
      </c>
      <c r="FC79" s="442">
        <f t="shared" si="69"/>
        <v>2</v>
      </c>
      <c r="FD79" s="440">
        <v>4</v>
      </c>
      <c r="FE79" s="435">
        <v>5400</v>
      </c>
      <c r="FF79" s="440">
        <v>1</v>
      </c>
      <c r="FG79" s="440">
        <v>1</v>
      </c>
      <c r="FH79" s="440">
        <v>1</v>
      </c>
      <c r="FI79" s="440">
        <v>1</v>
      </c>
      <c r="FJ79" s="440">
        <v>0</v>
      </c>
      <c r="FK79" s="440">
        <v>0</v>
      </c>
      <c r="FL79" s="442">
        <f t="shared" si="47"/>
        <v>0</v>
      </c>
      <c r="FM79" s="440">
        <v>0</v>
      </c>
      <c r="FN79" s="442">
        <f t="shared" si="70"/>
        <v>0</v>
      </c>
      <c r="FO79" s="441">
        <v>0</v>
      </c>
      <c r="FP79" s="435">
        <v>5400</v>
      </c>
      <c r="FQ79" s="440">
        <v>-23</v>
      </c>
      <c r="FR79" s="440">
        <v>-19</v>
      </c>
      <c r="FS79" s="440">
        <v>-15</v>
      </c>
      <c r="FT79" s="440">
        <v>-11</v>
      </c>
      <c r="FU79" s="440">
        <v>-8</v>
      </c>
      <c r="FV79" s="440">
        <v>-4</v>
      </c>
      <c r="FW79" s="442">
        <f t="shared" si="48"/>
        <v>-2</v>
      </c>
      <c r="FX79" s="440">
        <v>0</v>
      </c>
      <c r="FY79" s="442">
        <f t="shared" si="71"/>
        <v>2</v>
      </c>
      <c r="FZ79" s="440">
        <v>4</v>
      </c>
      <c r="GA79" s="435">
        <v>5400</v>
      </c>
      <c r="GB79" s="440">
        <v>-35</v>
      </c>
      <c r="GC79" s="440">
        <v>-29</v>
      </c>
      <c r="GD79" s="440">
        <v>-24</v>
      </c>
      <c r="GE79" s="440">
        <v>-18</v>
      </c>
      <c r="GF79" s="440">
        <v>-12</v>
      </c>
      <c r="GG79" s="440">
        <v>-6</v>
      </c>
      <c r="GH79" s="442">
        <f t="shared" si="49"/>
        <v>-3</v>
      </c>
      <c r="GI79" s="440">
        <v>0</v>
      </c>
      <c r="GJ79" s="442">
        <f t="shared" si="72"/>
        <v>3</v>
      </c>
      <c r="GK79" s="441">
        <v>6</v>
      </c>
      <c r="GL79" s="435">
        <v>5400</v>
      </c>
      <c r="GM79" s="440">
        <v>-35</v>
      </c>
      <c r="GN79" s="440">
        <v>-29</v>
      </c>
      <c r="GO79" s="440">
        <v>-23</v>
      </c>
      <c r="GP79" s="440">
        <v>-17</v>
      </c>
      <c r="GQ79" s="440">
        <v>-12</v>
      </c>
      <c r="GR79" s="440">
        <v>-6</v>
      </c>
      <c r="GS79" s="442">
        <f t="shared" si="50"/>
        <v>-3</v>
      </c>
      <c r="GT79" s="440">
        <v>0</v>
      </c>
      <c r="GU79" s="442">
        <f t="shared" si="73"/>
        <v>3</v>
      </c>
      <c r="GV79" s="441">
        <v>6</v>
      </c>
    </row>
    <row r="80" spans="7:204">
      <c r="G80" s="435">
        <v>5300</v>
      </c>
      <c r="H80" s="445">
        <v>35</v>
      </c>
      <c r="I80" s="249">
        <v>29</v>
      </c>
      <c r="J80" s="249">
        <v>24</v>
      </c>
      <c r="K80" s="249">
        <v>17</v>
      </c>
      <c r="L80" s="249">
        <v>12</v>
      </c>
      <c r="M80" s="249">
        <v>6</v>
      </c>
      <c r="N80" s="249">
        <f t="shared" si="51"/>
        <v>3</v>
      </c>
      <c r="O80" s="249">
        <v>0</v>
      </c>
      <c r="P80" s="249">
        <f t="shared" si="52"/>
        <v>-3</v>
      </c>
      <c r="Q80" s="446">
        <v>-6</v>
      </c>
      <c r="R80" s="435">
        <v>5300</v>
      </c>
      <c r="S80" s="248">
        <v>11</v>
      </c>
      <c r="T80" s="248">
        <v>9</v>
      </c>
      <c r="U80" s="248">
        <v>8</v>
      </c>
      <c r="V80" s="248">
        <v>6</v>
      </c>
      <c r="W80" s="248">
        <v>4</v>
      </c>
      <c r="X80" s="248">
        <v>2</v>
      </c>
      <c r="Y80" s="249">
        <f t="shared" si="53"/>
        <v>1</v>
      </c>
      <c r="Z80" s="248">
        <v>0</v>
      </c>
      <c r="AA80" s="439">
        <f t="shared" si="54"/>
        <v>-1</v>
      </c>
      <c r="AB80" s="248">
        <v>-2</v>
      </c>
      <c r="AC80" s="435">
        <v>5300</v>
      </c>
      <c r="AD80" s="440">
        <v>-31</v>
      </c>
      <c r="AE80" s="440">
        <v>-26</v>
      </c>
      <c r="AF80" s="440">
        <v>-21</v>
      </c>
      <c r="AG80" s="440">
        <v>-16</v>
      </c>
      <c r="AH80" s="440">
        <v>-10</v>
      </c>
      <c r="AI80" s="440">
        <v>-5</v>
      </c>
      <c r="AJ80" s="249">
        <f t="shared" si="55"/>
        <v>-2.5</v>
      </c>
      <c r="AK80" s="248">
        <v>0</v>
      </c>
      <c r="AL80" s="439">
        <f t="shared" si="56"/>
        <v>2.5</v>
      </c>
      <c r="AM80" s="441">
        <v>5</v>
      </c>
      <c r="AN80" s="435">
        <v>5300</v>
      </c>
      <c r="AO80" s="440">
        <v>-55</v>
      </c>
      <c r="AP80" s="440">
        <v>-46</v>
      </c>
      <c r="AQ80" s="440">
        <v>-37</v>
      </c>
      <c r="AR80" s="440">
        <v>-27</v>
      </c>
      <c r="AS80" s="440">
        <v>-18</v>
      </c>
      <c r="AT80" s="440">
        <v>-9</v>
      </c>
      <c r="AU80" s="442">
        <f t="shared" si="38"/>
        <v>-4.5</v>
      </c>
      <c r="AV80" s="440">
        <v>0</v>
      </c>
      <c r="AW80" s="442">
        <f t="shared" si="57"/>
        <v>4.5</v>
      </c>
      <c r="AX80" s="441">
        <v>9</v>
      </c>
      <c r="AY80" s="435">
        <v>5300</v>
      </c>
      <c r="AZ80" s="440">
        <v>4</v>
      </c>
      <c r="BA80" s="440">
        <v>3</v>
      </c>
      <c r="BB80" s="440">
        <v>2</v>
      </c>
      <c r="BC80" s="440">
        <v>2</v>
      </c>
      <c r="BD80" s="440">
        <v>1</v>
      </c>
      <c r="BE80" s="440">
        <v>1</v>
      </c>
      <c r="BF80" s="442">
        <f t="shared" si="39"/>
        <v>0.5</v>
      </c>
      <c r="BG80" s="440">
        <v>0</v>
      </c>
      <c r="BH80" s="442">
        <f t="shared" si="58"/>
        <v>-0.5</v>
      </c>
      <c r="BI80" s="441">
        <v>-1</v>
      </c>
      <c r="BJ80" s="447">
        <v>5300</v>
      </c>
      <c r="BK80" s="440">
        <v>-31</v>
      </c>
      <c r="BL80" s="440">
        <v>-26</v>
      </c>
      <c r="BM80" s="440">
        <v>-21</v>
      </c>
      <c r="BN80" s="440">
        <v>-16</v>
      </c>
      <c r="BO80" s="440">
        <v>-10</v>
      </c>
      <c r="BP80" s="440">
        <v>-5</v>
      </c>
      <c r="BQ80" s="442">
        <f t="shared" si="40"/>
        <v>-2.5</v>
      </c>
      <c r="BR80" s="440">
        <v>0</v>
      </c>
      <c r="BS80" s="442">
        <f t="shared" si="59"/>
        <v>2.5</v>
      </c>
      <c r="BT80" s="440">
        <v>5</v>
      </c>
      <c r="BU80" s="435">
        <v>5300</v>
      </c>
      <c r="BV80" s="440">
        <v>1</v>
      </c>
      <c r="BW80" s="440">
        <v>1</v>
      </c>
      <c r="BX80" s="440">
        <v>1</v>
      </c>
      <c r="BY80" s="440">
        <v>1</v>
      </c>
      <c r="BZ80" s="440">
        <v>0</v>
      </c>
      <c r="CA80" s="440">
        <v>0</v>
      </c>
      <c r="CB80" s="442">
        <f t="shared" si="41"/>
        <v>0</v>
      </c>
      <c r="CC80" s="440">
        <v>0</v>
      </c>
      <c r="CD80" s="442">
        <f t="shared" si="60"/>
        <v>0</v>
      </c>
      <c r="CE80" s="441">
        <v>0</v>
      </c>
      <c r="CF80" s="435">
        <v>5300</v>
      </c>
      <c r="CG80" s="440">
        <v>-23</v>
      </c>
      <c r="CH80" s="440">
        <v>-19</v>
      </c>
      <c r="CI80" s="440">
        <v>-15</v>
      </c>
      <c r="CJ80" s="440">
        <v>-11</v>
      </c>
      <c r="CK80" s="440">
        <v>-8</v>
      </c>
      <c r="CL80" s="440">
        <v>-4</v>
      </c>
      <c r="CM80" s="442">
        <f t="shared" si="42"/>
        <v>-2</v>
      </c>
      <c r="CN80" s="440">
        <v>0</v>
      </c>
      <c r="CO80" s="442">
        <f t="shared" si="61"/>
        <v>2</v>
      </c>
      <c r="CP80" s="441">
        <v>4</v>
      </c>
      <c r="CQ80" s="435">
        <v>5300</v>
      </c>
      <c r="CR80" s="440">
        <v>1</v>
      </c>
      <c r="CS80" s="440">
        <v>1</v>
      </c>
      <c r="CT80" s="440">
        <v>1</v>
      </c>
      <c r="CU80" s="440">
        <v>1</v>
      </c>
      <c r="CV80" s="440">
        <v>0</v>
      </c>
      <c r="CW80" s="440">
        <v>0</v>
      </c>
      <c r="CX80" s="442">
        <f t="shared" si="43"/>
        <v>0</v>
      </c>
      <c r="CY80" s="440">
        <v>0</v>
      </c>
      <c r="CZ80" s="442">
        <f t="shared" si="62"/>
        <v>0</v>
      </c>
      <c r="DA80" s="441">
        <v>0</v>
      </c>
      <c r="DB80" s="435">
        <v>5300</v>
      </c>
      <c r="DC80" s="440">
        <v>-21</v>
      </c>
      <c r="DD80" s="440">
        <v>-17</v>
      </c>
      <c r="DE80" s="440">
        <v>-14</v>
      </c>
      <c r="DF80" s="440">
        <v>-10</v>
      </c>
      <c r="DG80" s="440">
        <v>-7</v>
      </c>
      <c r="DH80" s="440">
        <v>-3</v>
      </c>
      <c r="DI80" s="442">
        <f t="shared" si="44"/>
        <v>-1.5</v>
      </c>
      <c r="DJ80" s="440">
        <v>0</v>
      </c>
      <c r="DK80" s="442">
        <f t="shared" si="63"/>
        <v>1.5</v>
      </c>
      <c r="DL80" s="441">
        <v>3</v>
      </c>
      <c r="DM80" s="435">
        <v>5300</v>
      </c>
      <c r="DN80" s="440">
        <v>1</v>
      </c>
      <c r="DO80" s="440">
        <v>1</v>
      </c>
      <c r="DP80" s="440">
        <v>1</v>
      </c>
      <c r="DQ80" s="440">
        <v>1</v>
      </c>
      <c r="DR80" s="440">
        <v>0</v>
      </c>
      <c r="DS80" s="440">
        <v>0</v>
      </c>
      <c r="DT80" s="442">
        <f t="shared" si="45"/>
        <v>0</v>
      </c>
      <c r="DU80" s="440">
        <v>0</v>
      </c>
      <c r="DV80" s="442">
        <f t="shared" si="64"/>
        <v>0</v>
      </c>
      <c r="DW80" s="441">
        <v>0</v>
      </c>
      <c r="DX80" s="435">
        <v>5300</v>
      </c>
      <c r="DY80" s="440">
        <v>-24</v>
      </c>
      <c r="DZ80" s="440">
        <v>-20</v>
      </c>
      <c r="EA80" s="440">
        <v>-16</v>
      </c>
      <c r="EB80" s="440">
        <v>-12</v>
      </c>
      <c r="EC80" s="440">
        <v>-8</v>
      </c>
      <c r="ED80" s="440">
        <v>-4</v>
      </c>
      <c r="EE80" s="442">
        <f t="shared" si="46"/>
        <v>-2</v>
      </c>
      <c r="EF80" s="440">
        <v>0</v>
      </c>
      <c r="EG80" s="442">
        <f t="shared" si="65"/>
        <v>2</v>
      </c>
      <c r="EH80" s="440">
        <v>4</v>
      </c>
      <c r="EI80" s="435">
        <v>5300</v>
      </c>
      <c r="EJ80" s="440">
        <v>3</v>
      </c>
      <c r="EK80" s="440">
        <v>3</v>
      </c>
      <c r="EL80" s="440">
        <v>2</v>
      </c>
      <c r="EM80" s="440">
        <v>2</v>
      </c>
      <c r="EN80" s="440">
        <v>1</v>
      </c>
      <c r="EO80" s="440">
        <v>1</v>
      </c>
      <c r="EP80" s="442">
        <f t="shared" si="66"/>
        <v>0.5</v>
      </c>
      <c r="EQ80" s="440">
        <v>0</v>
      </c>
      <c r="ER80" s="442">
        <f t="shared" si="67"/>
        <v>-0.5</v>
      </c>
      <c r="ES80" s="441">
        <v>-1</v>
      </c>
      <c r="ET80" s="435">
        <v>5300</v>
      </c>
      <c r="EU80" s="440">
        <v>-22</v>
      </c>
      <c r="EV80" s="440">
        <v>-19</v>
      </c>
      <c r="EW80" s="440">
        <v>-15</v>
      </c>
      <c r="EX80" s="440">
        <v>-11</v>
      </c>
      <c r="EY80" s="440">
        <v>-7</v>
      </c>
      <c r="EZ80" s="440">
        <v>-4</v>
      </c>
      <c r="FA80" s="442">
        <f t="shared" si="68"/>
        <v>-2</v>
      </c>
      <c r="FB80" s="440">
        <v>0</v>
      </c>
      <c r="FC80" s="442">
        <f t="shared" si="69"/>
        <v>2</v>
      </c>
      <c r="FD80" s="440">
        <v>4</v>
      </c>
      <c r="FE80" s="435">
        <v>5300</v>
      </c>
      <c r="FF80" s="440">
        <v>1</v>
      </c>
      <c r="FG80" s="440">
        <v>1</v>
      </c>
      <c r="FH80" s="440">
        <v>1</v>
      </c>
      <c r="FI80" s="440">
        <v>1</v>
      </c>
      <c r="FJ80" s="440">
        <v>0</v>
      </c>
      <c r="FK80" s="440">
        <v>0</v>
      </c>
      <c r="FL80" s="442">
        <f t="shared" si="47"/>
        <v>0</v>
      </c>
      <c r="FM80" s="440">
        <v>0</v>
      </c>
      <c r="FN80" s="442">
        <f t="shared" si="70"/>
        <v>0</v>
      </c>
      <c r="FO80" s="441">
        <v>0</v>
      </c>
      <c r="FP80" s="435">
        <v>5300</v>
      </c>
      <c r="FQ80" s="440">
        <v>-23</v>
      </c>
      <c r="FR80" s="440">
        <v>-19</v>
      </c>
      <c r="FS80" s="440">
        <v>-15</v>
      </c>
      <c r="FT80" s="440">
        <v>-11</v>
      </c>
      <c r="FU80" s="440">
        <v>-8</v>
      </c>
      <c r="FV80" s="440">
        <v>-4</v>
      </c>
      <c r="FW80" s="442">
        <f t="shared" si="48"/>
        <v>-2</v>
      </c>
      <c r="FX80" s="440">
        <v>0</v>
      </c>
      <c r="FY80" s="442">
        <f t="shared" si="71"/>
        <v>2</v>
      </c>
      <c r="FZ80" s="440">
        <v>4</v>
      </c>
      <c r="GA80" s="435">
        <v>5300</v>
      </c>
      <c r="GB80" s="440">
        <v>-35</v>
      </c>
      <c r="GC80" s="440">
        <v>-29</v>
      </c>
      <c r="GD80" s="440">
        <v>-24</v>
      </c>
      <c r="GE80" s="440">
        <v>-18</v>
      </c>
      <c r="GF80" s="440">
        <v>-12</v>
      </c>
      <c r="GG80" s="440">
        <v>-6</v>
      </c>
      <c r="GH80" s="442">
        <f t="shared" si="49"/>
        <v>-3</v>
      </c>
      <c r="GI80" s="440">
        <v>0</v>
      </c>
      <c r="GJ80" s="442">
        <f t="shared" si="72"/>
        <v>3</v>
      </c>
      <c r="GK80" s="441">
        <v>6</v>
      </c>
      <c r="GL80" s="435">
        <v>5300</v>
      </c>
      <c r="GM80" s="440">
        <v>-35</v>
      </c>
      <c r="GN80" s="440">
        <v>-29</v>
      </c>
      <c r="GO80" s="440">
        <v>-23</v>
      </c>
      <c r="GP80" s="440">
        <v>-17</v>
      </c>
      <c r="GQ80" s="440">
        <v>-12</v>
      </c>
      <c r="GR80" s="440">
        <v>-6</v>
      </c>
      <c r="GS80" s="442">
        <f t="shared" si="50"/>
        <v>-3</v>
      </c>
      <c r="GT80" s="440">
        <v>0</v>
      </c>
      <c r="GU80" s="442">
        <f t="shared" si="73"/>
        <v>3</v>
      </c>
      <c r="GV80" s="441">
        <v>6</v>
      </c>
    </row>
    <row r="81" spans="7:204">
      <c r="G81" s="435">
        <v>5200</v>
      </c>
      <c r="H81" s="445">
        <v>35</v>
      </c>
      <c r="I81" s="249">
        <v>29</v>
      </c>
      <c r="J81" s="249">
        <v>24</v>
      </c>
      <c r="K81" s="249">
        <v>17</v>
      </c>
      <c r="L81" s="249">
        <v>12</v>
      </c>
      <c r="M81" s="249">
        <v>6</v>
      </c>
      <c r="N81" s="249">
        <f t="shared" si="51"/>
        <v>3</v>
      </c>
      <c r="O81" s="249">
        <v>0</v>
      </c>
      <c r="P81" s="249">
        <f t="shared" si="52"/>
        <v>-3</v>
      </c>
      <c r="Q81" s="446">
        <v>-6</v>
      </c>
      <c r="R81" s="435">
        <v>5200</v>
      </c>
      <c r="S81" s="248">
        <v>11</v>
      </c>
      <c r="T81" s="248">
        <v>9</v>
      </c>
      <c r="U81" s="248">
        <v>8</v>
      </c>
      <c r="V81" s="248">
        <v>6</v>
      </c>
      <c r="W81" s="248">
        <v>4</v>
      </c>
      <c r="X81" s="248">
        <v>2</v>
      </c>
      <c r="Y81" s="249">
        <f t="shared" si="53"/>
        <v>1</v>
      </c>
      <c r="Z81" s="248">
        <v>0</v>
      </c>
      <c r="AA81" s="439">
        <f t="shared" si="54"/>
        <v>-1</v>
      </c>
      <c r="AB81" s="248">
        <v>-2</v>
      </c>
      <c r="AC81" s="435">
        <v>5200</v>
      </c>
      <c r="AD81" s="440">
        <v>-31</v>
      </c>
      <c r="AE81" s="440">
        <v>-26</v>
      </c>
      <c r="AF81" s="440">
        <v>-21</v>
      </c>
      <c r="AG81" s="440">
        <v>-16</v>
      </c>
      <c r="AH81" s="440">
        <v>-10</v>
      </c>
      <c r="AI81" s="440">
        <v>-5</v>
      </c>
      <c r="AJ81" s="249">
        <f t="shared" si="55"/>
        <v>-2.5</v>
      </c>
      <c r="AK81" s="248">
        <v>0</v>
      </c>
      <c r="AL81" s="439">
        <f t="shared" si="56"/>
        <v>2.5</v>
      </c>
      <c r="AM81" s="441">
        <v>5</v>
      </c>
      <c r="AN81" s="435">
        <v>5200</v>
      </c>
      <c r="AO81" s="440">
        <v>-55</v>
      </c>
      <c r="AP81" s="440">
        <v>-46</v>
      </c>
      <c r="AQ81" s="440">
        <v>-37</v>
      </c>
      <c r="AR81" s="440">
        <v>-27</v>
      </c>
      <c r="AS81" s="440">
        <v>-18</v>
      </c>
      <c r="AT81" s="440">
        <v>-9</v>
      </c>
      <c r="AU81" s="442">
        <f t="shared" si="38"/>
        <v>-4.5</v>
      </c>
      <c r="AV81" s="440">
        <v>0</v>
      </c>
      <c r="AW81" s="442">
        <f t="shared" si="57"/>
        <v>4.5</v>
      </c>
      <c r="AX81" s="441">
        <v>9</v>
      </c>
      <c r="AY81" s="435">
        <v>5200</v>
      </c>
      <c r="AZ81" s="440">
        <v>4</v>
      </c>
      <c r="BA81" s="440">
        <v>3</v>
      </c>
      <c r="BB81" s="440">
        <v>2</v>
      </c>
      <c r="BC81" s="440">
        <v>2</v>
      </c>
      <c r="BD81" s="440">
        <v>1</v>
      </c>
      <c r="BE81" s="440">
        <v>1</v>
      </c>
      <c r="BF81" s="442">
        <f t="shared" si="39"/>
        <v>0.5</v>
      </c>
      <c r="BG81" s="440">
        <v>0</v>
      </c>
      <c r="BH81" s="442">
        <f t="shared" si="58"/>
        <v>-0.5</v>
      </c>
      <c r="BI81" s="441">
        <v>-1</v>
      </c>
      <c r="BJ81" s="447">
        <v>5200</v>
      </c>
      <c r="BK81" s="440">
        <v>-31</v>
      </c>
      <c r="BL81" s="440">
        <v>-26</v>
      </c>
      <c r="BM81" s="440">
        <v>-21</v>
      </c>
      <c r="BN81" s="440">
        <v>-16</v>
      </c>
      <c r="BO81" s="440">
        <v>-10</v>
      </c>
      <c r="BP81" s="440">
        <v>-5</v>
      </c>
      <c r="BQ81" s="442">
        <f t="shared" si="40"/>
        <v>-2.5</v>
      </c>
      <c r="BR81" s="440">
        <v>0</v>
      </c>
      <c r="BS81" s="442">
        <f t="shared" si="59"/>
        <v>2.5</v>
      </c>
      <c r="BT81" s="440">
        <v>5</v>
      </c>
      <c r="BU81" s="435">
        <v>5200</v>
      </c>
      <c r="BV81" s="440">
        <v>1</v>
      </c>
      <c r="BW81" s="440">
        <v>1</v>
      </c>
      <c r="BX81" s="440">
        <v>1</v>
      </c>
      <c r="BY81" s="440">
        <v>1</v>
      </c>
      <c r="BZ81" s="440">
        <v>0</v>
      </c>
      <c r="CA81" s="440">
        <v>0</v>
      </c>
      <c r="CB81" s="442">
        <f t="shared" si="41"/>
        <v>0</v>
      </c>
      <c r="CC81" s="440">
        <v>0</v>
      </c>
      <c r="CD81" s="442">
        <f t="shared" si="60"/>
        <v>0</v>
      </c>
      <c r="CE81" s="441">
        <v>0</v>
      </c>
      <c r="CF81" s="435">
        <v>5200</v>
      </c>
      <c r="CG81" s="440">
        <v>-23</v>
      </c>
      <c r="CH81" s="440">
        <v>-19</v>
      </c>
      <c r="CI81" s="440">
        <v>-15</v>
      </c>
      <c r="CJ81" s="440">
        <v>-11</v>
      </c>
      <c r="CK81" s="440">
        <v>-8</v>
      </c>
      <c r="CL81" s="440">
        <v>-4</v>
      </c>
      <c r="CM81" s="442">
        <f t="shared" si="42"/>
        <v>-2</v>
      </c>
      <c r="CN81" s="440">
        <v>0</v>
      </c>
      <c r="CO81" s="442">
        <f t="shared" si="61"/>
        <v>2</v>
      </c>
      <c r="CP81" s="441">
        <v>4</v>
      </c>
      <c r="CQ81" s="435">
        <v>5200</v>
      </c>
      <c r="CR81" s="440">
        <v>1</v>
      </c>
      <c r="CS81" s="440">
        <v>1</v>
      </c>
      <c r="CT81" s="440">
        <v>1</v>
      </c>
      <c r="CU81" s="440">
        <v>1</v>
      </c>
      <c r="CV81" s="440">
        <v>0</v>
      </c>
      <c r="CW81" s="440">
        <v>0</v>
      </c>
      <c r="CX81" s="442">
        <f t="shared" si="43"/>
        <v>0</v>
      </c>
      <c r="CY81" s="440">
        <v>0</v>
      </c>
      <c r="CZ81" s="442">
        <f t="shared" si="62"/>
        <v>0</v>
      </c>
      <c r="DA81" s="441">
        <v>0</v>
      </c>
      <c r="DB81" s="435">
        <v>5200</v>
      </c>
      <c r="DC81" s="440">
        <v>-21</v>
      </c>
      <c r="DD81" s="440">
        <v>-17</v>
      </c>
      <c r="DE81" s="440">
        <v>-14</v>
      </c>
      <c r="DF81" s="440">
        <v>-10</v>
      </c>
      <c r="DG81" s="440">
        <v>-7</v>
      </c>
      <c r="DH81" s="440">
        <v>-3</v>
      </c>
      <c r="DI81" s="442">
        <f t="shared" si="44"/>
        <v>-1.5</v>
      </c>
      <c r="DJ81" s="440">
        <v>0</v>
      </c>
      <c r="DK81" s="442">
        <f t="shared" si="63"/>
        <v>1.5</v>
      </c>
      <c r="DL81" s="441">
        <v>3</v>
      </c>
      <c r="DM81" s="435">
        <v>5200</v>
      </c>
      <c r="DN81" s="440">
        <v>1</v>
      </c>
      <c r="DO81" s="440">
        <v>1</v>
      </c>
      <c r="DP81" s="440">
        <v>1</v>
      </c>
      <c r="DQ81" s="440">
        <v>1</v>
      </c>
      <c r="DR81" s="440">
        <v>0</v>
      </c>
      <c r="DS81" s="440">
        <v>0</v>
      </c>
      <c r="DT81" s="442">
        <f t="shared" si="45"/>
        <v>0</v>
      </c>
      <c r="DU81" s="440">
        <v>0</v>
      </c>
      <c r="DV81" s="442">
        <f t="shared" si="64"/>
        <v>0</v>
      </c>
      <c r="DW81" s="441">
        <v>0</v>
      </c>
      <c r="DX81" s="435">
        <v>5200</v>
      </c>
      <c r="DY81" s="440">
        <v>-24</v>
      </c>
      <c r="DZ81" s="440">
        <v>-20</v>
      </c>
      <c r="EA81" s="440">
        <v>-16</v>
      </c>
      <c r="EB81" s="440">
        <v>-12</v>
      </c>
      <c r="EC81" s="440">
        <v>-8</v>
      </c>
      <c r="ED81" s="440">
        <v>-4</v>
      </c>
      <c r="EE81" s="442">
        <f t="shared" si="46"/>
        <v>-2</v>
      </c>
      <c r="EF81" s="440">
        <v>0</v>
      </c>
      <c r="EG81" s="442">
        <f t="shared" si="65"/>
        <v>2</v>
      </c>
      <c r="EH81" s="440">
        <v>4</v>
      </c>
      <c r="EI81" s="435">
        <v>5200</v>
      </c>
      <c r="EJ81" s="440">
        <v>3</v>
      </c>
      <c r="EK81" s="440">
        <v>3</v>
      </c>
      <c r="EL81" s="440">
        <v>2</v>
      </c>
      <c r="EM81" s="440">
        <v>2</v>
      </c>
      <c r="EN81" s="440">
        <v>1</v>
      </c>
      <c r="EO81" s="440">
        <v>1</v>
      </c>
      <c r="EP81" s="442">
        <f t="shared" si="66"/>
        <v>0.5</v>
      </c>
      <c r="EQ81" s="440">
        <v>0</v>
      </c>
      <c r="ER81" s="442">
        <f t="shared" si="67"/>
        <v>-0.5</v>
      </c>
      <c r="ES81" s="441">
        <v>-1</v>
      </c>
      <c r="ET81" s="435">
        <v>5200</v>
      </c>
      <c r="EU81" s="440">
        <v>-22</v>
      </c>
      <c r="EV81" s="440">
        <v>-19</v>
      </c>
      <c r="EW81" s="440">
        <v>-15</v>
      </c>
      <c r="EX81" s="440">
        <v>-11</v>
      </c>
      <c r="EY81" s="440">
        <v>-7</v>
      </c>
      <c r="EZ81" s="440">
        <v>-4</v>
      </c>
      <c r="FA81" s="442">
        <f t="shared" si="68"/>
        <v>-2</v>
      </c>
      <c r="FB81" s="440">
        <v>0</v>
      </c>
      <c r="FC81" s="442">
        <f t="shared" si="69"/>
        <v>2</v>
      </c>
      <c r="FD81" s="440">
        <v>4</v>
      </c>
      <c r="FE81" s="435">
        <v>5200</v>
      </c>
      <c r="FF81" s="440">
        <v>1</v>
      </c>
      <c r="FG81" s="440">
        <v>1</v>
      </c>
      <c r="FH81" s="440">
        <v>1</v>
      </c>
      <c r="FI81" s="440">
        <v>1</v>
      </c>
      <c r="FJ81" s="440">
        <v>0</v>
      </c>
      <c r="FK81" s="440">
        <v>0</v>
      </c>
      <c r="FL81" s="442">
        <f t="shared" si="47"/>
        <v>0</v>
      </c>
      <c r="FM81" s="440">
        <v>0</v>
      </c>
      <c r="FN81" s="442">
        <f t="shared" si="70"/>
        <v>0</v>
      </c>
      <c r="FO81" s="441">
        <v>0</v>
      </c>
      <c r="FP81" s="435">
        <v>5200</v>
      </c>
      <c r="FQ81" s="440">
        <v>-23</v>
      </c>
      <c r="FR81" s="440">
        <v>-19</v>
      </c>
      <c r="FS81" s="440">
        <v>-15</v>
      </c>
      <c r="FT81" s="440">
        <v>-11</v>
      </c>
      <c r="FU81" s="440">
        <v>-8</v>
      </c>
      <c r="FV81" s="440">
        <v>-4</v>
      </c>
      <c r="FW81" s="442">
        <f t="shared" si="48"/>
        <v>-2</v>
      </c>
      <c r="FX81" s="440">
        <v>0</v>
      </c>
      <c r="FY81" s="442">
        <f t="shared" si="71"/>
        <v>2</v>
      </c>
      <c r="FZ81" s="440">
        <v>4</v>
      </c>
      <c r="GA81" s="435">
        <v>5200</v>
      </c>
      <c r="GB81" s="440">
        <v>-35</v>
      </c>
      <c r="GC81" s="440">
        <v>-29</v>
      </c>
      <c r="GD81" s="440">
        <v>-24</v>
      </c>
      <c r="GE81" s="440">
        <v>-18</v>
      </c>
      <c r="GF81" s="440">
        <v>-12</v>
      </c>
      <c r="GG81" s="440">
        <v>-6</v>
      </c>
      <c r="GH81" s="442">
        <f t="shared" si="49"/>
        <v>-3</v>
      </c>
      <c r="GI81" s="440">
        <v>0</v>
      </c>
      <c r="GJ81" s="442">
        <f t="shared" si="72"/>
        <v>3</v>
      </c>
      <c r="GK81" s="441">
        <v>6</v>
      </c>
      <c r="GL81" s="435">
        <v>5200</v>
      </c>
      <c r="GM81" s="440">
        <v>-35</v>
      </c>
      <c r="GN81" s="440">
        <v>-29</v>
      </c>
      <c r="GO81" s="440">
        <v>-23</v>
      </c>
      <c r="GP81" s="440">
        <v>-17</v>
      </c>
      <c r="GQ81" s="440">
        <v>-12</v>
      </c>
      <c r="GR81" s="440">
        <v>-6</v>
      </c>
      <c r="GS81" s="442">
        <f t="shared" si="50"/>
        <v>-3</v>
      </c>
      <c r="GT81" s="440">
        <v>0</v>
      </c>
      <c r="GU81" s="442">
        <f t="shared" si="73"/>
        <v>3</v>
      </c>
      <c r="GV81" s="441">
        <v>6</v>
      </c>
    </row>
    <row r="82" spans="7:204">
      <c r="G82" s="435">
        <v>5100</v>
      </c>
      <c r="H82" s="445">
        <v>35</v>
      </c>
      <c r="I82" s="249">
        <v>29</v>
      </c>
      <c r="J82" s="249">
        <v>24</v>
      </c>
      <c r="K82" s="249">
        <v>17</v>
      </c>
      <c r="L82" s="249">
        <v>12</v>
      </c>
      <c r="M82" s="249">
        <v>6</v>
      </c>
      <c r="N82" s="249">
        <f t="shared" si="51"/>
        <v>3</v>
      </c>
      <c r="O82" s="249">
        <v>0</v>
      </c>
      <c r="P82" s="249">
        <f t="shared" si="52"/>
        <v>-3</v>
      </c>
      <c r="Q82" s="446">
        <v>-6</v>
      </c>
      <c r="R82" s="435">
        <v>5100</v>
      </c>
      <c r="S82" s="248">
        <v>11</v>
      </c>
      <c r="T82" s="248">
        <v>9</v>
      </c>
      <c r="U82" s="248">
        <v>8</v>
      </c>
      <c r="V82" s="248">
        <v>6</v>
      </c>
      <c r="W82" s="248">
        <v>4</v>
      </c>
      <c r="X82" s="248">
        <v>2</v>
      </c>
      <c r="Y82" s="249">
        <f t="shared" si="53"/>
        <v>1</v>
      </c>
      <c r="Z82" s="248">
        <v>0</v>
      </c>
      <c r="AA82" s="439">
        <f t="shared" si="54"/>
        <v>-1</v>
      </c>
      <c r="AB82" s="248">
        <v>-2</v>
      </c>
      <c r="AC82" s="435">
        <v>5100</v>
      </c>
      <c r="AD82" s="440">
        <v>-31</v>
      </c>
      <c r="AE82" s="440">
        <v>-26</v>
      </c>
      <c r="AF82" s="440">
        <v>-21</v>
      </c>
      <c r="AG82" s="440">
        <v>-16</v>
      </c>
      <c r="AH82" s="440">
        <v>-10</v>
      </c>
      <c r="AI82" s="440">
        <v>-5</v>
      </c>
      <c r="AJ82" s="249">
        <f t="shared" si="55"/>
        <v>-2.5</v>
      </c>
      <c r="AK82" s="248">
        <v>0</v>
      </c>
      <c r="AL82" s="439">
        <f t="shared" si="56"/>
        <v>2.5</v>
      </c>
      <c r="AM82" s="441">
        <v>5</v>
      </c>
      <c r="AN82" s="435">
        <v>5100</v>
      </c>
      <c r="AO82" s="440">
        <v>-55</v>
      </c>
      <c r="AP82" s="440">
        <v>-46</v>
      </c>
      <c r="AQ82" s="440">
        <v>-37</v>
      </c>
      <c r="AR82" s="440">
        <v>-27</v>
      </c>
      <c r="AS82" s="440">
        <v>-18</v>
      </c>
      <c r="AT82" s="440">
        <v>-9</v>
      </c>
      <c r="AU82" s="442">
        <f t="shared" si="38"/>
        <v>-4.5</v>
      </c>
      <c r="AV82" s="440">
        <v>0</v>
      </c>
      <c r="AW82" s="442">
        <f t="shared" si="57"/>
        <v>4.5</v>
      </c>
      <c r="AX82" s="441">
        <v>9</v>
      </c>
      <c r="AY82" s="435">
        <v>5100</v>
      </c>
      <c r="AZ82" s="440">
        <v>4</v>
      </c>
      <c r="BA82" s="440">
        <v>3</v>
      </c>
      <c r="BB82" s="440">
        <v>2</v>
      </c>
      <c r="BC82" s="440">
        <v>2</v>
      </c>
      <c r="BD82" s="440">
        <v>1</v>
      </c>
      <c r="BE82" s="440">
        <v>1</v>
      </c>
      <c r="BF82" s="442">
        <f t="shared" si="39"/>
        <v>0.5</v>
      </c>
      <c r="BG82" s="440">
        <v>0</v>
      </c>
      <c r="BH82" s="442">
        <f t="shared" si="58"/>
        <v>-0.5</v>
      </c>
      <c r="BI82" s="441">
        <v>-1</v>
      </c>
      <c r="BJ82" s="447">
        <v>5100</v>
      </c>
      <c r="BK82" s="440">
        <v>-31</v>
      </c>
      <c r="BL82" s="440">
        <v>-26</v>
      </c>
      <c r="BM82" s="440">
        <v>-21</v>
      </c>
      <c r="BN82" s="440">
        <v>-16</v>
      </c>
      <c r="BO82" s="440">
        <v>-10</v>
      </c>
      <c r="BP82" s="440">
        <v>-5</v>
      </c>
      <c r="BQ82" s="442">
        <f t="shared" si="40"/>
        <v>-2.5</v>
      </c>
      <c r="BR82" s="440">
        <v>0</v>
      </c>
      <c r="BS82" s="442">
        <f t="shared" si="59"/>
        <v>2.5</v>
      </c>
      <c r="BT82" s="440">
        <v>5</v>
      </c>
      <c r="BU82" s="435">
        <v>5100</v>
      </c>
      <c r="BV82" s="440">
        <v>1</v>
      </c>
      <c r="BW82" s="440">
        <v>1</v>
      </c>
      <c r="BX82" s="440">
        <v>1</v>
      </c>
      <c r="BY82" s="440">
        <v>1</v>
      </c>
      <c r="BZ82" s="440">
        <v>0</v>
      </c>
      <c r="CA82" s="440">
        <v>0</v>
      </c>
      <c r="CB82" s="442">
        <f t="shared" si="41"/>
        <v>0</v>
      </c>
      <c r="CC82" s="440">
        <v>0</v>
      </c>
      <c r="CD82" s="442">
        <f t="shared" si="60"/>
        <v>0</v>
      </c>
      <c r="CE82" s="441">
        <v>0</v>
      </c>
      <c r="CF82" s="435">
        <v>5100</v>
      </c>
      <c r="CG82" s="440">
        <v>-23</v>
      </c>
      <c r="CH82" s="440">
        <v>-19</v>
      </c>
      <c r="CI82" s="440">
        <v>-15</v>
      </c>
      <c r="CJ82" s="440">
        <v>-11</v>
      </c>
      <c r="CK82" s="440">
        <v>-8</v>
      </c>
      <c r="CL82" s="440">
        <v>-4</v>
      </c>
      <c r="CM82" s="442">
        <f t="shared" si="42"/>
        <v>-2</v>
      </c>
      <c r="CN82" s="440">
        <v>0</v>
      </c>
      <c r="CO82" s="442">
        <f t="shared" si="61"/>
        <v>2</v>
      </c>
      <c r="CP82" s="441">
        <v>4</v>
      </c>
      <c r="CQ82" s="435">
        <v>5100</v>
      </c>
      <c r="CR82" s="440">
        <v>1</v>
      </c>
      <c r="CS82" s="440">
        <v>1</v>
      </c>
      <c r="CT82" s="440">
        <v>1</v>
      </c>
      <c r="CU82" s="440">
        <v>1</v>
      </c>
      <c r="CV82" s="440">
        <v>0</v>
      </c>
      <c r="CW82" s="440">
        <v>0</v>
      </c>
      <c r="CX82" s="442">
        <f t="shared" si="43"/>
        <v>0</v>
      </c>
      <c r="CY82" s="440">
        <v>0</v>
      </c>
      <c r="CZ82" s="442">
        <f t="shared" si="62"/>
        <v>0</v>
      </c>
      <c r="DA82" s="441">
        <v>0</v>
      </c>
      <c r="DB82" s="435">
        <v>5100</v>
      </c>
      <c r="DC82" s="440">
        <v>-21</v>
      </c>
      <c r="DD82" s="440">
        <v>-17</v>
      </c>
      <c r="DE82" s="440">
        <v>-14</v>
      </c>
      <c r="DF82" s="440">
        <v>-10</v>
      </c>
      <c r="DG82" s="440">
        <v>-7</v>
      </c>
      <c r="DH82" s="440">
        <v>-3</v>
      </c>
      <c r="DI82" s="442">
        <f t="shared" si="44"/>
        <v>-1.5</v>
      </c>
      <c r="DJ82" s="440">
        <v>0</v>
      </c>
      <c r="DK82" s="442">
        <f t="shared" si="63"/>
        <v>1.5</v>
      </c>
      <c r="DL82" s="441">
        <v>3</v>
      </c>
      <c r="DM82" s="435">
        <v>5100</v>
      </c>
      <c r="DN82" s="440">
        <v>1</v>
      </c>
      <c r="DO82" s="440">
        <v>1</v>
      </c>
      <c r="DP82" s="440">
        <v>1</v>
      </c>
      <c r="DQ82" s="440">
        <v>1</v>
      </c>
      <c r="DR82" s="440">
        <v>0</v>
      </c>
      <c r="DS82" s="440">
        <v>0</v>
      </c>
      <c r="DT82" s="442">
        <f t="shared" si="45"/>
        <v>0</v>
      </c>
      <c r="DU82" s="440">
        <v>0</v>
      </c>
      <c r="DV82" s="442">
        <f t="shared" si="64"/>
        <v>0</v>
      </c>
      <c r="DW82" s="441">
        <v>0</v>
      </c>
      <c r="DX82" s="435">
        <v>5100</v>
      </c>
      <c r="DY82" s="440">
        <v>-24</v>
      </c>
      <c r="DZ82" s="440">
        <v>-20</v>
      </c>
      <c r="EA82" s="440">
        <v>-16</v>
      </c>
      <c r="EB82" s="440">
        <v>-12</v>
      </c>
      <c r="EC82" s="440">
        <v>-8</v>
      </c>
      <c r="ED82" s="440">
        <v>-4</v>
      </c>
      <c r="EE82" s="442">
        <f t="shared" si="46"/>
        <v>-2</v>
      </c>
      <c r="EF82" s="440">
        <v>0</v>
      </c>
      <c r="EG82" s="442">
        <f t="shared" si="65"/>
        <v>2</v>
      </c>
      <c r="EH82" s="440">
        <v>4</v>
      </c>
      <c r="EI82" s="435">
        <v>5100</v>
      </c>
      <c r="EJ82" s="440">
        <v>3</v>
      </c>
      <c r="EK82" s="440">
        <v>3</v>
      </c>
      <c r="EL82" s="440">
        <v>2</v>
      </c>
      <c r="EM82" s="440">
        <v>2</v>
      </c>
      <c r="EN82" s="440">
        <v>1</v>
      </c>
      <c r="EO82" s="440">
        <v>1</v>
      </c>
      <c r="EP82" s="442">
        <f t="shared" si="66"/>
        <v>0.5</v>
      </c>
      <c r="EQ82" s="440">
        <v>0</v>
      </c>
      <c r="ER82" s="442">
        <f t="shared" si="67"/>
        <v>-0.5</v>
      </c>
      <c r="ES82" s="441">
        <v>-1</v>
      </c>
      <c r="ET82" s="435">
        <v>5100</v>
      </c>
      <c r="EU82" s="440">
        <v>-22</v>
      </c>
      <c r="EV82" s="440">
        <v>-19</v>
      </c>
      <c r="EW82" s="440">
        <v>-15</v>
      </c>
      <c r="EX82" s="440">
        <v>-11</v>
      </c>
      <c r="EY82" s="440">
        <v>-7</v>
      </c>
      <c r="EZ82" s="440">
        <v>-4</v>
      </c>
      <c r="FA82" s="442">
        <f t="shared" si="68"/>
        <v>-2</v>
      </c>
      <c r="FB82" s="440">
        <v>0</v>
      </c>
      <c r="FC82" s="442">
        <f t="shared" si="69"/>
        <v>2</v>
      </c>
      <c r="FD82" s="440">
        <v>4</v>
      </c>
      <c r="FE82" s="435">
        <v>5100</v>
      </c>
      <c r="FF82" s="440">
        <v>1</v>
      </c>
      <c r="FG82" s="440">
        <v>1</v>
      </c>
      <c r="FH82" s="440">
        <v>1</v>
      </c>
      <c r="FI82" s="440">
        <v>1</v>
      </c>
      <c r="FJ82" s="440">
        <v>0</v>
      </c>
      <c r="FK82" s="440">
        <v>0</v>
      </c>
      <c r="FL82" s="442">
        <f t="shared" si="47"/>
        <v>0</v>
      </c>
      <c r="FM82" s="440">
        <v>0</v>
      </c>
      <c r="FN82" s="442">
        <f t="shared" si="70"/>
        <v>0</v>
      </c>
      <c r="FO82" s="441">
        <v>0</v>
      </c>
      <c r="FP82" s="435">
        <v>5100</v>
      </c>
      <c r="FQ82" s="440">
        <v>-23</v>
      </c>
      <c r="FR82" s="440">
        <v>-19</v>
      </c>
      <c r="FS82" s="440">
        <v>-15</v>
      </c>
      <c r="FT82" s="440">
        <v>-11</v>
      </c>
      <c r="FU82" s="440">
        <v>-8</v>
      </c>
      <c r="FV82" s="440">
        <v>-4</v>
      </c>
      <c r="FW82" s="442">
        <f t="shared" si="48"/>
        <v>-2</v>
      </c>
      <c r="FX82" s="440">
        <v>0</v>
      </c>
      <c r="FY82" s="442">
        <f t="shared" si="71"/>
        <v>2</v>
      </c>
      <c r="FZ82" s="440">
        <v>4</v>
      </c>
      <c r="GA82" s="435">
        <v>5100</v>
      </c>
      <c r="GB82" s="440">
        <v>-35</v>
      </c>
      <c r="GC82" s="440">
        <v>-29</v>
      </c>
      <c r="GD82" s="440">
        <v>-24</v>
      </c>
      <c r="GE82" s="440">
        <v>-18</v>
      </c>
      <c r="GF82" s="440">
        <v>-12</v>
      </c>
      <c r="GG82" s="440">
        <v>-6</v>
      </c>
      <c r="GH82" s="442">
        <f t="shared" si="49"/>
        <v>-3</v>
      </c>
      <c r="GI82" s="440">
        <v>0</v>
      </c>
      <c r="GJ82" s="442">
        <f t="shared" si="72"/>
        <v>3</v>
      </c>
      <c r="GK82" s="441">
        <v>6</v>
      </c>
      <c r="GL82" s="435">
        <v>5100</v>
      </c>
      <c r="GM82" s="440">
        <v>-35</v>
      </c>
      <c r="GN82" s="440">
        <v>-29</v>
      </c>
      <c r="GO82" s="440">
        <v>-23</v>
      </c>
      <c r="GP82" s="440">
        <v>-17</v>
      </c>
      <c r="GQ82" s="440">
        <v>-12</v>
      </c>
      <c r="GR82" s="440">
        <v>-6</v>
      </c>
      <c r="GS82" s="442">
        <f t="shared" si="50"/>
        <v>-3</v>
      </c>
      <c r="GT82" s="440">
        <v>0</v>
      </c>
      <c r="GU82" s="442">
        <f t="shared" si="73"/>
        <v>3</v>
      </c>
      <c r="GV82" s="441">
        <v>6</v>
      </c>
    </row>
    <row r="83" spans="7:204">
      <c r="G83" s="435">
        <v>5000</v>
      </c>
      <c r="H83" s="445">
        <v>35</v>
      </c>
      <c r="I83" s="249">
        <v>29</v>
      </c>
      <c r="J83" s="249">
        <v>24</v>
      </c>
      <c r="K83" s="248">
        <v>18</v>
      </c>
      <c r="L83" s="249">
        <v>12</v>
      </c>
      <c r="M83" s="249">
        <v>6</v>
      </c>
      <c r="N83" s="249">
        <f t="shared" si="51"/>
        <v>3</v>
      </c>
      <c r="O83" s="249">
        <v>0</v>
      </c>
      <c r="P83" s="249">
        <f t="shared" si="52"/>
        <v>-3</v>
      </c>
      <c r="Q83" s="446">
        <v>-6</v>
      </c>
      <c r="R83" s="435">
        <v>5000</v>
      </c>
      <c r="S83" s="248">
        <v>12</v>
      </c>
      <c r="T83" s="248">
        <v>10</v>
      </c>
      <c r="U83" s="248">
        <v>8</v>
      </c>
      <c r="V83" s="248">
        <v>6</v>
      </c>
      <c r="W83" s="248">
        <v>4</v>
      </c>
      <c r="X83" s="248">
        <v>2</v>
      </c>
      <c r="Y83" s="249">
        <f t="shared" si="53"/>
        <v>1</v>
      </c>
      <c r="Z83" s="248">
        <v>0</v>
      </c>
      <c r="AA83" s="439">
        <f t="shared" si="54"/>
        <v>-1</v>
      </c>
      <c r="AB83" s="248">
        <v>-2</v>
      </c>
      <c r="AC83" s="435">
        <v>5000</v>
      </c>
      <c r="AD83" s="440">
        <v>-31</v>
      </c>
      <c r="AE83" s="440">
        <v>-26</v>
      </c>
      <c r="AF83" s="440">
        <v>-20</v>
      </c>
      <c r="AG83" s="440">
        <v>-15</v>
      </c>
      <c r="AH83" s="440">
        <v>-10</v>
      </c>
      <c r="AI83" s="440">
        <v>-5</v>
      </c>
      <c r="AJ83" s="249">
        <f t="shared" si="55"/>
        <v>-2.5</v>
      </c>
      <c r="AK83" s="248">
        <v>0</v>
      </c>
      <c r="AL83" s="439">
        <f t="shared" si="56"/>
        <v>2.5</v>
      </c>
      <c r="AM83" s="441">
        <v>5</v>
      </c>
      <c r="AN83" s="435">
        <v>5000</v>
      </c>
      <c r="AO83" s="440">
        <v>-54</v>
      </c>
      <c r="AP83" s="440">
        <v>-45</v>
      </c>
      <c r="AQ83" s="440">
        <v>-36</v>
      </c>
      <c r="AR83" s="440">
        <v>-27</v>
      </c>
      <c r="AS83" s="440">
        <v>-18</v>
      </c>
      <c r="AT83" s="440">
        <v>-9</v>
      </c>
      <c r="AU83" s="442">
        <f t="shared" si="38"/>
        <v>-4.5</v>
      </c>
      <c r="AV83" s="440">
        <v>0</v>
      </c>
      <c r="AW83" s="442">
        <f t="shared" si="57"/>
        <v>4.5</v>
      </c>
      <c r="AX83" s="441">
        <v>9</v>
      </c>
      <c r="AY83" s="435">
        <v>5000</v>
      </c>
      <c r="AZ83" s="440">
        <v>4</v>
      </c>
      <c r="BA83" s="440">
        <v>3</v>
      </c>
      <c r="BB83" s="440">
        <v>2</v>
      </c>
      <c r="BC83" s="440">
        <v>2</v>
      </c>
      <c r="BD83" s="440">
        <v>1</v>
      </c>
      <c r="BE83" s="440">
        <v>1</v>
      </c>
      <c r="BF83" s="442">
        <f t="shared" si="39"/>
        <v>0.5</v>
      </c>
      <c r="BG83" s="440">
        <v>0</v>
      </c>
      <c r="BH83" s="442">
        <f t="shared" si="58"/>
        <v>-0.5</v>
      </c>
      <c r="BI83" s="441">
        <v>-1</v>
      </c>
      <c r="BJ83" s="447">
        <v>5000</v>
      </c>
      <c r="BK83" s="440">
        <v>-31</v>
      </c>
      <c r="BL83" s="440">
        <v>-26</v>
      </c>
      <c r="BM83" s="440">
        <v>-21</v>
      </c>
      <c r="BN83" s="440">
        <v>-16</v>
      </c>
      <c r="BO83" s="440">
        <v>-10</v>
      </c>
      <c r="BP83" s="440">
        <v>-5</v>
      </c>
      <c r="BQ83" s="442">
        <f t="shared" si="40"/>
        <v>-2.5</v>
      </c>
      <c r="BR83" s="440">
        <v>0</v>
      </c>
      <c r="BS83" s="442">
        <f t="shared" si="59"/>
        <v>2.5</v>
      </c>
      <c r="BT83" s="440">
        <v>5</v>
      </c>
      <c r="BU83" s="435">
        <v>5000</v>
      </c>
      <c r="BV83" s="440">
        <v>1</v>
      </c>
      <c r="BW83" s="440">
        <v>1</v>
      </c>
      <c r="BX83" s="440">
        <v>1</v>
      </c>
      <c r="BY83" s="440">
        <v>1</v>
      </c>
      <c r="BZ83" s="440">
        <v>0</v>
      </c>
      <c r="CA83" s="440">
        <v>0</v>
      </c>
      <c r="CB83" s="442">
        <f t="shared" si="41"/>
        <v>0</v>
      </c>
      <c r="CC83" s="440">
        <v>0</v>
      </c>
      <c r="CD83" s="442">
        <f t="shared" si="60"/>
        <v>0</v>
      </c>
      <c r="CE83" s="441">
        <v>0</v>
      </c>
      <c r="CF83" s="435">
        <v>5000</v>
      </c>
      <c r="CG83" s="440">
        <v>-23</v>
      </c>
      <c r="CH83" s="440">
        <v>-19</v>
      </c>
      <c r="CI83" s="440">
        <v>-15</v>
      </c>
      <c r="CJ83" s="440">
        <v>-11</v>
      </c>
      <c r="CK83" s="440">
        <v>-8</v>
      </c>
      <c r="CL83" s="440">
        <v>-4</v>
      </c>
      <c r="CM83" s="442">
        <f t="shared" si="42"/>
        <v>-2</v>
      </c>
      <c r="CN83" s="440">
        <v>0</v>
      </c>
      <c r="CO83" s="442">
        <f t="shared" si="61"/>
        <v>2</v>
      </c>
      <c r="CP83" s="441">
        <v>4</v>
      </c>
      <c r="CQ83" s="435">
        <v>5000</v>
      </c>
      <c r="CR83" s="440">
        <v>1</v>
      </c>
      <c r="CS83" s="440">
        <v>1</v>
      </c>
      <c r="CT83" s="440">
        <v>1</v>
      </c>
      <c r="CU83" s="440">
        <v>1</v>
      </c>
      <c r="CV83" s="440">
        <v>0</v>
      </c>
      <c r="CW83" s="440">
        <v>0</v>
      </c>
      <c r="CX83" s="442">
        <f t="shared" si="43"/>
        <v>0</v>
      </c>
      <c r="CY83" s="440">
        <v>0</v>
      </c>
      <c r="CZ83" s="442">
        <f t="shared" si="62"/>
        <v>0</v>
      </c>
      <c r="DA83" s="441">
        <v>0</v>
      </c>
      <c r="DB83" s="435">
        <v>5000</v>
      </c>
      <c r="DC83" s="440">
        <v>-21</v>
      </c>
      <c r="DD83" s="440">
        <v>-17</v>
      </c>
      <c r="DE83" s="440">
        <v>-14</v>
      </c>
      <c r="DF83" s="440">
        <v>-10</v>
      </c>
      <c r="DG83" s="440">
        <v>-7</v>
      </c>
      <c r="DH83" s="440">
        <v>-3</v>
      </c>
      <c r="DI83" s="442">
        <f t="shared" si="44"/>
        <v>-1.5</v>
      </c>
      <c r="DJ83" s="440">
        <v>0</v>
      </c>
      <c r="DK83" s="442">
        <f t="shared" si="63"/>
        <v>1.5</v>
      </c>
      <c r="DL83" s="441">
        <v>3</v>
      </c>
      <c r="DM83" s="435">
        <v>5000</v>
      </c>
      <c r="DN83" s="440">
        <v>1</v>
      </c>
      <c r="DO83" s="440">
        <v>1</v>
      </c>
      <c r="DP83" s="440">
        <v>1</v>
      </c>
      <c r="DQ83" s="440">
        <v>1</v>
      </c>
      <c r="DR83" s="440">
        <v>0</v>
      </c>
      <c r="DS83" s="440">
        <v>0</v>
      </c>
      <c r="DT83" s="442">
        <f t="shared" si="45"/>
        <v>0</v>
      </c>
      <c r="DU83" s="440">
        <v>0</v>
      </c>
      <c r="DV83" s="442">
        <f t="shared" si="64"/>
        <v>0</v>
      </c>
      <c r="DW83" s="441">
        <v>0</v>
      </c>
      <c r="DX83" s="435">
        <v>5000</v>
      </c>
      <c r="DY83" s="440">
        <v>-24</v>
      </c>
      <c r="DZ83" s="440">
        <v>-20</v>
      </c>
      <c r="EA83" s="440">
        <v>-16</v>
      </c>
      <c r="EB83" s="440">
        <v>-12</v>
      </c>
      <c r="EC83" s="440">
        <v>-8</v>
      </c>
      <c r="ED83" s="440">
        <v>-4</v>
      </c>
      <c r="EE83" s="442">
        <f t="shared" si="46"/>
        <v>-2</v>
      </c>
      <c r="EF83" s="440">
        <v>0</v>
      </c>
      <c r="EG83" s="442">
        <f t="shared" si="65"/>
        <v>2</v>
      </c>
      <c r="EH83" s="440">
        <v>4</v>
      </c>
      <c r="EI83" s="435">
        <v>5000</v>
      </c>
      <c r="EJ83" s="440">
        <v>3</v>
      </c>
      <c r="EK83" s="440">
        <v>3</v>
      </c>
      <c r="EL83" s="440">
        <v>2</v>
      </c>
      <c r="EM83" s="440">
        <v>2</v>
      </c>
      <c r="EN83" s="440">
        <v>1</v>
      </c>
      <c r="EO83" s="440">
        <v>1</v>
      </c>
      <c r="EP83" s="442">
        <f t="shared" si="66"/>
        <v>0.5</v>
      </c>
      <c r="EQ83" s="440">
        <v>0</v>
      </c>
      <c r="ER83" s="442">
        <f t="shared" si="67"/>
        <v>-0.5</v>
      </c>
      <c r="ES83" s="441">
        <v>-1</v>
      </c>
      <c r="ET83" s="435">
        <v>5000</v>
      </c>
      <c r="EU83" s="440">
        <v>-22</v>
      </c>
      <c r="EV83" s="440">
        <v>-19</v>
      </c>
      <c r="EW83" s="440">
        <v>-15</v>
      </c>
      <c r="EX83" s="440">
        <v>-11</v>
      </c>
      <c r="EY83" s="440">
        <v>-7</v>
      </c>
      <c r="EZ83" s="440">
        <v>-4</v>
      </c>
      <c r="FA83" s="442">
        <f t="shared" si="68"/>
        <v>-2</v>
      </c>
      <c r="FB83" s="440">
        <v>0</v>
      </c>
      <c r="FC83" s="442">
        <f t="shared" si="69"/>
        <v>2</v>
      </c>
      <c r="FD83" s="440">
        <v>4</v>
      </c>
      <c r="FE83" s="435">
        <v>5000</v>
      </c>
      <c r="FF83" s="440">
        <v>1</v>
      </c>
      <c r="FG83" s="440">
        <v>1</v>
      </c>
      <c r="FH83" s="440">
        <v>1</v>
      </c>
      <c r="FI83" s="440">
        <v>1</v>
      </c>
      <c r="FJ83" s="440">
        <v>0</v>
      </c>
      <c r="FK83" s="440">
        <v>0</v>
      </c>
      <c r="FL83" s="442">
        <f t="shared" si="47"/>
        <v>0</v>
      </c>
      <c r="FM83" s="440">
        <v>0</v>
      </c>
      <c r="FN83" s="442">
        <f t="shared" si="70"/>
        <v>0</v>
      </c>
      <c r="FO83" s="441">
        <v>0</v>
      </c>
      <c r="FP83" s="435">
        <v>5000</v>
      </c>
      <c r="FQ83" s="440">
        <v>-23</v>
      </c>
      <c r="FR83" s="440">
        <v>-19</v>
      </c>
      <c r="FS83" s="440">
        <v>-15</v>
      </c>
      <c r="FT83" s="440">
        <v>-11</v>
      </c>
      <c r="FU83" s="440">
        <v>-8</v>
      </c>
      <c r="FV83" s="440">
        <v>-4</v>
      </c>
      <c r="FW83" s="442">
        <f t="shared" si="48"/>
        <v>-2</v>
      </c>
      <c r="FX83" s="440">
        <v>0</v>
      </c>
      <c r="FY83" s="442">
        <f t="shared" si="71"/>
        <v>2</v>
      </c>
      <c r="FZ83" s="440">
        <v>4</v>
      </c>
      <c r="GA83" s="435">
        <v>5000</v>
      </c>
      <c r="GB83" s="440">
        <v>-35</v>
      </c>
      <c r="GC83" s="440">
        <v>-29</v>
      </c>
      <c r="GD83" s="440">
        <v>-24</v>
      </c>
      <c r="GE83" s="440">
        <v>-18</v>
      </c>
      <c r="GF83" s="440">
        <v>-12</v>
      </c>
      <c r="GG83" s="440">
        <v>-6</v>
      </c>
      <c r="GH83" s="442">
        <f t="shared" si="49"/>
        <v>-3</v>
      </c>
      <c r="GI83" s="440">
        <v>0</v>
      </c>
      <c r="GJ83" s="442">
        <f t="shared" si="72"/>
        <v>3</v>
      </c>
      <c r="GK83" s="441">
        <v>6</v>
      </c>
      <c r="GL83" s="435">
        <v>5000</v>
      </c>
      <c r="GM83" s="440">
        <v>-35</v>
      </c>
      <c r="GN83" s="440">
        <v>-29</v>
      </c>
      <c r="GO83" s="440">
        <v>-23</v>
      </c>
      <c r="GP83" s="440">
        <v>-17</v>
      </c>
      <c r="GQ83" s="440">
        <v>-12</v>
      </c>
      <c r="GR83" s="440">
        <v>-6</v>
      </c>
      <c r="GS83" s="442">
        <f t="shared" si="50"/>
        <v>-3</v>
      </c>
      <c r="GT83" s="440">
        <v>0</v>
      </c>
      <c r="GU83" s="442">
        <f t="shared" si="73"/>
        <v>3</v>
      </c>
      <c r="GV83" s="441">
        <v>6</v>
      </c>
    </row>
    <row r="84" spans="7:204">
      <c r="G84" s="435">
        <v>4900</v>
      </c>
      <c r="H84" s="445">
        <v>35</v>
      </c>
      <c r="I84" s="249">
        <v>29</v>
      </c>
      <c r="J84" s="249">
        <v>24</v>
      </c>
      <c r="K84" s="248">
        <v>18</v>
      </c>
      <c r="L84" s="249">
        <v>12</v>
      </c>
      <c r="M84" s="249">
        <v>6</v>
      </c>
      <c r="N84" s="249">
        <f t="shared" si="51"/>
        <v>3</v>
      </c>
      <c r="O84" s="249">
        <v>0</v>
      </c>
      <c r="P84" s="249">
        <f t="shared" si="52"/>
        <v>-3</v>
      </c>
      <c r="Q84" s="446">
        <v>-6</v>
      </c>
      <c r="R84" s="435">
        <v>4900</v>
      </c>
      <c r="S84" s="248">
        <v>12</v>
      </c>
      <c r="T84" s="248">
        <v>10</v>
      </c>
      <c r="U84" s="248">
        <v>8</v>
      </c>
      <c r="V84" s="248">
        <v>6</v>
      </c>
      <c r="W84" s="248">
        <v>4</v>
      </c>
      <c r="X84" s="248">
        <v>2</v>
      </c>
      <c r="Y84" s="249">
        <f t="shared" si="53"/>
        <v>1</v>
      </c>
      <c r="Z84" s="248">
        <v>0</v>
      </c>
      <c r="AA84" s="439">
        <f t="shared" si="54"/>
        <v>-1</v>
      </c>
      <c r="AB84" s="248">
        <v>-2</v>
      </c>
      <c r="AC84" s="435">
        <v>4900</v>
      </c>
      <c r="AD84" s="440">
        <v>-31</v>
      </c>
      <c r="AE84" s="440">
        <v>-26</v>
      </c>
      <c r="AF84" s="440">
        <v>-20</v>
      </c>
      <c r="AG84" s="440">
        <v>-15</v>
      </c>
      <c r="AH84" s="440">
        <v>-10</v>
      </c>
      <c r="AI84" s="440">
        <v>-5</v>
      </c>
      <c r="AJ84" s="249">
        <f t="shared" si="55"/>
        <v>-2.5</v>
      </c>
      <c r="AK84" s="248">
        <v>0</v>
      </c>
      <c r="AL84" s="439">
        <f t="shared" si="56"/>
        <v>2.5</v>
      </c>
      <c r="AM84" s="441">
        <v>5</v>
      </c>
      <c r="AN84" s="435">
        <v>4900</v>
      </c>
      <c r="AO84" s="440">
        <v>-54</v>
      </c>
      <c r="AP84" s="440">
        <v>-45</v>
      </c>
      <c r="AQ84" s="440">
        <v>-36</v>
      </c>
      <c r="AR84" s="440">
        <v>-27</v>
      </c>
      <c r="AS84" s="440">
        <v>-18</v>
      </c>
      <c r="AT84" s="440">
        <v>-9</v>
      </c>
      <c r="AU84" s="442">
        <f t="shared" si="38"/>
        <v>-4.5</v>
      </c>
      <c r="AV84" s="440">
        <v>0</v>
      </c>
      <c r="AW84" s="442">
        <f t="shared" si="57"/>
        <v>4.5</v>
      </c>
      <c r="AX84" s="441">
        <v>9</v>
      </c>
      <c r="AY84" s="435">
        <v>4900</v>
      </c>
      <c r="AZ84" s="440">
        <v>4</v>
      </c>
      <c r="BA84" s="440">
        <v>3</v>
      </c>
      <c r="BB84" s="440">
        <v>2</v>
      </c>
      <c r="BC84" s="440">
        <v>2</v>
      </c>
      <c r="BD84" s="440">
        <v>1</v>
      </c>
      <c r="BE84" s="440">
        <v>1</v>
      </c>
      <c r="BF84" s="442">
        <f t="shared" si="39"/>
        <v>0.5</v>
      </c>
      <c r="BG84" s="440">
        <v>0</v>
      </c>
      <c r="BH84" s="442">
        <f t="shared" si="58"/>
        <v>-0.5</v>
      </c>
      <c r="BI84" s="441">
        <v>-1</v>
      </c>
      <c r="BJ84" s="447">
        <v>4900</v>
      </c>
      <c r="BK84" s="440">
        <v>-31</v>
      </c>
      <c r="BL84" s="440">
        <v>-26</v>
      </c>
      <c r="BM84" s="440">
        <v>-21</v>
      </c>
      <c r="BN84" s="440">
        <v>-16</v>
      </c>
      <c r="BO84" s="440">
        <v>-10</v>
      </c>
      <c r="BP84" s="440">
        <v>-5</v>
      </c>
      <c r="BQ84" s="442">
        <f t="shared" si="40"/>
        <v>-2.5</v>
      </c>
      <c r="BR84" s="440">
        <v>0</v>
      </c>
      <c r="BS84" s="442">
        <f t="shared" si="59"/>
        <v>2.5</v>
      </c>
      <c r="BT84" s="440">
        <v>5</v>
      </c>
      <c r="BU84" s="435">
        <v>4900</v>
      </c>
      <c r="BV84" s="440">
        <v>1</v>
      </c>
      <c r="BW84" s="440">
        <v>1</v>
      </c>
      <c r="BX84" s="440">
        <v>1</v>
      </c>
      <c r="BY84" s="440">
        <v>1</v>
      </c>
      <c r="BZ84" s="440">
        <v>0</v>
      </c>
      <c r="CA84" s="440">
        <v>0</v>
      </c>
      <c r="CB84" s="442">
        <f t="shared" si="41"/>
        <v>0</v>
      </c>
      <c r="CC84" s="440">
        <v>0</v>
      </c>
      <c r="CD84" s="442">
        <f t="shared" si="60"/>
        <v>0</v>
      </c>
      <c r="CE84" s="441">
        <v>0</v>
      </c>
      <c r="CF84" s="435">
        <v>4900</v>
      </c>
      <c r="CG84" s="440">
        <v>-23</v>
      </c>
      <c r="CH84" s="440">
        <v>-19</v>
      </c>
      <c r="CI84" s="440">
        <v>-15</v>
      </c>
      <c r="CJ84" s="440">
        <v>-11</v>
      </c>
      <c r="CK84" s="440">
        <v>-8</v>
      </c>
      <c r="CL84" s="440">
        <v>-4</v>
      </c>
      <c r="CM84" s="442">
        <f t="shared" si="42"/>
        <v>-2</v>
      </c>
      <c r="CN84" s="440">
        <v>0</v>
      </c>
      <c r="CO84" s="442">
        <f t="shared" si="61"/>
        <v>2</v>
      </c>
      <c r="CP84" s="441">
        <v>4</v>
      </c>
      <c r="CQ84" s="435">
        <v>4900</v>
      </c>
      <c r="CR84" s="440">
        <v>1</v>
      </c>
      <c r="CS84" s="440">
        <v>1</v>
      </c>
      <c r="CT84" s="440">
        <v>1</v>
      </c>
      <c r="CU84" s="440">
        <v>1</v>
      </c>
      <c r="CV84" s="440">
        <v>0</v>
      </c>
      <c r="CW84" s="440">
        <v>0</v>
      </c>
      <c r="CX84" s="442">
        <f t="shared" si="43"/>
        <v>0</v>
      </c>
      <c r="CY84" s="440">
        <v>0</v>
      </c>
      <c r="CZ84" s="442">
        <f t="shared" si="62"/>
        <v>0</v>
      </c>
      <c r="DA84" s="441">
        <v>0</v>
      </c>
      <c r="DB84" s="435">
        <v>4900</v>
      </c>
      <c r="DC84" s="440">
        <v>-21</v>
      </c>
      <c r="DD84" s="440">
        <v>-17</v>
      </c>
      <c r="DE84" s="440">
        <v>-14</v>
      </c>
      <c r="DF84" s="440">
        <v>-10</v>
      </c>
      <c r="DG84" s="440">
        <v>-7</v>
      </c>
      <c r="DH84" s="440">
        <v>-3</v>
      </c>
      <c r="DI84" s="442">
        <f t="shared" si="44"/>
        <v>-1.5</v>
      </c>
      <c r="DJ84" s="440">
        <v>0</v>
      </c>
      <c r="DK84" s="442">
        <f t="shared" si="63"/>
        <v>1.5</v>
      </c>
      <c r="DL84" s="441">
        <v>3</v>
      </c>
      <c r="DM84" s="435">
        <v>4900</v>
      </c>
      <c r="DN84" s="440">
        <v>1</v>
      </c>
      <c r="DO84" s="440">
        <v>1</v>
      </c>
      <c r="DP84" s="440">
        <v>1</v>
      </c>
      <c r="DQ84" s="440">
        <v>1</v>
      </c>
      <c r="DR84" s="440">
        <v>0</v>
      </c>
      <c r="DS84" s="440">
        <v>0</v>
      </c>
      <c r="DT84" s="442">
        <f t="shared" si="45"/>
        <v>0</v>
      </c>
      <c r="DU84" s="440">
        <v>0</v>
      </c>
      <c r="DV84" s="442">
        <f t="shared" si="64"/>
        <v>0</v>
      </c>
      <c r="DW84" s="441">
        <v>0</v>
      </c>
      <c r="DX84" s="435">
        <v>4900</v>
      </c>
      <c r="DY84" s="440">
        <v>-24</v>
      </c>
      <c r="DZ84" s="440">
        <v>-20</v>
      </c>
      <c r="EA84" s="440">
        <v>-16</v>
      </c>
      <c r="EB84" s="440">
        <v>-12</v>
      </c>
      <c r="EC84" s="440">
        <v>-8</v>
      </c>
      <c r="ED84" s="440">
        <v>-4</v>
      </c>
      <c r="EE84" s="442">
        <f t="shared" si="46"/>
        <v>-2</v>
      </c>
      <c r="EF84" s="440">
        <v>0</v>
      </c>
      <c r="EG84" s="442">
        <f t="shared" si="65"/>
        <v>2</v>
      </c>
      <c r="EH84" s="440">
        <v>4</v>
      </c>
      <c r="EI84" s="435">
        <v>4900</v>
      </c>
      <c r="EJ84" s="440">
        <v>3</v>
      </c>
      <c r="EK84" s="440">
        <v>3</v>
      </c>
      <c r="EL84" s="440">
        <v>2</v>
      </c>
      <c r="EM84" s="440">
        <v>2</v>
      </c>
      <c r="EN84" s="440">
        <v>1</v>
      </c>
      <c r="EO84" s="440">
        <v>1</v>
      </c>
      <c r="EP84" s="442">
        <f t="shared" si="66"/>
        <v>0.5</v>
      </c>
      <c r="EQ84" s="440">
        <v>0</v>
      </c>
      <c r="ER84" s="442">
        <f t="shared" si="67"/>
        <v>-0.5</v>
      </c>
      <c r="ES84" s="441">
        <v>-1</v>
      </c>
      <c r="ET84" s="435">
        <v>4900</v>
      </c>
      <c r="EU84" s="440">
        <v>-22</v>
      </c>
      <c r="EV84" s="440">
        <v>-19</v>
      </c>
      <c r="EW84" s="440">
        <v>-15</v>
      </c>
      <c r="EX84" s="440">
        <v>-11</v>
      </c>
      <c r="EY84" s="440">
        <v>-7</v>
      </c>
      <c r="EZ84" s="440">
        <v>-4</v>
      </c>
      <c r="FA84" s="442">
        <f t="shared" si="68"/>
        <v>-2</v>
      </c>
      <c r="FB84" s="440">
        <v>0</v>
      </c>
      <c r="FC84" s="442">
        <f t="shared" si="69"/>
        <v>2</v>
      </c>
      <c r="FD84" s="440">
        <v>4</v>
      </c>
      <c r="FE84" s="435">
        <v>4900</v>
      </c>
      <c r="FF84" s="440">
        <v>1</v>
      </c>
      <c r="FG84" s="440">
        <v>1</v>
      </c>
      <c r="FH84" s="440">
        <v>1</v>
      </c>
      <c r="FI84" s="440">
        <v>1</v>
      </c>
      <c r="FJ84" s="440">
        <v>0</v>
      </c>
      <c r="FK84" s="440">
        <v>0</v>
      </c>
      <c r="FL84" s="442">
        <f t="shared" si="47"/>
        <v>0</v>
      </c>
      <c r="FM84" s="440">
        <v>0</v>
      </c>
      <c r="FN84" s="442">
        <f t="shared" si="70"/>
        <v>0</v>
      </c>
      <c r="FO84" s="441">
        <v>0</v>
      </c>
      <c r="FP84" s="435">
        <v>4900</v>
      </c>
      <c r="FQ84" s="440">
        <v>-23</v>
      </c>
      <c r="FR84" s="440">
        <v>-19</v>
      </c>
      <c r="FS84" s="440">
        <v>-15</v>
      </c>
      <c r="FT84" s="440">
        <v>-11</v>
      </c>
      <c r="FU84" s="440">
        <v>-8</v>
      </c>
      <c r="FV84" s="440">
        <v>-4</v>
      </c>
      <c r="FW84" s="442">
        <f t="shared" si="48"/>
        <v>-2</v>
      </c>
      <c r="FX84" s="440">
        <v>0</v>
      </c>
      <c r="FY84" s="442">
        <f t="shared" si="71"/>
        <v>2</v>
      </c>
      <c r="FZ84" s="440">
        <v>4</v>
      </c>
      <c r="GA84" s="435">
        <v>4900</v>
      </c>
      <c r="GB84" s="440">
        <v>-35</v>
      </c>
      <c r="GC84" s="440">
        <v>-29</v>
      </c>
      <c r="GD84" s="440">
        <v>-24</v>
      </c>
      <c r="GE84" s="440">
        <v>-18</v>
      </c>
      <c r="GF84" s="440">
        <v>-12</v>
      </c>
      <c r="GG84" s="440">
        <v>-6</v>
      </c>
      <c r="GH84" s="442">
        <f t="shared" si="49"/>
        <v>-3</v>
      </c>
      <c r="GI84" s="440">
        <v>0</v>
      </c>
      <c r="GJ84" s="442">
        <f t="shared" si="72"/>
        <v>3</v>
      </c>
      <c r="GK84" s="441">
        <v>6</v>
      </c>
      <c r="GL84" s="435">
        <v>4900</v>
      </c>
      <c r="GM84" s="440">
        <v>-35</v>
      </c>
      <c r="GN84" s="440">
        <v>-29</v>
      </c>
      <c r="GO84" s="440">
        <v>-23</v>
      </c>
      <c r="GP84" s="440">
        <v>-17</v>
      </c>
      <c r="GQ84" s="440">
        <v>-12</v>
      </c>
      <c r="GR84" s="440">
        <v>-6</v>
      </c>
      <c r="GS84" s="442">
        <f t="shared" si="50"/>
        <v>-3</v>
      </c>
      <c r="GT84" s="440">
        <v>0</v>
      </c>
      <c r="GU84" s="442">
        <f t="shared" si="73"/>
        <v>3</v>
      </c>
      <c r="GV84" s="441">
        <v>6</v>
      </c>
    </row>
    <row r="85" spans="7:204">
      <c r="G85" s="435">
        <v>4800</v>
      </c>
      <c r="H85" s="445">
        <v>35</v>
      </c>
      <c r="I85" s="249">
        <v>29</v>
      </c>
      <c r="J85" s="249">
        <v>24</v>
      </c>
      <c r="K85" s="248">
        <v>18</v>
      </c>
      <c r="L85" s="249">
        <v>12</v>
      </c>
      <c r="M85" s="249">
        <v>6</v>
      </c>
      <c r="N85" s="249">
        <f t="shared" si="51"/>
        <v>3</v>
      </c>
      <c r="O85" s="249">
        <v>0</v>
      </c>
      <c r="P85" s="249">
        <f t="shared" si="52"/>
        <v>-3</v>
      </c>
      <c r="Q85" s="446">
        <v>-6</v>
      </c>
      <c r="R85" s="435">
        <v>4800</v>
      </c>
      <c r="S85" s="248">
        <v>12</v>
      </c>
      <c r="T85" s="248">
        <v>10</v>
      </c>
      <c r="U85" s="248">
        <v>8</v>
      </c>
      <c r="V85" s="248">
        <v>6</v>
      </c>
      <c r="W85" s="248">
        <v>4</v>
      </c>
      <c r="X85" s="248">
        <v>2</v>
      </c>
      <c r="Y85" s="249">
        <f t="shared" si="53"/>
        <v>1</v>
      </c>
      <c r="Z85" s="248">
        <v>0</v>
      </c>
      <c r="AA85" s="439">
        <f t="shared" si="54"/>
        <v>-1</v>
      </c>
      <c r="AB85" s="248">
        <v>-2</v>
      </c>
      <c r="AC85" s="435">
        <v>4800</v>
      </c>
      <c r="AD85" s="440">
        <v>-31</v>
      </c>
      <c r="AE85" s="440">
        <v>-26</v>
      </c>
      <c r="AF85" s="440">
        <v>-20</v>
      </c>
      <c r="AG85" s="440">
        <v>-15</v>
      </c>
      <c r="AH85" s="440">
        <v>-10</v>
      </c>
      <c r="AI85" s="440">
        <v>-5</v>
      </c>
      <c r="AJ85" s="249">
        <f t="shared" si="55"/>
        <v>-2.5</v>
      </c>
      <c r="AK85" s="248">
        <v>0</v>
      </c>
      <c r="AL85" s="439">
        <f t="shared" si="56"/>
        <v>2.5</v>
      </c>
      <c r="AM85" s="441">
        <v>5</v>
      </c>
      <c r="AN85" s="435">
        <v>4800</v>
      </c>
      <c r="AO85" s="440">
        <v>-54</v>
      </c>
      <c r="AP85" s="440">
        <v>-45</v>
      </c>
      <c r="AQ85" s="440">
        <v>-36</v>
      </c>
      <c r="AR85" s="440">
        <v>-27</v>
      </c>
      <c r="AS85" s="440">
        <v>-18</v>
      </c>
      <c r="AT85" s="440">
        <v>-9</v>
      </c>
      <c r="AU85" s="442">
        <f t="shared" si="38"/>
        <v>-4.5</v>
      </c>
      <c r="AV85" s="440">
        <v>0</v>
      </c>
      <c r="AW85" s="442">
        <f t="shared" si="57"/>
        <v>4.5</v>
      </c>
      <c r="AX85" s="441">
        <v>9</v>
      </c>
      <c r="AY85" s="435">
        <v>4800</v>
      </c>
      <c r="AZ85" s="440">
        <v>4</v>
      </c>
      <c r="BA85" s="440">
        <v>3</v>
      </c>
      <c r="BB85" s="440">
        <v>2</v>
      </c>
      <c r="BC85" s="440">
        <v>2</v>
      </c>
      <c r="BD85" s="440">
        <v>1</v>
      </c>
      <c r="BE85" s="440">
        <v>1</v>
      </c>
      <c r="BF85" s="442">
        <f t="shared" si="39"/>
        <v>0.5</v>
      </c>
      <c r="BG85" s="440">
        <v>0</v>
      </c>
      <c r="BH85" s="442">
        <f t="shared" si="58"/>
        <v>-0.5</v>
      </c>
      <c r="BI85" s="441">
        <v>-1</v>
      </c>
      <c r="BJ85" s="447">
        <v>4800</v>
      </c>
      <c r="BK85" s="440">
        <v>-31</v>
      </c>
      <c r="BL85" s="440">
        <v>-26</v>
      </c>
      <c r="BM85" s="440">
        <v>-21</v>
      </c>
      <c r="BN85" s="440">
        <v>-16</v>
      </c>
      <c r="BO85" s="440">
        <v>-10</v>
      </c>
      <c r="BP85" s="440">
        <v>-5</v>
      </c>
      <c r="BQ85" s="442">
        <f t="shared" si="40"/>
        <v>-2.5</v>
      </c>
      <c r="BR85" s="440">
        <v>0</v>
      </c>
      <c r="BS85" s="442">
        <f t="shared" si="59"/>
        <v>2.5</v>
      </c>
      <c r="BT85" s="440">
        <v>5</v>
      </c>
      <c r="BU85" s="435">
        <v>4800</v>
      </c>
      <c r="BV85" s="440">
        <v>1</v>
      </c>
      <c r="BW85" s="440">
        <v>1</v>
      </c>
      <c r="BX85" s="440">
        <v>1</v>
      </c>
      <c r="BY85" s="440">
        <v>1</v>
      </c>
      <c r="BZ85" s="440">
        <v>0</v>
      </c>
      <c r="CA85" s="440">
        <v>0</v>
      </c>
      <c r="CB85" s="442">
        <f t="shared" si="41"/>
        <v>0</v>
      </c>
      <c r="CC85" s="440">
        <v>0</v>
      </c>
      <c r="CD85" s="442">
        <f t="shared" si="60"/>
        <v>0</v>
      </c>
      <c r="CE85" s="441">
        <v>0</v>
      </c>
      <c r="CF85" s="435">
        <v>4800</v>
      </c>
      <c r="CG85" s="440">
        <v>-23</v>
      </c>
      <c r="CH85" s="440">
        <v>-19</v>
      </c>
      <c r="CI85" s="440">
        <v>-15</v>
      </c>
      <c r="CJ85" s="440">
        <v>-11</v>
      </c>
      <c r="CK85" s="440">
        <v>-8</v>
      </c>
      <c r="CL85" s="440">
        <v>-4</v>
      </c>
      <c r="CM85" s="442">
        <f t="shared" si="42"/>
        <v>-2</v>
      </c>
      <c r="CN85" s="440">
        <v>0</v>
      </c>
      <c r="CO85" s="442">
        <f t="shared" si="61"/>
        <v>2</v>
      </c>
      <c r="CP85" s="441">
        <v>4</v>
      </c>
      <c r="CQ85" s="435">
        <v>4800</v>
      </c>
      <c r="CR85" s="440">
        <v>1</v>
      </c>
      <c r="CS85" s="440">
        <v>1</v>
      </c>
      <c r="CT85" s="440">
        <v>1</v>
      </c>
      <c r="CU85" s="440">
        <v>1</v>
      </c>
      <c r="CV85" s="440">
        <v>0</v>
      </c>
      <c r="CW85" s="440">
        <v>0</v>
      </c>
      <c r="CX85" s="442">
        <f t="shared" si="43"/>
        <v>0</v>
      </c>
      <c r="CY85" s="440">
        <v>0</v>
      </c>
      <c r="CZ85" s="442">
        <f t="shared" si="62"/>
        <v>0</v>
      </c>
      <c r="DA85" s="441">
        <v>0</v>
      </c>
      <c r="DB85" s="435">
        <v>4800</v>
      </c>
      <c r="DC85" s="440">
        <v>-21</v>
      </c>
      <c r="DD85" s="440">
        <v>-17</v>
      </c>
      <c r="DE85" s="440">
        <v>-14</v>
      </c>
      <c r="DF85" s="440">
        <v>-10</v>
      </c>
      <c r="DG85" s="440">
        <v>-7</v>
      </c>
      <c r="DH85" s="440">
        <v>-3</v>
      </c>
      <c r="DI85" s="442">
        <f t="shared" si="44"/>
        <v>-1.5</v>
      </c>
      <c r="DJ85" s="440">
        <v>0</v>
      </c>
      <c r="DK85" s="442">
        <f t="shared" si="63"/>
        <v>1.5</v>
      </c>
      <c r="DL85" s="441">
        <v>3</v>
      </c>
      <c r="DM85" s="435">
        <v>4800</v>
      </c>
      <c r="DN85" s="440">
        <v>1</v>
      </c>
      <c r="DO85" s="440">
        <v>1</v>
      </c>
      <c r="DP85" s="440">
        <v>1</v>
      </c>
      <c r="DQ85" s="440">
        <v>1</v>
      </c>
      <c r="DR85" s="440">
        <v>0</v>
      </c>
      <c r="DS85" s="440">
        <v>0</v>
      </c>
      <c r="DT85" s="442">
        <f t="shared" si="45"/>
        <v>0</v>
      </c>
      <c r="DU85" s="440">
        <v>0</v>
      </c>
      <c r="DV85" s="442">
        <f t="shared" si="64"/>
        <v>0</v>
      </c>
      <c r="DW85" s="441">
        <v>0</v>
      </c>
      <c r="DX85" s="435">
        <v>4800</v>
      </c>
      <c r="DY85" s="440">
        <v>-24</v>
      </c>
      <c r="DZ85" s="440">
        <v>-20</v>
      </c>
      <c r="EA85" s="440">
        <v>-16</v>
      </c>
      <c r="EB85" s="440">
        <v>-12</v>
      </c>
      <c r="EC85" s="440">
        <v>-8</v>
      </c>
      <c r="ED85" s="440">
        <v>-4</v>
      </c>
      <c r="EE85" s="442">
        <f t="shared" si="46"/>
        <v>-2</v>
      </c>
      <c r="EF85" s="440">
        <v>0</v>
      </c>
      <c r="EG85" s="442">
        <f t="shared" si="65"/>
        <v>2</v>
      </c>
      <c r="EH85" s="440">
        <v>4</v>
      </c>
      <c r="EI85" s="435">
        <v>4800</v>
      </c>
      <c r="EJ85" s="440">
        <v>3</v>
      </c>
      <c r="EK85" s="440">
        <v>3</v>
      </c>
      <c r="EL85" s="440">
        <v>2</v>
      </c>
      <c r="EM85" s="440">
        <v>2</v>
      </c>
      <c r="EN85" s="440">
        <v>1</v>
      </c>
      <c r="EO85" s="440">
        <v>1</v>
      </c>
      <c r="EP85" s="442">
        <f t="shared" si="66"/>
        <v>0.5</v>
      </c>
      <c r="EQ85" s="440">
        <v>0</v>
      </c>
      <c r="ER85" s="442">
        <f t="shared" si="67"/>
        <v>-0.5</v>
      </c>
      <c r="ES85" s="441">
        <v>-1</v>
      </c>
      <c r="ET85" s="435">
        <v>4800</v>
      </c>
      <c r="EU85" s="440">
        <v>-22</v>
      </c>
      <c r="EV85" s="440">
        <v>-19</v>
      </c>
      <c r="EW85" s="440">
        <v>-15</v>
      </c>
      <c r="EX85" s="440">
        <v>-11</v>
      </c>
      <c r="EY85" s="440">
        <v>-7</v>
      </c>
      <c r="EZ85" s="440">
        <v>-4</v>
      </c>
      <c r="FA85" s="442">
        <f t="shared" si="68"/>
        <v>-2</v>
      </c>
      <c r="FB85" s="440">
        <v>0</v>
      </c>
      <c r="FC85" s="442">
        <f t="shared" si="69"/>
        <v>2</v>
      </c>
      <c r="FD85" s="440">
        <v>4</v>
      </c>
      <c r="FE85" s="435">
        <v>4800</v>
      </c>
      <c r="FF85" s="440">
        <v>1</v>
      </c>
      <c r="FG85" s="440">
        <v>1</v>
      </c>
      <c r="FH85" s="440">
        <v>1</v>
      </c>
      <c r="FI85" s="440">
        <v>1</v>
      </c>
      <c r="FJ85" s="440">
        <v>0</v>
      </c>
      <c r="FK85" s="440">
        <v>0</v>
      </c>
      <c r="FL85" s="442">
        <f t="shared" si="47"/>
        <v>0</v>
      </c>
      <c r="FM85" s="440">
        <v>0</v>
      </c>
      <c r="FN85" s="442">
        <f t="shared" si="70"/>
        <v>0</v>
      </c>
      <c r="FO85" s="441">
        <v>0</v>
      </c>
      <c r="FP85" s="435">
        <v>4800</v>
      </c>
      <c r="FQ85" s="440">
        <v>-23</v>
      </c>
      <c r="FR85" s="440">
        <v>-19</v>
      </c>
      <c r="FS85" s="440">
        <v>-15</v>
      </c>
      <c r="FT85" s="440">
        <v>-11</v>
      </c>
      <c r="FU85" s="440">
        <v>-8</v>
      </c>
      <c r="FV85" s="440">
        <v>-4</v>
      </c>
      <c r="FW85" s="442">
        <f t="shared" si="48"/>
        <v>-2</v>
      </c>
      <c r="FX85" s="440">
        <v>0</v>
      </c>
      <c r="FY85" s="442">
        <f t="shared" si="71"/>
        <v>2</v>
      </c>
      <c r="FZ85" s="440">
        <v>4</v>
      </c>
      <c r="GA85" s="435">
        <v>4800</v>
      </c>
      <c r="GB85" s="440">
        <v>-35</v>
      </c>
      <c r="GC85" s="440">
        <v>-29</v>
      </c>
      <c r="GD85" s="440">
        <v>-24</v>
      </c>
      <c r="GE85" s="440">
        <v>-18</v>
      </c>
      <c r="GF85" s="440">
        <v>-12</v>
      </c>
      <c r="GG85" s="440">
        <v>-6</v>
      </c>
      <c r="GH85" s="442">
        <f t="shared" si="49"/>
        <v>-3</v>
      </c>
      <c r="GI85" s="440">
        <v>0</v>
      </c>
      <c r="GJ85" s="442">
        <f t="shared" si="72"/>
        <v>3</v>
      </c>
      <c r="GK85" s="441">
        <v>6</v>
      </c>
      <c r="GL85" s="435">
        <v>4800</v>
      </c>
      <c r="GM85" s="440">
        <v>-35</v>
      </c>
      <c r="GN85" s="440">
        <v>-29</v>
      </c>
      <c r="GO85" s="440">
        <v>-23</v>
      </c>
      <c r="GP85" s="440">
        <v>-17</v>
      </c>
      <c r="GQ85" s="440">
        <v>-12</v>
      </c>
      <c r="GR85" s="440">
        <v>-6</v>
      </c>
      <c r="GS85" s="442">
        <f t="shared" si="50"/>
        <v>-3</v>
      </c>
      <c r="GT85" s="440">
        <v>0</v>
      </c>
      <c r="GU85" s="442">
        <f t="shared" si="73"/>
        <v>3</v>
      </c>
      <c r="GV85" s="441">
        <v>6</v>
      </c>
    </row>
    <row r="86" spans="7:204">
      <c r="G86" s="435">
        <v>4700</v>
      </c>
      <c r="H86" s="445">
        <v>35</v>
      </c>
      <c r="I86" s="249">
        <v>29</v>
      </c>
      <c r="J86" s="249">
        <v>24</v>
      </c>
      <c r="K86" s="248">
        <v>18</v>
      </c>
      <c r="L86" s="249">
        <v>12</v>
      </c>
      <c r="M86" s="249">
        <v>6</v>
      </c>
      <c r="N86" s="249">
        <f t="shared" si="51"/>
        <v>3</v>
      </c>
      <c r="O86" s="249">
        <v>0</v>
      </c>
      <c r="P86" s="249">
        <f t="shared" si="52"/>
        <v>-3</v>
      </c>
      <c r="Q86" s="446">
        <v>-6</v>
      </c>
      <c r="R86" s="435">
        <v>4700</v>
      </c>
      <c r="S86" s="248">
        <v>12</v>
      </c>
      <c r="T86" s="248">
        <v>10</v>
      </c>
      <c r="U86" s="248">
        <v>8</v>
      </c>
      <c r="V86" s="248">
        <v>6</v>
      </c>
      <c r="W86" s="248">
        <v>4</v>
      </c>
      <c r="X86" s="248">
        <v>2</v>
      </c>
      <c r="Y86" s="249">
        <f t="shared" si="53"/>
        <v>1</v>
      </c>
      <c r="Z86" s="248">
        <v>0</v>
      </c>
      <c r="AA86" s="439">
        <f t="shared" si="54"/>
        <v>-1</v>
      </c>
      <c r="AB86" s="248">
        <v>-2</v>
      </c>
      <c r="AC86" s="435">
        <v>4700</v>
      </c>
      <c r="AD86" s="440">
        <v>-31</v>
      </c>
      <c r="AE86" s="440">
        <v>-26</v>
      </c>
      <c r="AF86" s="440">
        <v>-20</v>
      </c>
      <c r="AG86" s="440">
        <v>-15</v>
      </c>
      <c r="AH86" s="440">
        <v>-10</v>
      </c>
      <c r="AI86" s="440">
        <v>-5</v>
      </c>
      <c r="AJ86" s="249">
        <f t="shared" si="55"/>
        <v>-2.5</v>
      </c>
      <c r="AK86" s="248">
        <v>0</v>
      </c>
      <c r="AL86" s="439">
        <f t="shared" si="56"/>
        <v>2.5</v>
      </c>
      <c r="AM86" s="441">
        <v>5</v>
      </c>
      <c r="AN86" s="435">
        <v>4700</v>
      </c>
      <c r="AO86" s="440">
        <v>-54</v>
      </c>
      <c r="AP86" s="440">
        <v>-45</v>
      </c>
      <c r="AQ86" s="440">
        <v>-36</v>
      </c>
      <c r="AR86" s="440">
        <v>-27</v>
      </c>
      <c r="AS86" s="440">
        <v>-18</v>
      </c>
      <c r="AT86" s="440">
        <v>-9</v>
      </c>
      <c r="AU86" s="442">
        <f t="shared" si="38"/>
        <v>-4.5</v>
      </c>
      <c r="AV86" s="440">
        <v>0</v>
      </c>
      <c r="AW86" s="442">
        <f t="shared" si="57"/>
        <v>4.5</v>
      </c>
      <c r="AX86" s="441">
        <v>9</v>
      </c>
      <c r="AY86" s="435">
        <v>4700</v>
      </c>
      <c r="AZ86" s="440">
        <v>4</v>
      </c>
      <c r="BA86" s="440">
        <v>3</v>
      </c>
      <c r="BB86" s="440">
        <v>2</v>
      </c>
      <c r="BC86" s="440">
        <v>2</v>
      </c>
      <c r="BD86" s="440">
        <v>1</v>
      </c>
      <c r="BE86" s="440">
        <v>1</v>
      </c>
      <c r="BF86" s="442">
        <f t="shared" si="39"/>
        <v>0.5</v>
      </c>
      <c r="BG86" s="440">
        <v>0</v>
      </c>
      <c r="BH86" s="442">
        <f t="shared" si="58"/>
        <v>-0.5</v>
      </c>
      <c r="BI86" s="441">
        <v>-1</v>
      </c>
      <c r="BJ86" s="447">
        <v>4700</v>
      </c>
      <c r="BK86" s="440">
        <v>-31</v>
      </c>
      <c r="BL86" s="440">
        <v>-26</v>
      </c>
      <c r="BM86" s="440">
        <v>-21</v>
      </c>
      <c r="BN86" s="440">
        <v>-16</v>
      </c>
      <c r="BO86" s="440">
        <v>-10</v>
      </c>
      <c r="BP86" s="440">
        <v>-5</v>
      </c>
      <c r="BQ86" s="442">
        <f t="shared" si="40"/>
        <v>-2.5</v>
      </c>
      <c r="BR86" s="440">
        <v>0</v>
      </c>
      <c r="BS86" s="442">
        <f t="shared" si="59"/>
        <v>2.5</v>
      </c>
      <c r="BT86" s="440">
        <v>5</v>
      </c>
      <c r="BU86" s="435">
        <v>4700</v>
      </c>
      <c r="BV86" s="440">
        <v>1</v>
      </c>
      <c r="BW86" s="440">
        <v>1</v>
      </c>
      <c r="BX86" s="440">
        <v>1</v>
      </c>
      <c r="BY86" s="440">
        <v>1</v>
      </c>
      <c r="BZ86" s="440">
        <v>0</v>
      </c>
      <c r="CA86" s="440">
        <v>0</v>
      </c>
      <c r="CB86" s="442">
        <f t="shared" si="41"/>
        <v>0</v>
      </c>
      <c r="CC86" s="440">
        <v>0</v>
      </c>
      <c r="CD86" s="442">
        <f t="shared" si="60"/>
        <v>0</v>
      </c>
      <c r="CE86" s="441">
        <v>0</v>
      </c>
      <c r="CF86" s="435">
        <v>4700</v>
      </c>
      <c r="CG86" s="440">
        <v>-23</v>
      </c>
      <c r="CH86" s="440">
        <v>-19</v>
      </c>
      <c r="CI86" s="440">
        <v>-15</v>
      </c>
      <c r="CJ86" s="440">
        <v>-11</v>
      </c>
      <c r="CK86" s="440">
        <v>-8</v>
      </c>
      <c r="CL86" s="440">
        <v>-4</v>
      </c>
      <c r="CM86" s="442">
        <f t="shared" si="42"/>
        <v>-2</v>
      </c>
      <c r="CN86" s="440">
        <v>0</v>
      </c>
      <c r="CO86" s="442">
        <f t="shared" si="61"/>
        <v>2</v>
      </c>
      <c r="CP86" s="441">
        <v>4</v>
      </c>
      <c r="CQ86" s="435">
        <v>4700</v>
      </c>
      <c r="CR86" s="440">
        <v>1</v>
      </c>
      <c r="CS86" s="440">
        <v>1</v>
      </c>
      <c r="CT86" s="440">
        <v>1</v>
      </c>
      <c r="CU86" s="440">
        <v>1</v>
      </c>
      <c r="CV86" s="440">
        <v>0</v>
      </c>
      <c r="CW86" s="440">
        <v>0</v>
      </c>
      <c r="CX86" s="442">
        <f t="shared" si="43"/>
        <v>0</v>
      </c>
      <c r="CY86" s="440">
        <v>0</v>
      </c>
      <c r="CZ86" s="442">
        <f t="shared" si="62"/>
        <v>0</v>
      </c>
      <c r="DA86" s="441">
        <v>0</v>
      </c>
      <c r="DB86" s="435">
        <v>4700</v>
      </c>
      <c r="DC86" s="440">
        <v>-21</v>
      </c>
      <c r="DD86" s="440">
        <v>-17</v>
      </c>
      <c r="DE86" s="440">
        <v>-14</v>
      </c>
      <c r="DF86" s="440">
        <v>-10</v>
      </c>
      <c r="DG86" s="440">
        <v>-7</v>
      </c>
      <c r="DH86" s="440">
        <v>-3</v>
      </c>
      <c r="DI86" s="442">
        <f t="shared" si="44"/>
        <v>-1.5</v>
      </c>
      <c r="DJ86" s="440">
        <v>0</v>
      </c>
      <c r="DK86" s="442">
        <f t="shared" si="63"/>
        <v>1.5</v>
      </c>
      <c r="DL86" s="441">
        <v>3</v>
      </c>
      <c r="DM86" s="435">
        <v>4700</v>
      </c>
      <c r="DN86" s="440">
        <v>1</v>
      </c>
      <c r="DO86" s="440">
        <v>1</v>
      </c>
      <c r="DP86" s="440">
        <v>1</v>
      </c>
      <c r="DQ86" s="440">
        <v>1</v>
      </c>
      <c r="DR86" s="440">
        <v>0</v>
      </c>
      <c r="DS86" s="440">
        <v>0</v>
      </c>
      <c r="DT86" s="442">
        <f t="shared" si="45"/>
        <v>0</v>
      </c>
      <c r="DU86" s="440">
        <v>0</v>
      </c>
      <c r="DV86" s="442">
        <f t="shared" si="64"/>
        <v>0</v>
      </c>
      <c r="DW86" s="441">
        <v>0</v>
      </c>
      <c r="DX86" s="435">
        <v>4700</v>
      </c>
      <c r="DY86" s="440">
        <v>-24</v>
      </c>
      <c r="DZ86" s="440">
        <v>-20</v>
      </c>
      <c r="EA86" s="440">
        <v>-16</v>
      </c>
      <c r="EB86" s="440">
        <v>-12</v>
      </c>
      <c r="EC86" s="440">
        <v>-8</v>
      </c>
      <c r="ED86" s="440">
        <v>-4</v>
      </c>
      <c r="EE86" s="442">
        <f t="shared" si="46"/>
        <v>-2</v>
      </c>
      <c r="EF86" s="440">
        <v>0</v>
      </c>
      <c r="EG86" s="442">
        <f t="shared" si="65"/>
        <v>2</v>
      </c>
      <c r="EH86" s="440">
        <v>4</v>
      </c>
      <c r="EI86" s="435">
        <v>4700</v>
      </c>
      <c r="EJ86" s="440">
        <v>3</v>
      </c>
      <c r="EK86" s="440">
        <v>3</v>
      </c>
      <c r="EL86" s="440">
        <v>2</v>
      </c>
      <c r="EM86" s="440">
        <v>2</v>
      </c>
      <c r="EN86" s="440">
        <v>1</v>
      </c>
      <c r="EO86" s="440">
        <v>1</v>
      </c>
      <c r="EP86" s="442">
        <f t="shared" si="66"/>
        <v>0.5</v>
      </c>
      <c r="EQ86" s="440">
        <v>0</v>
      </c>
      <c r="ER86" s="442">
        <f t="shared" si="67"/>
        <v>-0.5</v>
      </c>
      <c r="ES86" s="441">
        <v>-1</v>
      </c>
      <c r="ET86" s="435">
        <v>4700</v>
      </c>
      <c r="EU86" s="440">
        <v>-22</v>
      </c>
      <c r="EV86" s="440">
        <v>-19</v>
      </c>
      <c r="EW86" s="440">
        <v>-15</v>
      </c>
      <c r="EX86" s="440">
        <v>-11</v>
      </c>
      <c r="EY86" s="440">
        <v>-7</v>
      </c>
      <c r="EZ86" s="440">
        <v>-4</v>
      </c>
      <c r="FA86" s="442">
        <f t="shared" si="68"/>
        <v>-2</v>
      </c>
      <c r="FB86" s="440">
        <v>0</v>
      </c>
      <c r="FC86" s="442">
        <f t="shared" si="69"/>
        <v>2</v>
      </c>
      <c r="FD86" s="440">
        <v>4</v>
      </c>
      <c r="FE86" s="435">
        <v>4700</v>
      </c>
      <c r="FF86" s="440">
        <v>1</v>
      </c>
      <c r="FG86" s="440">
        <v>1</v>
      </c>
      <c r="FH86" s="440">
        <v>1</v>
      </c>
      <c r="FI86" s="440">
        <v>1</v>
      </c>
      <c r="FJ86" s="440">
        <v>0</v>
      </c>
      <c r="FK86" s="440">
        <v>0</v>
      </c>
      <c r="FL86" s="442">
        <f t="shared" si="47"/>
        <v>0</v>
      </c>
      <c r="FM86" s="440">
        <v>0</v>
      </c>
      <c r="FN86" s="442">
        <f t="shared" si="70"/>
        <v>0</v>
      </c>
      <c r="FO86" s="441">
        <v>0</v>
      </c>
      <c r="FP86" s="435">
        <v>4700</v>
      </c>
      <c r="FQ86" s="440">
        <v>-23</v>
      </c>
      <c r="FR86" s="440">
        <v>-19</v>
      </c>
      <c r="FS86" s="440">
        <v>-15</v>
      </c>
      <c r="FT86" s="440">
        <v>-11</v>
      </c>
      <c r="FU86" s="440">
        <v>-8</v>
      </c>
      <c r="FV86" s="440">
        <v>-4</v>
      </c>
      <c r="FW86" s="442">
        <f t="shared" si="48"/>
        <v>-2</v>
      </c>
      <c r="FX86" s="440">
        <v>0</v>
      </c>
      <c r="FY86" s="442">
        <f t="shared" si="71"/>
        <v>2</v>
      </c>
      <c r="FZ86" s="440">
        <v>4</v>
      </c>
      <c r="GA86" s="435">
        <v>4700</v>
      </c>
      <c r="GB86" s="440">
        <v>-35</v>
      </c>
      <c r="GC86" s="440">
        <v>-29</v>
      </c>
      <c r="GD86" s="440">
        <v>-24</v>
      </c>
      <c r="GE86" s="440">
        <v>-18</v>
      </c>
      <c r="GF86" s="440">
        <v>-12</v>
      </c>
      <c r="GG86" s="440">
        <v>-6</v>
      </c>
      <c r="GH86" s="442">
        <f t="shared" si="49"/>
        <v>-3</v>
      </c>
      <c r="GI86" s="440">
        <v>0</v>
      </c>
      <c r="GJ86" s="442">
        <f t="shared" si="72"/>
        <v>3</v>
      </c>
      <c r="GK86" s="441">
        <v>6</v>
      </c>
      <c r="GL86" s="435">
        <v>4700</v>
      </c>
      <c r="GM86" s="440">
        <v>-35</v>
      </c>
      <c r="GN86" s="440">
        <v>-29</v>
      </c>
      <c r="GO86" s="440">
        <v>-23</v>
      </c>
      <c r="GP86" s="440">
        <v>-17</v>
      </c>
      <c r="GQ86" s="440">
        <v>-12</v>
      </c>
      <c r="GR86" s="440">
        <v>-6</v>
      </c>
      <c r="GS86" s="442">
        <f t="shared" si="50"/>
        <v>-3</v>
      </c>
      <c r="GT86" s="440">
        <v>0</v>
      </c>
      <c r="GU86" s="442">
        <f t="shared" si="73"/>
        <v>3</v>
      </c>
      <c r="GV86" s="441">
        <v>6</v>
      </c>
    </row>
    <row r="87" spans="7:204">
      <c r="G87" s="435">
        <v>4600</v>
      </c>
      <c r="H87" s="445">
        <v>35</v>
      </c>
      <c r="I87" s="249">
        <v>29</v>
      </c>
      <c r="J87" s="249">
        <v>24</v>
      </c>
      <c r="K87" s="248">
        <v>18</v>
      </c>
      <c r="L87" s="249">
        <v>12</v>
      </c>
      <c r="M87" s="249">
        <v>6</v>
      </c>
      <c r="N87" s="249">
        <f t="shared" si="51"/>
        <v>3</v>
      </c>
      <c r="O87" s="249">
        <v>0</v>
      </c>
      <c r="P87" s="249">
        <f t="shared" si="52"/>
        <v>-3</v>
      </c>
      <c r="Q87" s="446">
        <v>-6</v>
      </c>
      <c r="R87" s="435">
        <v>4600</v>
      </c>
      <c r="S87" s="248">
        <v>12</v>
      </c>
      <c r="T87" s="248">
        <v>10</v>
      </c>
      <c r="U87" s="248">
        <v>8</v>
      </c>
      <c r="V87" s="248">
        <v>6</v>
      </c>
      <c r="W87" s="248">
        <v>4</v>
      </c>
      <c r="X87" s="248">
        <v>2</v>
      </c>
      <c r="Y87" s="249">
        <f t="shared" si="53"/>
        <v>1</v>
      </c>
      <c r="Z87" s="248">
        <v>0</v>
      </c>
      <c r="AA87" s="439">
        <f t="shared" si="54"/>
        <v>-1</v>
      </c>
      <c r="AB87" s="248">
        <v>-2</v>
      </c>
      <c r="AC87" s="435">
        <v>4600</v>
      </c>
      <c r="AD87" s="440">
        <v>-31</v>
      </c>
      <c r="AE87" s="440">
        <v>-26</v>
      </c>
      <c r="AF87" s="440">
        <v>-20</v>
      </c>
      <c r="AG87" s="440">
        <v>-15</v>
      </c>
      <c r="AH87" s="440">
        <v>-10</v>
      </c>
      <c r="AI87" s="440">
        <v>-5</v>
      </c>
      <c r="AJ87" s="249">
        <f t="shared" si="55"/>
        <v>-2.5</v>
      </c>
      <c r="AK87" s="248">
        <v>0</v>
      </c>
      <c r="AL87" s="439">
        <f t="shared" si="56"/>
        <v>2.5</v>
      </c>
      <c r="AM87" s="441">
        <v>5</v>
      </c>
      <c r="AN87" s="435">
        <v>4600</v>
      </c>
      <c r="AO87" s="440">
        <v>-54</v>
      </c>
      <c r="AP87" s="440">
        <v>-45</v>
      </c>
      <c r="AQ87" s="440">
        <v>-36</v>
      </c>
      <c r="AR87" s="440">
        <v>-27</v>
      </c>
      <c r="AS87" s="440">
        <v>-18</v>
      </c>
      <c r="AT87" s="440">
        <v>-9</v>
      </c>
      <c r="AU87" s="442">
        <f t="shared" si="38"/>
        <v>-4.5</v>
      </c>
      <c r="AV87" s="440">
        <v>0</v>
      </c>
      <c r="AW87" s="442">
        <f t="shared" si="57"/>
        <v>4.5</v>
      </c>
      <c r="AX87" s="441">
        <v>9</v>
      </c>
      <c r="AY87" s="435">
        <v>4600</v>
      </c>
      <c r="AZ87" s="440">
        <v>4</v>
      </c>
      <c r="BA87" s="440">
        <v>3</v>
      </c>
      <c r="BB87" s="440">
        <v>2</v>
      </c>
      <c r="BC87" s="440">
        <v>2</v>
      </c>
      <c r="BD87" s="440">
        <v>1</v>
      </c>
      <c r="BE87" s="440">
        <v>1</v>
      </c>
      <c r="BF87" s="442">
        <f t="shared" si="39"/>
        <v>0.5</v>
      </c>
      <c r="BG87" s="440">
        <v>0</v>
      </c>
      <c r="BH87" s="442">
        <f t="shared" si="58"/>
        <v>-0.5</v>
      </c>
      <c r="BI87" s="441">
        <v>-1</v>
      </c>
      <c r="BJ87" s="447">
        <v>4600</v>
      </c>
      <c r="BK87" s="440">
        <v>-31</v>
      </c>
      <c r="BL87" s="440">
        <v>-26</v>
      </c>
      <c r="BM87" s="440">
        <v>-21</v>
      </c>
      <c r="BN87" s="440">
        <v>-16</v>
      </c>
      <c r="BO87" s="440">
        <v>-10</v>
      </c>
      <c r="BP87" s="440">
        <v>-5</v>
      </c>
      <c r="BQ87" s="442">
        <f t="shared" si="40"/>
        <v>-2.5</v>
      </c>
      <c r="BR87" s="440">
        <v>0</v>
      </c>
      <c r="BS87" s="442">
        <f t="shared" si="59"/>
        <v>2.5</v>
      </c>
      <c r="BT87" s="440">
        <v>5</v>
      </c>
      <c r="BU87" s="435">
        <v>4600</v>
      </c>
      <c r="BV87" s="440">
        <v>1</v>
      </c>
      <c r="BW87" s="440">
        <v>1</v>
      </c>
      <c r="BX87" s="440">
        <v>1</v>
      </c>
      <c r="BY87" s="440">
        <v>1</v>
      </c>
      <c r="BZ87" s="440">
        <v>0</v>
      </c>
      <c r="CA87" s="440">
        <v>0</v>
      </c>
      <c r="CB87" s="442">
        <f t="shared" si="41"/>
        <v>0</v>
      </c>
      <c r="CC87" s="440">
        <v>0</v>
      </c>
      <c r="CD87" s="442">
        <f t="shared" si="60"/>
        <v>0</v>
      </c>
      <c r="CE87" s="441">
        <v>0</v>
      </c>
      <c r="CF87" s="435">
        <v>4600</v>
      </c>
      <c r="CG87" s="440">
        <v>-23</v>
      </c>
      <c r="CH87" s="440">
        <v>-19</v>
      </c>
      <c r="CI87" s="440">
        <v>-15</v>
      </c>
      <c r="CJ87" s="440">
        <v>-11</v>
      </c>
      <c r="CK87" s="440">
        <v>-8</v>
      </c>
      <c r="CL87" s="440">
        <v>-4</v>
      </c>
      <c r="CM87" s="442">
        <f t="shared" si="42"/>
        <v>-2</v>
      </c>
      <c r="CN87" s="440">
        <v>0</v>
      </c>
      <c r="CO87" s="442">
        <f t="shared" si="61"/>
        <v>2</v>
      </c>
      <c r="CP87" s="441">
        <v>4</v>
      </c>
      <c r="CQ87" s="435">
        <v>4600</v>
      </c>
      <c r="CR87" s="440">
        <v>1</v>
      </c>
      <c r="CS87" s="440">
        <v>1</v>
      </c>
      <c r="CT87" s="440">
        <v>1</v>
      </c>
      <c r="CU87" s="440">
        <v>1</v>
      </c>
      <c r="CV87" s="440">
        <v>0</v>
      </c>
      <c r="CW87" s="440">
        <v>0</v>
      </c>
      <c r="CX87" s="442">
        <f t="shared" si="43"/>
        <v>0</v>
      </c>
      <c r="CY87" s="440">
        <v>0</v>
      </c>
      <c r="CZ87" s="442">
        <f t="shared" si="62"/>
        <v>0</v>
      </c>
      <c r="DA87" s="441">
        <v>0</v>
      </c>
      <c r="DB87" s="435">
        <v>4600</v>
      </c>
      <c r="DC87" s="440">
        <v>-21</v>
      </c>
      <c r="DD87" s="440">
        <v>-17</v>
      </c>
      <c r="DE87" s="440">
        <v>-14</v>
      </c>
      <c r="DF87" s="440">
        <v>-10</v>
      </c>
      <c r="DG87" s="440">
        <v>-7</v>
      </c>
      <c r="DH87" s="440">
        <v>-3</v>
      </c>
      <c r="DI87" s="442">
        <f t="shared" si="44"/>
        <v>-1.5</v>
      </c>
      <c r="DJ87" s="440">
        <v>0</v>
      </c>
      <c r="DK87" s="442">
        <f t="shared" si="63"/>
        <v>1.5</v>
      </c>
      <c r="DL87" s="441">
        <v>3</v>
      </c>
      <c r="DM87" s="435">
        <v>4600</v>
      </c>
      <c r="DN87" s="440">
        <v>1</v>
      </c>
      <c r="DO87" s="440">
        <v>1</v>
      </c>
      <c r="DP87" s="440">
        <v>1</v>
      </c>
      <c r="DQ87" s="440">
        <v>1</v>
      </c>
      <c r="DR87" s="440">
        <v>0</v>
      </c>
      <c r="DS87" s="440">
        <v>0</v>
      </c>
      <c r="DT87" s="442">
        <f t="shared" si="45"/>
        <v>0</v>
      </c>
      <c r="DU87" s="440">
        <v>0</v>
      </c>
      <c r="DV87" s="442">
        <f t="shared" si="64"/>
        <v>0</v>
      </c>
      <c r="DW87" s="441">
        <v>0</v>
      </c>
      <c r="DX87" s="435">
        <v>4600</v>
      </c>
      <c r="DY87" s="440">
        <v>-24</v>
      </c>
      <c r="DZ87" s="440">
        <v>-20</v>
      </c>
      <c r="EA87" s="440">
        <v>-16</v>
      </c>
      <c r="EB87" s="440">
        <v>-12</v>
      </c>
      <c r="EC87" s="440">
        <v>-8</v>
      </c>
      <c r="ED87" s="440">
        <v>-4</v>
      </c>
      <c r="EE87" s="442">
        <f t="shared" si="46"/>
        <v>-2</v>
      </c>
      <c r="EF87" s="440">
        <v>0</v>
      </c>
      <c r="EG87" s="442">
        <f t="shared" si="65"/>
        <v>2</v>
      </c>
      <c r="EH87" s="440">
        <v>4</v>
      </c>
      <c r="EI87" s="435">
        <v>4600</v>
      </c>
      <c r="EJ87" s="440">
        <v>3</v>
      </c>
      <c r="EK87" s="440">
        <v>3</v>
      </c>
      <c r="EL87" s="440">
        <v>2</v>
      </c>
      <c r="EM87" s="440">
        <v>2</v>
      </c>
      <c r="EN87" s="440">
        <v>1</v>
      </c>
      <c r="EO87" s="440">
        <v>1</v>
      </c>
      <c r="EP87" s="442">
        <f t="shared" si="66"/>
        <v>0.5</v>
      </c>
      <c r="EQ87" s="440">
        <v>0</v>
      </c>
      <c r="ER87" s="442">
        <f t="shared" si="67"/>
        <v>-0.5</v>
      </c>
      <c r="ES87" s="441">
        <v>-1</v>
      </c>
      <c r="ET87" s="435">
        <v>4600</v>
      </c>
      <c r="EU87" s="440">
        <v>-22</v>
      </c>
      <c r="EV87" s="440">
        <v>-19</v>
      </c>
      <c r="EW87" s="440">
        <v>-15</v>
      </c>
      <c r="EX87" s="440">
        <v>-11</v>
      </c>
      <c r="EY87" s="440">
        <v>-7</v>
      </c>
      <c r="EZ87" s="440">
        <v>-4</v>
      </c>
      <c r="FA87" s="442">
        <f t="shared" si="68"/>
        <v>-2</v>
      </c>
      <c r="FB87" s="440">
        <v>0</v>
      </c>
      <c r="FC87" s="442">
        <f t="shared" si="69"/>
        <v>2</v>
      </c>
      <c r="FD87" s="440">
        <v>4</v>
      </c>
      <c r="FE87" s="435">
        <v>4600</v>
      </c>
      <c r="FF87" s="440">
        <v>1</v>
      </c>
      <c r="FG87" s="440">
        <v>1</v>
      </c>
      <c r="FH87" s="440">
        <v>1</v>
      </c>
      <c r="FI87" s="440">
        <v>1</v>
      </c>
      <c r="FJ87" s="440">
        <v>0</v>
      </c>
      <c r="FK87" s="440">
        <v>0</v>
      </c>
      <c r="FL87" s="442">
        <f t="shared" si="47"/>
        <v>0</v>
      </c>
      <c r="FM87" s="440">
        <v>0</v>
      </c>
      <c r="FN87" s="442">
        <f t="shared" si="70"/>
        <v>0</v>
      </c>
      <c r="FO87" s="441">
        <v>0</v>
      </c>
      <c r="FP87" s="435">
        <v>4600</v>
      </c>
      <c r="FQ87" s="440">
        <v>-23</v>
      </c>
      <c r="FR87" s="440">
        <v>-19</v>
      </c>
      <c r="FS87" s="440">
        <v>-15</v>
      </c>
      <c r="FT87" s="440">
        <v>-11</v>
      </c>
      <c r="FU87" s="440">
        <v>-8</v>
      </c>
      <c r="FV87" s="440">
        <v>-4</v>
      </c>
      <c r="FW87" s="442">
        <f t="shared" si="48"/>
        <v>-2</v>
      </c>
      <c r="FX87" s="440">
        <v>0</v>
      </c>
      <c r="FY87" s="442">
        <f t="shared" si="71"/>
        <v>2</v>
      </c>
      <c r="FZ87" s="440">
        <v>4</v>
      </c>
      <c r="GA87" s="435">
        <v>4600</v>
      </c>
      <c r="GB87" s="440">
        <v>-35</v>
      </c>
      <c r="GC87" s="440">
        <v>-29</v>
      </c>
      <c r="GD87" s="440">
        <v>-24</v>
      </c>
      <c r="GE87" s="440">
        <v>-18</v>
      </c>
      <c r="GF87" s="440">
        <v>-12</v>
      </c>
      <c r="GG87" s="440">
        <v>-6</v>
      </c>
      <c r="GH87" s="442">
        <f t="shared" si="49"/>
        <v>-3</v>
      </c>
      <c r="GI87" s="440">
        <v>0</v>
      </c>
      <c r="GJ87" s="442">
        <f t="shared" si="72"/>
        <v>3</v>
      </c>
      <c r="GK87" s="441">
        <v>6</v>
      </c>
      <c r="GL87" s="435">
        <v>4600</v>
      </c>
      <c r="GM87" s="440">
        <v>-35</v>
      </c>
      <c r="GN87" s="440">
        <v>-29</v>
      </c>
      <c r="GO87" s="440">
        <v>-23</v>
      </c>
      <c r="GP87" s="440">
        <v>-17</v>
      </c>
      <c r="GQ87" s="440">
        <v>-12</v>
      </c>
      <c r="GR87" s="440">
        <v>-6</v>
      </c>
      <c r="GS87" s="442">
        <f t="shared" si="50"/>
        <v>-3</v>
      </c>
      <c r="GT87" s="440">
        <v>0</v>
      </c>
      <c r="GU87" s="442">
        <f t="shared" si="73"/>
        <v>3</v>
      </c>
      <c r="GV87" s="441">
        <v>6</v>
      </c>
    </row>
    <row r="88" spans="7:204">
      <c r="G88" s="435">
        <v>4500</v>
      </c>
      <c r="H88" s="445">
        <v>36</v>
      </c>
      <c r="I88" s="249">
        <v>30</v>
      </c>
      <c r="J88" s="249">
        <v>24</v>
      </c>
      <c r="K88" s="248">
        <v>18</v>
      </c>
      <c r="L88" s="249">
        <v>12</v>
      </c>
      <c r="M88" s="249">
        <v>6</v>
      </c>
      <c r="N88" s="249">
        <f t="shared" si="51"/>
        <v>3</v>
      </c>
      <c r="O88" s="249">
        <v>0</v>
      </c>
      <c r="P88" s="249">
        <f t="shared" si="52"/>
        <v>-3</v>
      </c>
      <c r="Q88" s="446">
        <v>-6</v>
      </c>
      <c r="R88" s="435">
        <v>4500</v>
      </c>
      <c r="S88" s="248">
        <v>12</v>
      </c>
      <c r="T88" s="248">
        <v>10</v>
      </c>
      <c r="U88" s="248">
        <v>8</v>
      </c>
      <c r="V88" s="248">
        <v>6</v>
      </c>
      <c r="W88" s="248">
        <v>4</v>
      </c>
      <c r="X88" s="248">
        <v>2</v>
      </c>
      <c r="Y88" s="249">
        <f t="shared" si="53"/>
        <v>1</v>
      </c>
      <c r="Z88" s="248">
        <v>0</v>
      </c>
      <c r="AA88" s="439">
        <f t="shared" si="54"/>
        <v>-1</v>
      </c>
      <c r="AB88" s="248">
        <v>-2</v>
      </c>
      <c r="AC88" s="435">
        <v>4500</v>
      </c>
      <c r="AD88" s="440">
        <v>-30</v>
      </c>
      <c r="AE88" s="440">
        <v>-25</v>
      </c>
      <c r="AF88" s="440">
        <v>-20</v>
      </c>
      <c r="AG88" s="440">
        <v>-15</v>
      </c>
      <c r="AH88" s="440">
        <v>-10</v>
      </c>
      <c r="AI88" s="440">
        <v>-5</v>
      </c>
      <c r="AJ88" s="249">
        <f t="shared" si="55"/>
        <v>-2.5</v>
      </c>
      <c r="AK88" s="248">
        <v>0</v>
      </c>
      <c r="AL88" s="439">
        <f t="shared" si="56"/>
        <v>2.5</v>
      </c>
      <c r="AM88" s="441">
        <v>5</v>
      </c>
      <c r="AN88" s="435">
        <v>4500</v>
      </c>
      <c r="AO88" s="440">
        <v>-54</v>
      </c>
      <c r="AP88" s="440">
        <v>-45</v>
      </c>
      <c r="AQ88" s="440">
        <v>-36</v>
      </c>
      <c r="AR88" s="440">
        <v>-27</v>
      </c>
      <c r="AS88" s="440">
        <v>-18</v>
      </c>
      <c r="AT88" s="440">
        <v>-9</v>
      </c>
      <c r="AU88" s="442">
        <f t="shared" si="38"/>
        <v>-4.5</v>
      </c>
      <c r="AV88" s="440">
        <v>0</v>
      </c>
      <c r="AW88" s="442">
        <f t="shared" si="57"/>
        <v>4.5</v>
      </c>
      <c r="AX88" s="441">
        <v>9</v>
      </c>
      <c r="AY88" s="435">
        <v>4500</v>
      </c>
      <c r="AZ88" s="440">
        <v>4</v>
      </c>
      <c r="BA88" s="440">
        <v>3</v>
      </c>
      <c r="BB88" s="440">
        <v>2</v>
      </c>
      <c r="BC88" s="440">
        <v>2</v>
      </c>
      <c r="BD88" s="440">
        <v>1</v>
      </c>
      <c r="BE88" s="440">
        <v>1</v>
      </c>
      <c r="BF88" s="442">
        <f t="shared" si="39"/>
        <v>0.5</v>
      </c>
      <c r="BG88" s="440">
        <v>0</v>
      </c>
      <c r="BH88" s="442">
        <f t="shared" si="58"/>
        <v>-0.5</v>
      </c>
      <c r="BI88" s="441">
        <v>-1</v>
      </c>
      <c r="BJ88" s="447">
        <v>4500</v>
      </c>
      <c r="BK88" s="440">
        <v>-31</v>
      </c>
      <c r="BL88" s="440">
        <v>-26</v>
      </c>
      <c r="BM88" s="440">
        <v>-21</v>
      </c>
      <c r="BN88" s="440">
        <v>-16</v>
      </c>
      <c r="BO88" s="440">
        <v>-10</v>
      </c>
      <c r="BP88" s="440">
        <v>-5</v>
      </c>
      <c r="BQ88" s="442">
        <f t="shared" si="40"/>
        <v>-2.5</v>
      </c>
      <c r="BR88" s="440">
        <v>0</v>
      </c>
      <c r="BS88" s="442">
        <f t="shared" si="59"/>
        <v>2.5</v>
      </c>
      <c r="BT88" s="440">
        <v>5</v>
      </c>
      <c r="BU88" s="435">
        <v>4500</v>
      </c>
      <c r="BV88" s="440">
        <v>1</v>
      </c>
      <c r="BW88" s="440">
        <v>1</v>
      </c>
      <c r="BX88" s="440">
        <v>1</v>
      </c>
      <c r="BY88" s="440">
        <v>1</v>
      </c>
      <c r="BZ88" s="440">
        <v>0</v>
      </c>
      <c r="CA88" s="440">
        <v>0</v>
      </c>
      <c r="CB88" s="442">
        <f t="shared" si="41"/>
        <v>0</v>
      </c>
      <c r="CC88" s="440">
        <v>0</v>
      </c>
      <c r="CD88" s="442">
        <f t="shared" si="60"/>
        <v>0</v>
      </c>
      <c r="CE88" s="441">
        <v>0</v>
      </c>
      <c r="CF88" s="435">
        <v>4500</v>
      </c>
      <c r="CG88" s="440">
        <v>-23</v>
      </c>
      <c r="CH88" s="440">
        <v>-19</v>
      </c>
      <c r="CI88" s="440">
        <v>-15</v>
      </c>
      <c r="CJ88" s="440">
        <v>-11</v>
      </c>
      <c r="CK88" s="440">
        <v>-8</v>
      </c>
      <c r="CL88" s="440">
        <v>-4</v>
      </c>
      <c r="CM88" s="442">
        <f t="shared" si="42"/>
        <v>-2</v>
      </c>
      <c r="CN88" s="440">
        <v>0</v>
      </c>
      <c r="CO88" s="442">
        <f t="shared" si="61"/>
        <v>2</v>
      </c>
      <c r="CP88" s="441">
        <v>4</v>
      </c>
      <c r="CQ88" s="435">
        <v>4500</v>
      </c>
      <c r="CR88" s="440">
        <v>1</v>
      </c>
      <c r="CS88" s="440">
        <v>1</v>
      </c>
      <c r="CT88" s="440">
        <v>1</v>
      </c>
      <c r="CU88" s="440">
        <v>1</v>
      </c>
      <c r="CV88" s="440">
        <v>0</v>
      </c>
      <c r="CW88" s="440">
        <v>0</v>
      </c>
      <c r="CX88" s="442">
        <f t="shared" si="43"/>
        <v>0</v>
      </c>
      <c r="CY88" s="440">
        <v>0</v>
      </c>
      <c r="CZ88" s="442">
        <f t="shared" si="62"/>
        <v>0</v>
      </c>
      <c r="DA88" s="441">
        <v>0</v>
      </c>
      <c r="DB88" s="435">
        <v>4500</v>
      </c>
      <c r="DC88" s="440">
        <v>-21</v>
      </c>
      <c r="DD88" s="440">
        <v>-17</v>
      </c>
      <c r="DE88" s="440">
        <v>-14</v>
      </c>
      <c r="DF88" s="440">
        <v>-10</v>
      </c>
      <c r="DG88" s="440">
        <v>-7</v>
      </c>
      <c r="DH88" s="440">
        <v>-3</v>
      </c>
      <c r="DI88" s="442">
        <f t="shared" si="44"/>
        <v>-1.5</v>
      </c>
      <c r="DJ88" s="440">
        <v>0</v>
      </c>
      <c r="DK88" s="442">
        <f t="shared" si="63"/>
        <v>1.5</v>
      </c>
      <c r="DL88" s="441">
        <v>3</v>
      </c>
      <c r="DM88" s="435">
        <v>4500</v>
      </c>
      <c r="DN88" s="440">
        <v>1</v>
      </c>
      <c r="DO88" s="440">
        <v>1</v>
      </c>
      <c r="DP88" s="440">
        <v>1</v>
      </c>
      <c r="DQ88" s="440">
        <v>1</v>
      </c>
      <c r="DR88" s="440">
        <v>0</v>
      </c>
      <c r="DS88" s="440">
        <v>0</v>
      </c>
      <c r="DT88" s="442">
        <f t="shared" si="45"/>
        <v>0</v>
      </c>
      <c r="DU88" s="440">
        <v>0</v>
      </c>
      <c r="DV88" s="442">
        <f t="shared" si="64"/>
        <v>0</v>
      </c>
      <c r="DW88" s="441">
        <v>0</v>
      </c>
      <c r="DX88" s="435">
        <v>4500</v>
      </c>
      <c r="DY88" s="440">
        <v>-24</v>
      </c>
      <c r="DZ88" s="440">
        <v>-20</v>
      </c>
      <c r="EA88" s="440">
        <v>-16</v>
      </c>
      <c r="EB88" s="440">
        <v>-12</v>
      </c>
      <c r="EC88" s="440">
        <v>-8</v>
      </c>
      <c r="ED88" s="440">
        <v>-4</v>
      </c>
      <c r="EE88" s="442">
        <f t="shared" si="46"/>
        <v>-2</v>
      </c>
      <c r="EF88" s="440">
        <v>0</v>
      </c>
      <c r="EG88" s="442">
        <f t="shared" si="65"/>
        <v>2</v>
      </c>
      <c r="EH88" s="440">
        <v>4</v>
      </c>
      <c r="EI88" s="435">
        <v>4500</v>
      </c>
      <c r="EJ88" s="440">
        <v>3</v>
      </c>
      <c r="EK88" s="440">
        <v>3</v>
      </c>
      <c r="EL88" s="440">
        <v>2</v>
      </c>
      <c r="EM88" s="440">
        <v>2</v>
      </c>
      <c r="EN88" s="440">
        <v>1</v>
      </c>
      <c r="EO88" s="440">
        <v>1</v>
      </c>
      <c r="EP88" s="442">
        <f t="shared" si="66"/>
        <v>0.5</v>
      </c>
      <c r="EQ88" s="440">
        <v>0</v>
      </c>
      <c r="ER88" s="442">
        <f t="shared" si="67"/>
        <v>-0.5</v>
      </c>
      <c r="ES88" s="441">
        <v>-1</v>
      </c>
      <c r="ET88" s="435">
        <v>4500</v>
      </c>
      <c r="EU88" s="440">
        <v>-22</v>
      </c>
      <c r="EV88" s="440">
        <v>-19</v>
      </c>
      <c r="EW88" s="440">
        <v>-15</v>
      </c>
      <c r="EX88" s="440">
        <v>-11</v>
      </c>
      <c r="EY88" s="440">
        <v>-7</v>
      </c>
      <c r="EZ88" s="440">
        <v>-4</v>
      </c>
      <c r="FA88" s="442">
        <f t="shared" si="68"/>
        <v>-2</v>
      </c>
      <c r="FB88" s="440">
        <v>0</v>
      </c>
      <c r="FC88" s="442">
        <f t="shared" si="69"/>
        <v>2</v>
      </c>
      <c r="FD88" s="440">
        <v>4</v>
      </c>
      <c r="FE88" s="435">
        <v>4500</v>
      </c>
      <c r="FF88" s="440">
        <v>1</v>
      </c>
      <c r="FG88" s="440">
        <v>1</v>
      </c>
      <c r="FH88" s="440">
        <v>1</v>
      </c>
      <c r="FI88" s="440">
        <v>1</v>
      </c>
      <c r="FJ88" s="440">
        <v>0</v>
      </c>
      <c r="FK88" s="440">
        <v>0</v>
      </c>
      <c r="FL88" s="442">
        <f t="shared" si="47"/>
        <v>0</v>
      </c>
      <c r="FM88" s="440">
        <v>0</v>
      </c>
      <c r="FN88" s="442">
        <f t="shared" si="70"/>
        <v>0</v>
      </c>
      <c r="FO88" s="441">
        <v>0</v>
      </c>
      <c r="FP88" s="435">
        <v>4500</v>
      </c>
      <c r="FQ88" s="440">
        <v>-23</v>
      </c>
      <c r="FR88" s="440">
        <v>-19</v>
      </c>
      <c r="FS88" s="440">
        <v>-15</v>
      </c>
      <c r="FT88" s="440">
        <v>-11</v>
      </c>
      <c r="FU88" s="440">
        <v>-8</v>
      </c>
      <c r="FV88" s="440">
        <v>-4</v>
      </c>
      <c r="FW88" s="442">
        <f t="shared" si="48"/>
        <v>-2</v>
      </c>
      <c r="FX88" s="440">
        <v>0</v>
      </c>
      <c r="FY88" s="442">
        <f t="shared" si="71"/>
        <v>2</v>
      </c>
      <c r="FZ88" s="440">
        <v>4</v>
      </c>
      <c r="GA88" s="435">
        <v>4500</v>
      </c>
      <c r="GB88" s="440">
        <v>-35</v>
      </c>
      <c r="GC88" s="440">
        <v>-30</v>
      </c>
      <c r="GD88" s="440">
        <v>-24</v>
      </c>
      <c r="GE88" s="440">
        <v>-18</v>
      </c>
      <c r="GF88" s="440">
        <v>-12</v>
      </c>
      <c r="GG88" s="440">
        <v>-6</v>
      </c>
      <c r="GH88" s="442">
        <f t="shared" si="49"/>
        <v>-3</v>
      </c>
      <c r="GI88" s="440">
        <v>0</v>
      </c>
      <c r="GJ88" s="442">
        <f t="shared" si="72"/>
        <v>3</v>
      </c>
      <c r="GK88" s="441">
        <v>6</v>
      </c>
      <c r="GL88" s="435">
        <v>4500</v>
      </c>
      <c r="GM88" s="440">
        <v>-35</v>
      </c>
      <c r="GN88" s="440">
        <v>-29</v>
      </c>
      <c r="GO88" s="440">
        <v>-23</v>
      </c>
      <c r="GP88" s="440">
        <v>-17</v>
      </c>
      <c r="GQ88" s="440">
        <v>-12</v>
      </c>
      <c r="GR88" s="440">
        <v>-6</v>
      </c>
      <c r="GS88" s="442">
        <f t="shared" si="50"/>
        <v>-3</v>
      </c>
      <c r="GT88" s="440">
        <v>0</v>
      </c>
      <c r="GU88" s="442">
        <f t="shared" si="73"/>
        <v>3</v>
      </c>
      <c r="GV88" s="441">
        <v>6</v>
      </c>
    </row>
    <row r="89" spans="7:204">
      <c r="G89" s="435">
        <v>4400</v>
      </c>
      <c r="H89" s="445">
        <v>36</v>
      </c>
      <c r="I89" s="249">
        <v>30</v>
      </c>
      <c r="J89" s="249">
        <v>24</v>
      </c>
      <c r="K89" s="248">
        <v>18</v>
      </c>
      <c r="L89" s="249">
        <v>12</v>
      </c>
      <c r="M89" s="249">
        <v>6</v>
      </c>
      <c r="N89" s="249">
        <f t="shared" si="51"/>
        <v>3</v>
      </c>
      <c r="O89" s="249">
        <v>0</v>
      </c>
      <c r="P89" s="249">
        <f t="shared" si="52"/>
        <v>-3</v>
      </c>
      <c r="Q89" s="446">
        <v>-6</v>
      </c>
      <c r="R89" s="435">
        <v>4400</v>
      </c>
      <c r="S89" s="248">
        <v>12</v>
      </c>
      <c r="T89" s="248">
        <v>10</v>
      </c>
      <c r="U89" s="248">
        <v>8</v>
      </c>
      <c r="V89" s="248">
        <v>6</v>
      </c>
      <c r="W89" s="248">
        <v>4</v>
      </c>
      <c r="X89" s="248">
        <v>2</v>
      </c>
      <c r="Y89" s="249">
        <f t="shared" si="53"/>
        <v>1</v>
      </c>
      <c r="Z89" s="248">
        <v>0</v>
      </c>
      <c r="AA89" s="439">
        <f t="shared" si="54"/>
        <v>-1</v>
      </c>
      <c r="AB89" s="248">
        <v>-2</v>
      </c>
      <c r="AC89" s="435">
        <v>4400</v>
      </c>
      <c r="AD89" s="440">
        <v>-30</v>
      </c>
      <c r="AE89" s="440">
        <v>-25</v>
      </c>
      <c r="AF89" s="440">
        <v>-20</v>
      </c>
      <c r="AG89" s="440">
        <v>-15</v>
      </c>
      <c r="AH89" s="440">
        <v>-10</v>
      </c>
      <c r="AI89" s="440">
        <v>-5</v>
      </c>
      <c r="AJ89" s="249">
        <f t="shared" si="55"/>
        <v>-2.5</v>
      </c>
      <c r="AK89" s="248">
        <v>0</v>
      </c>
      <c r="AL89" s="439">
        <f t="shared" si="56"/>
        <v>2.5</v>
      </c>
      <c r="AM89" s="441">
        <v>5</v>
      </c>
      <c r="AN89" s="435">
        <v>4400</v>
      </c>
      <c r="AO89" s="440">
        <v>-54</v>
      </c>
      <c r="AP89" s="440">
        <v>-45</v>
      </c>
      <c r="AQ89" s="440">
        <v>-36</v>
      </c>
      <c r="AR89" s="440">
        <v>-27</v>
      </c>
      <c r="AS89" s="440">
        <v>-18</v>
      </c>
      <c r="AT89" s="440">
        <v>-9</v>
      </c>
      <c r="AU89" s="442">
        <f t="shared" si="38"/>
        <v>-4.5</v>
      </c>
      <c r="AV89" s="440">
        <v>0</v>
      </c>
      <c r="AW89" s="442">
        <f t="shared" si="57"/>
        <v>4.5</v>
      </c>
      <c r="AX89" s="441">
        <v>9</v>
      </c>
      <c r="AY89" s="435">
        <v>4400</v>
      </c>
      <c r="AZ89" s="440">
        <v>4</v>
      </c>
      <c r="BA89" s="440">
        <v>3</v>
      </c>
      <c r="BB89" s="440">
        <v>2</v>
      </c>
      <c r="BC89" s="440">
        <v>2</v>
      </c>
      <c r="BD89" s="440">
        <v>1</v>
      </c>
      <c r="BE89" s="440">
        <v>1</v>
      </c>
      <c r="BF89" s="442">
        <f t="shared" si="39"/>
        <v>0.5</v>
      </c>
      <c r="BG89" s="440">
        <v>0</v>
      </c>
      <c r="BH89" s="442">
        <f t="shared" si="58"/>
        <v>-0.5</v>
      </c>
      <c r="BI89" s="441">
        <v>-1</v>
      </c>
      <c r="BJ89" s="447">
        <v>4400</v>
      </c>
      <c r="BK89" s="440">
        <v>-31</v>
      </c>
      <c r="BL89" s="440">
        <v>-26</v>
      </c>
      <c r="BM89" s="440">
        <v>-21</v>
      </c>
      <c r="BN89" s="440">
        <v>-16</v>
      </c>
      <c r="BO89" s="440">
        <v>-10</v>
      </c>
      <c r="BP89" s="440">
        <v>-5</v>
      </c>
      <c r="BQ89" s="442">
        <f t="shared" si="40"/>
        <v>-2.5</v>
      </c>
      <c r="BR89" s="440">
        <v>0</v>
      </c>
      <c r="BS89" s="442">
        <f t="shared" si="59"/>
        <v>2.5</v>
      </c>
      <c r="BT89" s="440">
        <v>5</v>
      </c>
      <c r="BU89" s="435">
        <v>4400</v>
      </c>
      <c r="BV89" s="440">
        <v>1</v>
      </c>
      <c r="BW89" s="440">
        <v>1</v>
      </c>
      <c r="BX89" s="440">
        <v>1</v>
      </c>
      <c r="BY89" s="440">
        <v>1</v>
      </c>
      <c r="BZ89" s="440">
        <v>0</v>
      </c>
      <c r="CA89" s="440">
        <v>0</v>
      </c>
      <c r="CB89" s="442">
        <f t="shared" si="41"/>
        <v>0</v>
      </c>
      <c r="CC89" s="440">
        <v>0</v>
      </c>
      <c r="CD89" s="442">
        <f t="shared" si="60"/>
        <v>0</v>
      </c>
      <c r="CE89" s="441">
        <v>0</v>
      </c>
      <c r="CF89" s="435">
        <v>4400</v>
      </c>
      <c r="CG89" s="440">
        <v>-23</v>
      </c>
      <c r="CH89" s="440">
        <v>-19</v>
      </c>
      <c r="CI89" s="440">
        <v>-15</v>
      </c>
      <c r="CJ89" s="440">
        <v>-11</v>
      </c>
      <c r="CK89" s="440">
        <v>-8</v>
      </c>
      <c r="CL89" s="440">
        <v>-4</v>
      </c>
      <c r="CM89" s="442">
        <f t="shared" si="42"/>
        <v>-2</v>
      </c>
      <c r="CN89" s="440">
        <v>0</v>
      </c>
      <c r="CO89" s="442">
        <f t="shared" si="61"/>
        <v>2</v>
      </c>
      <c r="CP89" s="441">
        <v>4</v>
      </c>
      <c r="CQ89" s="435">
        <v>4400</v>
      </c>
      <c r="CR89" s="440">
        <v>1</v>
      </c>
      <c r="CS89" s="440">
        <v>1</v>
      </c>
      <c r="CT89" s="440">
        <v>1</v>
      </c>
      <c r="CU89" s="440">
        <v>1</v>
      </c>
      <c r="CV89" s="440">
        <v>0</v>
      </c>
      <c r="CW89" s="440">
        <v>0</v>
      </c>
      <c r="CX89" s="442">
        <f t="shared" si="43"/>
        <v>0</v>
      </c>
      <c r="CY89" s="440">
        <v>0</v>
      </c>
      <c r="CZ89" s="442">
        <f t="shared" si="62"/>
        <v>0</v>
      </c>
      <c r="DA89" s="441">
        <v>0</v>
      </c>
      <c r="DB89" s="435">
        <v>4400</v>
      </c>
      <c r="DC89" s="440">
        <v>-21</v>
      </c>
      <c r="DD89" s="440">
        <v>-17</v>
      </c>
      <c r="DE89" s="440">
        <v>-14</v>
      </c>
      <c r="DF89" s="440">
        <v>-10</v>
      </c>
      <c r="DG89" s="440">
        <v>-7</v>
      </c>
      <c r="DH89" s="440">
        <v>-3</v>
      </c>
      <c r="DI89" s="442">
        <f t="shared" si="44"/>
        <v>-1.5</v>
      </c>
      <c r="DJ89" s="440">
        <v>0</v>
      </c>
      <c r="DK89" s="442">
        <f t="shared" si="63"/>
        <v>1.5</v>
      </c>
      <c r="DL89" s="441">
        <v>3</v>
      </c>
      <c r="DM89" s="435">
        <v>4400</v>
      </c>
      <c r="DN89" s="440">
        <v>1</v>
      </c>
      <c r="DO89" s="440">
        <v>1</v>
      </c>
      <c r="DP89" s="440">
        <v>1</v>
      </c>
      <c r="DQ89" s="440">
        <v>1</v>
      </c>
      <c r="DR89" s="440">
        <v>0</v>
      </c>
      <c r="DS89" s="440">
        <v>0</v>
      </c>
      <c r="DT89" s="442">
        <f t="shared" si="45"/>
        <v>0</v>
      </c>
      <c r="DU89" s="440">
        <v>0</v>
      </c>
      <c r="DV89" s="442">
        <f t="shared" si="64"/>
        <v>0</v>
      </c>
      <c r="DW89" s="441">
        <v>0</v>
      </c>
      <c r="DX89" s="435">
        <v>4400</v>
      </c>
      <c r="DY89" s="440">
        <v>-24</v>
      </c>
      <c r="DZ89" s="440">
        <v>-20</v>
      </c>
      <c r="EA89" s="440">
        <v>-16</v>
      </c>
      <c r="EB89" s="440">
        <v>-12</v>
      </c>
      <c r="EC89" s="440">
        <v>-8</v>
      </c>
      <c r="ED89" s="440">
        <v>-4</v>
      </c>
      <c r="EE89" s="442">
        <f t="shared" si="46"/>
        <v>-2</v>
      </c>
      <c r="EF89" s="440">
        <v>0</v>
      </c>
      <c r="EG89" s="442">
        <f t="shared" si="65"/>
        <v>2</v>
      </c>
      <c r="EH89" s="440">
        <v>4</v>
      </c>
      <c r="EI89" s="435">
        <v>4400</v>
      </c>
      <c r="EJ89" s="440">
        <v>3</v>
      </c>
      <c r="EK89" s="440">
        <v>3</v>
      </c>
      <c r="EL89" s="440">
        <v>2</v>
      </c>
      <c r="EM89" s="440">
        <v>2</v>
      </c>
      <c r="EN89" s="440">
        <v>1</v>
      </c>
      <c r="EO89" s="440">
        <v>1</v>
      </c>
      <c r="EP89" s="442">
        <f t="shared" si="66"/>
        <v>0.5</v>
      </c>
      <c r="EQ89" s="440">
        <v>0</v>
      </c>
      <c r="ER89" s="442">
        <f t="shared" si="67"/>
        <v>-0.5</v>
      </c>
      <c r="ES89" s="441">
        <v>-1</v>
      </c>
      <c r="ET89" s="435">
        <v>4400</v>
      </c>
      <c r="EU89" s="440">
        <v>-22</v>
      </c>
      <c r="EV89" s="440">
        <v>-19</v>
      </c>
      <c r="EW89" s="440">
        <v>-15</v>
      </c>
      <c r="EX89" s="440">
        <v>-11</v>
      </c>
      <c r="EY89" s="440">
        <v>-7</v>
      </c>
      <c r="EZ89" s="440">
        <v>-4</v>
      </c>
      <c r="FA89" s="442">
        <f t="shared" si="68"/>
        <v>-2</v>
      </c>
      <c r="FB89" s="440">
        <v>0</v>
      </c>
      <c r="FC89" s="442">
        <f t="shared" si="69"/>
        <v>2</v>
      </c>
      <c r="FD89" s="440">
        <v>4</v>
      </c>
      <c r="FE89" s="435">
        <v>4400</v>
      </c>
      <c r="FF89" s="440">
        <v>1</v>
      </c>
      <c r="FG89" s="440">
        <v>1</v>
      </c>
      <c r="FH89" s="440">
        <v>1</v>
      </c>
      <c r="FI89" s="440">
        <v>1</v>
      </c>
      <c r="FJ89" s="440">
        <v>0</v>
      </c>
      <c r="FK89" s="440">
        <v>0</v>
      </c>
      <c r="FL89" s="442">
        <f t="shared" si="47"/>
        <v>0</v>
      </c>
      <c r="FM89" s="440">
        <v>0</v>
      </c>
      <c r="FN89" s="442">
        <f t="shared" si="70"/>
        <v>0</v>
      </c>
      <c r="FO89" s="441">
        <v>0</v>
      </c>
      <c r="FP89" s="435">
        <v>4400</v>
      </c>
      <c r="FQ89" s="440">
        <v>-23</v>
      </c>
      <c r="FR89" s="440">
        <v>-19</v>
      </c>
      <c r="FS89" s="440">
        <v>-15</v>
      </c>
      <c r="FT89" s="440">
        <v>-11</v>
      </c>
      <c r="FU89" s="440">
        <v>-8</v>
      </c>
      <c r="FV89" s="440">
        <v>-4</v>
      </c>
      <c r="FW89" s="442">
        <f t="shared" si="48"/>
        <v>-2</v>
      </c>
      <c r="FX89" s="440">
        <v>0</v>
      </c>
      <c r="FY89" s="442">
        <f t="shared" si="71"/>
        <v>2</v>
      </c>
      <c r="FZ89" s="440">
        <v>4</v>
      </c>
      <c r="GA89" s="435">
        <v>4400</v>
      </c>
      <c r="GB89" s="440">
        <v>-35</v>
      </c>
      <c r="GC89" s="440">
        <v>-30</v>
      </c>
      <c r="GD89" s="440">
        <v>-24</v>
      </c>
      <c r="GE89" s="440">
        <v>-18</v>
      </c>
      <c r="GF89" s="440">
        <v>-12</v>
      </c>
      <c r="GG89" s="440">
        <v>-6</v>
      </c>
      <c r="GH89" s="442">
        <f t="shared" si="49"/>
        <v>-3</v>
      </c>
      <c r="GI89" s="440">
        <v>0</v>
      </c>
      <c r="GJ89" s="442">
        <f t="shared" si="72"/>
        <v>3</v>
      </c>
      <c r="GK89" s="441">
        <v>6</v>
      </c>
      <c r="GL89" s="435">
        <v>4400</v>
      </c>
      <c r="GM89" s="440">
        <v>-35</v>
      </c>
      <c r="GN89" s="440">
        <v>-29</v>
      </c>
      <c r="GO89" s="440">
        <v>-23</v>
      </c>
      <c r="GP89" s="440">
        <v>-17</v>
      </c>
      <c r="GQ89" s="440">
        <v>-12</v>
      </c>
      <c r="GR89" s="440">
        <v>-6</v>
      </c>
      <c r="GS89" s="442">
        <f t="shared" si="50"/>
        <v>-3</v>
      </c>
      <c r="GT89" s="440">
        <v>0</v>
      </c>
      <c r="GU89" s="442">
        <f t="shared" si="73"/>
        <v>3</v>
      </c>
      <c r="GV89" s="441">
        <v>6</v>
      </c>
    </row>
    <row r="90" spans="7:204">
      <c r="G90" s="435">
        <v>4300</v>
      </c>
      <c r="H90" s="445">
        <v>36</v>
      </c>
      <c r="I90" s="249">
        <v>30</v>
      </c>
      <c r="J90" s="249">
        <v>24</v>
      </c>
      <c r="K90" s="248">
        <v>18</v>
      </c>
      <c r="L90" s="249">
        <v>12</v>
      </c>
      <c r="M90" s="249">
        <v>6</v>
      </c>
      <c r="N90" s="249">
        <f t="shared" si="51"/>
        <v>3</v>
      </c>
      <c r="O90" s="249">
        <v>0</v>
      </c>
      <c r="P90" s="249">
        <f t="shared" si="52"/>
        <v>-3</v>
      </c>
      <c r="Q90" s="446">
        <v>-6</v>
      </c>
      <c r="R90" s="435">
        <v>4300</v>
      </c>
      <c r="S90" s="248">
        <v>12</v>
      </c>
      <c r="T90" s="248">
        <v>10</v>
      </c>
      <c r="U90" s="248">
        <v>8</v>
      </c>
      <c r="V90" s="248">
        <v>6</v>
      </c>
      <c r="W90" s="248">
        <v>4</v>
      </c>
      <c r="X90" s="248">
        <v>2</v>
      </c>
      <c r="Y90" s="249">
        <f t="shared" si="53"/>
        <v>1</v>
      </c>
      <c r="Z90" s="248">
        <v>0</v>
      </c>
      <c r="AA90" s="439">
        <f t="shared" si="54"/>
        <v>-1</v>
      </c>
      <c r="AB90" s="248">
        <v>-2</v>
      </c>
      <c r="AC90" s="435">
        <v>4300</v>
      </c>
      <c r="AD90" s="440">
        <v>-30</v>
      </c>
      <c r="AE90" s="440">
        <v>-25</v>
      </c>
      <c r="AF90" s="440">
        <v>-20</v>
      </c>
      <c r="AG90" s="440">
        <v>-15</v>
      </c>
      <c r="AH90" s="440">
        <v>-10</v>
      </c>
      <c r="AI90" s="440">
        <v>-5</v>
      </c>
      <c r="AJ90" s="249">
        <f t="shared" si="55"/>
        <v>-2.5</v>
      </c>
      <c r="AK90" s="248">
        <v>0</v>
      </c>
      <c r="AL90" s="439">
        <f t="shared" si="56"/>
        <v>2.5</v>
      </c>
      <c r="AM90" s="441">
        <v>5</v>
      </c>
      <c r="AN90" s="435">
        <v>4300</v>
      </c>
      <c r="AO90" s="440">
        <v>-54</v>
      </c>
      <c r="AP90" s="440">
        <v>-45</v>
      </c>
      <c r="AQ90" s="440">
        <v>-36</v>
      </c>
      <c r="AR90" s="440">
        <v>-27</v>
      </c>
      <c r="AS90" s="440">
        <v>-18</v>
      </c>
      <c r="AT90" s="440">
        <v>-9</v>
      </c>
      <c r="AU90" s="442">
        <f t="shared" si="38"/>
        <v>-4.5</v>
      </c>
      <c r="AV90" s="440">
        <v>0</v>
      </c>
      <c r="AW90" s="442">
        <f t="shared" si="57"/>
        <v>4.5</v>
      </c>
      <c r="AX90" s="441">
        <v>9</v>
      </c>
      <c r="AY90" s="435">
        <v>4300</v>
      </c>
      <c r="AZ90" s="440">
        <v>4</v>
      </c>
      <c r="BA90" s="440">
        <v>3</v>
      </c>
      <c r="BB90" s="440">
        <v>2</v>
      </c>
      <c r="BC90" s="440">
        <v>2</v>
      </c>
      <c r="BD90" s="440">
        <v>1</v>
      </c>
      <c r="BE90" s="440">
        <v>1</v>
      </c>
      <c r="BF90" s="442">
        <f t="shared" si="39"/>
        <v>0.5</v>
      </c>
      <c r="BG90" s="440">
        <v>0</v>
      </c>
      <c r="BH90" s="442">
        <f t="shared" si="58"/>
        <v>-0.5</v>
      </c>
      <c r="BI90" s="441">
        <v>-1</v>
      </c>
      <c r="BJ90" s="447">
        <v>4300</v>
      </c>
      <c r="BK90" s="440">
        <v>-31</v>
      </c>
      <c r="BL90" s="440">
        <v>-26</v>
      </c>
      <c r="BM90" s="440">
        <v>-21</v>
      </c>
      <c r="BN90" s="440">
        <v>-16</v>
      </c>
      <c r="BO90" s="440">
        <v>-10</v>
      </c>
      <c r="BP90" s="440">
        <v>-5</v>
      </c>
      <c r="BQ90" s="442">
        <f t="shared" si="40"/>
        <v>-2.5</v>
      </c>
      <c r="BR90" s="440">
        <v>0</v>
      </c>
      <c r="BS90" s="442">
        <f t="shared" si="59"/>
        <v>2.5</v>
      </c>
      <c r="BT90" s="440">
        <v>5</v>
      </c>
      <c r="BU90" s="435">
        <v>4300</v>
      </c>
      <c r="BV90" s="440">
        <v>1</v>
      </c>
      <c r="BW90" s="440">
        <v>1</v>
      </c>
      <c r="BX90" s="440">
        <v>1</v>
      </c>
      <c r="BY90" s="440">
        <v>1</v>
      </c>
      <c r="BZ90" s="440">
        <v>0</v>
      </c>
      <c r="CA90" s="440">
        <v>0</v>
      </c>
      <c r="CB90" s="442">
        <f t="shared" si="41"/>
        <v>0</v>
      </c>
      <c r="CC90" s="440">
        <v>0</v>
      </c>
      <c r="CD90" s="442">
        <f t="shared" si="60"/>
        <v>0</v>
      </c>
      <c r="CE90" s="441">
        <v>0</v>
      </c>
      <c r="CF90" s="435">
        <v>4300</v>
      </c>
      <c r="CG90" s="440">
        <v>-23</v>
      </c>
      <c r="CH90" s="440">
        <v>-19</v>
      </c>
      <c r="CI90" s="440">
        <v>-15</v>
      </c>
      <c r="CJ90" s="440">
        <v>-11</v>
      </c>
      <c r="CK90" s="440">
        <v>-8</v>
      </c>
      <c r="CL90" s="440">
        <v>-4</v>
      </c>
      <c r="CM90" s="442">
        <f t="shared" si="42"/>
        <v>-2</v>
      </c>
      <c r="CN90" s="440">
        <v>0</v>
      </c>
      <c r="CO90" s="442">
        <f t="shared" si="61"/>
        <v>2</v>
      </c>
      <c r="CP90" s="441">
        <v>4</v>
      </c>
      <c r="CQ90" s="435">
        <v>4300</v>
      </c>
      <c r="CR90" s="440">
        <v>1</v>
      </c>
      <c r="CS90" s="440">
        <v>1</v>
      </c>
      <c r="CT90" s="440">
        <v>1</v>
      </c>
      <c r="CU90" s="440">
        <v>1</v>
      </c>
      <c r="CV90" s="440">
        <v>0</v>
      </c>
      <c r="CW90" s="440">
        <v>0</v>
      </c>
      <c r="CX90" s="442">
        <f t="shared" si="43"/>
        <v>0</v>
      </c>
      <c r="CY90" s="440">
        <v>0</v>
      </c>
      <c r="CZ90" s="442">
        <f t="shared" si="62"/>
        <v>0</v>
      </c>
      <c r="DA90" s="441">
        <v>0</v>
      </c>
      <c r="DB90" s="435">
        <v>4300</v>
      </c>
      <c r="DC90" s="440">
        <v>-21</v>
      </c>
      <c r="DD90" s="440">
        <v>-17</v>
      </c>
      <c r="DE90" s="440">
        <v>-14</v>
      </c>
      <c r="DF90" s="440">
        <v>-10</v>
      </c>
      <c r="DG90" s="440">
        <v>-7</v>
      </c>
      <c r="DH90" s="440">
        <v>-3</v>
      </c>
      <c r="DI90" s="442">
        <f t="shared" si="44"/>
        <v>-1.5</v>
      </c>
      <c r="DJ90" s="440">
        <v>0</v>
      </c>
      <c r="DK90" s="442">
        <f t="shared" si="63"/>
        <v>1.5</v>
      </c>
      <c r="DL90" s="441">
        <v>3</v>
      </c>
      <c r="DM90" s="435">
        <v>4300</v>
      </c>
      <c r="DN90" s="440">
        <v>1</v>
      </c>
      <c r="DO90" s="440">
        <v>1</v>
      </c>
      <c r="DP90" s="440">
        <v>1</v>
      </c>
      <c r="DQ90" s="440">
        <v>1</v>
      </c>
      <c r="DR90" s="440">
        <v>0</v>
      </c>
      <c r="DS90" s="440">
        <v>0</v>
      </c>
      <c r="DT90" s="442">
        <f t="shared" si="45"/>
        <v>0</v>
      </c>
      <c r="DU90" s="440">
        <v>0</v>
      </c>
      <c r="DV90" s="442">
        <f t="shared" si="64"/>
        <v>0</v>
      </c>
      <c r="DW90" s="441">
        <v>0</v>
      </c>
      <c r="DX90" s="435">
        <v>4300</v>
      </c>
      <c r="DY90" s="440">
        <v>-24</v>
      </c>
      <c r="DZ90" s="440">
        <v>-20</v>
      </c>
      <c r="EA90" s="440">
        <v>-16</v>
      </c>
      <c r="EB90" s="440">
        <v>-12</v>
      </c>
      <c r="EC90" s="440">
        <v>-8</v>
      </c>
      <c r="ED90" s="440">
        <v>-4</v>
      </c>
      <c r="EE90" s="442">
        <f t="shared" si="46"/>
        <v>-2</v>
      </c>
      <c r="EF90" s="440">
        <v>0</v>
      </c>
      <c r="EG90" s="442">
        <f t="shared" si="65"/>
        <v>2</v>
      </c>
      <c r="EH90" s="440">
        <v>4</v>
      </c>
      <c r="EI90" s="435">
        <v>4300</v>
      </c>
      <c r="EJ90" s="440">
        <v>3</v>
      </c>
      <c r="EK90" s="440">
        <v>3</v>
      </c>
      <c r="EL90" s="440">
        <v>2</v>
      </c>
      <c r="EM90" s="440">
        <v>2</v>
      </c>
      <c r="EN90" s="440">
        <v>1</v>
      </c>
      <c r="EO90" s="440">
        <v>1</v>
      </c>
      <c r="EP90" s="442">
        <f t="shared" si="66"/>
        <v>0.5</v>
      </c>
      <c r="EQ90" s="440">
        <v>0</v>
      </c>
      <c r="ER90" s="442">
        <f t="shared" si="67"/>
        <v>-0.5</v>
      </c>
      <c r="ES90" s="441">
        <v>-1</v>
      </c>
      <c r="ET90" s="435">
        <v>4300</v>
      </c>
      <c r="EU90" s="440">
        <v>-22</v>
      </c>
      <c r="EV90" s="440">
        <v>-19</v>
      </c>
      <c r="EW90" s="440">
        <v>-15</v>
      </c>
      <c r="EX90" s="440">
        <v>-11</v>
      </c>
      <c r="EY90" s="440">
        <v>-7</v>
      </c>
      <c r="EZ90" s="440">
        <v>-4</v>
      </c>
      <c r="FA90" s="442">
        <f t="shared" si="68"/>
        <v>-2</v>
      </c>
      <c r="FB90" s="440">
        <v>0</v>
      </c>
      <c r="FC90" s="442">
        <f t="shared" si="69"/>
        <v>2</v>
      </c>
      <c r="FD90" s="440">
        <v>4</v>
      </c>
      <c r="FE90" s="435">
        <v>4300</v>
      </c>
      <c r="FF90" s="440">
        <v>1</v>
      </c>
      <c r="FG90" s="440">
        <v>1</v>
      </c>
      <c r="FH90" s="440">
        <v>1</v>
      </c>
      <c r="FI90" s="440">
        <v>1</v>
      </c>
      <c r="FJ90" s="440">
        <v>0</v>
      </c>
      <c r="FK90" s="440">
        <v>0</v>
      </c>
      <c r="FL90" s="442">
        <f t="shared" si="47"/>
        <v>0</v>
      </c>
      <c r="FM90" s="440">
        <v>0</v>
      </c>
      <c r="FN90" s="442">
        <f t="shared" si="70"/>
        <v>0</v>
      </c>
      <c r="FO90" s="441">
        <v>0</v>
      </c>
      <c r="FP90" s="435">
        <v>4300</v>
      </c>
      <c r="FQ90" s="440">
        <v>-23</v>
      </c>
      <c r="FR90" s="440">
        <v>-19</v>
      </c>
      <c r="FS90" s="440">
        <v>-15</v>
      </c>
      <c r="FT90" s="440">
        <v>-11</v>
      </c>
      <c r="FU90" s="440">
        <v>-8</v>
      </c>
      <c r="FV90" s="440">
        <v>-4</v>
      </c>
      <c r="FW90" s="442">
        <f t="shared" si="48"/>
        <v>-2</v>
      </c>
      <c r="FX90" s="440">
        <v>0</v>
      </c>
      <c r="FY90" s="442">
        <f t="shared" si="71"/>
        <v>2</v>
      </c>
      <c r="FZ90" s="440">
        <v>4</v>
      </c>
      <c r="GA90" s="435">
        <v>4300</v>
      </c>
      <c r="GB90" s="440">
        <v>-35</v>
      </c>
      <c r="GC90" s="440">
        <v>-30</v>
      </c>
      <c r="GD90" s="440">
        <v>-24</v>
      </c>
      <c r="GE90" s="440">
        <v>-18</v>
      </c>
      <c r="GF90" s="440">
        <v>-12</v>
      </c>
      <c r="GG90" s="440">
        <v>-6</v>
      </c>
      <c r="GH90" s="442">
        <f t="shared" si="49"/>
        <v>-3</v>
      </c>
      <c r="GI90" s="440">
        <v>0</v>
      </c>
      <c r="GJ90" s="442">
        <f t="shared" si="72"/>
        <v>3</v>
      </c>
      <c r="GK90" s="441">
        <v>6</v>
      </c>
      <c r="GL90" s="435">
        <v>4300</v>
      </c>
      <c r="GM90" s="440">
        <v>-35</v>
      </c>
      <c r="GN90" s="440">
        <v>-29</v>
      </c>
      <c r="GO90" s="440">
        <v>-23</v>
      </c>
      <c r="GP90" s="440">
        <v>-17</v>
      </c>
      <c r="GQ90" s="440">
        <v>-12</v>
      </c>
      <c r="GR90" s="440">
        <v>-6</v>
      </c>
      <c r="GS90" s="442">
        <f t="shared" si="50"/>
        <v>-3</v>
      </c>
      <c r="GT90" s="440">
        <v>0</v>
      </c>
      <c r="GU90" s="442">
        <f t="shared" si="73"/>
        <v>3</v>
      </c>
      <c r="GV90" s="441">
        <v>6</v>
      </c>
    </row>
    <row r="91" spans="7:204">
      <c r="G91" s="435">
        <v>4200</v>
      </c>
      <c r="H91" s="445">
        <v>36</v>
      </c>
      <c r="I91" s="249">
        <v>30</v>
      </c>
      <c r="J91" s="249">
        <v>24</v>
      </c>
      <c r="K91" s="248">
        <v>18</v>
      </c>
      <c r="L91" s="249">
        <v>12</v>
      </c>
      <c r="M91" s="249">
        <v>6</v>
      </c>
      <c r="N91" s="249">
        <f t="shared" si="51"/>
        <v>3</v>
      </c>
      <c r="O91" s="249">
        <v>0</v>
      </c>
      <c r="P91" s="249">
        <f t="shared" si="52"/>
        <v>-3</v>
      </c>
      <c r="Q91" s="446">
        <v>-6</v>
      </c>
      <c r="R91" s="435">
        <v>4200</v>
      </c>
      <c r="S91" s="248">
        <v>12</v>
      </c>
      <c r="T91" s="248">
        <v>10</v>
      </c>
      <c r="U91" s="248">
        <v>8</v>
      </c>
      <c r="V91" s="248">
        <v>6</v>
      </c>
      <c r="W91" s="248">
        <v>4</v>
      </c>
      <c r="X91" s="248">
        <v>2</v>
      </c>
      <c r="Y91" s="249">
        <f t="shared" si="53"/>
        <v>1</v>
      </c>
      <c r="Z91" s="248">
        <v>0</v>
      </c>
      <c r="AA91" s="439">
        <f t="shared" si="54"/>
        <v>-1</v>
      </c>
      <c r="AB91" s="248">
        <v>-2</v>
      </c>
      <c r="AC91" s="435">
        <v>4200</v>
      </c>
      <c r="AD91" s="440">
        <v>-30</v>
      </c>
      <c r="AE91" s="440">
        <v>-25</v>
      </c>
      <c r="AF91" s="440">
        <v>-20</v>
      </c>
      <c r="AG91" s="440">
        <v>-15</v>
      </c>
      <c r="AH91" s="440">
        <v>-10</v>
      </c>
      <c r="AI91" s="440">
        <v>-5</v>
      </c>
      <c r="AJ91" s="249">
        <f t="shared" si="55"/>
        <v>-2.5</v>
      </c>
      <c r="AK91" s="248">
        <v>0</v>
      </c>
      <c r="AL91" s="439">
        <f t="shared" si="56"/>
        <v>2.5</v>
      </c>
      <c r="AM91" s="441">
        <v>5</v>
      </c>
      <c r="AN91" s="435">
        <v>4200</v>
      </c>
      <c r="AO91" s="440">
        <v>-54</v>
      </c>
      <c r="AP91" s="440">
        <v>-45</v>
      </c>
      <c r="AQ91" s="440">
        <v>-36</v>
      </c>
      <c r="AR91" s="440">
        <v>-27</v>
      </c>
      <c r="AS91" s="440">
        <v>-18</v>
      </c>
      <c r="AT91" s="440">
        <v>-9</v>
      </c>
      <c r="AU91" s="442">
        <f t="shared" si="38"/>
        <v>-4.5</v>
      </c>
      <c r="AV91" s="440">
        <v>0</v>
      </c>
      <c r="AW91" s="442">
        <f t="shared" si="57"/>
        <v>4.5</v>
      </c>
      <c r="AX91" s="441">
        <v>9</v>
      </c>
      <c r="AY91" s="435">
        <v>4200</v>
      </c>
      <c r="AZ91" s="440">
        <v>4</v>
      </c>
      <c r="BA91" s="440">
        <v>3</v>
      </c>
      <c r="BB91" s="440">
        <v>2</v>
      </c>
      <c r="BC91" s="440">
        <v>2</v>
      </c>
      <c r="BD91" s="440">
        <v>1</v>
      </c>
      <c r="BE91" s="440">
        <v>1</v>
      </c>
      <c r="BF91" s="442">
        <f t="shared" si="39"/>
        <v>0.5</v>
      </c>
      <c r="BG91" s="440">
        <v>0</v>
      </c>
      <c r="BH91" s="442">
        <f t="shared" si="58"/>
        <v>-0.5</v>
      </c>
      <c r="BI91" s="441">
        <v>-1</v>
      </c>
      <c r="BJ91" s="447">
        <v>4200</v>
      </c>
      <c r="BK91" s="440">
        <v>-31</v>
      </c>
      <c r="BL91" s="440">
        <v>-26</v>
      </c>
      <c r="BM91" s="440">
        <v>-21</v>
      </c>
      <c r="BN91" s="440">
        <v>-16</v>
      </c>
      <c r="BO91" s="440">
        <v>-10</v>
      </c>
      <c r="BP91" s="440">
        <v>-5</v>
      </c>
      <c r="BQ91" s="442">
        <f t="shared" si="40"/>
        <v>-2.5</v>
      </c>
      <c r="BR91" s="440">
        <v>0</v>
      </c>
      <c r="BS91" s="442">
        <f t="shared" si="59"/>
        <v>2.5</v>
      </c>
      <c r="BT91" s="440">
        <v>5</v>
      </c>
      <c r="BU91" s="435">
        <v>4200</v>
      </c>
      <c r="BV91" s="440">
        <v>1</v>
      </c>
      <c r="BW91" s="440">
        <v>1</v>
      </c>
      <c r="BX91" s="440">
        <v>1</v>
      </c>
      <c r="BY91" s="440">
        <v>1</v>
      </c>
      <c r="BZ91" s="440">
        <v>0</v>
      </c>
      <c r="CA91" s="440">
        <v>0</v>
      </c>
      <c r="CB91" s="442">
        <f t="shared" si="41"/>
        <v>0</v>
      </c>
      <c r="CC91" s="440">
        <v>0</v>
      </c>
      <c r="CD91" s="442">
        <f t="shared" si="60"/>
        <v>0</v>
      </c>
      <c r="CE91" s="441">
        <v>0</v>
      </c>
      <c r="CF91" s="435">
        <v>4200</v>
      </c>
      <c r="CG91" s="440">
        <v>-23</v>
      </c>
      <c r="CH91" s="440">
        <v>-19</v>
      </c>
      <c r="CI91" s="440">
        <v>-15</v>
      </c>
      <c r="CJ91" s="440">
        <v>-11</v>
      </c>
      <c r="CK91" s="440">
        <v>-8</v>
      </c>
      <c r="CL91" s="440">
        <v>-4</v>
      </c>
      <c r="CM91" s="442">
        <f t="shared" si="42"/>
        <v>-2</v>
      </c>
      <c r="CN91" s="440">
        <v>0</v>
      </c>
      <c r="CO91" s="442">
        <f t="shared" si="61"/>
        <v>2</v>
      </c>
      <c r="CP91" s="441">
        <v>4</v>
      </c>
      <c r="CQ91" s="435">
        <v>4200</v>
      </c>
      <c r="CR91" s="440">
        <v>1</v>
      </c>
      <c r="CS91" s="440">
        <v>1</v>
      </c>
      <c r="CT91" s="440">
        <v>1</v>
      </c>
      <c r="CU91" s="440">
        <v>1</v>
      </c>
      <c r="CV91" s="440">
        <v>0</v>
      </c>
      <c r="CW91" s="440">
        <v>0</v>
      </c>
      <c r="CX91" s="442">
        <f t="shared" si="43"/>
        <v>0</v>
      </c>
      <c r="CY91" s="440">
        <v>0</v>
      </c>
      <c r="CZ91" s="442">
        <f t="shared" si="62"/>
        <v>0</v>
      </c>
      <c r="DA91" s="441">
        <v>0</v>
      </c>
      <c r="DB91" s="435">
        <v>4200</v>
      </c>
      <c r="DC91" s="440">
        <v>-21</v>
      </c>
      <c r="DD91" s="440">
        <v>-17</v>
      </c>
      <c r="DE91" s="440">
        <v>-14</v>
      </c>
      <c r="DF91" s="440">
        <v>-10</v>
      </c>
      <c r="DG91" s="440">
        <v>-7</v>
      </c>
      <c r="DH91" s="440">
        <v>-3</v>
      </c>
      <c r="DI91" s="442">
        <f t="shared" si="44"/>
        <v>-1.5</v>
      </c>
      <c r="DJ91" s="440">
        <v>0</v>
      </c>
      <c r="DK91" s="442">
        <f t="shared" si="63"/>
        <v>1.5</v>
      </c>
      <c r="DL91" s="441">
        <v>3</v>
      </c>
      <c r="DM91" s="435">
        <v>4200</v>
      </c>
      <c r="DN91" s="440">
        <v>1</v>
      </c>
      <c r="DO91" s="440">
        <v>1</v>
      </c>
      <c r="DP91" s="440">
        <v>1</v>
      </c>
      <c r="DQ91" s="440">
        <v>1</v>
      </c>
      <c r="DR91" s="440">
        <v>0</v>
      </c>
      <c r="DS91" s="440">
        <v>0</v>
      </c>
      <c r="DT91" s="442">
        <f t="shared" si="45"/>
        <v>0</v>
      </c>
      <c r="DU91" s="440">
        <v>0</v>
      </c>
      <c r="DV91" s="442">
        <f t="shared" si="64"/>
        <v>0</v>
      </c>
      <c r="DW91" s="441">
        <v>0</v>
      </c>
      <c r="DX91" s="435">
        <v>4200</v>
      </c>
      <c r="DY91" s="440">
        <v>-24</v>
      </c>
      <c r="DZ91" s="440">
        <v>-20</v>
      </c>
      <c r="EA91" s="440">
        <v>-16</v>
      </c>
      <c r="EB91" s="440">
        <v>-12</v>
      </c>
      <c r="EC91" s="440">
        <v>-8</v>
      </c>
      <c r="ED91" s="440">
        <v>-4</v>
      </c>
      <c r="EE91" s="442">
        <f t="shared" si="46"/>
        <v>-2</v>
      </c>
      <c r="EF91" s="440">
        <v>0</v>
      </c>
      <c r="EG91" s="442">
        <f t="shared" si="65"/>
        <v>2</v>
      </c>
      <c r="EH91" s="440">
        <v>4</v>
      </c>
      <c r="EI91" s="435">
        <v>4200</v>
      </c>
      <c r="EJ91" s="440">
        <v>3</v>
      </c>
      <c r="EK91" s="440">
        <v>3</v>
      </c>
      <c r="EL91" s="440">
        <v>2</v>
      </c>
      <c r="EM91" s="440">
        <v>2</v>
      </c>
      <c r="EN91" s="440">
        <v>1</v>
      </c>
      <c r="EO91" s="440">
        <v>1</v>
      </c>
      <c r="EP91" s="442">
        <f t="shared" si="66"/>
        <v>0.5</v>
      </c>
      <c r="EQ91" s="440">
        <v>0</v>
      </c>
      <c r="ER91" s="442">
        <f t="shared" si="67"/>
        <v>0</v>
      </c>
      <c r="ES91" s="441">
        <v>0</v>
      </c>
      <c r="ET91" s="435">
        <v>4200</v>
      </c>
      <c r="EU91" s="440">
        <v>-22</v>
      </c>
      <c r="EV91" s="440">
        <v>-19</v>
      </c>
      <c r="EW91" s="440">
        <v>-15</v>
      </c>
      <c r="EX91" s="440">
        <v>-11</v>
      </c>
      <c r="EY91" s="440">
        <v>-7</v>
      </c>
      <c r="EZ91" s="440">
        <v>-4</v>
      </c>
      <c r="FA91" s="442">
        <f t="shared" si="68"/>
        <v>-2</v>
      </c>
      <c r="FB91" s="440">
        <v>0</v>
      </c>
      <c r="FC91" s="442">
        <f t="shared" si="69"/>
        <v>2</v>
      </c>
      <c r="FD91" s="440">
        <v>4</v>
      </c>
      <c r="FE91" s="435">
        <v>4200</v>
      </c>
      <c r="FF91" s="440">
        <v>1</v>
      </c>
      <c r="FG91" s="440">
        <v>1</v>
      </c>
      <c r="FH91" s="440">
        <v>1</v>
      </c>
      <c r="FI91" s="440">
        <v>1</v>
      </c>
      <c r="FJ91" s="440">
        <v>0</v>
      </c>
      <c r="FK91" s="440">
        <v>0</v>
      </c>
      <c r="FL91" s="442">
        <f t="shared" si="47"/>
        <v>0</v>
      </c>
      <c r="FM91" s="440">
        <v>0</v>
      </c>
      <c r="FN91" s="442">
        <f t="shared" si="70"/>
        <v>0</v>
      </c>
      <c r="FO91" s="441">
        <v>0</v>
      </c>
      <c r="FP91" s="435">
        <v>4200</v>
      </c>
      <c r="FQ91" s="440">
        <v>-23</v>
      </c>
      <c r="FR91" s="440">
        <v>-19</v>
      </c>
      <c r="FS91" s="440">
        <v>-15</v>
      </c>
      <c r="FT91" s="440">
        <v>-11</v>
      </c>
      <c r="FU91" s="440">
        <v>-8</v>
      </c>
      <c r="FV91" s="440">
        <v>-4</v>
      </c>
      <c r="FW91" s="442">
        <f t="shared" si="48"/>
        <v>-2</v>
      </c>
      <c r="FX91" s="440">
        <v>0</v>
      </c>
      <c r="FY91" s="442">
        <f t="shared" si="71"/>
        <v>2</v>
      </c>
      <c r="FZ91" s="440">
        <v>4</v>
      </c>
      <c r="GA91" s="435">
        <v>4200</v>
      </c>
      <c r="GB91" s="440">
        <v>-35</v>
      </c>
      <c r="GC91" s="440">
        <v>-30</v>
      </c>
      <c r="GD91" s="440">
        <v>-24</v>
      </c>
      <c r="GE91" s="440">
        <v>-18</v>
      </c>
      <c r="GF91" s="440">
        <v>-12</v>
      </c>
      <c r="GG91" s="440">
        <v>-6</v>
      </c>
      <c r="GH91" s="442">
        <f t="shared" si="49"/>
        <v>-3</v>
      </c>
      <c r="GI91" s="440">
        <v>0</v>
      </c>
      <c r="GJ91" s="442">
        <f t="shared" si="72"/>
        <v>3</v>
      </c>
      <c r="GK91" s="441">
        <v>6</v>
      </c>
      <c r="GL91" s="435">
        <v>4200</v>
      </c>
      <c r="GM91" s="440">
        <v>-35</v>
      </c>
      <c r="GN91" s="440">
        <v>-29</v>
      </c>
      <c r="GO91" s="440">
        <v>-23</v>
      </c>
      <c r="GP91" s="440">
        <v>-17</v>
      </c>
      <c r="GQ91" s="440">
        <v>-12</v>
      </c>
      <c r="GR91" s="440">
        <v>-6</v>
      </c>
      <c r="GS91" s="442">
        <f t="shared" si="50"/>
        <v>-3</v>
      </c>
      <c r="GT91" s="440">
        <v>0</v>
      </c>
      <c r="GU91" s="442">
        <f t="shared" si="73"/>
        <v>3</v>
      </c>
      <c r="GV91" s="441">
        <v>6</v>
      </c>
    </row>
    <row r="92" spans="7:204">
      <c r="G92" s="435">
        <v>4100</v>
      </c>
      <c r="H92" s="445">
        <v>36</v>
      </c>
      <c r="I92" s="249">
        <v>30</v>
      </c>
      <c r="J92" s="249">
        <v>24</v>
      </c>
      <c r="K92" s="248">
        <v>18</v>
      </c>
      <c r="L92" s="249">
        <v>12</v>
      </c>
      <c r="M92" s="249">
        <v>6</v>
      </c>
      <c r="N92" s="249">
        <f t="shared" si="51"/>
        <v>3</v>
      </c>
      <c r="O92" s="249">
        <v>0</v>
      </c>
      <c r="P92" s="249">
        <f t="shared" si="52"/>
        <v>-3</v>
      </c>
      <c r="Q92" s="446">
        <v>-6</v>
      </c>
      <c r="R92" s="435">
        <v>4100</v>
      </c>
      <c r="S92" s="248">
        <v>12</v>
      </c>
      <c r="T92" s="248">
        <v>10</v>
      </c>
      <c r="U92" s="248">
        <v>8</v>
      </c>
      <c r="V92" s="248">
        <v>6</v>
      </c>
      <c r="W92" s="248">
        <v>4</v>
      </c>
      <c r="X92" s="248">
        <v>2</v>
      </c>
      <c r="Y92" s="249">
        <f t="shared" si="53"/>
        <v>1</v>
      </c>
      <c r="Z92" s="248">
        <v>0</v>
      </c>
      <c r="AA92" s="439">
        <f t="shared" si="54"/>
        <v>-1</v>
      </c>
      <c r="AB92" s="248">
        <v>-2</v>
      </c>
      <c r="AC92" s="435">
        <v>4100</v>
      </c>
      <c r="AD92" s="440">
        <v>-30</v>
      </c>
      <c r="AE92" s="440">
        <v>-25</v>
      </c>
      <c r="AF92" s="440">
        <v>-20</v>
      </c>
      <c r="AG92" s="440">
        <v>-15</v>
      </c>
      <c r="AH92" s="440">
        <v>-10</v>
      </c>
      <c r="AI92" s="440">
        <v>-5</v>
      </c>
      <c r="AJ92" s="249">
        <f t="shared" si="55"/>
        <v>-2.5</v>
      </c>
      <c r="AK92" s="248">
        <v>0</v>
      </c>
      <c r="AL92" s="439">
        <f t="shared" si="56"/>
        <v>2.5</v>
      </c>
      <c r="AM92" s="441">
        <v>5</v>
      </c>
      <c r="AN92" s="435">
        <v>4100</v>
      </c>
      <c r="AO92" s="440">
        <v>-54</v>
      </c>
      <c r="AP92" s="440">
        <v>-45</v>
      </c>
      <c r="AQ92" s="440">
        <v>-36</v>
      </c>
      <c r="AR92" s="440">
        <v>-27</v>
      </c>
      <c r="AS92" s="440">
        <v>-18</v>
      </c>
      <c r="AT92" s="440">
        <v>-9</v>
      </c>
      <c r="AU92" s="442">
        <f t="shared" si="38"/>
        <v>-4.5</v>
      </c>
      <c r="AV92" s="440">
        <v>0</v>
      </c>
      <c r="AW92" s="442">
        <f t="shared" si="57"/>
        <v>4.5</v>
      </c>
      <c r="AX92" s="441">
        <v>9</v>
      </c>
      <c r="AY92" s="435">
        <v>4100</v>
      </c>
      <c r="AZ92" s="440">
        <v>4</v>
      </c>
      <c r="BA92" s="440">
        <v>3</v>
      </c>
      <c r="BB92" s="440">
        <v>2</v>
      </c>
      <c r="BC92" s="440">
        <v>2</v>
      </c>
      <c r="BD92" s="440">
        <v>1</v>
      </c>
      <c r="BE92" s="440">
        <v>1</v>
      </c>
      <c r="BF92" s="442">
        <f t="shared" si="39"/>
        <v>0.5</v>
      </c>
      <c r="BG92" s="440">
        <v>0</v>
      </c>
      <c r="BH92" s="442">
        <f t="shared" si="58"/>
        <v>-0.5</v>
      </c>
      <c r="BI92" s="441">
        <v>-1</v>
      </c>
      <c r="BJ92" s="447">
        <v>4100</v>
      </c>
      <c r="BK92" s="440">
        <v>-31</v>
      </c>
      <c r="BL92" s="440">
        <v>-26</v>
      </c>
      <c r="BM92" s="440">
        <v>-21</v>
      </c>
      <c r="BN92" s="440">
        <v>-16</v>
      </c>
      <c r="BO92" s="440">
        <v>-10</v>
      </c>
      <c r="BP92" s="440">
        <v>-5</v>
      </c>
      <c r="BQ92" s="442">
        <f t="shared" si="40"/>
        <v>-2.5</v>
      </c>
      <c r="BR92" s="440">
        <v>0</v>
      </c>
      <c r="BS92" s="442">
        <f t="shared" si="59"/>
        <v>2.5</v>
      </c>
      <c r="BT92" s="440">
        <v>5</v>
      </c>
      <c r="BU92" s="435">
        <v>4100</v>
      </c>
      <c r="BV92" s="440">
        <v>1</v>
      </c>
      <c r="BW92" s="440">
        <v>1</v>
      </c>
      <c r="BX92" s="440">
        <v>1</v>
      </c>
      <c r="BY92" s="440">
        <v>1</v>
      </c>
      <c r="BZ92" s="440">
        <v>0</v>
      </c>
      <c r="CA92" s="440">
        <v>0</v>
      </c>
      <c r="CB92" s="442">
        <f t="shared" si="41"/>
        <v>0</v>
      </c>
      <c r="CC92" s="440">
        <v>0</v>
      </c>
      <c r="CD92" s="442">
        <f t="shared" si="60"/>
        <v>0</v>
      </c>
      <c r="CE92" s="441">
        <v>0</v>
      </c>
      <c r="CF92" s="435">
        <v>4100</v>
      </c>
      <c r="CG92" s="440">
        <v>-23</v>
      </c>
      <c r="CH92" s="440">
        <v>-19</v>
      </c>
      <c r="CI92" s="440">
        <v>-15</v>
      </c>
      <c r="CJ92" s="440">
        <v>-11</v>
      </c>
      <c r="CK92" s="440">
        <v>-8</v>
      </c>
      <c r="CL92" s="440">
        <v>-4</v>
      </c>
      <c r="CM92" s="442">
        <f t="shared" si="42"/>
        <v>-2</v>
      </c>
      <c r="CN92" s="440">
        <v>0</v>
      </c>
      <c r="CO92" s="442">
        <f t="shared" si="61"/>
        <v>2</v>
      </c>
      <c r="CP92" s="441">
        <v>4</v>
      </c>
      <c r="CQ92" s="435">
        <v>4100</v>
      </c>
      <c r="CR92" s="440">
        <v>1</v>
      </c>
      <c r="CS92" s="440">
        <v>1</v>
      </c>
      <c r="CT92" s="440">
        <v>1</v>
      </c>
      <c r="CU92" s="440">
        <v>1</v>
      </c>
      <c r="CV92" s="440">
        <v>0</v>
      </c>
      <c r="CW92" s="440">
        <v>0</v>
      </c>
      <c r="CX92" s="442">
        <f t="shared" si="43"/>
        <v>0</v>
      </c>
      <c r="CY92" s="440">
        <v>0</v>
      </c>
      <c r="CZ92" s="442">
        <f t="shared" si="62"/>
        <v>0</v>
      </c>
      <c r="DA92" s="441">
        <v>0</v>
      </c>
      <c r="DB92" s="435">
        <v>4100</v>
      </c>
      <c r="DC92" s="440">
        <v>-21</v>
      </c>
      <c r="DD92" s="440">
        <v>-17</v>
      </c>
      <c r="DE92" s="440">
        <v>-14</v>
      </c>
      <c r="DF92" s="440">
        <v>-10</v>
      </c>
      <c r="DG92" s="440">
        <v>-7</v>
      </c>
      <c r="DH92" s="440">
        <v>-3</v>
      </c>
      <c r="DI92" s="442">
        <f t="shared" si="44"/>
        <v>-1.5</v>
      </c>
      <c r="DJ92" s="440">
        <v>0</v>
      </c>
      <c r="DK92" s="442">
        <f t="shared" si="63"/>
        <v>1.5</v>
      </c>
      <c r="DL92" s="441">
        <v>3</v>
      </c>
      <c r="DM92" s="435">
        <v>4100</v>
      </c>
      <c r="DN92" s="440">
        <v>1</v>
      </c>
      <c r="DO92" s="440">
        <v>1</v>
      </c>
      <c r="DP92" s="440">
        <v>1</v>
      </c>
      <c r="DQ92" s="440">
        <v>1</v>
      </c>
      <c r="DR92" s="440">
        <v>0</v>
      </c>
      <c r="DS92" s="440">
        <v>0</v>
      </c>
      <c r="DT92" s="442">
        <f t="shared" si="45"/>
        <v>0</v>
      </c>
      <c r="DU92" s="440">
        <v>0</v>
      </c>
      <c r="DV92" s="442">
        <f t="shared" si="64"/>
        <v>0</v>
      </c>
      <c r="DW92" s="441">
        <v>0</v>
      </c>
      <c r="DX92" s="435">
        <v>4100</v>
      </c>
      <c r="DY92" s="440">
        <v>-24</v>
      </c>
      <c r="DZ92" s="440">
        <v>-20</v>
      </c>
      <c r="EA92" s="440">
        <v>-16</v>
      </c>
      <c r="EB92" s="440">
        <v>-12</v>
      </c>
      <c r="EC92" s="440">
        <v>-8</v>
      </c>
      <c r="ED92" s="440">
        <v>-4</v>
      </c>
      <c r="EE92" s="442">
        <f t="shared" si="46"/>
        <v>-2</v>
      </c>
      <c r="EF92" s="440">
        <v>0</v>
      </c>
      <c r="EG92" s="442">
        <f t="shared" si="65"/>
        <v>2</v>
      </c>
      <c r="EH92" s="440">
        <v>4</v>
      </c>
      <c r="EI92" s="435">
        <v>4100</v>
      </c>
      <c r="EJ92" s="440">
        <v>3</v>
      </c>
      <c r="EK92" s="440">
        <v>3</v>
      </c>
      <c r="EL92" s="440">
        <v>2</v>
      </c>
      <c r="EM92" s="440">
        <v>2</v>
      </c>
      <c r="EN92" s="440">
        <v>1</v>
      </c>
      <c r="EO92" s="440">
        <v>1</v>
      </c>
      <c r="EP92" s="442">
        <f t="shared" si="66"/>
        <v>0.5</v>
      </c>
      <c r="EQ92" s="440">
        <v>0</v>
      </c>
      <c r="ER92" s="442">
        <f t="shared" si="67"/>
        <v>0</v>
      </c>
      <c r="ES92" s="441">
        <v>0</v>
      </c>
      <c r="ET92" s="435">
        <v>4100</v>
      </c>
      <c r="EU92" s="440">
        <v>-22</v>
      </c>
      <c r="EV92" s="440">
        <v>-19</v>
      </c>
      <c r="EW92" s="440">
        <v>-15</v>
      </c>
      <c r="EX92" s="440">
        <v>-11</v>
      </c>
      <c r="EY92" s="440">
        <v>-7</v>
      </c>
      <c r="EZ92" s="440">
        <v>-4</v>
      </c>
      <c r="FA92" s="442">
        <f t="shared" si="68"/>
        <v>-2</v>
      </c>
      <c r="FB92" s="440">
        <v>0</v>
      </c>
      <c r="FC92" s="442">
        <f t="shared" si="69"/>
        <v>2</v>
      </c>
      <c r="FD92" s="440">
        <v>4</v>
      </c>
      <c r="FE92" s="435">
        <v>4100</v>
      </c>
      <c r="FF92" s="440">
        <v>1</v>
      </c>
      <c r="FG92" s="440">
        <v>1</v>
      </c>
      <c r="FH92" s="440">
        <v>1</v>
      </c>
      <c r="FI92" s="440">
        <v>1</v>
      </c>
      <c r="FJ92" s="440">
        <v>0</v>
      </c>
      <c r="FK92" s="440">
        <v>0</v>
      </c>
      <c r="FL92" s="442">
        <f t="shared" si="47"/>
        <v>0</v>
      </c>
      <c r="FM92" s="440">
        <v>0</v>
      </c>
      <c r="FN92" s="442">
        <f t="shared" si="70"/>
        <v>0</v>
      </c>
      <c r="FO92" s="441">
        <v>0</v>
      </c>
      <c r="FP92" s="435">
        <v>4100</v>
      </c>
      <c r="FQ92" s="440">
        <v>-23</v>
      </c>
      <c r="FR92" s="440">
        <v>-19</v>
      </c>
      <c r="FS92" s="440">
        <v>-15</v>
      </c>
      <c r="FT92" s="440">
        <v>-11</v>
      </c>
      <c r="FU92" s="440">
        <v>-8</v>
      </c>
      <c r="FV92" s="440">
        <v>-4</v>
      </c>
      <c r="FW92" s="442">
        <f t="shared" si="48"/>
        <v>-2</v>
      </c>
      <c r="FX92" s="440">
        <v>0</v>
      </c>
      <c r="FY92" s="442">
        <f t="shared" si="71"/>
        <v>2</v>
      </c>
      <c r="FZ92" s="440">
        <v>4</v>
      </c>
      <c r="GA92" s="435">
        <v>4100</v>
      </c>
      <c r="GB92" s="440">
        <v>-35</v>
      </c>
      <c r="GC92" s="440">
        <v>-30</v>
      </c>
      <c r="GD92" s="440">
        <v>-24</v>
      </c>
      <c r="GE92" s="440">
        <v>-18</v>
      </c>
      <c r="GF92" s="440">
        <v>-12</v>
      </c>
      <c r="GG92" s="440">
        <v>-6</v>
      </c>
      <c r="GH92" s="442">
        <f t="shared" si="49"/>
        <v>-3</v>
      </c>
      <c r="GI92" s="440">
        <v>0</v>
      </c>
      <c r="GJ92" s="442">
        <f t="shared" si="72"/>
        <v>3</v>
      </c>
      <c r="GK92" s="441">
        <v>6</v>
      </c>
      <c r="GL92" s="435">
        <v>4100</v>
      </c>
      <c r="GM92" s="440">
        <v>-35</v>
      </c>
      <c r="GN92" s="440">
        <v>-29</v>
      </c>
      <c r="GO92" s="440">
        <v>-23</v>
      </c>
      <c r="GP92" s="440">
        <v>-17</v>
      </c>
      <c r="GQ92" s="440">
        <v>-12</v>
      </c>
      <c r="GR92" s="440">
        <v>-6</v>
      </c>
      <c r="GS92" s="442">
        <f t="shared" si="50"/>
        <v>-3</v>
      </c>
      <c r="GT92" s="440">
        <v>0</v>
      </c>
      <c r="GU92" s="442">
        <f t="shared" si="73"/>
        <v>3</v>
      </c>
      <c r="GV92" s="441">
        <v>6</v>
      </c>
    </row>
    <row r="93" spans="7:204">
      <c r="G93" s="435">
        <v>4000</v>
      </c>
      <c r="H93" s="445">
        <v>36</v>
      </c>
      <c r="I93" s="249">
        <v>30</v>
      </c>
      <c r="J93" s="249">
        <v>24</v>
      </c>
      <c r="K93" s="248">
        <v>18</v>
      </c>
      <c r="L93" s="249">
        <v>12</v>
      </c>
      <c r="M93" s="249">
        <v>6</v>
      </c>
      <c r="N93" s="249">
        <f t="shared" si="51"/>
        <v>3</v>
      </c>
      <c r="O93" s="249">
        <v>0</v>
      </c>
      <c r="P93" s="249">
        <f t="shared" si="52"/>
        <v>-3</v>
      </c>
      <c r="Q93" s="446">
        <v>-6</v>
      </c>
      <c r="R93" s="435">
        <v>4000</v>
      </c>
      <c r="S93" s="248">
        <v>12</v>
      </c>
      <c r="T93" s="248">
        <v>10</v>
      </c>
      <c r="U93" s="248">
        <v>8</v>
      </c>
      <c r="V93" s="248">
        <v>6</v>
      </c>
      <c r="W93" s="248">
        <v>4</v>
      </c>
      <c r="X93" s="248">
        <v>2</v>
      </c>
      <c r="Y93" s="249">
        <f t="shared" si="53"/>
        <v>1</v>
      </c>
      <c r="Z93" s="248">
        <v>0</v>
      </c>
      <c r="AA93" s="439">
        <f t="shared" si="54"/>
        <v>-1</v>
      </c>
      <c r="AB93" s="248">
        <v>-2</v>
      </c>
      <c r="AC93" s="435">
        <v>4000</v>
      </c>
      <c r="AD93" s="440">
        <v>-30</v>
      </c>
      <c r="AE93" s="440">
        <v>-25</v>
      </c>
      <c r="AF93" s="440">
        <v>-20</v>
      </c>
      <c r="AG93" s="440">
        <v>-15</v>
      </c>
      <c r="AH93" s="440">
        <v>-10</v>
      </c>
      <c r="AI93" s="440">
        <v>-5</v>
      </c>
      <c r="AJ93" s="249">
        <f t="shared" si="55"/>
        <v>-2.5</v>
      </c>
      <c r="AK93" s="248">
        <v>0</v>
      </c>
      <c r="AL93" s="439">
        <f t="shared" si="56"/>
        <v>2.5</v>
      </c>
      <c r="AM93" s="441">
        <v>5</v>
      </c>
      <c r="AN93" s="435">
        <v>4000</v>
      </c>
      <c r="AO93" s="440">
        <v>-54</v>
      </c>
      <c r="AP93" s="440">
        <v>-45</v>
      </c>
      <c r="AQ93" s="440">
        <v>-36</v>
      </c>
      <c r="AR93" s="440">
        <v>-27</v>
      </c>
      <c r="AS93" s="440">
        <v>-18</v>
      </c>
      <c r="AT93" s="440">
        <v>-9</v>
      </c>
      <c r="AU93" s="442">
        <f t="shared" si="38"/>
        <v>-4.5</v>
      </c>
      <c r="AV93" s="440">
        <v>0</v>
      </c>
      <c r="AW93" s="442">
        <f t="shared" si="57"/>
        <v>4.5</v>
      </c>
      <c r="AX93" s="441">
        <v>9</v>
      </c>
      <c r="AY93" s="435">
        <v>4000</v>
      </c>
      <c r="AZ93" s="440">
        <v>4</v>
      </c>
      <c r="BA93" s="440">
        <v>3</v>
      </c>
      <c r="BB93" s="440">
        <v>2</v>
      </c>
      <c r="BC93" s="440">
        <v>2</v>
      </c>
      <c r="BD93" s="440">
        <v>1</v>
      </c>
      <c r="BE93" s="440">
        <v>1</v>
      </c>
      <c r="BF93" s="442">
        <f t="shared" si="39"/>
        <v>0.5</v>
      </c>
      <c r="BG93" s="440">
        <v>0</v>
      </c>
      <c r="BH93" s="442">
        <f t="shared" si="58"/>
        <v>-0.5</v>
      </c>
      <c r="BI93" s="441">
        <v>-1</v>
      </c>
      <c r="BJ93" s="447">
        <v>4000</v>
      </c>
      <c r="BK93" s="440">
        <v>-31</v>
      </c>
      <c r="BL93" s="440">
        <v>-26</v>
      </c>
      <c r="BM93" s="440">
        <v>-21</v>
      </c>
      <c r="BN93" s="440">
        <v>-16</v>
      </c>
      <c r="BO93" s="440">
        <v>-10</v>
      </c>
      <c r="BP93" s="440">
        <v>-5</v>
      </c>
      <c r="BQ93" s="442">
        <f t="shared" si="40"/>
        <v>-2.5</v>
      </c>
      <c r="BR93" s="440">
        <v>0</v>
      </c>
      <c r="BS93" s="442">
        <f t="shared" si="59"/>
        <v>2.5</v>
      </c>
      <c r="BT93" s="440">
        <v>5</v>
      </c>
      <c r="BU93" s="435">
        <v>4000</v>
      </c>
      <c r="BV93" s="440">
        <v>1</v>
      </c>
      <c r="BW93" s="440">
        <v>1</v>
      </c>
      <c r="BX93" s="440">
        <v>1</v>
      </c>
      <c r="BY93" s="440">
        <v>1</v>
      </c>
      <c r="BZ93" s="440">
        <v>0</v>
      </c>
      <c r="CA93" s="440">
        <v>0</v>
      </c>
      <c r="CB93" s="442">
        <f t="shared" si="41"/>
        <v>0</v>
      </c>
      <c r="CC93" s="440">
        <v>0</v>
      </c>
      <c r="CD93" s="442">
        <f t="shared" si="60"/>
        <v>0</v>
      </c>
      <c r="CE93" s="441">
        <v>0</v>
      </c>
      <c r="CF93" s="435">
        <v>4000</v>
      </c>
      <c r="CG93" s="440">
        <v>-23</v>
      </c>
      <c r="CH93" s="440">
        <v>-19</v>
      </c>
      <c r="CI93" s="440">
        <v>-15</v>
      </c>
      <c r="CJ93" s="440">
        <v>-11</v>
      </c>
      <c r="CK93" s="440">
        <v>-8</v>
      </c>
      <c r="CL93" s="440">
        <v>-4</v>
      </c>
      <c r="CM93" s="442">
        <f t="shared" si="42"/>
        <v>-2</v>
      </c>
      <c r="CN93" s="440">
        <v>0</v>
      </c>
      <c r="CO93" s="442">
        <f t="shared" si="61"/>
        <v>2</v>
      </c>
      <c r="CP93" s="441">
        <v>4</v>
      </c>
      <c r="CQ93" s="435">
        <v>4000</v>
      </c>
      <c r="CR93" s="440">
        <v>1</v>
      </c>
      <c r="CS93" s="440">
        <v>1</v>
      </c>
      <c r="CT93" s="440">
        <v>1</v>
      </c>
      <c r="CU93" s="440">
        <v>1</v>
      </c>
      <c r="CV93" s="440">
        <v>0</v>
      </c>
      <c r="CW93" s="440">
        <v>0</v>
      </c>
      <c r="CX93" s="442">
        <f t="shared" si="43"/>
        <v>0</v>
      </c>
      <c r="CY93" s="440">
        <v>0</v>
      </c>
      <c r="CZ93" s="442">
        <f t="shared" si="62"/>
        <v>0</v>
      </c>
      <c r="DA93" s="441">
        <v>0</v>
      </c>
      <c r="DB93" s="435">
        <v>4000</v>
      </c>
      <c r="DC93" s="440">
        <v>-21</v>
      </c>
      <c r="DD93" s="440">
        <v>-17</v>
      </c>
      <c r="DE93" s="440">
        <v>-14</v>
      </c>
      <c r="DF93" s="440">
        <v>-10</v>
      </c>
      <c r="DG93" s="440">
        <v>-7</v>
      </c>
      <c r="DH93" s="440">
        <v>-3</v>
      </c>
      <c r="DI93" s="442">
        <f t="shared" si="44"/>
        <v>-1.5</v>
      </c>
      <c r="DJ93" s="440">
        <v>0</v>
      </c>
      <c r="DK93" s="442">
        <f t="shared" si="63"/>
        <v>1.5</v>
      </c>
      <c r="DL93" s="441">
        <v>3</v>
      </c>
      <c r="DM93" s="435">
        <v>4000</v>
      </c>
      <c r="DN93" s="440">
        <v>1</v>
      </c>
      <c r="DO93" s="440">
        <v>1</v>
      </c>
      <c r="DP93" s="440">
        <v>1</v>
      </c>
      <c r="DQ93" s="440">
        <v>1</v>
      </c>
      <c r="DR93" s="440">
        <v>0</v>
      </c>
      <c r="DS93" s="440">
        <v>0</v>
      </c>
      <c r="DT93" s="442">
        <f t="shared" si="45"/>
        <v>0</v>
      </c>
      <c r="DU93" s="440">
        <v>0</v>
      </c>
      <c r="DV93" s="442">
        <f t="shared" si="64"/>
        <v>0</v>
      </c>
      <c r="DW93" s="441">
        <v>0</v>
      </c>
      <c r="DX93" s="435">
        <v>4000</v>
      </c>
      <c r="DY93" s="440">
        <v>-24</v>
      </c>
      <c r="DZ93" s="440">
        <v>-20</v>
      </c>
      <c r="EA93" s="440">
        <v>-16</v>
      </c>
      <c r="EB93" s="440">
        <v>-12</v>
      </c>
      <c r="EC93" s="440">
        <v>-8</v>
      </c>
      <c r="ED93" s="440">
        <v>-4</v>
      </c>
      <c r="EE93" s="442">
        <f t="shared" si="46"/>
        <v>-2</v>
      </c>
      <c r="EF93" s="440">
        <v>0</v>
      </c>
      <c r="EG93" s="442">
        <f t="shared" si="65"/>
        <v>2</v>
      </c>
      <c r="EH93" s="440">
        <v>4</v>
      </c>
      <c r="EI93" s="435">
        <v>4000</v>
      </c>
      <c r="EJ93" s="440">
        <v>3</v>
      </c>
      <c r="EK93" s="440">
        <v>3</v>
      </c>
      <c r="EL93" s="440">
        <v>2</v>
      </c>
      <c r="EM93" s="440">
        <v>2</v>
      </c>
      <c r="EN93" s="440">
        <v>1</v>
      </c>
      <c r="EO93" s="440">
        <v>1</v>
      </c>
      <c r="EP93" s="442">
        <f t="shared" si="66"/>
        <v>0.5</v>
      </c>
      <c r="EQ93" s="440">
        <v>0</v>
      </c>
      <c r="ER93" s="442">
        <f t="shared" si="67"/>
        <v>0</v>
      </c>
      <c r="ES93" s="441">
        <v>0</v>
      </c>
      <c r="ET93" s="435">
        <v>4000</v>
      </c>
      <c r="EU93" s="440">
        <v>-22</v>
      </c>
      <c r="EV93" s="440">
        <v>-19</v>
      </c>
      <c r="EW93" s="440">
        <v>-15</v>
      </c>
      <c r="EX93" s="440">
        <v>-11</v>
      </c>
      <c r="EY93" s="440">
        <v>-7</v>
      </c>
      <c r="EZ93" s="440">
        <v>-4</v>
      </c>
      <c r="FA93" s="442">
        <f t="shared" si="68"/>
        <v>-2</v>
      </c>
      <c r="FB93" s="440">
        <v>0</v>
      </c>
      <c r="FC93" s="442">
        <f t="shared" si="69"/>
        <v>2</v>
      </c>
      <c r="FD93" s="440">
        <v>4</v>
      </c>
      <c r="FE93" s="435">
        <v>4000</v>
      </c>
      <c r="FF93" s="440">
        <v>1</v>
      </c>
      <c r="FG93" s="440">
        <v>1</v>
      </c>
      <c r="FH93" s="440">
        <v>1</v>
      </c>
      <c r="FI93" s="440">
        <v>1</v>
      </c>
      <c r="FJ93" s="440">
        <v>0</v>
      </c>
      <c r="FK93" s="440">
        <v>0</v>
      </c>
      <c r="FL93" s="442">
        <f t="shared" si="47"/>
        <v>0</v>
      </c>
      <c r="FM93" s="440">
        <v>0</v>
      </c>
      <c r="FN93" s="442">
        <f t="shared" si="70"/>
        <v>0</v>
      </c>
      <c r="FO93" s="441">
        <v>0</v>
      </c>
      <c r="FP93" s="435">
        <v>4000</v>
      </c>
      <c r="FQ93" s="440">
        <v>-23</v>
      </c>
      <c r="FR93" s="440">
        <v>-19</v>
      </c>
      <c r="FS93" s="440">
        <v>-15</v>
      </c>
      <c r="FT93" s="440">
        <v>-11</v>
      </c>
      <c r="FU93" s="440">
        <v>-8</v>
      </c>
      <c r="FV93" s="440">
        <v>-4</v>
      </c>
      <c r="FW93" s="442">
        <f t="shared" si="48"/>
        <v>-2</v>
      </c>
      <c r="FX93" s="440">
        <v>0</v>
      </c>
      <c r="FY93" s="442">
        <f t="shared" si="71"/>
        <v>2</v>
      </c>
      <c r="FZ93" s="440">
        <v>4</v>
      </c>
      <c r="GA93" s="435">
        <v>4000</v>
      </c>
      <c r="GB93" s="440">
        <v>-35</v>
      </c>
      <c r="GC93" s="440">
        <v>-30</v>
      </c>
      <c r="GD93" s="440">
        <v>-24</v>
      </c>
      <c r="GE93" s="440">
        <v>-18</v>
      </c>
      <c r="GF93" s="440">
        <v>-12</v>
      </c>
      <c r="GG93" s="440">
        <v>-6</v>
      </c>
      <c r="GH93" s="442">
        <f t="shared" si="49"/>
        <v>-3</v>
      </c>
      <c r="GI93" s="440">
        <v>0</v>
      </c>
      <c r="GJ93" s="442">
        <f t="shared" si="72"/>
        <v>3</v>
      </c>
      <c r="GK93" s="441">
        <v>6</v>
      </c>
      <c r="GL93" s="435">
        <v>4000</v>
      </c>
      <c r="GM93" s="440">
        <v>-35</v>
      </c>
      <c r="GN93" s="440">
        <v>-29</v>
      </c>
      <c r="GO93" s="440">
        <v>-23</v>
      </c>
      <c r="GP93" s="440">
        <v>-17</v>
      </c>
      <c r="GQ93" s="440">
        <v>-12</v>
      </c>
      <c r="GR93" s="440">
        <v>-6</v>
      </c>
      <c r="GS93" s="442">
        <f t="shared" si="50"/>
        <v>-3</v>
      </c>
      <c r="GT93" s="440">
        <v>0</v>
      </c>
      <c r="GU93" s="442">
        <f t="shared" si="73"/>
        <v>3</v>
      </c>
      <c r="GV93" s="441">
        <v>6</v>
      </c>
    </row>
    <row r="94" spans="7:204">
      <c r="G94" s="435">
        <v>3900</v>
      </c>
      <c r="H94" s="445">
        <v>36</v>
      </c>
      <c r="I94" s="249">
        <v>30</v>
      </c>
      <c r="J94" s="249">
        <v>24</v>
      </c>
      <c r="K94" s="248">
        <v>18</v>
      </c>
      <c r="L94" s="249">
        <v>12</v>
      </c>
      <c r="M94" s="249">
        <v>6</v>
      </c>
      <c r="N94" s="249">
        <f t="shared" si="51"/>
        <v>3</v>
      </c>
      <c r="O94" s="249">
        <v>0</v>
      </c>
      <c r="P94" s="249">
        <f t="shared" si="52"/>
        <v>-3</v>
      </c>
      <c r="Q94" s="446">
        <v>-6</v>
      </c>
      <c r="R94" s="435">
        <v>3900</v>
      </c>
      <c r="S94" s="248">
        <v>12</v>
      </c>
      <c r="T94" s="248">
        <v>10</v>
      </c>
      <c r="U94" s="248">
        <v>8</v>
      </c>
      <c r="V94" s="248">
        <v>6</v>
      </c>
      <c r="W94" s="248">
        <v>4</v>
      </c>
      <c r="X94" s="248">
        <v>2</v>
      </c>
      <c r="Y94" s="249">
        <f t="shared" si="53"/>
        <v>1</v>
      </c>
      <c r="Z94" s="248">
        <v>0</v>
      </c>
      <c r="AA94" s="439">
        <f t="shared" si="54"/>
        <v>-1</v>
      </c>
      <c r="AB94" s="248">
        <v>-2</v>
      </c>
      <c r="AC94" s="435">
        <v>3900</v>
      </c>
      <c r="AD94" s="440">
        <v>-30</v>
      </c>
      <c r="AE94" s="440">
        <v>-25</v>
      </c>
      <c r="AF94" s="440">
        <v>-20</v>
      </c>
      <c r="AG94" s="440">
        <v>-15</v>
      </c>
      <c r="AH94" s="440">
        <v>-10</v>
      </c>
      <c r="AI94" s="440">
        <v>-5</v>
      </c>
      <c r="AJ94" s="249">
        <f t="shared" si="55"/>
        <v>-2.5</v>
      </c>
      <c r="AK94" s="248">
        <v>0</v>
      </c>
      <c r="AL94" s="439">
        <f t="shared" si="56"/>
        <v>2.5</v>
      </c>
      <c r="AM94" s="441">
        <v>5</v>
      </c>
      <c r="AN94" s="435">
        <v>3900</v>
      </c>
      <c r="AO94" s="440">
        <v>-54</v>
      </c>
      <c r="AP94" s="440">
        <v>-45</v>
      </c>
      <c r="AQ94" s="440">
        <v>-36</v>
      </c>
      <c r="AR94" s="440">
        <v>-27</v>
      </c>
      <c r="AS94" s="440">
        <v>-18</v>
      </c>
      <c r="AT94" s="440">
        <v>-9</v>
      </c>
      <c r="AU94" s="442">
        <f t="shared" si="38"/>
        <v>-4.5</v>
      </c>
      <c r="AV94" s="440">
        <v>0</v>
      </c>
      <c r="AW94" s="442">
        <f t="shared" si="57"/>
        <v>4.5</v>
      </c>
      <c r="AX94" s="441">
        <v>9</v>
      </c>
      <c r="AY94" s="435">
        <v>3900</v>
      </c>
      <c r="AZ94" s="440">
        <v>4</v>
      </c>
      <c r="BA94" s="440">
        <v>3</v>
      </c>
      <c r="BB94" s="440">
        <v>2</v>
      </c>
      <c r="BC94" s="440">
        <v>2</v>
      </c>
      <c r="BD94" s="440">
        <v>1</v>
      </c>
      <c r="BE94" s="440">
        <v>1</v>
      </c>
      <c r="BF94" s="442">
        <f t="shared" si="39"/>
        <v>0.5</v>
      </c>
      <c r="BG94" s="440">
        <v>0</v>
      </c>
      <c r="BH94" s="442">
        <f t="shared" si="58"/>
        <v>-0.5</v>
      </c>
      <c r="BI94" s="441">
        <v>-1</v>
      </c>
      <c r="BJ94" s="447">
        <v>3900</v>
      </c>
      <c r="BK94" s="440">
        <v>-31</v>
      </c>
      <c r="BL94" s="440">
        <v>-26</v>
      </c>
      <c r="BM94" s="440">
        <v>-21</v>
      </c>
      <c r="BN94" s="440">
        <v>-16</v>
      </c>
      <c r="BO94" s="440">
        <v>-10</v>
      </c>
      <c r="BP94" s="440">
        <v>-5</v>
      </c>
      <c r="BQ94" s="442">
        <f t="shared" si="40"/>
        <v>-2.5</v>
      </c>
      <c r="BR94" s="440">
        <v>0</v>
      </c>
      <c r="BS94" s="442">
        <f t="shared" si="59"/>
        <v>2.5</v>
      </c>
      <c r="BT94" s="440">
        <v>5</v>
      </c>
      <c r="BU94" s="435">
        <v>3900</v>
      </c>
      <c r="BV94" s="440">
        <v>1</v>
      </c>
      <c r="BW94" s="440">
        <v>1</v>
      </c>
      <c r="BX94" s="440">
        <v>1</v>
      </c>
      <c r="BY94" s="440">
        <v>1</v>
      </c>
      <c r="BZ94" s="440">
        <v>0</v>
      </c>
      <c r="CA94" s="440">
        <v>0</v>
      </c>
      <c r="CB94" s="442">
        <f t="shared" si="41"/>
        <v>0</v>
      </c>
      <c r="CC94" s="440">
        <v>0</v>
      </c>
      <c r="CD94" s="442">
        <f t="shared" si="60"/>
        <v>0</v>
      </c>
      <c r="CE94" s="441">
        <v>0</v>
      </c>
      <c r="CF94" s="435">
        <v>3900</v>
      </c>
      <c r="CG94" s="440">
        <v>-23</v>
      </c>
      <c r="CH94" s="440">
        <v>-19</v>
      </c>
      <c r="CI94" s="440">
        <v>-15</v>
      </c>
      <c r="CJ94" s="440">
        <v>-11</v>
      </c>
      <c r="CK94" s="440">
        <v>-8</v>
      </c>
      <c r="CL94" s="440">
        <v>-4</v>
      </c>
      <c r="CM94" s="442">
        <f t="shared" si="42"/>
        <v>-2</v>
      </c>
      <c r="CN94" s="440">
        <v>0</v>
      </c>
      <c r="CO94" s="442">
        <f t="shared" si="61"/>
        <v>2</v>
      </c>
      <c r="CP94" s="441">
        <v>4</v>
      </c>
      <c r="CQ94" s="435">
        <v>3900</v>
      </c>
      <c r="CR94" s="440">
        <v>1</v>
      </c>
      <c r="CS94" s="440">
        <v>1</v>
      </c>
      <c r="CT94" s="440">
        <v>1</v>
      </c>
      <c r="CU94" s="440">
        <v>1</v>
      </c>
      <c r="CV94" s="440">
        <v>0</v>
      </c>
      <c r="CW94" s="440">
        <v>0</v>
      </c>
      <c r="CX94" s="442">
        <f t="shared" si="43"/>
        <v>0</v>
      </c>
      <c r="CY94" s="440">
        <v>0</v>
      </c>
      <c r="CZ94" s="442">
        <f t="shared" si="62"/>
        <v>0</v>
      </c>
      <c r="DA94" s="441">
        <v>0</v>
      </c>
      <c r="DB94" s="435">
        <v>3900</v>
      </c>
      <c r="DC94" s="440">
        <v>-21</v>
      </c>
      <c r="DD94" s="440">
        <v>-17</v>
      </c>
      <c r="DE94" s="440">
        <v>-14</v>
      </c>
      <c r="DF94" s="440">
        <v>-10</v>
      </c>
      <c r="DG94" s="440">
        <v>-7</v>
      </c>
      <c r="DH94" s="440">
        <v>-3</v>
      </c>
      <c r="DI94" s="442">
        <f t="shared" si="44"/>
        <v>-1.5</v>
      </c>
      <c r="DJ94" s="440">
        <v>0</v>
      </c>
      <c r="DK94" s="442">
        <f t="shared" si="63"/>
        <v>1.5</v>
      </c>
      <c r="DL94" s="441">
        <v>3</v>
      </c>
      <c r="DM94" s="435">
        <v>3900</v>
      </c>
      <c r="DN94" s="440">
        <v>1</v>
      </c>
      <c r="DO94" s="440">
        <v>1</v>
      </c>
      <c r="DP94" s="440">
        <v>1</v>
      </c>
      <c r="DQ94" s="440">
        <v>1</v>
      </c>
      <c r="DR94" s="440">
        <v>0</v>
      </c>
      <c r="DS94" s="440">
        <v>0</v>
      </c>
      <c r="DT94" s="442">
        <f t="shared" si="45"/>
        <v>0</v>
      </c>
      <c r="DU94" s="440">
        <v>0</v>
      </c>
      <c r="DV94" s="442">
        <f t="shared" si="64"/>
        <v>0</v>
      </c>
      <c r="DW94" s="441">
        <v>0</v>
      </c>
      <c r="DX94" s="435">
        <v>3900</v>
      </c>
      <c r="DY94" s="440">
        <v>-24</v>
      </c>
      <c r="DZ94" s="440">
        <v>-20</v>
      </c>
      <c r="EA94" s="440">
        <v>-16</v>
      </c>
      <c r="EB94" s="440">
        <v>-12</v>
      </c>
      <c r="EC94" s="440">
        <v>-8</v>
      </c>
      <c r="ED94" s="440">
        <v>-4</v>
      </c>
      <c r="EE94" s="442">
        <f t="shared" si="46"/>
        <v>-2</v>
      </c>
      <c r="EF94" s="440">
        <v>0</v>
      </c>
      <c r="EG94" s="442">
        <f t="shared" si="65"/>
        <v>2</v>
      </c>
      <c r="EH94" s="440">
        <v>4</v>
      </c>
      <c r="EI94" s="435">
        <v>3900</v>
      </c>
      <c r="EJ94" s="440">
        <v>3</v>
      </c>
      <c r="EK94" s="440">
        <v>3</v>
      </c>
      <c r="EL94" s="440">
        <v>2</v>
      </c>
      <c r="EM94" s="440">
        <v>2</v>
      </c>
      <c r="EN94" s="440">
        <v>1</v>
      </c>
      <c r="EO94" s="440">
        <v>1</v>
      </c>
      <c r="EP94" s="442">
        <f t="shared" si="66"/>
        <v>0.5</v>
      </c>
      <c r="EQ94" s="440">
        <v>0</v>
      </c>
      <c r="ER94" s="442">
        <f t="shared" si="67"/>
        <v>0</v>
      </c>
      <c r="ES94" s="441">
        <v>0</v>
      </c>
      <c r="ET94" s="435">
        <v>3900</v>
      </c>
      <c r="EU94" s="440">
        <v>-22</v>
      </c>
      <c r="EV94" s="440">
        <v>-19</v>
      </c>
      <c r="EW94" s="440">
        <v>-15</v>
      </c>
      <c r="EX94" s="440">
        <v>-11</v>
      </c>
      <c r="EY94" s="440">
        <v>-7</v>
      </c>
      <c r="EZ94" s="440">
        <v>-4</v>
      </c>
      <c r="FA94" s="442">
        <f t="shared" si="68"/>
        <v>-2</v>
      </c>
      <c r="FB94" s="440">
        <v>0</v>
      </c>
      <c r="FC94" s="442">
        <f t="shared" si="69"/>
        <v>2</v>
      </c>
      <c r="FD94" s="440">
        <v>4</v>
      </c>
      <c r="FE94" s="435">
        <v>3900</v>
      </c>
      <c r="FF94" s="440">
        <v>1</v>
      </c>
      <c r="FG94" s="440">
        <v>1</v>
      </c>
      <c r="FH94" s="440">
        <v>1</v>
      </c>
      <c r="FI94" s="440">
        <v>1</v>
      </c>
      <c r="FJ94" s="440">
        <v>0</v>
      </c>
      <c r="FK94" s="440">
        <v>0</v>
      </c>
      <c r="FL94" s="442">
        <f t="shared" si="47"/>
        <v>0</v>
      </c>
      <c r="FM94" s="440">
        <v>0</v>
      </c>
      <c r="FN94" s="442">
        <f t="shared" si="70"/>
        <v>0</v>
      </c>
      <c r="FO94" s="441">
        <v>0</v>
      </c>
      <c r="FP94" s="435">
        <v>3900</v>
      </c>
      <c r="FQ94" s="440">
        <v>-23</v>
      </c>
      <c r="FR94" s="440">
        <v>-19</v>
      </c>
      <c r="FS94" s="440">
        <v>-15</v>
      </c>
      <c r="FT94" s="440">
        <v>-11</v>
      </c>
      <c r="FU94" s="440">
        <v>-8</v>
      </c>
      <c r="FV94" s="440">
        <v>-4</v>
      </c>
      <c r="FW94" s="442">
        <f t="shared" si="48"/>
        <v>-2</v>
      </c>
      <c r="FX94" s="440">
        <v>0</v>
      </c>
      <c r="FY94" s="442">
        <f t="shared" si="71"/>
        <v>2</v>
      </c>
      <c r="FZ94" s="440">
        <v>4</v>
      </c>
      <c r="GA94" s="435">
        <v>3900</v>
      </c>
      <c r="GB94" s="440">
        <v>-35</v>
      </c>
      <c r="GC94" s="440">
        <v>-30</v>
      </c>
      <c r="GD94" s="440">
        <v>-24</v>
      </c>
      <c r="GE94" s="440">
        <v>-18</v>
      </c>
      <c r="GF94" s="440">
        <v>-12</v>
      </c>
      <c r="GG94" s="440">
        <v>-6</v>
      </c>
      <c r="GH94" s="442">
        <f t="shared" si="49"/>
        <v>-3</v>
      </c>
      <c r="GI94" s="440">
        <v>0</v>
      </c>
      <c r="GJ94" s="442">
        <f t="shared" si="72"/>
        <v>3</v>
      </c>
      <c r="GK94" s="441">
        <v>6</v>
      </c>
      <c r="GL94" s="435">
        <v>3900</v>
      </c>
      <c r="GM94" s="440">
        <v>-35</v>
      </c>
      <c r="GN94" s="440">
        <v>-29</v>
      </c>
      <c r="GO94" s="440">
        <v>-23</v>
      </c>
      <c r="GP94" s="440">
        <v>-17</v>
      </c>
      <c r="GQ94" s="440">
        <v>-12</v>
      </c>
      <c r="GR94" s="440">
        <v>-6</v>
      </c>
      <c r="GS94" s="442">
        <f t="shared" si="50"/>
        <v>-3</v>
      </c>
      <c r="GT94" s="440">
        <v>0</v>
      </c>
      <c r="GU94" s="442">
        <f t="shared" si="73"/>
        <v>3</v>
      </c>
      <c r="GV94" s="441">
        <v>6</v>
      </c>
    </row>
    <row r="95" spans="7:204">
      <c r="G95" s="435">
        <v>3800</v>
      </c>
      <c r="H95" s="445">
        <v>36</v>
      </c>
      <c r="I95" s="249">
        <v>30</v>
      </c>
      <c r="J95" s="249">
        <v>24</v>
      </c>
      <c r="K95" s="248">
        <v>18</v>
      </c>
      <c r="L95" s="249">
        <v>12</v>
      </c>
      <c r="M95" s="249">
        <v>6</v>
      </c>
      <c r="N95" s="249">
        <f t="shared" si="51"/>
        <v>3</v>
      </c>
      <c r="O95" s="249">
        <v>0</v>
      </c>
      <c r="P95" s="249">
        <f t="shared" si="52"/>
        <v>-3</v>
      </c>
      <c r="Q95" s="446">
        <v>-6</v>
      </c>
      <c r="R95" s="435">
        <v>3800</v>
      </c>
      <c r="S95" s="248">
        <v>12</v>
      </c>
      <c r="T95" s="248">
        <v>10</v>
      </c>
      <c r="U95" s="248">
        <v>8</v>
      </c>
      <c r="V95" s="248">
        <v>6</v>
      </c>
      <c r="W95" s="248">
        <v>4</v>
      </c>
      <c r="X95" s="248">
        <v>2</v>
      </c>
      <c r="Y95" s="249">
        <f t="shared" si="53"/>
        <v>1</v>
      </c>
      <c r="Z95" s="248">
        <v>0</v>
      </c>
      <c r="AA95" s="439">
        <f t="shared" si="54"/>
        <v>-1</v>
      </c>
      <c r="AB95" s="248">
        <v>-2</v>
      </c>
      <c r="AC95" s="435">
        <v>3800</v>
      </c>
      <c r="AD95" s="440">
        <v>-30</v>
      </c>
      <c r="AE95" s="440">
        <v>-25</v>
      </c>
      <c r="AF95" s="440">
        <v>-20</v>
      </c>
      <c r="AG95" s="440">
        <v>-15</v>
      </c>
      <c r="AH95" s="440">
        <v>-10</v>
      </c>
      <c r="AI95" s="440">
        <v>-5</v>
      </c>
      <c r="AJ95" s="249">
        <f t="shared" si="55"/>
        <v>-2.5</v>
      </c>
      <c r="AK95" s="248">
        <v>0</v>
      </c>
      <c r="AL95" s="439">
        <f t="shared" si="56"/>
        <v>2.5</v>
      </c>
      <c r="AM95" s="441">
        <v>5</v>
      </c>
      <c r="AN95" s="435">
        <v>3800</v>
      </c>
      <c r="AO95" s="440">
        <v>-54</v>
      </c>
      <c r="AP95" s="440">
        <v>-45</v>
      </c>
      <c r="AQ95" s="440">
        <v>-36</v>
      </c>
      <c r="AR95" s="440">
        <v>-27</v>
      </c>
      <c r="AS95" s="440">
        <v>-18</v>
      </c>
      <c r="AT95" s="440">
        <v>-9</v>
      </c>
      <c r="AU95" s="442">
        <f t="shared" si="38"/>
        <v>-4.5</v>
      </c>
      <c r="AV95" s="440">
        <v>0</v>
      </c>
      <c r="AW95" s="442">
        <f t="shared" si="57"/>
        <v>4.5</v>
      </c>
      <c r="AX95" s="441">
        <v>9</v>
      </c>
      <c r="AY95" s="435">
        <v>3800</v>
      </c>
      <c r="AZ95" s="440">
        <v>4</v>
      </c>
      <c r="BA95" s="440">
        <v>3</v>
      </c>
      <c r="BB95" s="440">
        <v>2</v>
      </c>
      <c r="BC95" s="440">
        <v>2</v>
      </c>
      <c r="BD95" s="440">
        <v>1</v>
      </c>
      <c r="BE95" s="440">
        <v>1</v>
      </c>
      <c r="BF95" s="442">
        <f t="shared" si="39"/>
        <v>0.5</v>
      </c>
      <c r="BG95" s="440">
        <v>0</v>
      </c>
      <c r="BH95" s="442">
        <f t="shared" si="58"/>
        <v>-0.5</v>
      </c>
      <c r="BI95" s="441">
        <v>-1</v>
      </c>
      <c r="BJ95" s="447">
        <v>3800</v>
      </c>
      <c r="BK95" s="440">
        <v>-31</v>
      </c>
      <c r="BL95" s="440">
        <v>-26</v>
      </c>
      <c r="BM95" s="440">
        <v>-21</v>
      </c>
      <c r="BN95" s="440">
        <v>-16</v>
      </c>
      <c r="BO95" s="440">
        <v>-10</v>
      </c>
      <c r="BP95" s="440">
        <v>-5</v>
      </c>
      <c r="BQ95" s="442">
        <f t="shared" si="40"/>
        <v>-2.5</v>
      </c>
      <c r="BR95" s="440">
        <v>0</v>
      </c>
      <c r="BS95" s="442">
        <f t="shared" si="59"/>
        <v>2.5</v>
      </c>
      <c r="BT95" s="440">
        <v>5</v>
      </c>
      <c r="BU95" s="435">
        <v>3800</v>
      </c>
      <c r="BV95" s="440">
        <v>1</v>
      </c>
      <c r="BW95" s="440">
        <v>1</v>
      </c>
      <c r="BX95" s="440">
        <v>1</v>
      </c>
      <c r="BY95" s="440">
        <v>1</v>
      </c>
      <c r="BZ95" s="440">
        <v>0</v>
      </c>
      <c r="CA95" s="440">
        <v>0</v>
      </c>
      <c r="CB95" s="442">
        <f t="shared" si="41"/>
        <v>0</v>
      </c>
      <c r="CC95" s="440">
        <v>0</v>
      </c>
      <c r="CD95" s="442">
        <f t="shared" si="60"/>
        <v>0</v>
      </c>
      <c r="CE95" s="441">
        <v>0</v>
      </c>
      <c r="CF95" s="435">
        <v>3800</v>
      </c>
      <c r="CG95" s="440">
        <v>-23</v>
      </c>
      <c r="CH95" s="440">
        <v>-19</v>
      </c>
      <c r="CI95" s="440">
        <v>-15</v>
      </c>
      <c r="CJ95" s="440">
        <v>-11</v>
      </c>
      <c r="CK95" s="440">
        <v>-8</v>
      </c>
      <c r="CL95" s="440">
        <v>-4</v>
      </c>
      <c r="CM95" s="442">
        <f t="shared" si="42"/>
        <v>-2</v>
      </c>
      <c r="CN95" s="440">
        <v>0</v>
      </c>
      <c r="CO95" s="442">
        <f t="shared" si="61"/>
        <v>2</v>
      </c>
      <c r="CP95" s="441">
        <v>4</v>
      </c>
      <c r="CQ95" s="435">
        <v>3800</v>
      </c>
      <c r="CR95" s="440">
        <v>1</v>
      </c>
      <c r="CS95" s="440">
        <v>1</v>
      </c>
      <c r="CT95" s="440">
        <v>1</v>
      </c>
      <c r="CU95" s="440">
        <v>1</v>
      </c>
      <c r="CV95" s="440">
        <v>0</v>
      </c>
      <c r="CW95" s="440">
        <v>0</v>
      </c>
      <c r="CX95" s="442">
        <f t="shared" si="43"/>
        <v>0</v>
      </c>
      <c r="CY95" s="440">
        <v>0</v>
      </c>
      <c r="CZ95" s="442">
        <f t="shared" si="62"/>
        <v>0</v>
      </c>
      <c r="DA95" s="441">
        <v>0</v>
      </c>
      <c r="DB95" s="435">
        <v>3800</v>
      </c>
      <c r="DC95" s="440">
        <v>-21</v>
      </c>
      <c r="DD95" s="440">
        <v>-17</v>
      </c>
      <c r="DE95" s="440">
        <v>-14</v>
      </c>
      <c r="DF95" s="440">
        <v>-10</v>
      </c>
      <c r="DG95" s="440">
        <v>-7</v>
      </c>
      <c r="DH95" s="440">
        <v>-3</v>
      </c>
      <c r="DI95" s="442">
        <f t="shared" si="44"/>
        <v>-1.5</v>
      </c>
      <c r="DJ95" s="440">
        <v>0</v>
      </c>
      <c r="DK95" s="442">
        <f t="shared" si="63"/>
        <v>1.5</v>
      </c>
      <c r="DL95" s="441">
        <v>3</v>
      </c>
      <c r="DM95" s="435">
        <v>3800</v>
      </c>
      <c r="DN95" s="440">
        <v>1</v>
      </c>
      <c r="DO95" s="440">
        <v>1</v>
      </c>
      <c r="DP95" s="440">
        <v>1</v>
      </c>
      <c r="DQ95" s="440">
        <v>1</v>
      </c>
      <c r="DR95" s="440">
        <v>0</v>
      </c>
      <c r="DS95" s="440">
        <v>0</v>
      </c>
      <c r="DT95" s="442">
        <f t="shared" si="45"/>
        <v>0</v>
      </c>
      <c r="DU95" s="440">
        <v>0</v>
      </c>
      <c r="DV95" s="442">
        <f t="shared" si="64"/>
        <v>0</v>
      </c>
      <c r="DW95" s="441">
        <v>0</v>
      </c>
      <c r="DX95" s="435">
        <v>3800</v>
      </c>
      <c r="DY95" s="440">
        <v>-24</v>
      </c>
      <c r="DZ95" s="440">
        <v>-20</v>
      </c>
      <c r="EA95" s="440">
        <v>-16</v>
      </c>
      <c r="EB95" s="440">
        <v>-12</v>
      </c>
      <c r="EC95" s="440">
        <v>-8</v>
      </c>
      <c r="ED95" s="440">
        <v>-4</v>
      </c>
      <c r="EE95" s="442">
        <f t="shared" si="46"/>
        <v>-2</v>
      </c>
      <c r="EF95" s="440">
        <v>0</v>
      </c>
      <c r="EG95" s="442">
        <f t="shared" si="65"/>
        <v>2</v>
      </c>
      <c r="EH95" s="440">
        <v>4</v>
      </c>
      <c r="EI95" s="435">
        <v>3800</v>
      </c>
      <c r="EJ95" s="440">
        <v>3</v>
      </c>
      <c r="EK95" s="440">
        <v>3</v>
      </c>
      <c r="EL95" s="440">
        <v>2</v>
      </c>
      <c r="EM95" s="440">
        <v>2</v>
      </c>
      <c r="EN95" s="440">
        <v>1</v>
      </c>
      <c r="EO95" s="440">
        <v>1</v>
      </c>
      <c r="EP95" s="442">
        <f t="shared" si="66"/>
        <v>0.5</v>
      </c>
      <c r="EQ95" s="440">
        <v>0</v>
      </c>
      <c r="ER95" s="442">
        <f t="shared" si="67"/>
        <v>0</v>
      </c>
      <c r="ES95" s="441">
        <v>0</v>
      </c>
      <c r="ET95" s="435">
        <v>3800</v>
      </c>
      <c r="EU95" s="440">
        <v>-22</v>
      </c>
      <c r="EV95" s="440">
        <v>-19</v>
      </c>
      <c r="EW95" s="440">
        <v>-15</v>
      </c>
      <c r="EX95" s="440">
        <v>-11</v>
      </c>
      <c r="EY95" s="440">
        <v>-7</v>
      </c>
      <c r="EZ95" s="440">
        <v>-4</v>
      </c>
      <c r="FA95" s="442">
        <f t="shared" si="68"/>
        <v>-2</v>
      </c>
      <c r="FB95" s="440">
        <v>0</v>
      </c>
      <c r="FC95" s="442">
        <f t="shared" si="69"/>
        <v>2</v>
      </c>
      <c r="FD95" s="440">
        <v>4</v>
      </c>
      <c r="FE95" s="435">
        <v>3800</v>
      </c>
      <c r="FF95" s="440">
        <v>1</v>
      </c>
      <c r="FG95" s="440">
        <v>1</v>
      </c>
      <c r="FH95" s="440">
        <v>1</v>
      </c>
      <c r="FI95" s="440">
        <v>1</v>
      </c>
      <c r="FJ95" s="440">
        <v>0</v>
      </c>
      <c r="FK95" s="440">
        <v>0</v>
      </c>
      <c r="FL95" s="442">
        <f t="shared" si="47"/>
        <v>0</v>
      </c>
      <c r="FM95" s="440">
        <v>0</v>
      </c>
      <c r="FN95" s="442">
        <f t="shared" si="70"/>
        <v>0</v>
      </c>
      <c r="FO95" s="441">
        <v>0</v>
      </c>
      <c r="FP95" s="435">
        <v>3800</v>
      </c>
      <c r="FQ95" s="440">
        <v>-23</v>
      </c>
      <c r="FR95" s="440">
        <v>-19</v>
      </c>
      <c r="FS95" s="440">
        <v>-15</v>
      </c>
      <c r="FT95" s="440">
        <v>-11</v>
      </c>
      <c r="FU95" s="440">
        <v>-8</v>
      </c>
      <c r="FV95" s="440">
        <v>-4</v>
      </c>
      <c r="FW95" s="442">
        <f t="shared" si="48"/>
        <v>-2</v>
      </c>
      <c r="FX95" s="440">
        <v>0</v>
      </c>
      <c r="FY95" s="442">
        <f t="shared" si="71"/>
        <v>2</v>
      </c>
      <c r="FZ95" s="440">
        <v>4</v>
      </c>
      <c r="GA95" s="435">
        <v>3800</v>
      </c>
      <c r="GB95" s="440">
        <v>-35</v>
      </c>
      <c r="GC95" s="440">
        <v>-30</v>
      </c>
      <c r="GD95" s="440">
        <v>-24</v>
      </c>
      <c r="GE95" s="440">
        <v>-18</v>
      </c>
      <c r="GF95" s="440">
        <v>-12</v>
      </c>
      <c r="GG95" s="440">
        <v>-6</v>
      </c>
      <c r="GH95" s="442">
        <f t="shared" si="49"/>
        <v>-3</v>
      </c>
      <c r="GI95" s="440">
        <v>0</v>
      </c>
      <c r="GJ95" s="442">
        <f t="shared" si="72"/>
        <v>3</v>
      </c>
      <c r="GK95" s="441">
        <v>6</v>
      </c>
      <c r="GL95" s="435">
        <v>3800</v>
      </c>
      <c r="GM95" s="440">
        <v>-35</v>
      </c>
      <c r="GN95" s="440">
        <v>-29</v>
      </c>
      <c r="GO95" s="440">
        <v>-23</v>
      </c>
      <c r="GP95" s="440">
        <v>-17</v>
      </c>
      <c r="GQ95" s="440">
        <v>-12</v>
      </c>
      <c r="GR95" s="440">
        <v>-6</v>
      </c>
      <c r="GS95" s="442">
        <f t="shared" si="50"/>
        <v>-3</v>
      </c>
      <c r="GT95" s="440">
        <v>0</v>
      </c>
      <c r="GU95" s="442">
        <f t="shared" si="73"/>
        <v>3</v>
      </c>
      <c r="GV95" s="441">
        <v>6</v>
      </c>
    </row>
    <row r="96" spans="7:204">
      <c r="G96" s="435">
        <v>3700</v>
      </c>
      <c r="H96" s="445">
        <v>36</v>
      </c>
      <c r="I96" s="249">
        <v>30</v>
      </c>
      <c r="J96" s="249">
        <v>24</v>
      </c>
      <c r="K96" s="248">
        <v>18</v>
      </c>
      <c r="L96" s="249">
        <v>12</v>
      </c>
      <c r="M96" s="249">
        <v>6</v>
      </c>
      <c r="N96" s="249">
        <f t="shared" si="51"/>
        <v>3</v>
      </c>
      <c r="O96" s="249">
        <v>0</v>
      </c>
      <c r="P96" s="249">
        <f t="shared" si="52"/>
        <v>-3</v>
      </c>
      <c r="Q96" s="446">
        <v>-6</v>
      </c>
      <c r="R96" s="435">
        <v>3700</v>
      </c>
      <c r="S96" s="248">
        <v>12</v>
      </c>
      <c r="T96" s="248">
        <v>10</v>
      </c>
      <c r="U96" s="248">
        <v>8</v>
      </c>
      <c r="V96" s="248">
        <v>6</v>
      </c>
      <c r="W96" s="248">
        <v>4</v>
      </c>
      <c r="X96" s="248">
        <v>2</v>
      </c>
      <c r="Y96" s="249">
        <f t="shared" si="53"/>
        <v>1</v>
      </c>
      <c r="Z96" s="248">
        <v>0</v>
      </c>
      <c r="AA96" s="439">
        <f t="shared" si="54"/>
        <v>-1</v>
      </c>
      <c r="AB96" s="248">
        <v>-2</v>
      </c>
      <c r="AC96" s="435">
        <v>3700</v>
      </c>
      <c r="AD96" s="440">
        <v>-30</v>
      </c>
      <c r="AE96" s="440">
        <v>-25</v>
      </c>
      <c r="AF96" s="440">
        <v>-20</v>
      </c>
      <c r="AG96" s="440">
        <v>-15</v>
      </c>
      <c r="AH96" s="440">
        <v>-10</v>
      </c>
      <c r="AI96" s="440">
        <v>-5</v>
      </c>
      <c r="AJ96" s="249">
        <f t="shared" si="55"/>
        <v>-2.5</v>
      </c>
      <c r="AK96" s="248">
        <v>0</v>
      </c>
      <c r="AL96" s="439">
        <f t="shared" si="56"/>
        <v>2.5</v>
      </c>
      <c r="AM96" s="441">
        <v>5</v>
      </c>
      <c r="AN96" s="435">
        <v>3700</v>
      </c>
      <c r="AO96" s="440">
        <v>-54</v>
      </c>
      <c r="AP96" s="440">
        <v>-45</v>
      </c>
      <c r="AQ96" s="440">
        <v>-36</v>
      </c>
      <c r="AR96" s="440">
        <v>-27</v>
      </c>
      <c r="AS96" s="440">
        <v>-18</v>
      </c>
      <c r="AT96" s="440">
        <v>-9</v>
      </c>
      <c r="AU96" s="442">
        <f t="shared" si="38"/>
        <v>-4.5</v>
      </c>
      <c r="AV96" s="440">
        <v>0</v>
      </c>
      <c r="AW96" s="442">
        <f t="shared" si="57"/>
        <v>4.5</v>
      </c>
      <c r="AX96" s="441">
        <v>9</v>
      </c>
      <c r="AY96" s="435">
        <v>3700</v>
      </c>
      <c r="AZ96" s="440">
        <v>4</v>
      </c>
      <c r="BA96" s="440">
        <v>3</v>
      </c>
      <c r="BB96" s="440">
        <v>2</v>
      </c>
      <c r="BC96" s="440">
        <v>2</v>
      </c>
      <c r="BD96" s="440">
        <v>1</v>
      </c>
      <c r="BE96" s="440">
        <v>1</v>
      </c>
      <c r="BF96" s="442">
        <f t="shared" si="39"/>
        <v>0.5</v>
      </c>
      <c r="BG96" s="440">
        <v>0</v>
      </c>
      <c r="BH96" s="442">
        <f t="shared" si="58"/>
        <v>-0.5</v>
      </c>
      <c r="BI96" s="441">
        <v>-1</v>
      </c>
      <c r="BJ96" s="447">
        <v>3700</v>
      </c>
      <c r="BK96" s="440">
        <v>-31</v>
      </c>
      <c r="BL96" s="440">
        <v>-26</v>
      </c>
      <c r="BM96" s="440">
        <v>-21</v>
      </c>
      <c r="BN96" s="440">
        <v>-16</v>
      </c>
      <c r="BO96" s="440">
        <v>-10</v>
      </c>
      <c r="BP96" s="440">
        <v>-5</v>
      </c>
      <c r="BQ96" s="442">
        <f t="shared" si="40"/>
        <v>-2.5</v>
      </c>
      <c r="BR96" s="440">
        <v>0</v>
      </c>
      <c r="BS96" s="442">
        <f t="shared" si="59"/>
        <v>2.5</v>
      </c>
      <c r="BT96" s="440">
        <v>5</v>
      </c>
      <c r="BU96" s="435">
        <v>3700</v>
      </c>
      <c r="BV96" s="440">
        <v>1</v>
      </c>
      <c r="BW96" s="440">
        <v>1</v>
      </c>
      <c r="BX96" s="440">
        <v>1</v>
      </c>
      <c r="BY96" s="440">
        <v>1</v>
      </c>
      <c r="BZ96" s="440">
        <v>0</v>
      </c>
      <c r="CA96" s="440">
        <v>0</v>
      </c>
      <c r="CB96" s="442">
        <f t="shared" si="41"/>
        <v>0</v>
      </c>
      <c r="CC96" s="440">
        <v>0</v>
      </c>
      <c r="CD96" s="442">
        <f t="shared" si="60"/>
        <v>0</v>
      </c>
      <c r="CE96" s="441">
        <v>0</v>
      </c>
      <c r="CF96" s="435">
        <v>3700</v>
      </c>
      <c r="CG96" s="440">
        <v>-23</v>
      </c>
      <c r="CH96" s="440">
        <v>-19</v>
      </c>
      <c r="CI96" s="440">
        <v>-15</v>
      </c>
      <c r="CJ96" s="440">
        <v>-11</v>
      </c>
      <c r="CK96" s="440">
        <v>-8</v>
      </c>
      <c r="CL96" s="440">
        <v>-4</v>
      </c>
      <c r="CM96" s="442">
        <f t="shared" si="42"/>
        <v>-2</v>
      </c>
      <c r="CN96" s="440">
        <v>0</v>
      </c>
      <c r="CO96" s="442">
        <f t="shared" si="61"/>
        <v>2</v>
      </c>
      <c r="CP96" s="441">
        <v>4</v>
      </c>
      <c r="CQ96" s="435">
        <v>3700</v>
      </c>
      <c r="CR96" s="440">
        <v>1</v>
      </c>
      <c r="CS96" s="440">
        <v>1</v>
      </c>
      <c r="CT96" s="440">
        <v>1</v>
      </c>
      <c r="CU96" s="440">
        <v>1</v>
      </c>
      <c r="CV96" s="440">
        <v>0</v>
      </c>
      <c r="CW96" s="440">
        <v>0</v>
      </c>
      <c r="CX96" s="442">
        <f t="shared" si="43"/>
        <v>0</v>
      </c>
      <c r="CY96" s="440">
        <v>0</v>
      </c>
      <c r="CZ96" s="442">
        <f t="shared" si="62"/>
        <v>0</v>
      </c>
      <c r="DA96" s="441">
        <v>0</v>
      </c>
      <c r="DB96" s="435">
        <v>3700</v>
      </c>
      <c r="DC96" s="440">
        <v>-21</v>
      </c>
      <c r="DD96" s="440">
        <v>-17</v>
      </c>
      <c r="DE96" s="440">
        <v>-14</v>
      </c>
      <c r="DF96" s="440">
        <v>-10</v>
      </c>
      <c r="DG96" s="440">
        <v>-7</v>
      </c>
      <c r="DH96" s="440">
        <v>-3</v>
      </c>
      <c r="DI96" s="442">
        <f t="shared" si="44"/>
        <v>-1.5</v>
      </c>
      <c r="DJ96" s="440">
        <v>0</v>
      </c>
      <c r="DK96" s="442">
        <f t="shared" si="63"/>
        <v>1.5</v>
      </c>
      <c r="DL96" s="441">
        <v>3</v>
      </c>
      <c r="DM96" s="435">
        <v>3700</v>
      </c>
      <c r="DN96" s="440">
        <v>1</v>
      </c>
      <c r="DO96" s="440">
        <v>1</v>
      </c>
      <c r="DP96" s="440">
        <v>1</v>
      </c>
      <c r="DQ96" s="440">
        <v>1</v>
      </c>
      <c r="DR96" s="440">
        <v>0</v>
      </c>
      <c r="DS96" s="440">
        <v>0</v>
      </c>
      <c r="DT96" s="442">
        <f t="shared" si="45"/>
        <v>0</v>
      </c>
      <c r="DU96" s="440">
        <v>0</v>
      </c>
      <c r="DV96" s="442">
        <f t="shared" si="64"/>
        <v>0</v>
      </c>
      <c r="DW96" s="441">
        <v>0</v>
      </c>
      <c r="DX96" s="435">
        <v>3700</v>
      </c>
      <c r="DY96" s="440">
        <v>-24</v>
      </c>
      <c r="DZ96" s="440">
        <v>-20</v>
      </c>
      <c r="EA96" s="440">
        <v>-16</v>
      </c>
      <c r="EB96" s="440">
        <v>-12</v>
      </c>
      <c r="EC96" s="440">
        <v>-8</v>
      </c>
      <c r="ED96" s="440">
        <v>-4</v>
      </c>
      <c r="EE96" s="442">
        <f t="shared" si="46"/>
        <v>-2</v>
      </c>
      <c r="EF96" s="440">
        <v>0</v>
      </c>
      <c r="EG96" s="442">
        <f t="shared" si="65"/>
        <v>2</v>
      </c>
      <c r="EH96" s="440">
        <v>4</v>
      </c>
      <c r="EI96" s="435">
        <v>3700</v>
      </c>
      <c r="EJ96" s="440">
        <v>3</v>
      </c>
      <c r="EK96" s="440">
        <v>3</v>
      </c>
      <c r="EL96" s="440">
        <v>2</v>
      </c>
      <c r="EM96" s="440">
        <v>2</v>
      </c>
      <c r="EN96" s="440">
        <v>1</v>
      </c>
      <c r="EO96" s="440">
        <v>1</v>
      </c>
      <c r="EP96" s="442">
        <f t="shared" si="66"/>
        <v>0.5</v>
      </c>
      <c r="EQ96" s="440">
        <v>0</v>
      </c>
      <c r="ER96" s="442">
        <f t="shared" si="67"/>
        <v>0</v>
      </c>
      <c r="ES96" s="441">
        <v>0</v>
      </c>
      <c r="ET96" s="435">
        <v>3700</v>
      </c>
      <c r="EU96" s="440">
        <v>-22</v>
      </c>
      <c r="EV96" s="440">
        <v>-19</v>
      </c>
      <c r="EW96" s="440">
        <v>-15</v>
      </c>
      <c r="EX96" s="440">
        <v>-11</v>
      </c>
      <c r="EY96" s="440">
        <v>-7</v>
      </c>
      <c r="EZ96" s="440">
        <v>-4</v>
      </c>
      <c r="FA96" s="442">
        <f t="shared" si="68"/>
        <v>-2</v>
      </c>
      <c r="FB96" s="440">
        <v>0</v>
      </c>
      <c r="FC96" s="442">
        <f t="shared" si="69"/>
        <v>2</v>
      </c>
      <c r="FD96" s="440">
        <v>4</v>
      </c>
      <c r="FE96" s="435">
        <v>3700</v>
      </c>
      <c r="FF96" s="440">
        <v>1</v>
      </c>
      <c r="FG96" s="440">
        <v>1</v>
      </c>
      <c r="FH96" s="440">
        <v>1</v>
      </c>
      <c r="FI96" s="440">
        <v>1</v>
      </c>
      <c r="FJ96" s="440">
        <v>0</v>
      </c>
      <c r="FK96" s="440">
        <v>0</v>
      </c>
      <c r="FL96" s="442">
        <f t="shared" si="47"/>
        <v>0</v>
      </c>
      <c r="FM96" s="440">
        <v>0</v>
      </c>
      <c r="FN96" s="442">
        <f t="shared" si="70"/>
        <v>0</v>
      </c>
      <c r="FO96" s="441">
        <v>0</v>
      </c>
      <c r="FP96" s="435">
        <v>3700</v>
      </c>
      <c r="FQ96" s="440">
        <v>-23</v>
      </c>
      <c r="FR96" s="440">
        <v>-19</v>
      </c>
      <c r="FS96" s="440">
        <v>-15</v>
      </c>
      <c r="FT96" s="440">
        <v>-11</v>
      </c>
      <c r="FU96" s="440">
        <v>-8</v>
      </c>
      <c r="FV96" s="440">
        <v>-4</v>
      </c>
      <c r="FW96" s="442">
        <f t="shared" si="48"/>
        <v>-2</v>
      </c>
      <c r="FX96" s="440">
        <v>0</v>
      </c>
      <c r="FY96" s="442">
        <f t="shared" si="71"/>
        <v>2</v>
      </c>
      <c r="FZ96" s="440">
        <v>4</v>
      </c>
      <c r="GA96" s="435">
        <v>3700</v>
      </c>
      <c r="GB96" s="440">
        <v>-35</v>
      </c>
      <c r="GC96" s="440">
        <v>-30</v>
      </c>
      <c r="GD96" s="440">
        <v>-24</v>
      </c>
      <c r="GE96" s="440">
        <v>-18</v>
      </c>
      <c r="GF96" s="440">
        <v>-12</v>
      </c>
      <c r="GG96" s="440">
        <v>-6</v>
      </c>
      <c r="GH96" s="442">
        <f t="shared" si="49"/>
        <v>-3</v>
      </c>
      <c r="GI96" s="440">
        <v>0</v>
      </c>
      <c r="GJ96" s="442">
        <f t="shared" si="72"/>
        <v>3</v>
      </c>
      <c r="GK96" s="441">
        <v>6</v>
      </c>
      <c r="GL96" s="435">
        <v>3700</v>
      </c>
      <c r="GM96" s="440">
        <v>-35</v>
      </c>
      <c r="GN96" s="440">
        <v>-29</v>
      </c>
      <c r="GO96" s="440">
        <v>-23</v>
      </c>
      <c r="GP96" s="440">
        <v>-17</v>
      </c>
      <c r="GQ96" s="440">
        <v>-12</v>
      </c>
      <c r="GR96" s="440">
        <v>-6</v>
      </c>
      <c r="GS96" s="442">
        <f t="shared" si="50"/>
        <v>-3</v>
      </c>
      <c r="GT96" s="440">
        <v>0</v>
      </c>
      <c r="GU96" s="442">
        <f t="shared" si="73"/>
        <v>3</v>
      </c>
      <c r="GV96" s="441">
        <v>6</v>
      </c>
    </row>
    <row r="97" spans="7:204">
      <c r="G97" s="435">
        <v>3600</v>
      </c>
      <c r="H97" s="445">
        <v>36</v>
      </c>
      <c r="I97" s="249">
        <v>30</v>
      </c>
      <c r="J97" s="249">
        <v>24</v>
      </c>
      <c r="K97" s="248">
        <v>18</v>
      </c>
      <c r="L97" s="249">
        <v>12</v>
      </c>
      <c r="M97" s="249">
        <v>6</v>
      </c>
      <c r="N97" s="249">
        <f t="shared" si="51"/>
        <v>3</v>
      </c>
      <c r="O97" s="249">
        <v>0</v>
      </c>
      <c r="P97" s="249">
        <f t="shared" si="52"/>
        <v>-3</v>
      </c>
      <c r="Q97" s="446">
        <v>-6</v>
      </c>
      <c r="R97" s="435">
        <v>3600</v>
      </c>
      <c r="S97" s="248">
        <v>12</v>
      </c>
      <c r="T97" s="248">
        <v>10</v>
      </c>
      <c r="U97" s="248">
        <v>8</v>
      </c>
      <c r="V97" s="248">
        <v>6</v>
      </c>
      <c r="W97" s="248">
        <v>4</v>
      </c>
      <c r="X97" s="248">
        <v>2</v>
      </c>
      <c r="Y97" s="249">
        <f t="shared" si="53"/>
        <v>1</v>
      </c>
      <c r="Z97" s="248">
        <v>0</v>
      </c>
      <c r="AA97" s="439">
        <f t="shared" si="54"/>
        <v>-1</v>
      </c>
      <c r="AB97" s="248">
        <v>-2</v>
      </c>
      <c r="AC97" s="435">
        <v>3600</v>
      </c>
      <c r="AD97" s="440">
        <v>-30</v>
      </c>
      <c r="AE97" s="440">
        <v>-25</v>
      </c>
      <c r="AF97" s="440">
        <v>-20</v>
      </c>
      <c r="AG97" s="440">
        <v>-15</v>
      </c>
      <c r="AH97" s="440">
        <v>-10</v>
      </c>
      <c r="AI97" s="440">
        <v>-5</v>
      </c>
      <c r="AJ97" s="249">
        <f t="shared" si="55"/>
        <v>-2.5</v>
      </c>
      <c r="AK97" s="248">
        <v>0</v>
      </c>
      <c r="AL97" s="439">
        <f t="shared" si="56"/>
        <v>2.5</v>
      </c>
      <c r="AM97" s="441">
        <v>5</v>
      </c>
      <c r="AN97" s="435">
        <v>3600</v>
      </c>
      <c r="AO97" s="440">
        <v>-54</v>
      </c>
      <c r="AP97" s="440">
        <v>-45</v>
      </c>
      <c r="AQ97" s="440">
        <v>-36</v>
      </c>
      <c r="AR97" s="440">
        <v>-27</v>
      </c>
      <c r="AS97" s="440">
        <v>-18</v>
      </c>
      <c r="AT97" s="440">
        <v>-9</v>
      </c>
      <c r="AU97" s="442">
        <f t="shared" si="38"/>
        <v>-4.5</v>
      </c>
      <c r="AV97" s="440">
        <v>0</v>
      </c>
      <c r="AW97" s="442">
        <f t="shared" si="57"/>
        <v>4.5</v>
      </c>
      <c r="AX97" s="441">
        <v>9</v>
      </c>
      <c r="AY97" s="435">
        <v>3600</v>
      </c>
      <c r="AZ97" s="440">
        <v>4</v>
      </c>
      <c r="BA97" s="440">
        <v>3</v>
      </c>
      <c r="BB97" s="440">
        <v>2</v>
      </c>
      <c r="BC97" s="440">
        <v>2</v>
      </c>
      <c r="BD97" s="440">
        <v>1</v>
      </c>
      <c r="BE97" s="440">
        <v>1</v>
      </c>
      <c r="BF97" s="442">
        <f t="shared" si="39"/>
        <v>0.5</v>
      </c>
      <c r="BG97" s="440">
        <v>0</v>
      </c>
      <c r="BH97" s="442">
        <f t="shared" si="58"/>
        <v>-0.5</v>
      </c>
      <c r="BI97" s="441">
        <v>-1</v>
      </c>
      <c r="BJ97" s="447">
        <v>3600</v>
      </c>
      <c r="BK97" s="440">
        <v>-31</v>
      </c>
      <c r="BL97" s="440">
        <v>-26</v>
      </c>
      <c r="BM97" s="440">
        <v>-21</v>
      </c>
      <c r="BN97" s="440">
        <v>-16</v>
      </c>
      <c r="BO97" s="440">
        <v>-10</v>
      </c>
      <c r="BP97" s="440">
        <v>-5</v>
      </c>
      <c r="BQ97" s="442">
        <f t="shared" si="40"/>
        <v>-2.5</v>
      </c>
      <c r="BR97" s="440">
        <v>0</v>
      </c>
      <c r="BS97" s="442">
        <f t="shared" si="59"/>
        <v>2.5</v>
      </c>
      <c r="BT97" s="440">
        <v>5</v>
      </c>
      <c r="BU97" s="435">
        <v>3600</v>
      </c>
      <c r="BV97" s="440">
        <v>1</v>
      </c>
      <c r="BW97" s="440">
        <v>1</v>
      </c>
      <c r="BX97" s="440">
        <v>1</v>
      </c>
      <c r="BY97" s="440">
        <v>1</v>
      </c>
      <c r="BZ97" s="440">
        <v>0</v>
      </c>
      <c r="CA97" s="440">
        <v>0</v>
      </c>
      <c r="CB97" s="442">
        <f t="shared" si="41"/>
        <v>0</v>
      </c>
      <c r="CC97" s="440">
        <v>0</v>
      </c>
      <c r="CD97" s="442">
        <f t="shared" si="60"/>
        <v>0</v>
      </c>
      <c r="CE97" s="441">
        <v>0</v>
      </c>
      <c r="CF97" s="435">
        <v>3600</v>
      </c>
      <c r="CG97" s="440">
        <v>-23</v>
      </c>
      <c r="CH97" s="440">
        <v>-19</v>
      </c>
      <c r="CI97" s="440">
        <v>-15</v>
      </c>
      <c r="CJ97" s="440">
        <v>-11</v>
      </c>
      <c r="CK97" s="440">
        <v>-8</v>
      </c>
      <c r="CL97" s="440">
        <v>-4</v>
      </c>
      <c r="CM97" s="442">
        <f t="shared" si="42"/>
        <v>-2</v>
      </c>
      <c r="CN97" s="440">
        <v>0</v>
      </c>
      <c r="CO97" s="442">
        <f t="shared" si="61"/>
        <v>2</v>
      </c>
      <c r="CP97" s="441">
        <v>4</v>
      </c>
      <c r="CQ97" s="435">
        <v>3600</v>
      </c>
      <c r="CR97" s="440">
        <v>1</v>
      </c>
      <c r="CS97" s="440">
        <v>1</v>
      </c>
      <c r="CT97" s="440">
        <v>1</v>
      </c>
      <c r="CU97" s="440">
        <v>1</v>
      </c>
      <c r="CV97" s="440">
        <v>0</v>
      </c>
      <c r="CW97" s="440">
        <v>0</v>
      </c>
      <c r="CX97" s="442">
        <f t="shared" si="43"/>
        <v>0</v>
      </c>
      <c r="CY97" s="440">
        <v>0</v>
      </c>
      <c r="CZ97" s="442">
        <f t="shared" si="62"/>
        <v>0</v>
      </c>
      <c r="DA97" s="441">
        <v>0</v>
      </c>
      <c r="DB97" s="435">
        <v>3600</v>
      </c>
      <c r="DC97" s="440">
        <v>-21</v>
      </c>
      <c r="DD97" s="440">
        <v>-17</v>
      </c>
      <c r="DE97" s="440">
        <v>-14</v>
      </c>
      <c r="DF97" s="440">
        <v>-10</v>
      </c>
      <c r="DG97" s="440">
        <v>-7</v>
      </c>
      <c r="DH97" s="440">
        <v>-3</v>
      </c>
      <c r="DI97" s="442">
        <f t="shared" si="44"/>
        <v>-1.5</v>
      </c>
      <c r="DJ97" s="440">
        <v>0</v>
      </c>
      <c r="DK97" s="442">
        <f t="shared" si="63"/>
        <v>1.5</v>
      </c>
      <c r="DL97" s="441">
        <v>3</v>
      </c>
      <c r="DM97" s="435">
        <v>3600</v>
      </c>
      <c r="DN97" s="440">
        <v>1</v>
      </c>
      <c r="DO97" s="440">
        <v>1</v>
      </c>
      <c r="DP97" s="440">
        <v>1</v>
      </c>
      <c r="DQ97" s="440">
        <v>1</v>
      </c>
      <c r="DR97" s="440">
        <v>0</v>
      </c>
      <c r="DS97" s="440">
        <v>0</v>
      </c>
      <c r="DT97" s="442">
        <f t="shared" si="45"/>
        <v>0</v>
      </c>
      <c r="DU97" s="440">
        <v>0</v>
      </c>
      <c r="DV97" s="442">
        <f t="shared" si="64"/>
        <v>0</v>
      </c>
      <c r="DW97" s="441">
        <v>0</v>
      </c>
      <c r="DX97" s="435">
        <v>3600</v>
      </c>
      <c r="DY97" s="440">
        <v>-24</v>
      </c>
      <c r="DZ97" s="440">
        <v>-20</v>
      </c>
      <c r="EA97" s="440">
        <v>-16</v>
      </c>
      <c r="EB97" s="440">
        <v>-12</v>
      </c>
      <c r="EC97" s="440">
        <v>-8</v>
      </c>
      <c r="ED97" s="440">
        <v>-4</v>
      </c>
      <c r="EE97" s="442">
        <f t="shared" si="46"/>
        <v>-2</v>
      </c>
      <c r="EF97" s="440">
        <v>0</v>
      </c>
      <c r="EG97" s="442">
        <f t="shared" si="65"/>
        <v>2</v>
      </c>
      <c r="EH97" s="440">
        <v>4</v>
      </c>
      <c r="EI97" s="435">
        <v>3600</v>
      </c>
      <c r="EJ97" s="440">
        <v>3</v>
      </c>
      <c r="EK97" s="440">
        <v>3</v>
      </c>
      <c r="EL97" s="440">
        <v>2</v>
      </c>
      <c r="EM97" s="440">
        <v>2</v>
      </c>
      <c r="EN97" s="440">
        <v>1</v>
      </c>
      <c r="EO97" s="440">
        <v>1</v>
      </c>
      <c r="EP97" s="442">
        <f t="shared" si="66"/>
        <v>0.5</v>
      </c>
      <c r="EQ97" s="440">
        <v>0</v>
      </c>
      <c r="ER97" s="442">
        <f t="shared" si="67"/>
        <v>0</v>
      </c>
      <c r="ES97" s="441">
        <v>0</v>
      </c>
      <c r="ET97" s="435">
        <v>3600</v>
      </c>
      <c r="EU97" s="440">
        <v>-22</v>
      </c>
      <c r="EV97" s="440">
        <v>-19</v>
      </c>
      <c r="EW97" s="440">
        <v>-15</v>
      </c>
      <c r="EX97" s="440">
        <v>-11</v>
      </c>
      <c r="EY97" s="440">
        <v>-7</v>
      </c>
      <c r="EZ97" s="440">
        <v>-4</v>
      </c>
      <c r="FA97" s="442">
        <f t="shared" si="68"/>
        <v>-2</v>
      </c>
      <c r="FB97" s="440">
        <v>0</v>
      </c>
      <c r="FC97" s="442">
        <f t="shared" si="69"/>
        <v>2</v>
      </c>
      <c r="FD97" s="440">
        <v>4</v>
      </c>
      <c r="FE97" s="435">
        <v>3600</v>
      </c>
      <c r="FF97" s="440">
        <v>1</v>
      </c>
      <c r="FG97" s="440">
        <v>1</v>
      </c>
      <c r="FH97" s="440">
        <v>1</v>
      </c>
      <c r="FI97" s="440">
        <v>1</v>
      </c>
      <c r="FJ97" s="440">
        <v>0</v>
      </c>
      <c r="FK97" s="440">
        <v>0</v>
      </c>
      <c r="FL97" s="442">
        <f t="shared" si="47"/>
        <v>0</v>
      </c>
      <c r="FM97" s="440">
        <v>0</v>
      </c>
      <c r="FN97" s="442">
        <f t="shared" si="70"/>
        <v>0</v>
      </c>
      <c r="FO97" s="441">
        <v>0</v>
      </c>
      <c r="FP97" s="435">
        <v>3600</v>
      </c>
      <c r="FQ97" s="440">
        <v>-23</v>
      </c>
      <c r="FR97" s="440">
        <v>-19</v>
      </c>
      <c r="FS97" s="440">
        <v>-15</v>
      </c>
      <c r="FT97" s="440">
        <v>-11</v>
      </c>
      <c r="FU97" s="440">
        <v>-8</v>
      </c>
      <c r="FV97" s="440">
        <v>-4</v>
      </c>
      <c r="FW97" s="442">
        <f t="shared" si="48"/>
        <v>-2</v>
      </c>
      <c r="FX97" s="440">
        <v>0</v>
      </c>
      <c r="FY97" s="442">
        <f t="shared" si="71"/>
        <v>2</v>
      </c>
      <c r="FZ97" s="440">
        <v>4</v>
      </c>
      <c r="GA97" s="435">
        <v>3600</v>
      </c>
      <c r="GB97" s="440">
        <v>-35</v>
      </c>
      <c r="GC97" s="440">
        <v>-30</v>
      </c>
      <c r="GD97" s="440">
        <v>-24</v>
      </c>
      <c r="GE97" s="440">
        <v>-18</v>
      </c>
      <c r="GF97" s="440">
        <v>-12</v>
      </c>
      <c r="GG97" s="440">
        <v>-6</v>
      </c>
      <c r="GH97" s="442">
        <f t="shared" si="49"/>
        <v>-3</v>
      </c>
      <c r="GI97" s="440">
        <v>0</v>
      </c>
      <c r="GJ97" s="442">
        <f t="shared" si="72"/>
        <v>3</v>
      </c>
      <c r="GK97" s="441">
        <v>6</v>
      </c>
      <c r="GL97" s="435">
        <v>3600</v>
      </c>
      <c r="GM97" s="440">
        <v>-35</v>
      </c>
      <c r="GN97" s="440">
        <v>-29</v>
      </c>
      <c r="GO97" s="440">
        <v>-23</v>
      </c>
      <c r="GP97" s="440">
        <v>-17</v>
      </c>
      <c r="GQ97" s="440">
        <v>-12</v>
      </c>
      <c r="GR97" s="440">
        <v>-6</v>
      </c>
      <c r="GS97" s="442">
        <f t="shared" si="50"/>
        <v>-3</v>
      </c>
      <c r="GT97" s="440">
        <v>0</v>
      </c>
      <c r="GU97" s="442">
        <f t="shared" si="73"/>
        <v>3</v>
      </c>
      <c r="GV97" s="441">
        <v>6</v>
      </c>
    </row>
    <row r="98" spans="7:204">
      <c r="G98" s="435">
        <v>3500</v>
      </c>
      <c r="H98" s="445">
        <v>35</v>
      </c>
      <c r="I98" s="249">
        <v>29</v>
      </c>
      <c r="J98" s="249">
        <v>24</v>
      </c>
      <c r="K98" s="248">
        <v>18</v>
      </c>
      <c r="L98" s="249">
        <v>12</v>
      </c>
      <c r="M98" s="249">
        <v>6</v>
      </c>
      <c r="N98" s="249">
        <f t="shared" si="51"/>
        <v>3</v>
      </c>
      <c r="O98" s="249">
        <v>0</v>
      </c>
      <c r="P98" s="249">
        <f t="shared" si="52"/>
        <v>-3</v>
      </c>
      <c r="Q98" s="446">
        <v>-6</v>
      </c>
      <c r="R98" s="435">
        <v>3500</v>
      </c>
      <c r="S98" s="248">
        <v>12</v>
      </c>
      <c r="T98" s="248">
        <v>10</v>
      </c>
      <c r="U98" s="248">
        <v>8</v>
      </c>
      <c r="V98" s="248">
        <v>6</v>
      </c>
      <c r="W98" s="248">
        <v>4</v>
      </c>
      <c r="X98" s="248">
        <v>2</v>
      </c>
      <c r="Y98" s="249">
        <f t="shared" si="53"/>
        <v>1</v>
      </c>
      <c r="Z98" s="248">
        <v>0</v>
      </c>
      <c r="AA98" s="439">
        <f t="shared" si="54"/>
        <v>-1</v>
      </c>
      <c r="AB98" s="248">
        <v>-2</v>
      </c>
      <c r="AC98" s="435">
        <v>3500</v>
      </c>
      <c r="AD98" s="440">
        <v>-30</v>
      </c>
      <c r="AE98" s="440">
        <v>-25</v>
      </c>
      <c r="AF98" s="440">
        <v>-20</v>
      </c>
      <c r="AG98" s="440">
        <v>-15</v>
      </c>
      <c r="AH98" s="440">
        <v>-10</v>
      </c>
      <c r="AI98" s="440">
        <v>-5</v>
      </c>
      <c r="AJ98" s="249">
        <f t="shared" si="55"/>
        <v>-2.5</v>
      </c>
      <c r="AK98" s="248">
        <v>0</v>
      </c>
      <c r="AL98" s="439">
        <f t="shared" si="56"/>
        <v>2.5</v>
      </c>
      <c r="AM98" s="441">
        <v>5</v>
      </c>
      <c r="AN98" s="435">
        <v>3500</v>
      </c>
      <c r="AO98" s="440">
        <v>-54</v>
      </c>
      <c r="AP98" s="440">
        <v>-45</v>
      </c>
      <c r="AQ98" s="440">
        <v>-36</v>
      </c>
      <c r="AR98" s="440">
        <v>-27</v>
      </c>
      <c r="AS98" s="440">
        <v>-18</v>
      </c>
      <c r="AT98" s="440">
        <v>-9</v>
      </c>
      <c r="AU98" s="442">
        <f t="shared" si="38"/>
        <v>-4.5</v>
      </c>
      <c r="AV98" s="440">
        <v>0</v>
      </c>
      <c r="AW98" s="442">
        <f t="shared" si="57"/>
        <v>4.5</v>
      </c>
      <c r="AX98" s="441">
        <v>9</v>
      </c>
      <c r="AY98" s="435">
        <v>3500</v>
      </c>
      <c r="AZ98" s="440">
        <v>4</v>
      </c>
      <c r="BA98" s="440">
        <v>3</v>
      </c>
      <c r="BB98" s="440">
        <v>2</v>
      </c>
      <c r="BC98" s="440">
        <v>2</v>
      </c>
      <c r="BD98" s="440">
        <v>1</v>
      </c>
      <c r="BE98" s="440">
        <v>1</v>
      </c>
      <c r="BF98" s="442">
        <f t="shared" si="39"/>
        <v>0.5</v>
      </c>
      <c r="BG98" s="440">
        <v>0</v>
      </c>
      <c r="BH98" s="442">
        <f t="shared" si="58"/>
        <v>-0.5</v>
      </c>
      <c r="BI98" s="441">
        <v>-1</v>
      </c>
      <c r="BJ98" s="447">
        <v>3500</v>
      </c>
      <c r="BK98" s="440">
        <v>-31</v>
      </c>
      <c r="BL98" s="440">
        <v>-26</v>
      </c>
      <c r="BM98" s="440">
        <v>-21</v>
      </c>
      <c r="BN98" s="440">
        <v>-16</v>
      </c>
      <c r="BO98" s="440">
        <v>-10</v>
      </c>
      <c r="BP98" s="440">
        <v>-5</v>
      </c>
      <c r="BQ98" s="442">
        <f t="shared" si="40"/>
        <v>-2.5</v>
      </c>
      <c r="BR98" s="440">
        <v>0</v>
      </c>
      <c r="BS98" s="442">
        <f t="shared" si="59"/>
        <v>2.5</v>
      </c>
      <c r="BT98" s="440">
        <v>5</v>
      </c>
      <c r="BU98" s="435">
        <v>3500</v>
      </c>
      <c r="BV98" s="440">
        <v>1</v>
      </c>
      <c r="BW98" s="440">
        <v>1</v>
      </c>
      <c r="BX98" s="440">
        <v>1</v>
      </c>
      <c r="BY98" s="440">
        <v>1</v>
      </c>
      <c r="BZ98" s="440">
        <v>0</v>
      </c>
      <c r="CA98" s="440">
        <v>0</v>
      </c>
      <c r="CB98" s="442">
        <f t="shared" si="41"/>
        <v>0</v>
      </c>
      <c r="CC98" s="440">
        <v>0</v>
      </c>
      <c r="CD98" s="442">
        <f t="shared" si="60"/>
        <v>0</v>
      </c>
      <c r="CE98" s="441">
        <v>0</v>
      </c>
      <c r="CF98" s="435">
        <v>3500</v>
      </c>
      <c r="CG98" s="440">
        <v>-23</v>
      </c>
      <c r="CH98" s="440">
        <v>-19</v>
      </c>
      <c r="CI98" s="440">
        <v>-15</v>
      </c>
      <c r="CJ98" s="440">
        <v>-11</v>
      </c>
      <c r="CK98" s="440">
        <v>-8</v>
      </c>
      <c r="CL98" s="440">
        <v>-4</v>
      </c>
      <c r="CM98" s="442">
        <f t="shared" si="42"/>
        <v>-2</v>
      </c>
      <c r="CN98" s="440">
        <v>0</v>
      </c>
      <c r="CO98" s="442">
        <f t="shared" si="61"/>
        <v>2</v>
      </c>
      <c r="CP98" s="441">
        <v>4</v>
      </c>
      <c r="CQ98" s="435">
        <v>3500</v>
      </c>
      <c r="CR98" s="440">
        <v>1</v>
      </c>
      <c r="CS98" s="440">
        <v>1</v>
      </c>
      <c r="CT98" s="440">
        <v>1</v>
      </c>
      <c r="CU98" s="440">
        <v>0</v>
      </c>
      <c r="CV98" s="440">
        <v>0</v>
      </c>
      <c r="CW98" s="440">
        <v>0</v>
      </c>
      <c r="CX98" s="442">
        <f t="shared" si="43"/>
        <v>0</v>
      </c>
      <c r="CY98" s="440">
        <v>0</v>
      </c>
      <c r="CZ98" s="442">
        <f t="shared" si="62"/>
        <v>0</v>
      </c>
      <c r="DA98" s="441">
        <v>0</v>
      </c>
      <c r="DB98" s="435">
        <v>3500</v>
      </c>
      <c r="DC98" s="440">
        <v>-21</v>
      </c>
      <c r="DD98" s="440">
        <v>-17</v>
      </c>
      <c r="DE98" s="440">
        <v>-14</v>
      </c>
      <c r="DF98" s="440">
        <v>-10</v>
      </c>
      <c r="DG98" s="440">
        <v>-7</v>
      </c>
      <c r="DH98" s="440">
        <v>-3</v>
      </c>
      <c r="DI98" s="442">
        <f t="shared" si="44"/>
        <v>-1.5</v>
      </c>
      <c r="DJ98" s="440">
        <v>0</v>
      </c>
      <c r="DK98" s="442">
        <f t="shared" si="63"/>
        <v>2</v>
      </c>
      <c r="DL98" s="441">
        <v>4</v>
      </c>
      <c r="DM98" s="435">
        <v>3500</v>
      </c>
      <c r="DN98" s="440">
        <v>1</v>
      </c>
      <c r="DO98" s="440">
        <v>1</v>
      </c>
      <c r="DP98" s="440">
        <v>1</v>
      </c>
      <c r="DQ98" s="440">
        <v>1</v>
      </c>
      <c r="DR98" s="440">
        <v>0</v>
      </c>
      <c r="DS98" s="440">
        <v>0</v>
      </c>
      <c r="DT98" s="442">
        <f t="shared" si="45"/>
        <v>0</v>
      </c>
      <c r="DU98" s="440">
        <v>0</v>
      </c>
      <c r="DV98" s="442">
        <f t="shared" si="64"/>
        <v>0</v>
      </c>
      <c r="DW98" s="441">
        <v>0</v>
      </c>
      <c r="DX98" s="435">
        <v>3500</v>
      </c>
      <c r="DY98" s="440">
        <v>-24</v>
      </c>
      <c r="DZ98" s="440">
        <v>-20</v>
      </c>
      <c r="EA98" s="440">
        <v>-16</v>
      </c>
      <c r="EB98" s="440">
        <v>-12</v>
      </c>
      <c r="EC98" s="440">
        <v>-8</v>
      </c>
      <c r="ED98" s="440">
        <v>-4</v>
      </c>
      <c r="EE98" s="442">
        <f t="shared" si="46"/>
        <v>-2</v>
      </c>
      <c r="EF98" s="440">
        <v>0</v>
      </c>
      <c r="EG98" s="442">
        <f t="shared" si="65"/>
        <v>2</v>
      </c>
      <c r="EH98" s="440">
        <v>4</v>
      </c>
      <c r="EI98" s="435">
        <v>3500</v>
      </c>
      <c r="EJ98" s="440">
        <v>3</v>
      </c>
      <c r="EK98" s="440">
        <v>2</v>
      </c>
      <c r="EL98" s="440">
        <v>2</v>
      </c>
      <c r="EM98" s="440">
        <v>1</v>
      </c>
      <c r="EN98" s="440">
        <v>1</v>
      </c>
      <c r="EO98" s="440">
        <v>0</v>
      </c>
      <c r="EP98" s="442">
        <f t="shared" si="66"/>
        <v>0</v>
      </c>
      <c r="EQ98" s="440">
        <v>0</v>
      </c>
      <c r="ER98" s="442">
        <f t="shared" si="67"/>
        <v>0</v>
      </c>
      <c r="ES98" s="441">
        <v>0</v>
      </c>
      <c r="ET98" s="435">
        <v>3500</v>
      </c>
      <c r="EU98" s="440">
        <v>-23</v>
      </c>
      <c r="EV98" s="440">
        <v>-19</v>
      </c>
      <c r="EW98" s="440">
        <v>-15</v>
      </c>
      <c r="EX98" s="440">
        <v>-11</v>
      </c>
      <c r="EY98" s="440">
        <v>-8</v>
      </c>
      <c r="EZ98" s="440">
        <v>-4</v>
      </c>
      <c r="FA98" s="442">
        <f t="shared" si="68"/>
        <v>-2</v>
      </c>
      <c r="FB98" s="440">
        <v>0</v>
      </c>
      <c r="FC98" s="442">
        <f t="shared" si="69"/>
        <v>2</v>
      </c>
      <c r="FD98" s="440">
        <v>4</v>
      </c>
      <c r="FE98" s="435">
        <v>3500</v>
      </c>
      <c r="FF98" s="440">
        <v>1</v>
      </c>
      <c r="FG98" s="440">
        <v>1</v>
      </c>
      <c r="FH98" s="440">
        <v>1</v>
      </c>
      <c r="FI98" s="440">
        <v>1</v>
      </c>
      <c r="FJ98" s="440">
        <v>0</v>
      </c>
      <c r="FK98" s="440">
        <v>0</v>
      </c>
      <c r="FL98" s="442">
        <f t="shared" si="47"/>
        <v>0</v>
      </c>
      <c r="FM98" s="440">
        <v>0</v>
      </c>
      <c r="FN98" s="442">
        <f t="shared" si="70"/>
        <v>0</v>
      </c>
      <c r="FO98" s="441">
        <v>0</v>
      </c>
      <c r="FP98" s="435">
        <v>3500</v>
      </c>
      <c r="FQ98" s="440">
        <v>-23</v>
      </c>
      <c r="FR98" s="440">
        <v>-19</v>
      </c>
      <c r="FS98" s="440">
        <v>-15</v>
      </c>
      <c r="FT98" s="440">
        <v>-11</v>
      </c>
      <c r="FU98" s="440">
        <v>-8</v>
      </c>
      <c r="FV98" s="440">
        <v>-4</v>
      </c>
      <c r="FW98" s="442">
        <f t="shared" si="48"/>
        <v>-2</v>
      </c>
      <c r="FX98" s="440">
        <v>0</v>
      </c>
      <c r="FY98" s="442">
        <f t="shared" si="71"/>
        <v>2</v>
      </c>
      <c r="FZ98" s="440">
        <v>4</v>
      </c>
      <c r="GA98" s="435">
        <v>3500</v>
      </c>
      <c r="GB98" s="440">
        <v>-36</v>
      </c>
      <c r="GC98" s="440">
        <v>-30</v>
      </c>
      <c r="GD98" s="440">
        <v>-24</v>
      </c>
      <c r="GE98" s="440">
        <v>-18</v>
      </c>
      <c r="GF98" s="440">
        <v>-12</v>
      </c>
      <c r="GG98" s="440">
        <v>-6</v>
      </c>
      <c r="GH98" s="442">
        <f t="shared" si="49"/>
        <v>-3</v>
      </c>
      <c r="GI98" s="440">
        <v>0</v>
      </c>
      <c r="GJ98" s="442">
        <f t="shared" si="72"/>
        <v>3</v>
      </c>
      <c r="GK98" s="441">
        <v>6</v>
      </c>
      <c r="GL98" s="435">
        <v>3500</v>
      </c>
      <c r="GM98" s="440">
        <v>-35</v>
      </c>
      <c r="GN98" s="440">
        <v>-29</v>
      </c>
      <c r="GO98" s="440">
        <v>-23</v>
      </c>
      <c r="GP98" s="440">
        <v>-17</v>
      </c>
      <c r="GQ98" s="440">
        <v>-12</v>
      </c>
      <c r="GR98" s="440">
        <v>-6</v>
      </c>
      <c r="GS98" s="442">
        <f t="shared" si="50"/>
        <v>-3</v>
      </c>
      <c r="GT98" s="440">
        <v>0</v>
      </c>
      <c r="GU98" s="442">
        <f t="shared" si="73"/>
        <v>3</v>
      </c>
      <c r="GV98" s="441">
        <v>6</v>
      </c>
    </row>
    <row r="99" spans="7:204">
      <c r="G99" s="435">
        <v>3400</v>
      </c>
      <c r="H99" s="445">
        <v>35</v>
      </c>
      <c r="I99" s="249">
        <v>29</v>
      </c>
      <c r="J99" s="249">
        <v>24</v>
      </c>
      <c r="K99" s="248">
        <v>18</v>
      </c>
      <c r="L99" s="249">
        <v>12</v>
      </c>
      <c r="M99" s="249">
        <v>6</v>
      </c>
      <c r="N99" s="249">
        <f t="shared" si="51"/>
        <v>3</v>
      </c>
      <c r="O99" s="249">
        <v>0</v>
      </c>
      <c r="P99" s="249">
        <f t="shared" si="52"/>
        <v>-3</v>
      </c>
      <c r="Q99" s="446">
        <v>-6</v>
      </c>
      <c r="R99" s="435">
        <v>3400</v>
      </c>
      <c r="S99" s="248">
        <v>12</v>
      </c>
      <c r="T99" s="248">
        <v>10</v>
      </c>
      <c r="U99" s="248">
        <v>8</v>
      </c>
      <c r="V99" s="248">
        <v>6</v>
      </c>
      <c r="W99" s="248">
        <v>4</v>
      </c>
      <c r="X99" s="248">
        <v>2</v>
      </c>
      <c r="Y99" s="249">
        <f t="shared" si="53"/>
        <v>1</v>
      </c>
      <c r="Z99" s="248">
        <v>0</v>
      </c>
      <c r="AA99" s="439">
        <f t="shared" si="54"/>
        <v>-1</v>
      </c>
      <c r="AB99" s="248">
        <v>-2</v>
      </c>
      <c r="AC99" s="435">
        <v>3400</v>
      </c>
      <c r="AD99" s="440">
        <v>-30</v>
      </c>
      <c r="AE99" s="440">
        <v>-25</v>
      </c>
      <c r="AF99" s="440">
        <v>-20</v>
      </c>
      <c r="AG99" s="440">
        <v>-15</v>
      </c>
      <c r="AH99" s="440">
        <v>-10</v>
      </c>
      <c r="AI99" s="440">
        <v>-5</v>
      </c>
      <c r="AJ99" s="249">
        <f t="shared" si="55"/>
        <v>-2.5</v>
      </c>
      <c r="AK99" s="248">
        <v>0</v>
      </c>
      <c r="AL99" s="439">
        <f t="shared" si="56"/>
        <v>2.5</v>
      </c>
      <c r="AM99" s="441">
        <v>5</v>
      </c>
      <c r="AN99" s="435">
        <v>3400</v>
      </c>
      <c r="AO99" s="440">
        <v>-54</v>
      </c>
      <c r="AP99" s="440">
        <v>-45</v>
      </c>
      <c r="AQ99" s="440">
        <v>-36</v>
      </c>
      <c r="AR99" s="440">
        <v>-27</v>
      </c>
      <c r="AS99" s="440">
        <v>-18</v>
      </c>
      <c r="AT99" s="440">
        <v>-9</v>
      </c>
      <c r="AU99" s="442">
        <f t="shared" si="38"/>
        <v>-4.5</v>
      </c>
      <c r="AV99" s="440">
        <v>0</v>
      </c>
      <c r="AW99" s="442">
        <f t="shared" si="57"/>
        <v>4.5</v>
      </c>
      <c r="AX99" s="441">
        <v>9</v>
      </c>
      <c r="AY99" s="435">
        <v>3400</v>
      </c>
      <c r="AZ99" s="440">
        <v>4</v>
      </c>
      <c r="BA99" s="440">
        <v>3</v>
      </c>
      <c r="BB99" s="440">
        <v>2</v>
      </c>
      <c r="BC99" s="440">
        <v>2</v>
      </c>
      <c r="BD99" s="440">
        <v>1</v>
      </c>
      <c r="BE99" s="440">
        <v>1</v>
      </c>
      <c r="BF99" s="442">
        <f t="shared" si="39"/>
        <v>0.5</v>
      </c>
      <c r="BG99" s="440">
        <v>0</v>
      </c>
      <c r="BH99" s="442">
        <f t="shared" si="58"/>
        <v>-0.5</v>
      </c>
      <c r="BI99" s="441">
        <v>-1</v>
      </c>
      <c r="BJ99" s="447">
        <v>3400</v>
      </c>
      <c r="BK99" s="440">
        <v>-31</v>
      </c>
      <c r="BL99" s="440">
        <v>-26</v>
      </c>
      <c r="BM99" s="440">
        <v>-21</v>
      </c>
      <c r="BN99" s="440">
        <v>-16</v>
      </c>
      <c r="BO99" s="440">
        <v>-10</v>
      </c>
      <c r="BP99" s="440">
        <v>-5</v>
      </c>
      <c r="BQ99" s="442">
        <f t="shared" si="40"/>
        <v>-2.5</v>
      </c>
      <c r="BR99" s="440">
        <v>0</v>
      </c>
      <c r="BS99" s="442">
        <f t="shared" si="59"/>
        <v>2.5</v>
      </c>
      <c r="BT99" s="440">
        <v>5</v>
      </c>
      <c r="BU99" s="435">
        <v>3400</v>
      </c>
      <c r="BV99" s="440">
        <v>1</v>
      </c>
      <c r="BW99" s="440">
        <v>1</v>
      </c>
      <c r="BX99" s="440">
        <v>1</v>
      </c>
      <c r="BY99" s="440">
        <v>1</v>
      </c>
      <c r="BZ99" s="440">
        <v>0</v>
      </c>
      <c r="CA99" s="440">
        <v>0</v>
      </c>
      <c r="CB99" s="442">
        <f t="shared" si="41"/>
        <v>0</v>
      </c>
      <c r="CC99" s="440">
        <v>0</v>
      </c>
      <c r="CD99" s="442">
        <f t="shared" si="60"/>
        <v>0</v>
      </c>
      <c r="CE99" s="441">
        <v>0</v>
      </c>
      <c r="CF99" s="435">
        <v>3400</v>
      </c>
      <c r="CG99" s="440">
        <v>-23</v>
      </c>
      <c r="CH99" s="440">
        <v>-19</v>
      </c>
      <c r="CI99" s="440">
        <v>-15</v>
      </c>
      <c r="CJ99" s="440">
        <v>-11</v>
      </c>
      <c r="CK99" s="440">
        <v>-8</v>
      </c>
      <c r="CL99" s="440">
        <v>-4</v>
      </c>
      <c r="CM99" s="442">
        <f t="shared" si="42"/>
        <v>-2</v>
      </c>
      <c r="CN99" s="440">
        <v>0</v>
      </c>
      <c r="CO99" s="442">
        <f t="shared" si="61"/>
        <v>2</v>
      </c>
      <c r="CP99" s="441">
        <v>4</v>
      </c>
      <c r="CQ99" s="435">
        <v>3400</v>
      </c>
      <c r="CR99" s="440">
        <v>1</v>
      </c>
      <c r="CS99" s="440">
        <v>1</v>
      </c>
      <c r="CT99" s="440">
        <v>1</v>
      </c>
      <c r="CU99" s="440">
        <v>0</v>
      </c>
      <c r="CV99" s="440">
        <v>0</v>
      </c>
      <c r="CW99" s="440">
        <v>0</v>
      </c>
      <c r="CX99" s="442">
        <f t="shared" si="43"/>
        <v>0</v>
      </c>
      <c r="CY99" s="440">
        <v>0</v>
      </c>
      <c r="CZ99" s="442">
        <f t="shared" si="62"/>
        <v>0</v>
      </c>
      <c r="DA99" s="441">
        <v>0</v>
      </c>
      <c r="DB99" s="435">
        <v>3400</v>
      </c>
      <c r="DC99" s="440">
        <v>-21</v>
      </c>
      <c r="DD99" s="440">
        <v>-17</v>
      </c>
      <c r="DE99" s="440">
        <v>-14</v>
      </c>
      <c r="DF99" s="440">
        <v>-10</v>
      </c>
      <c r="DG99" s="440">
        <v>-7</v>
      </c>
      <c r="DH99" s="440">
        <v>-3</v>
      </c>
      <c r="DI99" s="442">
        <f t="shared" si="44"/>
        <v>-1.5</v>
      </c>
      <c r="DJ99" s="440">
        <v>0</v>
      </c>
      <c r="DK99" s="442">
        <f t="shared" si="63"/>
        <v>2</v>
      </c>
      <c r="DL99" s="441">
        <v>4</v>
      </c>
      <c r="DM99" s="435">
        <v>3400</v>
      </c>
      <c r="DN99" s="440">
        <v>1</v>
      </c>
      <c r="DO99" s="440">
        <v>1</v>
      </c>
      <c r="DP99" s="440">
        <v>1</v>
      </c>
      <c r="DQ99" s="440">
        <v>1</v>
      </c>
      <c r="DR99" s="440">
        <v>0</v>
      </c>
      <c r="DS99" s="440">
        <v>0</v>
      </c>
      <c r="DT99" s="442">
        <f t="shared" si="45"/>
        <v>0</v>
      </c>
      <c r="DU99" s="440">
        <v>0</v>
      </c>
      <c r="DV99" s="442">
        <f t="shared" si="64"/>
        <v>0</v>
      </c>
      <c r="DW99" s="441">
        <v>0</v>
      </c>
      <c r="DX99" s="435">
        <v>3400</v>
      </c>
      <c r="DY99" s="440">
        <v>-24</v>
      </c>
      <c r="DZ99" s="440">
        <v>-20</v>
      </c>
      <c r="EA99" s="440">
        <v>-16</v>
      </c>
      <c r="EB99" s="440">
        <v>-12</v>
      </c>
      <c r="EC99" s="440">
        <v>-8</v>
      </c>
      <c r="ED99" s="440">
        <v>-4</v>
      </c>
      <c r="EE99" s="442">
        <f t="shared" si="46"/>
        <v>-2</v>
      </c>
      <c r="EF99" s="440">
        <v>0</v>
      </c>
      <c r="EG99" s="442">
        <f t="shared" si="65"/>
        <v>2</v>
      </c>
      <c r="EH99" s="440">
        <v>4</v>
      </c>
      <c r="EI99" s="435">
        <v>3400</v>
      </c>
      <c r="EJ99" s="440">
        <v>3</v>
      </c>
      <c r="EK99" s="440">
        <v>2</v>
      </c>
      <c r="EL99" s="440">
        <v>2</v>
      </c>
      <c r="EM99" s="440">
        <v>1</v>
      </c>
      <c r="EN99" s="440">
        <v>1</v>
      </c>
      <c r="EO99" s="440">
        <v>0</v>
      </c>
      <c r="EP99" s="442">
        <f t="shared" si="66"/>
        <v>0</v>
      </c>
      <c r="EQ99" s="440">
        <v>0</v>
      </c>
      <c r="ER99" s="442">
        <f t="shared" si="67"/>
        <v>0</v>
      </c>
      <c r="ES99" s="441">
        <v>0</v>
      </c>
      <c r="ET99" s="435">
        <v>3400</v>
      </c>
      <c r="EU99" s="440">
        <v>-23</v>
      </c>
      <c r="EV99" s="440">
        <v>-19</v>
      </c>
      <c r="EW99" s="440">
        <v>-15</v>
      </c>
      <c r="EX99" s="440">
        <v>-11</v>
      </c>
      <c r="EY99" s="440">
        <v>-8</v>
      </c>
      <c r="EZ99" s="440">
        <v>-4</v>
      </c>
      <c r="FA99" s="442">
        <f t="shared" si="68"/>
        <v>-2</v>
      </c>
      <c r="FB99" s="440">
        <v>0</v>
      </c>
      <c r="FC99" s="442">
        <f t="shared" si="69"/>
        <v>2</v>
      </c>
      <c r="FD99" s="440">
        <v>4</v>
      </c>
      <c r="FE99" s="435">
        <v>3400</v>
      </c>
      <c r="FF99" s="440">
        <v>1</v>
      </c>
      <c r="FG99" s="440">
        <v>1</v>
      </c>
      <c r="FH99" s="440">
        <v>1</v>
      </c>
      <c r="FI99" s="440">
        <v>1</v>
      </c>
      <c r="FJ99" s="440">
        <v>0</v>
      </c>
      <c r="FK99" s="440">
        <v>0</v>
      </c>
      <c r="FL99" s="442">
        <f t="shared" si="47"/>
        <v>0</v>
      </c>
      <c r="FM99" s="440">
        <v>0</v>
      </c>
      <c r="FN99" s="442">
        <f t="shared" si="70"/>
        <v>0</v>
      </c>
      <c r="FO99" s="441">
        <v>0</v>
      </c>
      <c r="FP99" s="435">
        <v>3400</v>
      </c>
      <c r="FQ99" s="440">
        <v>-23</v>
      </c>
      <c r="FR99" s="440">
        <v>-19</v>
      </c>
      <c r="FS99" s="440">
        <v>-15</v>
      </c>
      <c r="FT99" s="440">
        <v>-11</v>
      </c>
      <c r="FU99" s="440">
        <v>-8</v>
      </c>
      <c r="FV99" s="440">
        <v>-4</v>
      </c>
      <c r="FW99" s="442">
        <f t="shared" si="48"/>
        <v>-2</v>
      </c>
      <c r="FX99" s="440">
        <v>0</v>
      </c>
      <c r="FY99" s="442">
        <f t="shared" si="71"/>
        <v>2</v>
      </c>
      <c r="FZ99" s="440">
        <v>4</v>
      </c>
      <c r="GA99" s="435">
        <v>3400</v>
      </c>
      <c r="GB99" s="440">
        <v>-36</v>
      </c>
      <c r="GC99" s="440">
        <v>-30</v>
      </c>
      <c r="GD99" s="440">
        <v>-24</v>
      </c>
      <c r="GE99" s="440">
        <v>-18</v>
      </c>
      <c r="GF99" s="440">
        <v>-12</v>
      </c>
      <c r="GG99" s="440">
        <v>-6</v>
      </c>
      <c r="GH99" s="442">
        <f t="shared" si="49"/>
        <v>-3</v>
      </c>
      <c r="GI99" s="440">
        <v>0</v>
      </c>
      <c r="GJ99" s="442">
        <f t="shared" si="72"/>
        <v>3</v>
      </c>
      <c r="GK99" s="441">
        <v>6</v>
      </c>
      <c r="GL99" s="435">
        <v>3400</v>
      </c>
      <c r="GM99" s="440">
        <v>-35</v>
      </c>
      <c r="GN99" s="440">
        <v>-29</v>
      </c>
      <c r="GO99" s="440">
        <v>-23</v>
      </c>
      <c r="GP99" s="440">
        <v>-17</v>
      </c>
      <c r="GQ99" s="440">
        <v>-12</v>
      </c>
      <c r="GR99" s="440">
        <v>-6</v>
      </c>
      <c r="GS99" s="442">
        <f t="shared" si="50"/>
        <v>-3</v>
      </c>
      <c r="GT99" s="440">
        <v>0</v>
      </c>
      <c r="GU99" s="442">
        <f t="shared" si="73"/>
        <v>3</v>
      </c>
      <c r="GV99" s="441">
        <v>6</v>
      </c>
    </row>
    <row r="100" spans="7:204">
      <c r="G100" s="435">
        <v>3300</v>
      </c>
      <c r="H100" s="445">
        <v>35</v>
      </c>
      <c r="I100" s="249">
        <v>29</v>
      </c>
      <c r="J100" s="249">
        <v>24</v>
      </c>
      <c r="K100" s="248">
        <v>18</v>
      </c>
      <c r="L100" s="249">
        <v>12</v>
      </c>
      <c r="M100" s="249">
        <v>6</v>
      </c>
      <c r="N100" s="249">
        <f t="shared" si="51"/>
        <v>3</v>
      </c>
      <c r="O100" s="249">
        <v>0</v>
      </c>
      <c r="P100" s="249">
        <f t="shared" si="52"/>
        <v>-3</v>
      </c>
      <c r="Q100" s="446">
        <v>-6</v>
      </c>
      <c r="R100" s="435">
        <v>3300</v>
      </c>
      <c r="S100" s="248">
        <v>12</v>
      </c>
      <c r="T100" s="248">
        <v>10</v>
      </c>
      <c r="U100" s="248">
        <v>8</v>
      </c>
      <c r="V100" s="248">
        <v>6</v>
      </c>
      <c r="W100" s="248">
        <v>4</v>
      </c>
      <c r="X100" s="248">
        <v>2</v>
      </c>
      <c r="Y100" s="249">
        <f t="shared" si="53"/>
        <v>1</v>
      </c>
      <c r="Z100" s="248">
        <v>0</v>
      </c>
      <c r="AA100" s="439">
        <f t="shared" si="54"/>
        <v>-1</v>
      </c>
      <c r="AB100" s="248">
        <v>-2</v>
      </c>
      <c r="AC100" s="435">
        <v>3300</v>
      </c>
      <c r="AD100" s="440">
        <v>-30</v>
      </c>
      <c r="AE100" s="440">
        <v>-25</v>
      </c>
      <c r="AF100" s="440">
        <v>-20</v>
      </c>
      <c r="AG100" s="440">
        <v>-15</v>
      </c>
      <c r="AH100" s="440">
        <v>-10</v>
      </c>
      <c r="AI100" s="440">
        <v>-5</v>
      </c>
      <c r="AJ100" s="249">
        <f t="shared" si="55"/>
        <v>-2.5</v>
      </c>
      <c r="AK100" s="248">
        <v>0</v>
      </c>
      <c r="AL100" s="439">
        <f t="shared" si="56"/>
        <v>2.5</v>
      </c>
      <c r="AM100" s="441">
        <v>5</v>
      </c>
      <c r="AN100" s="435">
        <v>3300</v>
      </c>
      <c r="AO100" s="440">
        <v>-54</v>
      </c>
      <c r="AP100" s="440">
        <v>-45</v>
      </c>
      <c r="AQ100" s="440">
        <v>-36</v>
      </c>
      <c r="AR100" s="440">
        <v>-27</v>
      </c>
      <c r="AS100" s="440">
        <v>-18</v>
      </c>
      <c r="AT100" s="440">
        <v>-9</v>
      </c>
      <c r="AU100" s="442">
        <f t="shared" si="38"/>
        <v>-4.5</v>
      </c>
      <c r="AV100" s="440">
        <v>0</v>
      </c>
      <c r="AW100" s="442">
        <f t="shared" si="57"/>
        <v>4.5</v>
      </c>
      <c r="AX100" s="441">
        <v>9</v>
      </c>
      <c r="AY100" s="435">
        <v>3300</v>
      </c>
      <c r="AZ100" s="440">
        <v>4</v>
      </c>
      <c r="BA100" s="440">
        <v>3</v>
      </c>
      <c r="BB100" s="440">
        <v>2</v>
      </c>
      <c r="BC100" s="440">
        <v>2</v>
      </c>
      <c r="BD100" s="440">
        <v>1</v>
      </c>
      <c r="BE100" s="440">
        <v>1</v>
      </c>
      <c r="BF100" s="442">
        <f t="shared" si="39"/>
        <v>0.5</v>
      </c>
      <c r="BG100" s="440">
        <v>0</v>
      </c>
      <c r="BH100" s="442">
        <f t="shared" si="58"/>
        <v>-0.5</v>
      </c>
      <c r="BI100" s="441">
        <v>-1</v>
      </c>
      <c r="BJ100" s="447">
        <v>3300</v>
      </c>
      <c r="BK100" s="440">
        <v>-31</v>
      </c>
      <c r="BL100" s="440">
        <v>-26</v>
      </c>
      <c r="BM100" s="440">
        <v>-21</v>
      </c>
      <c r="BN100" s="440">
        <v>-16</v>
      </c>
      <c r="BO100" s="440">
        <v>-10</v>
      </c>
      <c r="BP100" s="440">
        <v>-5</v>
      </c>
      <c r="BQ100" s="442">
        <f t="shared" si="40"/>
        <v>-2.5</v>
      </c>
      <c r="BR100" s="440">
        <v>0</v>
      </c>
      <c r="BS100" s="442">
        <f t="shared" si="59"/>
        <v>2.5</v>
      </c>
      <c r="BT100" s="440">
        <v>5</v>
      </c>
      <c r="BU100" s="435">
        <v>3300</v>
      </c>
      <c r="BV100" s="440">
        <v>1</v>
      </c>
      <c r="BW100" s="440">
        <v>1</v>
      </c>
      <c r="BX100" s="440">
        <v>1</v>
      </c>
      <c r="BY100" s="440">
        <v>1</v>
      </c>
      <c r="BZ100" s="440">
        <v>0</v>
      </c>
      <c r="CA100" s="440">
        <v>0</v>
      </c>
      <c r="CB100" s="442">
        <f t="shared" si="41"/>
        <v>0</v>
      </c>
      <c r="CC100" s="440">
        <v>0</v>
      </c>
      <c r="CD100" s="442">
        <f t="shared" si="60"/>
        <v>0</v>
      </c>
      <c r="CE100" s="441">
        <v>0</v>
      </c>
      <c r="CF100" s="435">
        <v>3300</v>
      </c>
      <c r="CG100" s="440">
        <v>-23</v>
      </c>
      <c r="CH100" s="440">
        <v>-19</v>
      </c>
      <c r="CI100" s="440">
        <v>-15</v>
      </c>
      <c r="CJ100" s="440">
        <v>-11</v>
      </c>
      <c r="CK100" s="440">
        <v>-8</v>
      </c>
      <c r="CL100" s="440">
        <v>-4</v>
      </c>
      <c r="CM100" s="442">
        <f t="shared" si="42"/>
        <v>-2</v>
      </c>
      <c r="CN100" s="440">
        <v>0</v>
      </c>
      <c r="CO100" s="442">
        <f t="shared" si="61"/>
        <v>2</v>
      </c>
      <c r="CP100" s="441">
        <v>4</v>
      </c>
      <c r="CQ100" s="435">
        <v>3300</v>
      </c>
      <c r="CR100" s="440">
        <v>1</v>
      </c>
      <c r="CS100" s="440">
        <v>1</v>
      </c>
      <c r="CT100" s="440">
        <v>1</v>
      </c>
      <c r="CU100" s="440">
        <v>0</v>
      </c>
      <c r="CV100" s="440">
        <v>0</v>
      </c>
      <c r="CW100" s="440">
        <v>0</v>
      </c>
      <c r="CX100" s="442">
        <f t="shared" si="43"/>
        <v>0</v>
      </c>
      <c r="CY100" s="440">
        <v>0</v>
      </c>
      <c r="CZ100" s="442">
        <f t="shared" si="62"/>
        <v>0</v>
      </c>
      <c r="DA100" s="441">
        <v>0</v>
      </c>
      <c r="DB100" s="435">
        <v>3300</v>
      </c>
      <c r="DC100" s="440">
        <v>-21</v>
      </c>
      <c r="DD100" s="440">
        <v>-17</v>
      </c>
      <c r="DE100" s="440">
        <v>-14</v>
      </c>
      <c r="DF100" s="440">
        <v>-10</v>
      </c>
      <c r="DG100" s="440">
        <v>-7</v>
      </c>
      <c r="DH100" s="440">
        <v>-3</v>
      </c>
      <c r="DI100" s="442">
        <f t="shared" si="44"/>
        <v>-1.5</v>
      </c>
      <c r="DJ100" s="440">
        <v>0</v>
      </c>
      <c r="DK100" s="442">
        <f t="shared" si="63"/>
        <v>2</v>
      </c>
      <c r="DL100" s="441">
        <v>4</v>
      </c>
      <c r="DM100" s="435">
        <v>3300</v>
      </c>
      <c r="DN100" s="440">
        <v>1</v>
      </c>
      <c r="DO100" s="440">
        <v>1</v>
      </c>
      <c r="DP100" s="440">
        <v>1</v>
      </c>
      <c r="DQ100" s="440">
        <v>1</v>
      </c>
      <c r="DR100" s="440">
        <v>0</v>
      </c>
      <c r="DS100" s="440">
        <v>0</v>
      </c>
      <c r="DT100" s="442">
        <f t="shared" si="45"/>
        <v>0</v>
      </c>
      <c r="DU100" s="440">
        <v>0</v>
      </c>
      <c r="DV100" s="442">
        <f t="shared" si="64"/>
        <v>0</v>
      </c>
      <c r="DW100" s="441">
        <v>0</v>
      </c>
      <c r="DX100" s="435">
        <v>3300</v>
      </c>
      <c r="DY100" s="440">
        <v>-24</v>
      </c>
      <c r="DZ100" s="440">
        <v>-20</v>
      </c>
      <c r="EA100" s="440">
        <v>-16</v>
      </c>
      <c r="EB100" s="440">
        <v>-12</v>
      </c>
      <c r="EC100" s="440">
        <v>-8</v>
      </c>
      <c r="ED100" s="440">
        <v>-4</v>
      </c>
      <c r="EE100" s="442">
        <f t="shared" si="46"/>
        <v>-2</v>
      </c>
      <c r="EF100" s="440">
        <v>0</v>
      </c>
      <c r="EG100" s="442">
        <f t="shared" si="65"/>
        <v>2</v>
      </c>
      <c r="EH100" s="440">
        <v>4</v>
      </c>
      <c r="EI100" s="435">
        <v>3300</v>
      </c>
      <c r="EJ100" s="440">
        <v>3</v>
      </c>
      <c r="EK100" s="440">
        <v>2</v>
      </c>
      <c r="EL100" s="440">
        <v>2</v>
      </c>
      <c r="EM100" s="440">
        <v>1</v>
      </c>
      <c r="EN100" s="440">
        <v>1</v>
      </c>
      <c r="EO100" s="440">
        <v>0</v>
      </c>
      <c r="EP100" s="442">
        <f t="shared" si="66"/>
        <v>0</v>
      </c>
      <c r="EQ100" s="440">
        <v>0</v>
      </c>
      <c r="ER100" s="442">
        <f t="shared" si="67"/>
        <v>0</v>
      </c>
      <c r="ES100" s="441">
        <v>0</v>
      </c>
      <c r="ET100" s="435">
        <v>3300</v>
      </c>
      <c r="EU100" s="440">
        <v>-23</v>
      </c>
      <c r="EV100" s="440">
        <v>-19</v>
      </c>
      <c r="EW100" s="440">
        <v>-15</v>
      </c>
      <c r="EX100" s="440">
        <v>-11</v>
      </c>
      <c r="EY100" s="440">
        <v>-8</v>
      </c>
      <c r="EZ100" s="440">
        <v>-4</v>
      </c>
      <c r="FA100" s="442">
        <f t="shared" si="68"/>
        <v>-2</v>
      </c>
      <c r="FB100" s="440">
        <v>0</v>
      </c>
      <c r="FC100" s="442">
        <f t="shared" si="69"/>
        <v>2</v>
      </c>
      <c r="FD100" s="440">
        <v>4</v>
      </c>
      <c r="FE100" s="435">
        <v>3300</v>
      </c>
      <c r="FF100" s="440">
        <v>1</v>
      </c>
      <c r="FG100" s="440">
        <v>1</v>
      </c>
      <c r="FH100" s="440">
        <v>1</v>
      </c>
      <c r="FI100" s="440">
        <v>1</v>
      </c>
      <c r="FJ100" s="440">
        <v>0</v>
      </c>
      <c r="FK100" s="440">
        <v>0</v>
      </c>
      <c r="FL100" s="442">
        <f t="shared" si="47"/>
        <v>0</v>
      </c>
      <c r="FM100" s="440">
        <v>0</v>
      </c>
      <c r="FN100" s="442">
        <f t="shared" si="70"/>
        <v>0</v>
      </c>
      <c r="FO100" s="441">
        <v>0</v>
      </c>
      <c r="FP100" s="435">
        <v>3300</v>
      </c>
      <c r="FQ100" s="440">
        <v>-23</v>
      </c>
      <c r="FR100" s="440">
        <v>-19</v>
      </c>
      <c r="FS100" s="440">
        <v>-15</v>
      </c>
      <c r="FT100" s="440">
        <v>-11</v>
      </c>
      <c r="FU100" s="440">
        <v>-8</v>
      </c>
      <c r="FV100" s="440">
        <v>-4</v>
      </c>
      <c r="FW100" s="442">
        <f t="shared" si="48"/>
        <v>-2</v>
      </c>
      <c r="FX100" s="440">
        <v>0</v>
      </c>
      <c r="FY100" s="442">
        <f t="shared" si="71"/>
        <v>2</v>
      </c>
      <c r="FZ100" s="440">
        <v>4</v>
      </c>
      <c r="GA100" s="435">
        <v>3300</v>
      </c>
      <c r="GB100" s="440">
        <v>-36</v>
      </c>
      <c r="GC100" s="440">
        <v>-30</v>
      </c>
      <c r="GD100" s="440">
        <v>-24</v>
      </c>
      <c r="GE100" s="440">
        <v>-18</v>
      </c>
      <c r="GF100" s="440">
        <v>-12</v>
      </c>
      <c r="GG100" s="440">
        <v>-6</v>
      </c>
      <c r="GH100" s="442">
        <f t="shared" si="49"/>
        <v>-3</v>
      </c>
      <c r="GI100" s="440">
        <v>0</v>
      </c>
      <c r="GJ100" s="442">
        <f t="shared" si="72"/>
        <v>3</v>
      </c>
      <c r="GK100" s="441">
        <v>6</v>
      </c>
      <c r="GL100" s="435">
        <v>3300</v>
      </c>
      <c r="GM100" s="440">
        <v>-35</v>
      </c>
      <c r="GN100" s="440">
        <v>-29</v>
      </c>
      <c r="GO100" s="440">
        <v>-23</v>
      </c>
      <c r="GP100" s="440">
        <v>-17</v>
      </c>
      <c r="GQ100" s="440">
        <v>-12</v>
      </c>
      <c r="GR100" s="440">
        <v>-6</v>
      </c>
      <c r="GS100" s="442">
        <f t="shared" si="50"/>
        <v>-3</v>
      </c>
      <c r="GT100" s="440">
        <v>0</v>
      </c>
      <c r="GU100" s="442">
        <f t="shared" si="73"/>
        <v>3</v>
      </c>
      <c r="GV100" s="441">
        <v>6</v>
      </c>
    </row>
    <row r="101" spans="7:204">
      <c r="G101" s="450">
        <v>3200</v>
      </c>
      <c r="H101" s="445">
        <v>35</v>
      </c>
      <c r="I101" s="249">
        <v>29</v>
      </c>
      <c r="J101" s="249">
        <v>24</v>
      </c>
      <c r="K101" s="248">
        <v>18</v>
      </c>
      <c r="L101" s="249">
        <v>12</v>
      </c>
      <c r="M101" s="249">
        <v>6</v>
      </c>
      <c r="N101" s="249">
        <f t="shared" si="51"/>
        <v>3</v>
      </c>
      <c r="O101" s="249">
        <v>0</v>
      </c>
      <c r="P101" s="249">
        <f t="shared" si="52"/>
        <v>-3</v>
      </c>
      <c r="Q101" s="446">
        <v>-6</v>
      </c>
      <c r="R101" s="435">
        <v>3200</v>
      </c>
      <c r="S101" s="248">
        <v>12</v>
      </c>
      <c r="T101" s="248">
        <v>10</v>
      </c>
      <c r="U101" s="248">
        <v>8</v>
      </c>
      <c r="V101" s="248">
        <v>6</v>
      </c>
      <c r="W101" s="248">
        <v>4</v>
      </c>
      <c r="X101" s="248">
        <v>2</v>
      </c>
      <c r="Y101" s="249">
        <f t="shared" si="53"/>
        <v>1</v>
      </c>
      <c r="Z101" s="248">
        <v>0</v>
      </c>
      <c r="AA101" s="439">
        <f t="shared" si="54"/>
        <v>-1</v>
      </c>
      <c r="AB101" s="248">
        <v>-2</v>
      </c>
      <c r="AC101" s="435">
        <v>3200</v>
      </c>
      <c r="AD101" s="440">
        <v>-30</v>
      </c>
      <c r="AE101" s="440">
        <v>-25</v>
      </c>
      <c r="AF101" s="440">
        <v>-20</v>
      </c>
      <c r="AG101" s="440">
        <v>-15</v>
      </c>
      <c r="AH101" s="440">
        <v>-10</v>
      </c>
      <c r="AI101" s="440">
        <v>-5</v>
      </c>
      <c r="AJ101" s="249">
        <f t="shared" si="55"/>
        <v>-2.5</v>
      </c>
      <c r="AK101" s="248">
        <v>0</v>
      </c>
      <c r="AL101" s="439">
        <f t="shared" si="56"/>
        <v>2.5</v>
      </c>
      <c r="AM101" s="441">
        <v>5</v>
      </c>
      <c r="AN101" s="435">
        <v>3200</v>
      </c>
      <c r="AO101" s="440">
        <v>-54</v>
      </c>
      <c r="AP101" s="440">
        <v>-45</v>
      </c>
      <c r="AQ101" s="440">
        <v>-36</v>
      </c>
      <c r="AR101" s="440">
        <v>-27</v>
      </c>
      <c r="AS101" s="440">
        <v>-18</v>
      </c>
      <c r="AT101" s="440">
        <v>-9</v>
      </c>
      <c r="AU101" s="442">
        <f t="shared" si="38"/>
        <v>-4.5</v>
      </c>
      <c r="AV101" s="440">
        <v>0</v>
      </c>
      <c r="AW101" s="442">
        <f t="shared" si="57"/>
        <v>4.5</v>
      </c>
      <c r="AX101" s="441">
        <v>9</v>
      </c>
      <c r="AY101" s="435">
        <v>3200</v>
      </c>
      <c r="AZ101" s="440">
        <v>4</v>
      </c>
      <c r="BA101" s="440">
        <v>3</v>
      </c>
      <c r="BB101" s="440">
        <v>2</v>
      </c>
      <c r="BC101" s="440">
        <v>2</v>
      </c>
      <c r="BD101" s="440">
        <v>1</v>
      </c>
      <c r="BE101" s="440">
        <v>1</v>
      </c>
      <c r="BF101" s="442">
        <f t="shared" si="39"/>
        <v>0.5</v>
      </c>
      <c r="BG101" s="440">
        <v>0</v>
      </c>
      <c r="BH101" s="442">
        <f t="shared" si="58"/>
        <v>-0.5</v>
      </c>
      <c r="BI101" s="441">
        <v>-1</v>
      </c>
      <c r="BJ101" s="447">
        <v>3200</v>
      </c>
      <c r="BK101" s="440">
        <v>-31</v>
      </c>
      <c r="BL101" s="440">
        <v>-26</v>
      </c>
      <c r="BM101" s="440">
        <v>-21</v>
      </c>
      <c r="BN101" s="440">
        <v>-16</v>
      </c>
      <c r="BO101" s="440">
        <v>-10</v>
      </c>
      <c r="BP101" s="440">
        <v>-5</v>
      </c>
      <c r="BQ101" s="442">
        <f t="shared" si="40"/>
        <v>-2.5</v>
      </c>
      <c r="BR101" s="440">
        <v>0</v>
      </c>
      <c r="BS101" s="442">
        <f t="shared" si="59"/>
        <v>2.5</v>
      </c>
      <c r="BT101" s="440">
        <v>5</v>
      </c>
      <c r="BU101" s="435">
        <v>3200</v>
      </c>
      <c r="BV101" s="440">
        <v>1</v>
      </c>
      <c r="BW101" s="440">
        <v>1</v>
      </c>
      <c r="BX101" s="440">
        <v>1</v>
      </c>
      <c r="BY101" s="440">
        <v>1</v>
      </c>
      <c r="BZ101" s="440">
        <v>0</v>
      </c>
      <c r="CA101" s="440">
        <v>0</v>
      </c>
      <c r="CB101" s="442">
        <f t="shared" si="41"/>
        <v>0</v>
      </c>
      <c r="CC101" s="440">
        <v>0</v>
      </c>
      <c r="CD101" s="442">
        <f t="shared" si="60"/>
        <v>0</v>
      </c>
      <c r="CE101" s="441">
        <v>0</v>
      </c>
      <c r="CF101" s="435">
        <v>3200</v>
      </c>
      <c r="CG101" s="440">
        <v>-23</v>
      </c>
      <c r="CH101" s="440">
        <v>-19</v>
      </c>
      <c r="CI101" s="440">
        <v>-15</v>
      </c>
      <c r="CJ101" s="440">
        <v>-11</v>
      </c>
      <c r="CK101" s="440">
        <v>-8</v>
      </c>
      <c r="CL101" s="440">
        <v>-4</v>
      </c>
      <c r="CM101" s="442">
        <f t="shared" si="42"/>
        <v>-2</v>
      </c>
      <c r="CN101" s="440">
        <v>0</v>
      </c>
      <c r="CO101" s="442">
        <f t="shared" si="61"/>
        <v>2</v>
      </c>
      <c r="CP101" s="441">
        <v>4</v>
      </c>
      <c r="CQ101" s="435">
        <v>3200</v>
      </c>
      <c r="CR101" s="440">
        <v>1</v>
      </c>
      <c r="CS101" s="440">
        <v>1</v>
      </c>
      <c r="CT101" s="440">
        <v>1</v>
      </c>
      <c r="CU101" s="440">
        <v>0</v>
      </c>
      <c r="CV101" s="440">
        <v>0</v>
      </c>
      <c r="CW101" s="440">
        <v>0</v>
      </c>
      <c r="CX101" s="442">
        <f t="shared" si="43"/>
        <v>0</v>
      </c>
      <c r="CY101" s="440">
        <v>0</v>
      </c>
      <c r="CZ101" s="442">
        <f t="shared" si="62"/>
        <v>0</v>
      </c>
      <c r="DA101" s="441">
        <v>0</v>
      </c>
      <c r="DB101" s="435">
        <v>3200</v>
      </c>
      <c r="DC101" s="440">
        <v>-21</v>
      </c>
      <c r="DD101" s="440">
        <v>-17</v>
      </c>
      <c r="DE101" s="440">
        <v>-14</v>
      </c>
      <c r="DF101" s="440">
        <v>-10</v>
      </c>
      <c r="DG101" s="440">
        <v>-7</v>
      </c>
      <c r="DH101" s="440">
        <v>-3</v>
      </c>
      <c r="DI101" s="442">
        <f t="shared" si="44"/>
        <v>-1.5</v>
      </c>
      <c r="DJ101" s="440">
        <v>0</v>
      </c>
      <c r="DK101" s="442">
        <f t="shared" si="63"/>
        <v>2</v>
      </c>
      <c r="DL101" s="441">
        <v>4</v>
      </c>
      <c r="DM101" s="435">
        <v>3200</v>
      </c>
      <c r="DN101" s="440">
        <v>1</v>
      </c>
      <c r="DO101" s="440">
        <v>1</v>
      </c>
      <c r="DP101" s="440">
        <v>1</v>
      </c>
      <c r="DQ101" s="440">
        <v>1</v>
      </c>
      <c r="DR101" s="440">
        <v>0</v>
      </c>
      <c r="DS101" s="440">
        <v>0</v>
      </c>
      <c r="DT101" s="442">
        <f t="shared" si="45"/>
        <v>0</v>
      </c>
      <c r="DU101" s="440">
        <v>0</v>
      </c>
      <c r="DV101" s="442">
        <f t="shared" si="64"/>
        <v>0</v>
      </c>
      <c r="DW101" s="441">
        <v>0</v>
      </c>
      <c r="DX101" s="435">
        <v>3200</v>
      </c>
      <c r="DY101" s="440">
        <v>-24</v>
      </c>
      <c r="DZ101" s="440">
        <v>-20</v>
      </c>
      <c r="EA101" s="440">
        <v>-16</v>
      </c>
      <c r="EB101" s="440">
        <v>-12</v>
      </c>
      <c r="EC101" s="440">
        <v>-8</v>
      </c>
      <c r="ED101" s="440">
        <v>-4</v>
      </c>
      <c r="EE101" s="442">
        <f t="shared" si="46"/>
        <v>-2</v>
      </c>
      <c r="EF101" s="440">
        <v>0</v>
      </c>
      <c r="EG101" s="442">
        <f t="shared" si="65"/>
        <v>2</v>
      </c>
      <c r="EH101" s="440">
        <v>4</v>
      </c>
      <c r="EI101" s="435">
        <v>3200</v>
      </c>
      <c r="EJ101" s="440">
        <v>3</v>
      </c>
      <c r="EK101" s="440">
        <v>2</v>
      </c>
      <c r="EL101" s="440">
        <v>2</v>
      </c>
      <c r="EM101" s="440">
        <v>1</v>
      </c>
      <c r="EN101" s="440">
        <v>1</v>
      </c>
      <c r="EO101" s="440">
        <v>0</v>
      </c>
      <c r="EP101" s="442">
        <f t="shared" si="66"/>
        <v>0</v>
      </c>
      <c r="EQ101" s="440">
        <v>0</v>
      </c>
      <c r="ER101" s="442">
        <f t="shared" si="67"/>
        <v>0</v>
      </c>
      <c r="ES101" s="441">
        <v>0</v>
      </c>
      <c r="ET101" s="435">
        <v>3200</v>
      </c>
      <c r="EU101" s="440">
        <v>-23</v>
      </c>
      <c r="EV101" s="440">
        <v>-19</v>
      </c>
      <c r="EW101" s="440">
        <v>-15</v>
      </c>
      <c r="EX101" s="440">
        <v>-11</v>
      </c>
      <c r="EY101" s="440">
        <v>-8</v>
      </c>
      <c r="EZ101" s="440">
        <v>-4</v>
      </c>
      <c r="FA101" s="442">
        <f t="shared" si="68"/>
        <v>-2</v>
      </c>
      <c r="FB101" s="440">
        <v>0</v>
      </c>
      <c r="FC101" s="442">
        <f t="shared" si="69"/>
        <v>2</v>
      </c>
      <c r="FD101" s="440">
        <v>4</v>
      </c>
      <c r="FE101" s="435">
        <v>3200</v>
      </c>
      <c r="FF101" s="440">
        <v>1</v>
      </c>
      <c r="FG101" s="440">
        <v>1</v>
      </c>
      <c r="FH101" s="440">
        <v>1</v>
      </c>
      <c r="FI101" s="440">
        <v>1</v>
      </c>
      <c r="FJ101" s="440">
        <v>0</v>
      </c>
      <c r="FK101" s="440">
        <v>0</v>
      </c>
      <c r="FL101" s="442">
        <f t="shared" si="47"/>
        <v>0</v>
      </c>
      <c r="FM101" s="440">
        <v>0</v>
      </c>
      <c r="FN101" s="442">
        <f t="shared" si="70"/>
        <v>0</v>
      </c>
      <c r="FO101" s="441">
        <v>0</v>
      </c>
      <c r="FP101" s="435">
        <v>3200</v>
      </c>
      <c r="FQ101" s="440">
        <v>-23</v>
      </c>
      <c r="FR101" s="440">
        <v>-19</v>
      </c>
      <c r="FS101" s="440">
        <v>-15</v>
      </c>
      <c r="FT101" s="440">
        <v>-11</v>
      </c>
      <c r="FU101" s="440">
        <v>-8</v>
      </c>
      <c r="FV101" s="440">
        <v>-4</v>
      </c>
      <c r="FW101" s="442">
        <f t="shared" si="48"/>
        <v>-2</v>
      </c>
      <c r="FX101" s="440">
        <v>0</v>
      </c>
      <c r="FY101" s="442">
        <f t="shared" si="71"/>
        <v>2</v>
      </c>
      <c r="FZ101" s="440">
        <v>4</v>
      </c>
      <c r="GA101" s="435">
        <v>3200</v>
      </c>
      <c r="GB101" s="440">
        <v>-36</v>
      </c>
      <c r="GC101" s="440">
        <v>-30</v>
      </c>
      <c r="GD101" s="440">
        <v>-24</v>
      </c>
      <c r="GE101" s="440">
        <v>-18</v>
      </c>
      <c r="GF101" s="440">
        <v>-12</v>
      </c>
      <c r="GG101" s="440">
        <v>-6</v>
      </c>
      <c r="GH101" s="442">
        <f t="shared" si="49"/>
        <v>-3</v>
      </c>
      <c r="GI101" s="440">
        <v>0</v>
      </c>
      <c r="GJ101" s="442">
        <f t="shared" si="72"/>
        <v>3</v>
      </c>
      <c r="GK101" s="441">
        <v>6</v>
      </c>
      <c r="GL101" s="435">
        <v>3200</v>
      </c>
      <c r="GM101" s="440">
        <v>-35</v>
      </c>
      <c r="GN101" s="440">
        <v>-29</v>
      </c>
      <c r="GO101" s="440">
        <v>-23</v>
      </c>
      <c r="GP101" s="440">
        <v>-17</v>
      </c>
      <c r="GQ101" s="440">
        <v>-12</v>
      </c>
      <c r="GR101" s="440">
        <v>-6</v>
      </c>
      <c r="GS101" s="442">
        <f t="shared" si="50"/>
        <v>-3</v>
      </c>
      <c r="GT101" s="440">
        <v>0</v>
      </c>
      <c r="GU101" s="442">
        <f t="shared" si="73"/>
        <v>3</v>
      </c>
      <c r="GV101" s="441">
        <v>6</v>
      </c>
    </row>
    <row r="102" spans="7:204">
      <c r="G102" s="450">
        <v>3100</v>
      </c>
      <c r="H102" s="445">
        <v>35</v>
      </c>
      <c r="I102" s="249">
        <v>29</v>
      </c>
      <c r="J102" s="249">
        <v>24</v>
      </c>
      <c r="K102" s="248">
        <v>18</v>
      </c>
      <c r="L102" s="249">
        <v>12</v>
      </c>
      <c r="M102" s="249">
        <v>6</v>
      </c>
      <c r="N102" s="249">
        <f t="shared" si="51"/>
        <v>3</v>
      </c>
      <c r="O102" s="249">
        <v>0</v>
      </c>
      <c r="P102" s="249">
        <f t="shared" si="52"/>
        <v>-3</v>
      </c>
      <c r="Q102" s="446">
        <v>-6</v>
      </c>
      <c r="R102" s="435">
        <v>3100</v>
      </c>
      <c r="S102" s="248">
        <v>12</v>
      </c>
      <c r="T102" s="248">
        <v>10</v>
      </c>
      <c r="U102" s="248">
        <v>8</v>
      </c>
      <c r="V102" s="248">
        <v>6</v>
      </c>
      <c r="W102" s="248">
        <v>4</v>
      </c>
      <c r="X102" s="248">
        <v>2</v>
      </c>
      <c r="Y102" s="249">
        <f t="shared" si="53"/>
        <v>1</v>
      </c>
      <c r="Z102" s="248">
        <v>0</v>
      </c>
      <c r="AA102" s="439">
        <f t="shared" si="54"/>
        <v>-1</v>
      </c>
      <c r="AB102" s="248">
        <v>-2</v>
      </c>
      <c r="AC102" s="435">
        <v>3100</v>
      </c>
      <c r="AD102" s="440">
        <v>-30</v>
      </c>
      <c r="AE102" s="440">
        <v>-25</v>
      </c>
      <c r="AF102" s="440">
        <v>-20</v>
      </c>
      <c r="AG102" s="440">
        <v>-15</v>
      </c>
      <c r="AH102" s="440">
        <v>-10</v>
      </c>
      <c r="AI102" s="440">
        <v>-5</v>
      </c>
      <c r="AJ102" s="249">
        <f t="shared" si="55"/>
        <v>-2.5</v>
      </c>
      <c r="AK102" s="248">
        <v>0</v>
      </c>
      <c r="AL102" s="439">
        <f t="shared" si="56"/>
        <v>2.5</v>
      </c>
      <c r="AM102" s="441">
        <v>5</v>
      </c>
      <c r="AN102" s="435">
        <v>3100</v>
      </c>
      <c r="AO102" s="440">
        <v>-54</v>
      </c>
      <c r="AP102" s="440">
        <v>-45</v>
      </c>
      <c r="AQ102" s="440">
        <v>-36</v>
      </c>
      <c r="AR102" s="440">
        <v>-27</v>
      </c>
      <c r="AS102" s="440">
        <v>-18</v>
      </c>
      <c r="AT102" s="440">
        <v>-9</v>
      </c>
      <c r="AU102" s="442">
        <f t="shared" si="38"/>
        <v>-4.5</v>
      </c>
      <c r="AV102" s="440">
        <v>0</v>
      </c>
      <c r="AW102" s="442">
        <f t="shared" si="57"/>
        <v>4.5</v>
      </c>
      <c r="AX102" s="441">
        <v>9</v>
      </c>
      <c r="AY102" s="435">
        <v>3100</v>
      </c>
      <c r="AZ102" s="440">
        <v>4</v>
      </c>
      <c r="BA102" s="440">
        <v>3</v>
      </c>
      <c r="BB102" s="440">
        <v>2</v>
      </c>
      <c r="BC102" s="440">
        <v>2</v>
      </c>
      <c r="BD102" s="440">
        <v>1</v>
      </c>
      <c r="BE102" s="440">
        <v>1</v>
      </c>
      <c r="BF102" s="442">
        <f t="shared" si="39"/>
        <v>0.5</v>
      </c>
      <c r="BG102" s="440">
        <v>0</v>
      </c>
      <c r="BH102" s="442">
        <f t="shared" si="58"/>
        <v>-0.5</v>
      </c>
      <c r="BI102" s="441">
        <v>-1</v>
      </c>
      <c r="BJ102" s="447">
        <v>3100</v>
      </c>
      <c r="BK102" s="440">
        <v>-31</v>
      </c>
      <c r="BL102" s="440">
        <v>-26</v>
      </c>
      <c r="BM102" s="440">
        <v>-21</v>
      </c>
      <c r="BN102" s="440">
        <v>-16</v>
      </c>
      <c r="BO102" s="440">
        <v>-10</v>
      </c>
      <c r="BP102" s="440">
        <v>-5</v>
      </c>
      <c r="BQ102" s="442">
        <f t="shared" si="40"/>
        <v>-2.5</v>
      </c>
      <c r="BR102" s="440">
        <v>0</v>
      </c>
      <c r="BS102" s="442">
        <f t="shared" si="59"/>
        <v>2.5</v>
      </c>
      <c r="BT102" s="440">
        <v>5</v>
      </c>
      <c r="BU102" s="435">
        <v>3100</v>
      </c>
      <c r="BV102" s="440">
        <v>1</v>
      </c>
      <c r="BW102" s="440">
        <v>1</v>
      </c>
      <c r="BX102" s="440">
        <v>1</v>
      </c>
      <c r="BY102" s="440">
        <v>1</v>
      </c>
      <c r="BZ102" s="440">
        <v>0</v>
      </c>
      <c r="CA102" s="440">
        <v>0</v>
      </c>
      <c r="CB102" s="442">
        <f t="shared" si="41"/>
        <v>0</v>
      </c>
      <c r="CC102" s="440">
        <v>0</v>
      </c>
      <c r="CD102" s="442">
        <f t="shared" si="60"/>
        <v>0</v>
      </c>
      <c r="CE102" s="441">
        <v>0</v>
      </c>
      <c r="CF102" s="435">
        <v>3100</v>
      </c>
      <c r="CG102" s="440">
        <v>-23</v>
      </c>
      <c r="CH102" s="440">
        <v>-19</v>
      </c>
      <c r="CI102" s="440">
        <v>-15</v>
      </c>
      <c r="CJ102" s="440">
        <v>-11</v>
      </c>
      <c r="CK102" s="440">
        <v>-8</v>
      </c>
      <c r="CL102" s="440">
        <v>-4</v>
      </c>
      <c r="CM102" s="442">
        <f t="shared" si="42"/>
        <v>-2</v>
      </c>
      <c r="CN102" s="440">
        <v>0</v>
      </c>
      <c r="CO102" s="442">
        <f t="shared" si="61"/>
        <v>2</v>
      </c>
      <c r="CP102" s="441">
        <v>4</v>
      </c>
      <c r="CQ102" s="435">
        <v>3100</v>
      </c>
      <c r="CR102" s="440">
        <v>1</v>
      </c>
      <c r="CS102" s="440">
        <v>1</v>
      </c>
      <c r="CT102" s="440">
        <v>1</v>
      </c>
      <c r="CU102" s="440">
        <v>0</v>
      </c>
      <c r="CV102" s="440">
        <v>0</v>
      </c>
      <c r="CW102" s="440">
        <v>0</v>
      </c>
      <c r="CX102" s="442">
        <f t="shared" si="43"/>
        <v>0</v>
      </c>
      <c r="CY102" s="440">
        <v>0</v>
      </c>
      <c r="CZ102" s="442">
        <f t="shared" si="62"/>
        <v>0</v>
      </c>
      <c r="DA102" s="441">
        <v>0</v>
      </c>
      <c r="DB102" s="435">
        <v>3100</v>
      </c>
      <c r="DC102" s="440">
        <v>-21</v>
      </c>
      <c r="DD102" s="440">
        <v>-17</v>
      </c>
      <c r="DE102" s="440">
        <v>-14</v>
      </c>
      <c r="DF102" s="440">
        <v>-10</v>
      </c>
      <c r="DG102" s="440">
        <v>-7</v>
      </c>
      <c r="DH102" s="440">
        <v>-3</v>
      </c>
      <c r="DI102" s="442">
        <f t="shared" si="44"/>
        <v>-1.5</v>
      </c>
      <c r="DJ102" s="440">
        <v>0</v>
      </c>
      <c r="DK102" s="442">
        <f t="shared" si="63"/>
        <v>2</v>
      </c>
      <c r="DL102" s="441">
        <v>4</v>
      </c>
      <c r="DM102" s="435">
        <v>3100</v>
      </c>
      <c r="DN102" s="440">
        <v>1</v>
      </c>
      <c r="DO102" s="440">
        <v>1</v>
      </c>
      <c r="DP102" s="440">
        <v>1</v>
      </c>
      <c r="DQ102" s="440">
        <v>1</v>
      </c>
      <c r="DR102" s="440">
        <v>0</v>
      </c>
      <c r="DS102" s="440">
        <v>0</v>
      </c>
      <c r="DT102" s="442">
        <f t="shared" si="45"/>
        <v>0</v>
      </c>
      <c r="DU102" s="440">
        <v>0</v>
      </c>
      <c r="DV102" s="442">
        <f t="shared" si="64"/>
        <v>0</v>
      </c>
      <c r="DW102" s="441">
        <v>0</v>
      </c>
      <c r="DX102" s="435">
        <v>3100</v>
      </c>
      <c r="DY102" s="440">
        <v>-24</v>
      </c>
      <c r="DZ102" s="440">
        <v>-20</v>
      </c>
      <c r="EA102" s="440">
        <v>-16</v>
      </c>
      <c r="EB102" s="440">
        <v>-12</v>
      </c>
      <c r="EC102" s="440">
        <v>-8</v>
      </c>
      <c r="ED102" s="440">
        <v>-4</v>
      </c>
      <c r="EE102" s="442">
        <f t="shared" si="46"/>
        <v>-2</v>
      </c>
      <c r="EF102" s="440">
        <v>0</v>
      </c>
      <c r="EG102" s="442">
        <f t="shared" si="65"/>
        <v>2</v>
      </c>
      <c r="EH102" s="440">
        <v>4</v>
      </c>
      <c r="EI102" s="435">
        <v>3100</v>
      </c>
      <c r="EJ102" s="440">
        <v>3</v>
      </c>
      <c r="EK102" s="440">
        <v>2</v>
      </c>
      <c r="EL102" s="440">
        <v>2</v>
      </c>
      <c r="EM102" s="440">
        <v>1</v>
      </c>
      <c r="EN102" s="440">
        <v>1</v>
      </c>
      <c r="EO102" s="440">
        <v>0</v>
      </c>
      <c r="EP102" s="442">
        <f t="shared" si="66"/>
        <v>0</v>
      </c>
      <c r="EQ102" s="440">
        <v>0</v>
      </c>
      <c r="ER102" s="442">
        <f t="shared" si="67"/>
        <v>0</v>
      </c>
      <c r="ES102" s="441">
        <v>0</v>
      </c>
      <c r="ET102" s="435">
        <v>3100</v>
      </c>
      <c r="EU102" s="440">
        <v>-23</v>
      </c>
      <c r="EV102" s="440">
        <v>-19</v>
      </c>
      <c r="EW102" s="440">
        <v>-15</v>
      </c>
      <c r="EX102" s="440">
        <v>-11</v>
      </c>
      <c r="EY102" s="440">
        <v>-8</v>
      </c>
      <c r="EZ102" s="440">
        <v>-4</v>
      </c>
      <c r="FA102" s="442">
        <f t="shared" si="68"/>
        <v>-2</v>
      </c>
      <c r="FB102" s="440">
        <v>0</v>
      </c>
      <c r="FC102" s="442">
        <f t="shared" si="69"/>
        <v>2</v>
      </c>
      <c r="FD102" s="440">
        <v>4</v>
      </c>
      <c r="FE102" s="435">
        <v>3100</v>
      </c>
      <c r="FF102" s="440">
        <v>1</v>
      </c>
      <c r="FG102" s="440">
        <v>1</v>
      </c>
      <c r="FH102" s="440">
        <v>1</v>
      </c>
      <c r="FI102" s="440">
        <v>1</v>
      </c>
      <c r="FJ102" s="440">
        <v>0</v>
      </c>
      <c r="FK102" s="440">
        <v>0</v>
      </c>
      <c r="FL102" s="442">
        <f t="shared" si="47"/>
        <v>0</v>
      </c>
      <c r="FM102" s="440">
        <v>0</v>
      </c>
      <c r="FN102" s="442">
        <f t="shared" si="70"/>
        <v>0</v>
      </c>
      <c r="FO102" s="441">
        <v>0</v>
      </c>
      <c r="FP102" s="435">
        <v>3100</v>
      </c>
      <c r="FQ102" s="440">
        <v>-23</v>
      </c>
      <c r="FR102" s="440">
        <v>-19</v>
      </c>
      <c r="FS102" s="440">
        <v>-15</v>
      </c>
      <c r="FT102" s="440">
        <v>-11</v>
      </c>
      <c r="FU102" s="440">
        <v>-8</v>
      </c>
      <c r="FV102" s="440">
        <v>-4</v>
      </c>
      <c r="FW102" s="442">
        <f t="shared" si="48"/>
        <v>-2</v>
      </c>
      <c r="FX102" s="440">
        <v>0</v>
      </c>
      <c r="FY102" s="442">
        <f t="shared" si="71"/>
        <v>2</v>
      </c>
      <c r="FZ102" s="440">
        <v>4</v>
      </c>
      <c r="GA102" s="435">
        <v>3100</v>
      </c>
      <c r="GB102" s="440">
        <v>-36</v>
      </c>
      <c r="GC102" s="440">
        <v>-30</v>
      </c>
      <c r="GD102" s="440">
        <v>-24</v>
      </c>
      <c r="GE102" s="440">
        <v>-18</v>
      </c>
      <c r="GF102" s="440">
        <v>-12</v>
      </c>
      <c r="GG102" s="440">
        <v>-6</v>
      </c>
      <c r="GH102" s="442">
        <f t="shared" si="49"/>
        <v>-3</v>
      </c>
      <c r="GI102" s="440">
        <v>0</v>
      </c>
      <c r="GJ102" s="442">
        <f t="shared" si="72"/>
        <v>3</v>
      </c>
      <c r="GK102" s="441">
        <v>6</v>
      </c>
      <c r="GL102" s="435">
        <v>3100</v>
      </c>
      <c r="GM102" s="440">
        <v>-35</v>
      </c>
      <c r="GN102" s="440">
        <v>-29</v>
      </c>
      <c r="GO102" s="440">
        <v>-23</v>
      </c>
      <c r="GP102" s="440">
        <v>-17</v>
      </c>
      <c r="GQ102" s="440">
        <v>-12</v>
      </c>
      <c r="GR102" s="440">
        <v>-6</v>
      </c>
      <c r="GS102" s="442">
        <f t="shared" si="50"/>
        <v>-3</v>
      </c>
      <c r="GT102" s="440">
        <v>0</v>
      </c>
      <c r="GU102" s="442">
        <f t="shared" si="73"/>
        <v>3</v>
      </c>
      <c r="GV102" s="441">
        <v>6</v>
      </c>
    </row>
    <row r="103" spans="7:204">
      <c r="G103" s="450">
        <v>3000</v>
      </c>
      <c r="H103" s="445">
        <v>35</v>
      </c>
      <c r="I103" s="249">
        <v>29</v>
      </c>
      <c r="J103" s="248">
        <v>23</v>
      </c>
      <c r="K103" s="248">
        <v>18</v>
      </c>
      <c r="L103" s="249">
        <v>12</v>
      </c>
      <c r="M103" s="249">
        <v>6</v>
      </c>
      <c r="N103" s="249">
        <f t="shared" si="51"/>
        <v>3</v>
      </c>
      <c r="O103" s="249">
        <v>0</v>
      </c>
      <c r="P103" s="249">
        <f t="shared" si="52"/>
        <v>-3</v>
      </c>
      <c r="Q103" s="446">
        <v>-6</v>
      </c>
      <c r="R103" s="435">
        <v>3000</v>
      </c>
      <c r="S103" s="248">
        <v>11</v>
      </c>
      <c r="T103" s="248">
        <v>9</v>
      </c>
      <c r="U103" s="248">
        <v>8</v>
      </c>
      <c r="V103" s="248">
        <v>6</v>
      </c>
      <c r="W103" s="248">
        <v>4</v>
      </c>
      <c r="X103" s="248">
        <v>2</v>
      </c>
      <c r="Y103" s="249">
        <f t="shared" si="53"/>
        <v>1</v>
      </c>
      <c r="Z103" s="248">
        <v>0</v>
      </c>
      <c r="AA103" s="439">
        <f t="shared" si="54"/>
        <v>-1</v>
      </c>
      <c r="AB103" s="248">
        <v>-2</v>
      </c>
      <c r="AC103" s="435">
        <v>3000</v>
      </c>
      <c r="AD103" s="440">
        <v>-30</v>
      </c>
      <c r="AE103" s="440">
        <v>-25</v>
      </c>
      <c r="AF103" s="440">
        <v>-20</v>
      </c>
      <c r="AG103" s="440">
        <v>-15</v>
      </c>
      <c r="AH103" s="440">
        <v>-10</v>
      </c>
      <c r="AI103" s="440">
        <v>-5</v>
      </c>
      <c r="AJ103" s="249">
        <f t="shared" si="55"/>
        <v>-2.5</v>
      </c>
      <c r="AK103" s="248">
        <v>0</v>
      </c>
      <c r="AL103" s="439">
        <f t="shared" si="56"/>
        <v>2.5</v>
      </c>
      <c r="AM103" s="441">
        <v>5</v>
      </c>
      <c r="AN103" s="435">
        <v>3000</v>
      </c>
      <c r="AO103" s="440">
        <v>-54</v>
      </c>
      <c r="AP103" s="440">
        <v>-45</v>
      </c>
      <c r="AQ103" s="440">
        <v>-36</v>
      </c>
      <c r="AR103" s="440">
        <v>-27</v>
      </c>
      <c r="AS103" s="440">
        <v>-18</v>
      </c>
      <c r="AT103" s="440">
        <v>-9</v>
      </c>
      <c r="AU103" s="442">
        <f t="shared" si="38"/>
        <v>-4.5</v>
      </c>
      <c r="AV103" s="440">
        <v>0</v>
      </c>
      <c r="AW103" s="442">
        <f t="shared" si="57"/>
        <v>4.5</v>
      </c>
      <c r="AX103" s="441">
        <v>9</v>
      </c>
      <c r="AY103" s="435">
        <v>3000</v>
      </c>
      <c r="AZ103" s="440">
        <v>3</v>
      </c>
      <c r="BA103" s="440">
        <v>3</v>
      </c>
      <c r="BB103" s="440">
        <v>2</v>
      </c>
      <c r="BC103" s="440">
        <v>2</v>
      </c>
      <c r="BD103" s="440">
        <v>1</v>
      </c>
      <c r="BE103" s="440">
        <v>1</v>
      </c>
      <c r="BF103" s="442">
        <f t="shared" si="39"/>
        <v>0.5</v>
      </c>
      <c r="BG103" s="440">
        <v>0</v>
      </c>
      <c r="BH103" s="442">
        <f t="shared" si="58"/>
        <v>-0.5</v>
      </c>
      <c r="BI103" s="441">
        <v>-1</v>
      </c>
      <c r="BJ103" s="447">
        <v>3000</v>
      </c>
      <c r="BK103" s="440">
        <v>-31</v>
      </c>
      <c r="BL103" s="440">
        <v>-26</v>
      </c>
      <c r="BM103" s="440">
        <v>-21</v>
      </c>
      <c r="BN103" s="440">
        <v>-16</v>
      </c>
      <c r="BO103" s="440">
        <v>-10</v>
      </c>
      <c r="BP103" s="440">
        <v>-5</v>
      </c>
      <c r="BQ103" s="442">
        <f t="shared" si="40"/>
        <v>-2.5</v>
      </c>
      <c r="BR103" s="440">
        <v>0</v>
      </c>
      <c r="BS103" s="442">
        <f t="shared" si="59"/>
        <v>2.5</v>
      </c>
      <c r="BT103" s="440">
        <v>5</v>
      </c>
      <c r="BU103" s="435">
        <v>3000</v>
      </c>
      <c r="BV103" s="440">
        <v>1</v>
      </c>
      <c r="BW103" s="440">
        <v>1</v>
      </c>
      <c r="BX103" s="440">
        <v>1</v>
      </c>
      <c r="BY103" s="440">
        <v>1</v>
      </c>
      <c r="BZ103" s="440">
        <v>0</v>
      </c>
      <c r="CA103" s="440">
        <v>0</v>
      </c>
      <c r="CB103" s="442">
        <f t="shared" si="41"/>
        <v>0</v>
      </c>
      <c r="CC103" s="440">
        <v>0</v>
      </c>
      <c r="CD103" s="442">
        <f t="shared" si="60"/>
        <v>0</v>
      </c>
      <c r="CE103" s="441">
        <v>0</v>
      </c>
      <c r="CF103" s="435">
        <v>3000</v>
      </c>
      <c r="CG103" s="440">
        <v>-23</v>
      </c>
      <c r="CH103" s="440">
        <v>-19</v>
      </c>
      <c r="CI103" s="440">
        <v>-15</v>
      </c>
      <c r="CJ103" s="440">
        <v>-11</v>
      </c>
      <c r="CK103" s="440">
        <v>-8</v>
      </c>
      <c r="CL103" s="440">
        <v>-4</v>
      </c>
      <c r="CM103" s="442">
        <f t="shared" si="42"/>
        <v>-2</v>
      </c>
      <c r="CN103" s="440">
        <v>0</v>
      </c>
      <c r="CO103" s="442">
        <f t="shared" si="61"/>
        <v>2</v>
      </c>
      <c r="CP103" s="441">
        <v>4</v>
      </c>
      <c r="CQ103" s="435">
        <v>3000</v>
      </c>
      <c r="CR103" s="440">
        <v>1</v>
      </c>
      <c r="CS103" s="440">
        <v>1</v>
      </c>
      <c r="CT103" s="440">
        <v>1</v>
      </c>
      <c r="CU103" s="440">
        <v>0</v>
      </c>
      <c r="CV103" s="440">
        <v>0</v>
      </c>
      <c r="CW103" s="440">
        <v>0</v>
      </c>
      <c r="CX103" s="442">
        <f t="shared" si="43"/>
        <v>0</v>
      </c>
      <c r="CY103" s="440">
        <v>0</v>
      </c>
      <c r="CZ103" s="442">
        <f t="shared" si="62"/>
        <v>0</v>
      </c>
      <c r="DA103" s="441">
        <v>0</v>
      </c>
      <c r="DB103" s="435">
        <v>3000</v>
      </c>
      <c r="DC103" s="440">
        <v>-21</v>
      </c>
      <c r="DD103" s="440">
        <v>-18</v>
      </c>
      <c r="DE103" s="440">
        <v>-14</v>
      </c>
      <c r="DF103" s="440">
        <v>-11</v>
      </c>
      <c r="DG103" s="440">
        <v>-7</v>
      </c>
      <c r="DH103" s="440">
        <v>-4</v>
      </c>
      <c r="DI103" s="442">
        <f t="shared" si="44"/>
        <v>-2</v>
      </c>
      <c r="DJ103" s="440">
        <v>0</v>
      </c>
      <c r="DK103" s="442">
        <f t="shared" si="63"/>
        <v>2</v>
      </c>
      <c r="DL103" s="441">
        <v>4</v>
      </c>
      <c r="DM103" s="435">
        <v>3000</v>
      </c>
      <c r="DN103" s="440">
        <v>1</v>
      </c>
      <c r="DO103" s="440">
        <v>1</v>
      </c>
      <c r="DP103" s="440">
        <v>1</v>
      </c>
      <c r="DQ103" s="440">
        <v>1</v>
      </c>
      <c r="DR103" s="440">
        <v>0</v>
      </c>
      <c r="DS103" s="440">
        <v>0</v>
      </c>
      <c r="DT103" s="442">
        <f t="shared" si="45"/>
        <v>0</v>
      </c>
      <c r="DU103" s="440">
        <v>0</v>
      </c>
      <c r="DV103" s="442">
        <f t="shared" si="64"/>
        <v>0</v>
      </c>
      <c r="DW103" s="441">
        <v>0</v>
      </c>
      <c r="DX103" s="435">
        <v>3000</v>
      </c>
      <c r="DY103" s="440">
        <v>-24</v>
      </c>
      <c r="DZ103" s="440">
        <v>-20</v>
      </c>
      <c r="EA103" s="440">
        <v>-16</v>
      </c>
      <c r="EB103" s="440">
        <v>-12</v>
      </c>
      <c r="EC103" s="440">
        <v>-8</v>
      </c>
      <c r="ED103" s="440">
        <v>-4</v>
      </c>
      <c r="EE103" s="442">
        <f t="shared" si="46"/>
        <v>-2</v>
      </c>
      <c r="EF103" s="440">
        <v>0</v>
      </c>
      <c r="EG103" s="442">
        <f t="shared" si="65"/>
        <v>2</v>
      </c>
      <c r="EH103" s="440">
        <v>4</v>
      </c>
      <c r="EI103" s="435">
        <v>3000</v>
      </c>
      <c r="EJ103" s="440">
        <v>3</v>
      </c>
      <c r="EK103" s="440">
        <v>2</v>
      </c>
      <c r="EL103" s="440">
        <v>2</v>
      </c>
      <c r="EM103" s="440">
        <v>1</v>
      </c>
      <c r="EN103" s="440">
        <v>1</v>
      </c>
      <c r="EO103" s="440">
        <v>0</v>
      </c>
      <c r="EP103" s="442">
        <f t="shared" si="66"/>
        <v>0</v>
      </c>
      <c r="EQ103" s="440">
        <v>0</v>
      </c>
      <c r="ER103" s="442">
        <f t="shared" si="67"/>
        <v>0</v>
      </c>
      <c r="ES103" s="441">
        <v>0</v>
      </c>
      <c r="ET103" s="435">
        <v>3000</v>
      </c>
      <c r="EU103" s="440">
        <v>-23</v>
      </c>
      <c r="EV103" s="440">
        <v>-19</v>
      </c>
      <c r="EW103" s="440">
        <v>-15</v>
      </c>
      <c r="EX103" s="440">
        <v>-11</v>
      </c>
      <c r="EY103" s="440">
        <v>-8</v>
      </c>
      <c r="EZ103" s="440">
        <v>-4</v>
      </c>
      <c r="FA103" s="442">
        <f t="shared" si="68"/>
        <v>-2</v>
      </c>
      <c r="FB103" s="440">
        <v>0</v>
      </c>
      <c r="FC103" s="442">
        <f t="shared" si="69"/>
        <v>2</v>
      </c>
      <c r="FD103" s="440">
        <v>4</v>
      </c>
      <c r="FE103" s="435">
        <v>3000</v>
      </c>
      <c r="FF103" s="440">
        <v>1</v>
      </c>
      <c r="FG103" s="440">
        <v>1</v>
      </c>
      <c r="FH103" s="440">
        <v>1</v>
      </c>
      <c r="FI103" s="440">
        <v>1</v>
      </c>
      <c r="FJ103" s="440">
        <v>0</v>
      </c>
      <c r="FK103" s="440">
        <v>0</v>
      </c>
      <c r="FL103" s="442">
        <f t="shared" si="47"/>
        <v>0</v>
      </c>
      <c r="FM103" s="440">
        <v>0</v>
      </c>
      <c r="FN103" s="442">
        <f t="shared" si="70"/>
        <v>0</v>
      </c>
      <c r="FO103" s="441">
        <v>0</v>
      </c>
      <c r="FP103" s="435">
        <v>3000</v>
      </c>
      <c r="FQ103" s="440">
        <v>-23</v>
      </c>
      <c r="FR103" s="440">
        <v>-19</v>
      </c>
      <c r="FS103" s="440">
        <v>-15</v>
      </c>
      <c r="FT103" s="440">
        <v>-11</v>
      </c>
      <c r="FU103" s="440">
        <v>-8</v>
      </c>
      <c r="FV103" s="440">
        <v>-4</v>
      </c>
      <c r="FW103" s="442">
        <f t="shared" si="48"/>
        <v>-2</v>
      </c>
      <c r="FX103" s="440">
        <v>0</v>
      </c>
      <c r="FY103" s="442">
        <f t="shared" si="71"/>
        <v>2</v>
      </c>
      <c r="FZ103" s="440">
        <v>4</v>
      </c>
      <c r="GA103" s="435">
        <v>3000</v>
      </c>
      <c r="GB103" s="440">
        <v>-36</v>
      </c>
      <c r="GC103" s="440">
        <v>-30</v>
      </c>
      <c r="GD103" s="440">
        <v>-24</v>
      </c>
      <c r="GE103" s="440">
        <v>-18</v>
      </c>
      <c r="GF103" s="440">
        <v>-12</v>
      </c>
      <c r="GG103" s="440">
        <v>-6</v>
      </c>
      <c r="GH103" s="442">
        <f t="shared" si="49"/>
        <v>-3</v>
      </c>
      <c r="GI103" s="440">
        <v>0</v>
      </c>
      <c r="GJ103" s="442">
        <f t="shared" si="72"/>
        <v>3</v>
      </c>
      <c r="GK103" s="441">
        <v>6</v>
      </c>
      <c r="GL103" s="435">
        <v>3000</v>
      </c>
      <c r="GM103" s="440">
        <v>-35</v>
      </c>
      <c r="GN103" s="440">
        <v>-29</v>
      </c>
      <c r="GO103" s="440">
        <v>-23</v>
      </c>
      <c r="GP103" s="440">
        <v>-17</v>
      </c>
      <c r="GQ103" s="440">
        <v>-12</v>
      </c>
      <c r="GR103" s="440">
        <v>-6</v>
      </c>
      <c r="GS103" s="442">
        <f t="shared" si="50"/>
        <v>-3</v>
      </c>
      <c r="GT103" s="440">
        <v>0</v>
      </c>
      <c r="GU103" s="442">
        <f t="shared" si="73"/>
        <v>3</v>
      </c>
      <c r="GV103" s="441">
        <v>6</v>
      </c>
    </row>
    <row r="104" spans="7:204">
      <c r="G104" s="450">
        <v>2900</v>
      </c>
      <c r="H104" s="445">
        <v>35</v>
      </c>
      <c r="I104" s="249">
        <v>29</v>
      </c>
      <c r="J104" s="248">
        <v>23</v>
      </c>
      <c r="K104" s="248">
        <v>18</v>
      </c>
      <c r="L104" s="249">
        <v>12</v>
      </c>
      <c r="M104" s="249">
        <v>6</v>
      </c>
      <c r="N104" s="249">
        <f t="shared" si="51"/>
        <v>3</v>
      </c>
      <c r="O104" s="249">
        <v>0</v>
      </c>
      <c r="P104" s="249">
        <f t="shared" si="52"/>
        <v>-3</v>
      </c>
      <c r="Q104" s="446">
        <v>-6</v>
      </c>
      <c r="R104" s="435">
        <v>2900</v>
      </c>
      <c r="S104" s="248">
        <v>11</v>
      </c>
      <c r="T104" s="248">
        <v>9</v>
      </c>
      <c r="U104" s="248">
        <v>8</v>
      </c>
      <c r="V104" s="248">
        <v>6</v>
      </c>
      <c r="W104" s="248">
        <v>4</v>
      </c>
      <c r="X104" s="248">
        <v>2</v>
      </c>
      <c r="Y104" s="249">
        <f t="shared" si="53"/>
        <v>1</v>
      </c>
      <c r="Z104" s="248">
        <v>0</v>
      </c>
      <c r="AA104" s="439">
        <f t="shared" si="54"/>
        <v>-1</v>
      </c>
      <c r="AB104" s="248">
        <v>-2</v>
      </c>
      <c r="AC104" s="435">
        <v>2900</v>
      </c>
      <c r="AD104" s="440">
        <v>-30</v>
      </c>
      <c r="AE104" s="440">
        <v>-25</v>
      </c>
      <c r="AF104" s="440">
        <v>-20</v>
      </c>
      <c r="AG104" s="440">
        <v>-15</v>
      </c>
      <c r="AH104" s="440">
        <v>-10</v>
      </c>
      <c r="AI104" s="440">
        <v>-5</v>
      </c>
      <c r="AJ104" s="249">
        <f t="shared" si="55"/>
        <v>-2.5</v>
      </c>
      <c r="AK104" s="248">
        <v>0</v>
      </c>
      <c r="AL104" s="439">
        <f t="shared" si="56"/>
        <v>2.5</v>
      </c>
      <c r="AM104" s="441">
        <v>5</v>
      </c>
      <c r="AN104" s="435">
        <v>2900</v>
      </c>
      <c r="AO104" s="440">
        <v>-54</v>
      </c>
      <c r="AP104" s="440">
        <v>-45</v>
      </c>
      <c r="AQ104" s="440">
        <v>-36</v>
      </c>
      <c r="AR104" s="440">
        <v>-27</v>
      </c>
      <c r="AS104" s="440">
        <v>-18</v>
      </c>
      <c r="AT104" s="440">
        <v>-9</v>
      </c>
      <c r="AU104" s="442">
        <f t="shared" si="38"/>
        <v>-4.5</v>
      </c>
      <c r="AV104" s="440">
        <v>0</v>
      </c>
      <c r="AW104" s="442">
        <f t="shared" si="57"/>
        <v>4.5</v>
      </c>
      <c r="AX104" s="441">
        <v>9</v>
      </c>
      <c r="AY104" s="435">
        <v>2900</v>
      </c>
      <c r="AZ104" s="440">
        <v>3</v>
      </c>
      <c r="BA104" s="440">
        <v>3</v>
      </c>
      <c r="BB104" s="440">
        <v>2</v>
      </c>
      <c r="BC104" s="440">
        <v>2</v>
      </c>
      <c r="BD104" s="440">
        <v>1</v>
      </c>
      <c r="BE104" s="440">
        <v>1</v>
      </c>
      <c r="BF104" s="442">
        <f t="shared" si="39"/>
        <v>0.5</v>
      </c>
      <c r="BG104" s="440">
        <v>0</v>
      </c>
      <c r="BH104" s="442">
        <f t="shared" si="58"/>
        <v>-0.5</v>
      </c>
      <c r="BI104" s="441">
        <v>-1</v>
      </c>
      <c r="BJ104" s="447">
        <v>2900</v>
      </c>
      <c r="BK104" s="440">
        <v>-31</v>
      </c>
      <c r="BL104" s="440">
        <v>-26</v>
      </c>
      <c r="BM104" s="440">
        <v>-21</v>
      </c>
      <c r="BN104" s="440">
        <v>-16</v>
      </c>
      <c r="BO104" s="440">
        <v>-10</v>
      </c>
      <c r="BP104" s="440">
        <v>-5</v>
      </c>
      <c r="BQ104" s="442">
        <f t="shared" si="40"/>
        <v>-2.5</v>
      </c>
      <c r="BR104" s="440">
        <v>0</v>
      </c>
      <c r="BS104" s="442">
        <f t="shared" si="59"/>
        <v>2.5</v>
      </c>
      <c r="BT104" s="440">
        <v>5</v>
      </c>
      <c r="BU104" s="435">
        <v>2900</v>
      </c>
      <c r="BV104" s="440">
        <v>1</v>
      </c>
      <c r="BW104" s="440">
        <v>1</v>
      </c>
      <c r="BX104" s="440">
        <v>1</v>
      </c>
      <c r="BY104" s="440">
        <v>1</v>
      </c>
      <c r="BZ104" s="440">
        <v>0</v>
      </c>
      <c r="CA104" s="440">
        <v>0</v>
      </c>
      <c r="CB104" s="442">
        <f t="shared" si="41"/>
        <v>0</v>
      </c>
      <c r="CC104" s="440">
        <v>0</v>
      </c>
      <c r="CD104" s="442">
        <f t="shared" si="60"/>
        <v>0</v>
      </c>
      <c r="CE104" s="441">
        <v>0</v>
      </c>
      <c r="CF104" s="435">
        <v>2900</v>
      </c>
      <c r="CG104" s="440">
        <v>-23</v>
      </c>
      <c r="CH104" s="440">
        <v>-19</v>
      </c>
      <c r="CI104" s="440">
        <v>-15</v>
      </c>
      <c r="CJ104" s="440">
        <v>-11</v>
      </c>
      <c r="CK104" s="440">
        <v>-8</v>
      </c>
      <c r="CL104" s="440">
        <v>-4</v>
      </c>
      <c r="CM104" s="442">
        <f t="shared" si="42"/>
        <v>-2</v>
      </c>
      <c r="CN104" s="440">
        <v>0</v>
      </c>
      <c r="CO104" s="442">
        <f t="shared" si="61"/>
        <v>2</v>
      </c>
      <c r="CP104" s="441">
        <v>4</v>
      </c>
      <c r="CQ104" s="435">
        <v>2900</v>
      </c>
      <c r="CR104" s="440">
        <v>1</v>
      </c>
      <c r="CS104" s="440">
        <v>1</v>
      </c>
      <c r="CT104" s="440">
        <v>1</v>
      </c>
      <c r="CU104" s="440">
        <v>0</v>
      </c>
      <c r="CV104" s="440">
        <v>0</v>
      </c>
      <c r="CW104" s="440">
        <v>0</v>
      </c>
      <c r="CX104" s="442">
        <f t="shared" si="43"/>
        <v>0</v>
      </c>
      <c r="CY104" s="440">
        <v>0</v>
      </c>
      <c r="CZ104" s="442">
        <f t="shared" si="62"/>
        <v>0</v>
      </c>
      <c r="DA104" s="441">
        <v>0</v>
      </c>
      <c r="DB104" s="435">
        <v>2900</v>
      </c>
      <c r="DC104" s="440">
        <v>-21</v>
      </c>
      <c r="DD104" s="440">
        <v>-18</v>
      </c>
      <c r="DE104" s="440">
        <v>-14</v>
      </c>
      <c r="DF104" s="440">
        <v>-11</v>
      </c>
      <c r="DG104" s="440">
        <v>-7</v>
      </c>
      <c r="DH104" s="440">
        <v>-4</v>
      </c>
      <c r="DI104" s="442">
        <f t="shared" si="44"/>
        <v>-2</v>
      </c>
      <c r="DJ104" s="440">
        <v>0</v>
      </c>
      <c r="DK104" s="442">
        <f t="shared" si="63"/>
        <v>2</v>
      </c>
      <c r="DL104" s="441">
        <v>4</v>
      </c>
      <c r="DM104" s="435">
        <v>2900</v>
      </c>
      <c r="DN104" s="440">
        <v>1</v>
      </c>
      <c r="DO104" s="440">
        <v>1</v>
      </c>
      <c r="DP104" s="440">
        <v>1</v>
      </c>
      <c r="DQ104" s="440">
        <v>1</v>
      </c>
      <c r="DR104" s="440">
        <v>0</v>
      </c>
      <c r="DS104" s="440">
        <v>0</v>
      </c>
      <c r="DT104" s="442">
        <f t="shared" si="45"/>
        <v>0</v>
      </c>
      <c r="DU104" s="440">
        <v>0</v>
      </c>
      <c r="DV104" s="442">
        <f t="shared" si="64"/>
        <v>0</v>
      </c>
      <c r="DW104" s="441">
        <v>0</v>
      </c>
      <c r="DX104" s="435">
        <v>2900</v>
      </c>
      <c r="DY104" s="440">
        <v>-24</v>
      </c>
      <c r="DZ104" s="440">
        <v>-20</v>
      </c>
      <c r="EA104" s="440">
        <v>-16</v>
      </c>
      <c r="EB104" s="440">
        <v>-12</v>
      </c>
      <c r="EC104" s="440">
        <v>-8</v>
      </c>
      <c r="ED104" s="440">
        <v>-4</v>
      </c>
      <c r="EE104" s="442">
        <f t="shared" si="46"/>
        <v>-2</v>
      </c>
      <c r="EF104" s="440">
        <v>0</v>
      </c>
      <c r="EG104" s="442">
        <f t="shared" si="65"/>
        <v>2</v>
      </c>
      <c r="EH104" s="440">
        <v>4</v>
      </c>
      <c r="EI104" s="435">
        <v>2900</v>
      </c>
      <c r="EJ104" s="440">
        <v>3</v>
      </c>
      <c r="EK104" s="440">
        <v>2</v>
      </c>
      <c r="EL104" s="440">
        <v>2</v>
      </c>
      <c r="EM104" s="440">
        <v>1</v>
      </c>
      <c r="EN104" s="440">
        <v>1</v>
      </c>
      <c r="EO104" s="440">
        <v>0</v>
      </c>
      <c r="EP104" s="442">
        <f t="shared" si="66"/>
        <v>0</v>
      </c>
      <c r="EQ104" s="440">
        <v>0</v>
      </c>
      <c r="ER104" s="442">
        <f t="shared" si="67"/>
        <v>0</v>
      </c>
      <c r="ES104" s="441">
        <v>0</v>
      </c>
      <c r="ET104" s="435">
        <v>2900</v>
      </c>
      <c r="EU104" s="440">
        <v>-23</v>
      </c>
      <c r="EV104" s="440">
        <v>-19</v>
      </c>
      <c r="EW104" s="440">
        <v>-15</v>
      </c>
      <c r="EX104" s="440">
        <v>-11</v>
      </c>
      <c r="EY104" s="440">
        <v>-8</v>
      </c>
      <c r="EZ104" s="440">
        <v>-4</v>
      </c>
      <c r="FA104" s="442">
        <f t="shared" si="68"/>
        <v>-2</v>
      </c>
      <c r="FB104" s="440">
        <v>0</v>
      </c>
      <c r="FC104" s="442">
        <f t="shared" si="69"/>
        <v>2</v>
      </c>
      <c r="FD104" s="440">
        <v>4</v>
      </c>
      <c r="FE104" s="435">
        <v>2900</v>
      </c>
      <c r="FF104" s="440">
        <v>1</v>
      </c>
      <c r="FG104" s="440">
        <v>1</v>
      </c>
      <c r="FH104" s="440">
        <v>1</v>
      </c>
      <c r="FI104" s="440">
        <v>1</v>
      </c>
      <c r="FJ104" s="440">
        <v>0</v>
      </c>
      <c r="FK104" s="440">
        <v>0</v>
      </c>
      <c r="FL104" s="442">
        <f t="shared" si="47"/>
        <v>0</v>
      </c>
      <c r="FM104" s="440">
        <v>0</v>
      </c>
      <c r="FN104" s="442">
        <f t="shared" si="70"/>
        <v>0</v>
      </c>
      <c r="FO104" s="441">
        <v>0</v>
      </c>
      <c r="FP104" s="435">
        <v>2900</v>
      </c>
      <c r="FQ104" s="440">
        <v>-23</v>
      </c>
      <c r="FR104" s="440">
        <v>-19</v>
      </c>
      <c r="FS104" s="440">
        <v>-15</v>
      </c>
      <c r="FT104" s="440">
        <v>-11</v>
      </c>
      <c r="FU104" s="440">
        <v>-8</v>
      </c>
      <c r="FV104" s="440">
        <v>-4</v>
      </c>
      <c r="FW104" s="442">
        <f t="shared" si="48"/>
        <v>-2</v>
      </c>
      <c r="FX104" s="440">
        <v>0</v>
      </c>
      <c r="FY104" s="442">
        <f t="shared" si="71"/>
        <v>2</v>
      </c>
      <c r="FZ104" s="440">
        <v>4</v>
      </c>
      <c r="GA104" s="435">
        <v>2900</v>
      </c>
      <c r="GB104" s="440">
        <v>-36</v>
      </c>
      <c r="GC104" s="440">
        <v>-30</v>
      </c>
      <c r="GD104" s="440">
        <v>-24</v>
      </c>
      <c r="GE104" s="440">
        <v>-18</v>
      </c>
      <c r="GF104" s="440">
        <v>-12</v>
      </c>
      <c r="GG104" s="440">
        <v>-6</v>
      </c>
      <c r="GH104" s="442">
        <f t="shared" si="49"/>
        <v>-3</v>
      </c>
      <c r="GI104" s="440">
        <v>0</v>
      </c>
      <c r="GJ104" s="442">
        <f t="shared" si="72"/>
        <v>3</v>
      </c>
      <c r="GK104" s="441">
        <v>6</v>
      </c>
      <c r="GL104" s="435">
        <v>2900</v>
      </c>
      <c r="GM104" s="440">
        <v>-35</v>
      </c>
      <c r="GN104" s="440">
        <v>-29</v>
      </c>
      <c r="GO104" s="440">
        <v>-23</v>
      </c>
      <c r="GP104" s="440">
        <v>-17</v>
      </c>
      <c r="GQ104" s="440">
        <v>-12</v>
      </c>
      <c r="GR104" s="440">
        <v>-6</v>
      </c>
      <c r="GS104" s="442">
        <f t="shared" si="50"/>
        <v>-3</v>
      </c>
      <c r="GT104" s="440">
        <v>0</v>
      </c>
      <c r="GU104" s="442">
        <f t="shared" si="73"/>
        <v>3</v>
      </c>
      <c r="GV104" s="441">
        <v>6</v>
      </c>
    </row>
    <row r="105" spans="7:204">
      <c r="G105" s="450">
        <v>2800</v>
      </c>
      <c r="H105" s="445">
        <v>35</v>
      </c>
      <c r="I105" s="249">
        <v>29</v>
      </c>
      <c r="J105" s="248">
        <v>23</v>
      </c>
      <c r="K105" s="248">
        <v>18</v>
      </c>
      <c r="L105" s="249">
        <v>12</v>
      </c>
      <c r="M105" s="249">
        <v>6</v>
      </c>
      <c r="N105" s="249">
        <f t="shared" si="51"/>
        <v>3</v>
      </c>
      <c r="O105" s="249">
        <v>0</v>
      </c>
      <c r="P105" s="249">
        <f t="shared" si="52"/>
        <v>-3</v>
      </c>
      <c r="Q105" s="446">
        <v>-6</v>
      </c>
      <c r="R105" s="435">
        <v>2800</v>
      </c>
      <c r="S105" s="248">
        <v>11</v>
      </c>
      <c r="T105" s="248">
        <v>9</v>
      </c>
      <c r="U105" s="248">
        <v>8</v>
      </c>
      <c r="V105" s="248">
        <v>6</v>
      </c>
      <c r="W105" s="248">
        <v>4</v>
      </c>
      <c r="X105" s="248">
        <v>2</v>
      </c>
      <c r="Y105" s="249">
        <f t="shared" si="53"/>
        <v>1</v>
      </c>
      <c r="Z105" s="248">
        <v>0</v>
      </c>
      <c r="AA105" s="439">
        <f t="shared" si="54"/>
        <v>-1</v>
      </c>
      <c r="AB105" s="248">
        <v>-2</v>
      </c>
      <c r="AC105" s="435">
        <v>2800</v>
      </c>
      <c r="AD105" s="440">
        <v>-30</v>
      </c>
      <c r="AE105" s="440">
        <v>-25</v>
      </c>
      <c r="AF105" s="440">
        <v>-20</v>
      </c>
      <c r="AG105" s="440">
        <v>-15</v>
      </c>
      <c r="AH105" s="440">
        <v>-10</v>
      </c>
      <c r="AI105" s="440">
        <v>-5</v>
      </c>
      <c r="AJ105" s="249">
        <f t="shared" si="55"/>
        <v>-2.5</v>
      </c>
      <c r="AK105" s="248">
        <v>0</v>
      </c>
      <c r="AL105" s="439">
        <f t="shared" si="56"/>
        <v>2.5</v>
      </c>
      <c r="AM105" s="441">
        <v>5</v>
      </c>
      <c r="AN105" s="435">
        <v>2800</v>
      </c>
      <c r="AO105" s="440">
        <v>-54</v>
      </c>
      <c r="AP105" s="440">
        <v>-45</v>
      </c>
      <c r="AQ105" s="440">
        <v>-36</v>
      </c>
      <c r="AR105" s="440">
        <v>-27</v>
      </c>
      <c r="AS105" s="440">
        <v>-18</v>
      </c>
      <c r="AT105" s="440">
        <v>-9</v>
      </c>
      <c r="AU105" s="442">
        <f t="shared" si="38"/>
        <v>-4.5</v>
      </c>
      <c r="AV105" s="440">
        <v>0</v>
      </c>
      <c r="AW105" s="442">
        <f t="shared" si="57"/>
        <v>4.5</v>
      </c>
      <c r="AX105" s="441">
        <v>9</v>
      </c>
      <c r="AY105" s="435">
        <v>2800</v>
      </c>
      <c r="AZ105" s="440">
        <v>3</v>
      </c>
      <c r="BA105" s="440">
        <v>3</v>
      </c>
      <c r="BB105" s="440">
        <v>2</v>
      </c>
      <c r="BC105" s="440">
        <v>2</v>
      </c>
      <c r="BD105" s="440">
        <v>1</v>
      </c>
      <c r="BE105" s="440">
        <v>1</v>
      </c>
      <c r="BF105" s="442">
        <f t="shared" si="39"/>
        <v>0.5</v>
      </c>
      <c r="BG105" s="440">
        <v>0</v>
      </c>
      <c r="BH105" s="442">
        <f t="shared" si="58"/>
        <v>-0.5</v>
      </c>
      <c r="BI105" s="441">
        <v>-1</v>
      </c>
      <c r="BJ105" s="447">
        <v>2800</v>
      </c>
      <c r="BK105" s="440">
        <v>-31</v>
      </c>
      <c r="BL105" s="440">
        <v>-26</v>
      </c>
      <c r="BM105" s="440">
        <v>-21</v>
      </c>
      <c r="BN105" s="440">
        <v>-16</v>
      </c>
      <c r="BO105" s="440">
        <v>-10</v>
      </c>
      <c r="BP105" s="440">
        <v>-5</v>
      </c>
      <c r="BQ105" s="442">
        <f t="shared" si="40"/>
        <v>-2.5</v>
      </c>
      <c r="BR105" s="440">
        <v>0</v>
      </c>
      <c r="BS105" s="442">
        <f t="shared" si="59"/>
        <v>2.5</v>
      </c>
      <c r="BT105" s="440">
        <v>5</v>
      </c>
      <c r="BU105" s="435">
        <v>2800</v>
      </c>
      <c r="BV105" s="440">
        <v>1</v>
      </c>
      <c r="BW105" s="440">
        <v>1</v>
      </c>
      <c r="BX105" s="440">
        <v>1</v>
      </c>
      <c r="BY105" s="440">
        <v>1</v>
      </c>
      <c r="BZ105" s="440">
        <v>0</v>
      </c>
      <c r="CA105" s="440">
        <v>0</v>
      </c>
      <c r="CB105" s="442">
        <f t="shared" si="41"/>
        <v>0</v>
      </c>
      <c r="CC105" s="440">
        <v>0</v>
      </c>
      <c r="CD105" s="442">
        <f t="shared" si="60"/>
        <v>0</v>
      </c>
      <c r="CE105" s="441">
        <v>0</v>
      </c>
      <c r="CF105" s="435">
        <v>2800</v>
      </c>
      <c r="CG105" s="440">
        <v>-23</v>
      </c>
      <c r="CH105" s="440">
        <v>-19</v>
      </c>
      <c r="CI105" s="440">
        <v>-15</v>
      </c>
      <c r="CJ105" s="440">
        <v>-11</v>
      </c>
      <c r="CK105" s="440">
        <v>-8</v>
      </c>
      <c r="CL105" s="440">
        <v>-4</v>
      </c>
      <c r="CM105" s="442">
        <f t="shared" si="42"/>
        <v>-2</v>
      </c>
      <c r="CN105" s="440">
        <v>0</v>
      </c>
      <c r="CO105" s="442">
        <f t="shared" si="61"/>
        <v>2</v>
      </c>
      <c r="CP105" s="441">
        <v>4</v>
      </c>
      <c r="CQ105" s="435">
        <v>2800</v>
      </c>
      <c r="CR105" s="440">
        <v>1</v>
      </c>
      <c r="CS105" s="440">
        <v>1</v>
      </c>
      <c r="CT105" s="440">
        <v>1</v>
      </c>
      <c r="CU105" s="440">
        <v>0</v>
      </c>
      <c r="CV105" s="440">
        <v>0</v>
      </c>
      <c r="CW105" s="440">
        <v>0</v>
      </c>
      <c r="CX105" s="442">
        <f t="shared" si="43"/>
        <v>0</v>
      </c>
      <c r="CY105" s="440">
        <v>0</v>
      </c>
      <c r="CZ105" s="442">
        <f t="shared" si="62"/>
        <v>0</v>
      </c>
      <c r="DA105" s="441">
        <v>0</v>
      </c>
      <c r="DB105" s="435">
        <v>2800</v>
      </c>
      <c r="DC105" s="440">
        <v>-21</v>
      </c>
      <c r="DD105" s="440">
        <v>-18</v>
      </c>
      <c r="DE105" s="440">
        <v>-14</v>
      </c>
      <c r="DF105" s="440">
        <v>-11</v>
      </c>
      <c r="DG105" s="440">
        <v>-7</v>
      </c>
      <c r="DH105" s="440">
        <v>-4</v>
      </c>
      <c r="DI105" s="442">
        <f t="shared" si="44"/>
        <v>-2</v>
      </c>
      <c r="DJ105" s="440">
        <v>0</v>
      </c>
      <c r="DK105" s="442">
        <f t="shared" si="63"/>
        <v>2</v>
      </c>
      <c r="DL105" s="441">
        <v>4</v>
      </c>
      <c r="DM105" s="435">
        <v>2800</v>
      </c>
      <c r="DN105" s="440">
        <v>1</v>
      </c>
      <c r="DO105" s="440">
        <v>1</v>
      </c>
      <c r="DP105" s="440">
        <v>1</v>
      </c>
      <c r="DQ105" s="440">
        <v>1</v>
      </c>
      <c r="DR105" s="440">
        <v>0</v>
      </c>
      <c r="DS105" s="440">
        <v>0</v>
      </c>
      <c r="DT105" s="442">
        <f t="shared" si="45"/>
        <v>0</v>
      </c>
      <c r="DU105" s="440">
        <v>0</v>
      </c>
      <c r="DV105" s="442">
        <f t="shared" si="64"/>
        <v>0</v>
      </c>
      <c r="DW105" s="441">
        <v>0</v>
      </c>
      <c r="DX105" s="435">
        <v>2800</v>
      </c>
      <c r="DY105" s="440">
        <v>-24</v>
      </c>
      <c r="DZ105" s="440">
        <v>-20</v>
      </c>
      <c r="EA105" s="440">
        <v>-16</v>
      </c>
      <c r="EB105" s="440">
        <v>-12</v>
      </c>
      <c r="EC105" s="440">
        <v>-8</v>
      </c>
      <c r="ED105" s="440">
        <v>-4</v>
      </c>
      <c r="EE105" s="442">
        <f t="shared" si="46"/>
        <v>-2</v>
      </c>
      <c r="EF105" s="440">
        <v>0</v>
      </c>
      <c r="EG105" s="442">
        <f t="shared" si="65"/>
        <v>2</v>
      </c>
      <c r="EH105" s="440">
        <v>4</v>
      </c>
      <c r="EI105" s="435">
        <v>2800</v>
      </c>
      <c r="EJ105" s="440">
        <v>3</v>
      </c>
      <c r="EK105" s="440">
        <v>2</v>
      </c>
      <c r="EL105" s="440">
        <v>2</v>
      </c>
      <c r="EM105" s="440">
        <v>1</v>
      </c>
      <c r="EN105" s="440">
        <v>1</v>
      </c>
      <c r="EO105" s="440">
        <v>0</v>
      </c>
      <c r="EP105" s="442">
        <f t="shared" si="66"/>
        <v>0</v>
      </c>
      <c r="EQ105" s="440">
        <v>0</v>
      </c>
      <c r="ER105" s="442">
        <f t="shared" si="67"/>
        <v>0</v>
      </c>
      <c r="ES105" s="441">
        <v>0</v>
      </c>
      <c r="ET105" s="435">
        <v>2800</v>
      </c>
      <c r="EU105" s="440">
        <v>-23</v>
      </c>
      <c r="EV105" s="440">
        <v>-19</v>
      </c>
      <c r="EW105" s="440">
        <v>-15</v>
      </c>
      <c r="EX105" s="440">
        <v>-11</v>
      </c>
      <c r="EY105" s="440">
        <v>-8</v>
      </c>
      <c r="EZ105" s="440">
        <v>-4</v>
      </c>
      <c r="FA105" s="442">
        <f t="shared" si="68"/>
        <v>-2</v>
      </c>
      <c r="FB105" s="440">
        <v>0</v>
      </c>
      <c r="FC105" s="442">
        <f t="shared" si="69"/>
        <v>2</v>
      </c>
      <c r="FD105" s="440">
        <v>4</v>
      </c>
      <c r="FE105" s="435">
        <v>2800</v>
      </c>
      <c r="FF105" s="440">
        <v>1</v>
      </c>
      <c r="FG105" s="440">
        <v>1</v>
      </c>
      <c r="FH105" s="440">
        <v>1</v>
      </c>
      <c r="FI105" s="440">
        <v>1</v>
      </c>
      <c r="FJ105" s="440">
        <v>0</v>
      </c>
      <c r="FK105" s="440">
        <v>0</v>
      </c>
      <c r="FL105" s="442">
        <f t="shared" si="47"/>
        <v>0</v>
      </c>
      <c r="FM105" s="440">
        <v>0</v>
      </c>
      <c r="FN105" s="442">
        <f t="shared" si="70"/>
        <v>0</v>
      </c>
      <c r="FO105" s="441">
        <v>0</v>
      </c>
      <c r="FP105" s="435">
        <v>2800</v>
      </c>
      <c r="FQ105" s="440">
        <v>-23</v>
      </c>
      <c r="FR105" s="440">
        <v>-19</v>
      </c>
      <c r="FS105" s="440">
        <v>-15</v>
      </c>
      <c r="FT105" s="440">
        <v>-11</v>
      </c>
      <c r="FU105" s="440">
        <v>-8</v>
      </c>
      <c r="FV105" s="440">
        <v>-4</v>
      </c>
      <c r="FW105" s="442">
        <f t="shared" si="48"/>
        <v>-2</v>
      </c>
      <c r="FX105" s="440">
        <v>0</v>
      </c>
      <c r="FY105" s="442">
        <f t="shared" si="71"/>
        <v>2</v>
      </c>
      <c r="FZ105" s="440">
        <v>4</v>
      </c>
      <c r="GA105" s="435">
        <v>2800</v>
      </c>
      <c r="GB105" s="440">
        <v>-36</v>
      </c>
      <c r="GC105" s="440">
        <v>-30</v>
      </c>
      <c r="GD105" s="440">
        <v>-24</v>
      </c>
      <c r="GE105" s="440">
        <v>-18</v>
      </c>
      <c r="GF105" s="440">
        <v>-12</v>
      </c>
      <c r="GG105" s="440">
        <v>-6</v>
      </c>
      <c r="GH105" s="442">
        <f t="shared" si="49"/>
        <v>-3</v>
      </c>
      <c r="GI105" s="440">
        <v>0</v>
      </c>
      <c r="GJ105" s="442">
        <f t="shared" si="72"/>
        <v>3</v>
      </c>
      <c r="GK105" s="441">
        <v>6</v>
      </c>
      <c r="GL105" s="435">
        <v>2800</v>
      </c>
      <c r="GM105" s="440">
        <v>-35</v>
      </c>
      <c r="GN105" s="440">
        <v>-29</v>
      </c>
      <c r="GO105" s="440">
        <v>-23</v>
      </c>
      <c r="GP105" s="440">
        <v>-17</v>
      </c>
      <c r="GQ105" s="440">
        <v>-12</v>
      </c>
      <c r="GR105" s="440">
        <v>-6</v>
      </c>
      <c r="GS105" s="442">
        <f t="shared" si="50"/>
        <v>-3</v>
      </c>
      <c r="GT105" s="440">
        <v>0</v>
      </c>
      <c r="GU105" s="442">
        <f t="shared" si="73"/>
        <v>3</v>
      </c>
      <c r="GV105" s="441">
        <v>6</v>
      </c>
    </row>
    <row r="106" spans="7:204">
      <c r="G106" s="450">
        <v>2700</v>
      </c>
      <c r="H106" s="445">
        <v>35</v>
      </c>
      <c r="I106" s="249">
        <v>29</v>
      </c>
      <c r="J106" s="248">
        <v>23</v>
      </c>
      <c r="K106" s="248">
        <v>18</v>
      </c>
      <c r="L106" s="249">
        <v>12</v>
      </c>
      <c r="M106" s="249">
        <v>6</v>
      </c>
      <c r="N106" s="249">
        <f t="shared" si="51"/>
        <v>3</v>
      </c>
      <c r="O106" s="249">
        <v>0</v>
      </c>
      <c r="P106" s="249">
        <f t="shared" si="52"/>
        <v>-3</v>
      </c>
      <c r="Q106" s="446">
        <v>-6</v>
      </c>
      <c r="R106" s="435">
        <v>2700</v>
      </c>
      <c r="S106" s="248">
        <v>11</v>
      </c>
      <c r="T106" s="248">
        <v>9</v>
      </c>
      <c r="U106" s="248">
        <v>8</v>
      </c>
      <c r="V106" s="248">
        <v>6</v>
      </c>
      <c r="W106" s="248">
        <v>4</v>
      </c>
      <c r="X106" s="248">
        <v>2</v>
      </c>
      <c r="Y106" s="249">
        <f t="shared" si="53"/>
        <v>1</v>
      </c>
      <c r="Z106" s="248">
        <v>0</v>
      </c>
      <c r="AA106" s="439">
        <f t="shared" si="54"/>
        <v>-1</v>
      </c>
      <c r="AB106" s="248">
        <v>-2</v>
      </c>
      <c r="AC106" s="435">
        <v>2700</v>
      </c>
      <c r="AD106" s="440">
        <v>-30</v>
      </c>
      <c r="AE106" s="440">
        <v>-25</v>
      </c>
      <c r="AF106" s="440">
        <v>-20</v>
      </c>
      <c r="AG106" s="440">
        <v>-15</v>
      </c>
      <c r="AH106" s="440">
        <v>-10</v>
      </c>
      <c r="AI106" s="440">
        <v>-5</v>
      </c>
      <c r="AJ106" s="249">
        <f t="shared" si="55"/>
        <v>-2.5</v>
      </c>
      <c r="AK106" s="248">
        <v>0</v>
      </c>
      <c r="AL106" s="439">
        <f t="shared" si="56"/>
        <v>2.5</v>
      </c>
      <c r="AM106" s="441">
        <v>5</v>
      </c>
      <c r="AN106" s="435">
        <v>2700</v>
      </c>
      <c r="AO106" s="440">
        <v>-54</v>
      </c>
      <c r="AP106" s="440">
        <v>-45</v>
      </c>
      <c r="AQ106" s="440">
        <v>-36</v>
      </c>
      <c r="AR106" s="440">
        <v>-27</v>
      </c>
      <c r="AS106" s="440">
        <v>-18</v>
      </c>
      <c r="AT106" s="440">
        <v>-9</v>
      </c>
      <c r="AU106" s="442">
        <f t="shared" si="38"/>
        <v>-4.5</v>
      </c>
      <c r="AV106" s="440">
        <v>0</v>
      </c>
      <c r="AW106" s="442">
        <f t="shared" si="57"/>
        <v>4.5</v>
      </c>
      <c r="AX106" s="441">
        <v>9</v>
      </c>
      <c r="AY106" s="435">
        <v>2700</v>
      </c>
      <c r="AZ106" s="440">
        <v>3</v>
      </c>
      <c r="BA106" s="440">
        <v>3</v>
      </c>
      <c r="BB106" s="440">
        <v>2</v>
      </c>
      <c r="BC106" s="440">
        <v>2</v>
      </c>
      <c r="BD106" s="440">
        <v>1</v>
      </c>
      <c r="BE106" s="440">
        <v>1</v>
      </c>
      <c r="BF106" s="442">
        <f t="shared" si="39"/>
        <v>0.5</v>
      </c>
      <c r="BG106" s="440">
        <v>0</v>
      </c>
      <c r="BH106" s="442">
        <f t="shared" si="58"/>
        <v>-0.5</v>
      </c>
      <c r="BI106" s="441">
        <v>-1</v>
      </c>
      <c r="BJ106" s="447">
        <v>2700</v>
      </c>
      <c r="BK106" s="440">
        <v>-31</v>
      </c>
      <c r="BL106" s="440">
        <v>-26</v>
      </c>
      <c r="BM106" s="440">
        <v>-21</v>
      </c>
      <c r="BN106" s="440">
        <v>-16</v>
      </c>
      <c r="BO106" s="440">
        <v>-10</v>
      </c>
      <c r="BP106" s="440">
        <v>-5</v>
      </c>
      <c r="BQ106" s="442">
        <f t="shared" si="40"/>
        <v>-2.5</v>
      </c>
      <c r="BR106" s="440">
        <v>0</v>
      </c>
      <c r="BS106" s="442">
        <f t="shared" si="59"/>
        <v>2.5</v>
      </c>
      <c r="BT106" s="440">
        <v>5</v>
      </c>
      <c r="BU106" s="435">
        <v>2700</v>
      </c>
      <c r="BV106" s="440">
        <v>1</v>
      </c>
      <c r="BW106" s="440">
        <v>1</v>
      </c>
      <c r="BX106" s="440">
        <v>1</v>
      </c>
      <c r="BY106" s="440">
        <v>1</v>
      </c>
      <c r="BZ106" s="440">
        <v>0</v>
      </c>
      <c r="CA106" s="440">
        <v>0</v>
      </c>
      <c r="CB106" s="442">
        <f t="shared" si="41"/>
        <v>0</v>
      </c>
      <c r="CC106" s="440">
        <v>0</v>
      </c>
      <c r="CD106" s="442">
        <f t="shared" si="60"/>
        <v>0</v>
      </c>
      <c r="CE106" s="441">
        <v>0</v>
      </c>
      <c r="CF106" s="435">
        <v>2700</v>
      </c>
      <c r="CG106" s="440">
        <v>-23</v>
      </c>
      <c r="CH106" s="440">
        <v>-19</v>
      </c>
      <c r="CI106" s="440">
        <v>-15</v>
      </c>
      <c r="CJ106" s="440">
        <v>-11</v>
      </c>
      <c r="CK106" s="440">
        <v>-8</v>
      </c>
      <c r="CL106" s="440">
        <v>-4</v>
      </c>
      <c r="CM106" s="442">
        <f t="shared" si="42"/>
        <v>-2</v>
      </c>
      <c r="CN106" s="440">
        <v>0</v>
      </c>
      <c r="CO106" s="442">
        <f t="shared" si="61"/>
        <v>2</v>
      </c>
      <c r="CP106" s="441">
        <v>4</v>
      </c>
      <c r="CQ106" s="435">
        <v>2700</v>
      </c>
      <c r="CR106" s="440">
        <v>1</v>
      </c>
      <c r="CS106" s="440">
        <v>1</v>
      </c>
      <c r="CT106" s="440">
        <v>1</v>
      </c>
      <c r="CU106" s="440">
        <v>0</v>
      </c>
      <c r="CV106" s="440">
        <v>0</v>
      </c>
      <c r="CW106" s="440">
        <v>0</v>
      </c>
      <c r="CX106" s="442">
        <f t="shared" si="43"/>
        <v>0</v>
      </c>
      <c r="CY106" s="440">
        <v>0</v>
      </c>
      <c r="CZ106" s="442">
        <f t="shared" si="62"/>
        <v>0</v>
      </c>
      <c r="DA106" s="441">
        <v>0</v>
      </c>
      <c r="DB106" s="435">
        <v>2700</v>
      </c>
      <c r="DC106" s="440">
        <v>-21</v>
      </c>
      <c r="DD106" s="440">
        <v>-18</v>
      </c>
      <c r="DE106" s="440">
        <v>-14</v>
      </c>
      <c r="DF106" s="440">
        <v>-11</v>
      </c>
      <c r="DG106" s="440">
        <v>-7</v>
      </c>
      <c r="DH106" s="440">
        <v>-4</v>
      </c>
      <c r="DI106" s="442">
        <f t="shared" si="44"/>
        <v>-2</v>
      </c>
      <c r="DJ106" s="440">
        <v>0</v>
      </c>
      <c r="DK106" s="442">
        <f t="shared" si="63"/>
        <v>2</v>
      </c>
      <c r="DL106" s="441">
        <v>4</v>
      </c>
      <c r="DM106" s="435">
        <v>2700</v>
      </c>
      <c r="DN106" s="440">
        <v>1</v>
      </c>
      <c r="DO106" s="440">
        <v>1</v>
      </c>
      <c r="DP106" s="440">
        <v>1</v>
      </c>
      <c r="DQ106" s="440">
        <v>1</v>
      </c>
      <c r="DR106" s="440">
        <v>0</v>
      </c>
      <c r="DS106" s="440">
        <v>0</v>
      </c>
      <c r="DT106" s="442">
        <f t="shared" si="45"/>
        <v>0</v>
      </c>
      <c r="DU106" s="440">
        <v>0</v>
      </c>
      <c r="DV106" s="442">
        <f t="shared" si="64"/>
        <v>0</v>
      </c>
      <c r="DW106" s="441">
        <v>0</v>
      </c>
      <c r="DX106" s="435">
        <v>2700</v>
      </c>
      <c r="DY106" s="440">
        <v>-24</v>
      </c>
      <c r="DZ106" s="440">
        <v>-20</v>
      </c>
      <c r="EA106" s="440">
        <v>-16</v>
      </c>
      <c r="EB106" s="440">
        <v>-12</v>
      </c>
      <c r="EC106" s="440">
        <v>-8</v>
      </c>
      <c r="ED106" s="440">
        <v>-4</v>
      </c>
      <c r="EE106" s="442">
        <f t="shared" si="46"/>
        <v>-2</v>
      </c>
      <c r="EF106" s="440">
        <v>0</v>
      </c>
      <c r="EG106" s="442">
        <f t="shared" si="65"/>
        <v>2</v>
      </c>
      <c r="EH106" s="440">
        <v>4</v>
      </c>
      <c r="EI106" s="435">
        <v>2700</v>
      </c>
      <c r="EJ106" s="440">
        <v>3</v>
      </c>
      <c r="EK106" s="440">
        <v>2</v>
      </c>
      <c r="EL106" s="440">
        <v>2</v>
      </c>
      <c r="EM106" s="440">
        <v>1</v>
      </c>
      <c r="EN106" s="440">
        <v>1</v>
      </c>
      <c r="EO106" s="440">
        <v>0</v>
      </c>
      <c r="EP106" s="442">
        <f t="shared" si="66"/>
        <v>0</v>
      </c>
      <c r="EQ106" s="440">
        <v>0</v>
      </c>
      <c r="ER106" s="442">
        <f t="shared" si="67"/>
        <v>0</v>
      </c>
      <c r="ES106" s="441">
        <v>0</v>
      </c>
      <c r="ET106" s="435">
        <v>2700</v>
      </c>
      <c r="EU106" s="440">
        <v>-23</v>
      </c>
      <c r="EV106" s="440">
        <v>-19</v>
      </c>
      <c r="EW106" s="440">
        <v>-15</v>
      </c>
      <c r="EX106" s="440">
        <v>-11</v>
      </c>
      <c r="EY106" s="440">
        <v>-8</v>
      </c>
      <c r="EZ106" s="440">
        <v>-4</v>
      </c>
      <c r="FA106" s="442">
        <f t="shared" si="68"/>
        <v>-2</v>
      </c>
      <c r="FB106" s="440">
        <v>0</v>
      </c>
      <c r="FC106" s="442">
        <f t="shared" si="69"/>
        <v>2</v>
      </c>
      <c r="FD106" s="440">
        <v>4</v>
      </c>
      <c r="FE106" s="435">
        <v>2700</v>
      </c>
      <c r="FF106" s="440">
        <v>1</v>
      </c>
      <c r="FG106" s="440">
        <v>1</v>
      </c>
      <c r="FH106" s="440">
        <v>1</v>
      </c>
      <c r="FI106" s="440">
        <v>1</v>
      </c>
      <c r="FJ106" s="440">
        <v>0</v>
      </c>
      <c r="FK106" s="440">
        <v>0</v>
      </c>
      <c r="FL106" s="442">
        <f t="shared" si="47"/>
        <v>0</v>
      </c>
      <c r="FM106" s="440">
        <v>0</v>
      </c>
      <c r="FN106" s="442">
        <f t="shared" si="70"/>
        <v>0</v>
      </c>
      <c r="FO106" s="441">
        <v>0</v>
      </c>
      <c r="FP106" s="435">
        <v>2700</v>
      </c>
      <c r="FQ106" s="440">
        <v>-23</v>
      </c>
      <c r="FR106" s="440">
        <v>-19</v>
      </c>
      <c r="FS106" s="440">
        <v>-15</v>
      </c>
      <c r="FT106" s="440">
        <v>-11</v>
      </c>
      <c r="FU106" s="440">
        <v>-8</v>
      </c>
      <c r="FV106" s="440">
        <v>-4</v>
      </c>
      <c r="FW106" s="442">
        <f t="shared" si="48"/>
        <v>-2</v>
      </c>
      <c r="FX106" s="440">
        <v>0</v>
      </c>
      <c r="FY106" s="442">
        <f t="shared" si="71"/>
        <v>2</v>
      </c>
      <c r="FZ106" s="440">
        <v>4</v>
      </c>
      <c r="GA106" s="435">
        <v>2700</v>
      </c>
      <c r="GB106" s="440">
        <v>-36</v>
      </c>
      <c r="GC106" s="440">
        <v>-30</v>
      </c>
      <c r="GD106" s="440">
        <v>-24</v>
      </c>
      <c r="GE106" s="440">
        <v>-18</v>
      </c>
      <c r="GF106" s="440">
        <v>-12</v>
      </c>
      <c r="GG106" s="440">
        <v>-6</v>
      </c>
      <c r="GH106" s="442">
        <f t="shared" si="49"/>
        <v>-3</v>
      </c>
      <c r="GI106" s="440">
        <v>0</v>
      </c>
      <c r="GJ106" s="442">
        <f t="shared" si="72"/>
        <v>3</v>
      </c>
      <c r="GK106" s="441">
        <v>6</v>
      </c>
      <c r="GL106" s="435">
        <v>2700</v>
      </c>
      <c r="GM106" s="440">
        <v>-35</v>
      </c>
      <c r="GN106" s="440">
        <v>-29</v>
      </c>
      <c r="GO106" s="440">
        <v>-23</v>
      </c>
      <c r="GP106" s="440">
        <v>-17</v>
      </c>
      <c r="GQ106" s="440">
        <v>-12</v>
      </c>
      <c r="GR106" s="440">
        <v>-6</v>
      </c>
      <c r="GS106" s="442">
        <f t="shared" si="50"/>
        <v>-3</v>
      </c>
      <c r="GT106" s="440">
        <v>0</v>
      </c>
      <c r="GU106" s="442">
        <f t="shared" si="73"/>
        <v>3</v>
      </c>
      <c r="GV106" s="441">
        <v>6</v>
      </c>
    </row>
    <row r="107" spans="7:204">
      <c r="G107" s="450">
        <v>2600</v>
      </c>
      <c r="H107" s="445">
        <v>35</v>
      </c>
      <c r="I107" s="249">
        <v>29</v>
      </c>
      <c r="J107" s="248">
        <v>23</v>
      </c>
      <c r="K107" s="248">
        <v>18</v>
      </c>
      <c r="L107" s="249">
        <v>12</v>
      </c>
      <c r="M107" s="249">
        <v>6</v>
      </c>
      <c r="N107" s="249">
        <f t="shared" si="51"/>
        <v>3</v>
      </c>
      <c r="O107" s="249">
        <v>0</v>
      </c>
      <c r="P107" s="249">
        <f t="shared" si="52"/>
        <v>-3</v>
      </c>
      <c r="Q107" s="446">
        <v>-6</v>
      </c>
      <c r="R107" s="435">
        <v>2600</v>
      </c>
      <c r="S107" s="248">
        <v>11</v>
      </c>
      <c r="T107" s="248">
        <v>9</v>
      </c>
      <c r="U107" s="248">
        <v>8</v>
      </c>
      <c r="V107" s="248">
        <v>6</v>
      </c>
      <c r="W107" s="248">
        <v>4</v>
      </c>
      <c r="X107" s="248">
        <v>2</v>
      </c>
      <c r="Y107" s="249">
        <f t="shared" si="53"/>
        <v>1</v>
      </c>
      <c r="Z107" s="248">
        <v>0</v>
      </c>
      <c r="AA107" s="439">
        <f t="shared" si="54"/>
        <v>-1</v>
      </c>
      <c r="AB107" s="248">
        <v>-2</v>
      </c>
      <c r="AC107" s="435">
        <v>2600</v>
      </c>
      <c r="AD107" s="440">
        <v>-30</v>
      </c>
      <c r="AE107" s="440">
        <v>-25</v>
      </c>
      <c r="AF107" s="440">
        <v>-20</v>
      </c>
      <c r="AG107" s="440">
        <v>-15</v>
      </c>
      <c r="AH107" s="440">
        <v>-10</v>
      </c>
      <c r="AI107" s="440">
        <v>-5</v>
      </c>
      <c r="AJ107" s="249">
        <f t="shared" si="55"/>
        <v>-2.5</v>
      </c>
      <c r="AK107" s="248">
        <v>0</v>
      </c>
      <c r="AL107" s="439">
        <f t="shared" si="56"/>
        <v>2.5</v>
      </c>
      <c r="AM107" s="441">
        <v>5</v>
      </c>
      <c r="AN107" s="435">
        <v>2600</v>
      </c>
      <c r="AO107" s="440">
        <v>-54</v>
      </c>
      <c r="AP107" s="440">
        <v>-45</v>
      </c>
      <c r="AQ107" s="440">
        <v>-36</v>
      </c>
      <c r="AR107" s="440">
        <v>-27</v>
      </c>
      <c r="AS107" s="440">
        <v>-18</v>
      </c>
      <c r="AT107" s="440">
        <v>-9</v>
      </c>
      <c r="AU107" s="442">
        <f t="shared" si="38"/>
        <v>-4.5</v>
      </c>
      <c r="AV107" s="440">
        <v>0</v>
      </c>
      <c r="AW107" s="442">
        <f t="shared" si="57"/>
        <v>4.5</v>
      </c>
      <c r="AX107" s="441">
        <v>9</v>
      </c>
      <c r="AY107" s="435">
        <v>2600</v>
      </c>
      <c r="AZ107" s="440">
        <v>3</v>
      </c>
      <c r="BA107" s="440">
        <v>3</v>
      </c>
      <c r="BB107" s="440">
        <v>2</v>
      </c>
      <c r="BC107" s="440">
        <v>2</v>
      </c>
      <c r="BD107" s="440">
        <v>1</v>
      </c>
      <c r="BE107" s="440">
        <v>1</v>
      </c>
      <c r="BF107" s="442">
        <f t="shared" si="39"/>
        <v>0.5</v>
      </c>
      <c r="BG107" s="440">
        <v>0</v>
      </c>
      <c r="BH107" s="442">
        <f t="shared" si="58"/>
        <v>-0.5</v>
      </c>
      <c r="BI107" s="441">
        <v>-1</v>
      </c>
      <c r="BJ107" s="447">
        <v>2600</v>
      </c>
      <c r="BK107" s="440">
        <v>-31</v>
      </c>
      <c r="BL107" s="440">
        <v>-26</v>
      </c>
      <c r="BM107" s="440">
        <v>-21</v>
      </c>
      <c r="BN107" s="440">
        <v>-16</v>
      </c>
      <c r="BO107" s="440">
        <v>-10</v>
      </c>
      <c r="BP107" s="440">
        <v>-5</v>
      </c>
      <c r="BQ107" s="442">
        <f t="shared" si="40"/>
        <v>-2.5</v>
      </c>
      <c r="BR107" s="440">
        <v>0</v>
      </c>
      <c r="BS107" s="442">
        <f t="shared" si="59"/>
        <v>2.5</v>
      </c>
      <c r="BT107" s="440">
        <v>5</v>
      </c>
      <c r="BU107" s="435">
        <v>2600</v>
      </c>
      <c r="BV107" s="440">
        <v>1</v>
      </c>
      <c r="BW107" s="440">
        <v>1</v>
      </c>
      <c r="BX107" s="440">
        <v>1</v>
      </c>
      <c r="BY107" s="440">
        <v>1</v>
      </c>
      <c r="BZ107" s="440">
        <v>0</v>
      </c>
      <c r="CA107" s="440">
        <v>0</v>
      </c>
      <c r="CB107" s="442">
        <f t="shared" si="41"/>
        <v>0</v>
      </c>
      <c r="CC107" s="440">
        <v>0</v>
      </c>
      <c r="CD107" s="442">
        <f t="shared" si="60"/>
        <v>0</v>
      </c>
      <c r="CE107" s="441">
        <v>0</v>
      </c>
      <c r="CF107" s="435">
        <v>2600</v>
      </c>
      <c r="CG107" s="440">
        <v>-23</v>
      </c>
      <c r="CH107" s="440">
        <v>-19</v>
      </c>
      <c r="CI107" s="440">
        <v>-15</v>
      </c>
      <c r="CJ107" s="440">
        <v>-11</v>
      </c>
      <c r="CK107" s="440">
        <v>-8</v>
      </c>
      <c r="CL107" s="440">
        <v>-4</v>
      </c>
      <c r="CM107" s="442">
        <f t="shared" si="42"/>
        <v>-2</v>
      </c>
      <c r="CN107" s="440">
        <v>0</v>
      </c>
      <c r="CO107" s="442">
        <f t="shared" si="61"/>
        <v>2</v>
      </c>
      <c r="CP107" s="441">
        <v>4</v>
      </c>
      <c r="CQ107" s="435">
        <v>2600</v>
      </c>
      <c r="CR107" s="440">
        <v>1</v>
      </c>
      <c r="CS107" s="440">
        <v>1</v>
      </c>
      <c r="CT107" s="440">
        <v>1</v>
      </c>
      <c r="CU107" s="440">
        <v>0</v>
      </c>
      <c r="CV107" s="440">
        <v>0</v>
      </c>
      <c r="CW107" s="440">
        <v>0</v>
      </c>
      <c r="CX107" s="442">
        <f t="shared" si="43"/>
        <v>0</v>
      </c>
      <c r="CY107" s="440">
        <v>0</v>
      </c>
      <c r="CZ107" s="442">
        <f t="shared" si="62"/>
        <v>0</v>
      </c>
      <c r="DA107" s="441">
        <v>0</v>
      </c>
      <c r="DB107" s="435">
        <v>2600</v>
      </c>
      <c r="DC107" s="440">
        <v>-21</v>
      </c>
      <c r="DD107" s="440">
        <v>-18</v>
      </c>
      <c r="DE107" s="440">
        <v>-14</v>
      </c>
      <c r="DF107" s="440">
        <v>-11</v>
      </c>
      <c r="DG107" s="440">
        <v>-7</v>
      </c>
      <c r="DH107" s="440">
        <v>-4</v>
      </c>
      <c r="DI107" s="442">
        <f t="shared" si="44"/>
        <v>-2</v>
      </c>
      <c r="DJ107" s="440">
        <v>0</v>
      </c>
      <c r="DK107" s="442">
        <f t="shared" si="63"/>
        <v>2</v>
      </c>
      <c r="DL107" s="441">
        <v>4</v>
      </c>
      <c r="DM107" s="435">
        <v>2600</v>
      </c>
      <c r="DN107" s="440">
        <v>1</v>
      </c>
      <c r="DO107" s="440">
        <v>1</v>
      </c>
      <c r="DP107" s="440">
        <v>1</v>
      </c>
      <c r="DQ107" s="440">
        <v>1</v>
      </c>
      <c r="DR107" s="440">
        <v>0</v>
      </c>
      <c r="DS107" s="440">
        <v>0</v>
      </c>
      <c r="DT107" s="442">
        <f t="shared" si="45"/>
        <v>0</v>
      </c>
      <c r="DU107" s="440">
        <v>0</v>
      </c>
      <c r="DV107" s="442">
        <f t="shared" si="64"/>
        <v>0</v>
      </c>
      <c r="DW107" s="441">
        <v>0</v>
      </c>
      <c r="DX107" s="435">
        <v>2600</v>
      </c>
      <c r="DY107" s="440">
        <v>-24</v>
      </c>
      <c r="DZ107" s="440">
        <v>-20</v>
      </c>
      <c r="EA107" s="440">
        <v>-16</v>
      </c>
      <c r="EB107" s="440">
        <v>-12</v>
      </c>
      <c r="EC107" s="440">
        <v>-8</v>
      </c>
      <c r="ED107" s="440">
        <v>-4</v>
      </c>
      <c r="EE107" s="442">
        <f t="shared" si="46"/>
        <v>-2</v>
      </c>
      <c r="EF107" s="440">
        <v>0</v>
      </c>
      <c r="EG107" s="442">
        <f t="shared" si="65"/>
        <v>2</v>
      </c>
      <c r="EH107" s="440">
        <v>4</v>
      </c>
      <c r="EI107" s="435">
        <v>2600</v>
      </c>
      <c r="EJ107" s="440">
        <v>3</v>
      </c>
      <c r="EK107" s="440">
        <v>2</v>
      </c>
      <c r="EL107" s="440">
        <v>2</v>
      </c>
      <c r="EM107" s="440">
        <v>1</v>
      </c>
      <c r="EN107" s="440">
        <v>1</v>
      </c>
      <c r="EO107" s="440">
        <v>0</v>
      </c>
      <c r="EP107" s="442">
        <f t="shared" si="66"/>
        <v>0</v>
      </c>
      <c r="EQ107" s="440">
        <v>0</v>
      </c>
      <c r="ER107" s="442">
        <f t="shared" si="67"/>
        <v>0</v>
      </c>
      <c r="ES107" s="441">
        <v>0</v>
      </c>
      <c r="ET107" s="435">
        <v>2600</v>
      </c>
      <c r="EU107" s="440">
        <v>-23</v>
      </c>
      <c r="EV107" s="440">
        <v>-19</v>
      </c>
      <c r="EW107" s="440">
        <v>-15</v>
      </c>
      <c r="EX107" s="440">
        <v>-11</v>
      </c>
      <c r="EY107" s="440">
        <v>-8</v>
      </c>
      <c r="EZ107" s="440">
        <v>-4</v>
      </c>
      <c r="FA107" s="442">
        <f t="shared" si="68"/>
        <v>-2</v>
      </c>
      <c r="FB107" s="440">
        <v>0</v>
      </c>
      <c r="FC107" s="442">
        <f t="shared" si="69"/>
        <v>2</v>
      </c>
      <c r="FD107" s="440">
        <v>4</v>
      </c>
      <c r="FE107" s="435">
        <v>2600</v>
      </c>
      <c r="FF107" s="440">
        <v>1</v>
      </c>
      <c r="FG107" s="440">
        <v>1</v>
      </c>
      <c r="FH107" s="440">
        <v>1</v>
      </c>
      <c r="FI107" s="440">
        <v>1</v>
      </c>
      <c r="FJ107" s="440">
        <v>0</v>
      </c>
      <c r="FK107" s="440">
        <v>0</v>
      </c>
      <c r="FL107" s="442">
        <f t="shared" si="47"/>
        <v>0</v>
      </c>
      <c r="FM107" s="440">
        <v>0</v>
      </c>
      <c r="FN107" s="442">
        <f t="shared" si="70"/>
        <v>0</v>
      </c>
      <c r="FO107" s="441">
        <v>0</v>
      </c>
      <c r="FP107" s="435">
        <v>2600</v>
      </c>
      <c r="FQ107" s="440">
        <v>-23</v>
      </c>
      <c r="FR107" s="440">
        <v>-19</v>
      </c>
      <c r="FS107" s="440">
        <v>-15</v>
      </c>
      <c r="FT107" s="440">
        <v>-11</v>
      </c>
      <c r="FU107" s="440">
        <v>-8</v>
      </c>
      <c r="FV107" s="440">
        <v>-4</v>
      </c>
      <c r="FW107" s="442">
        <f t="shared" si="48"/>
        <v>-2</v>
      </c>
      <c r="FX107" s="440">
        <v>0</v>
      </c>
      <c r="FY107" s="442">
        <f t="shared" si="71"/>
        <v>2</v>
      </c>
      <c r="FZ107" s="440">
        <v>4</v>
      </c>
      <c r="GA107" s="435">
        <v>2600</v>
      </c>
      <c r="GB107" s="440">
        <v>-36</v>
      </c>
      <c r="GC107" s="440">
        <v>-30</v>
      </c>
      <c r="GD107" s="440">
        <v>-24</v>
      </c>
      <c r="GE107" s="440">
        <v>-18</v>
      </c>
      <c r="GF107" s="440">
        <v>-12</v>
      </c>
      <c r="GG107" s="440">
        <v>-6</v>
      </c>
      <c r="GH107" s="442">
        <f t="shared" si="49"/>
        <v>-3</v>
      </c>
      <c r="GI107" s="440">
        <v>0</v>
      </c>
      <c r="GJ107" s="442">
        <f t="shared" si="72"/>
        <v>3</v>
      </c>
      <c r="GK107" s="441">
        <v>6</v>
      </c>
      <c r="GL107" s="435">
        <v>2600</v>
      </c>
      <c r="GM107" s="440">
        <v>-35</v>
      </c>
      <c r="GN107" s="440">
        <v>-29</v>
      </c>
      <c r="GO107" s="440">
        <v>-23</v>
      </c>
      <c r="GP107" s="440">
        <v>-17</v>
      </c>
      <c r="GQ107" s="440">
        <v>-12</v>
      </c>
      <c r="GR107" s="440">
        <v>-6</v>
      </c>
      <c r="GS107" s="442">
        <f t="shared" si="50"/>
        <v>-3</v>
      </c>
      <c r="GT107" s="440">
        <v>0</v>
      </c>
      <c r="GU107" s="442">
        <f t="shared" si="73"/>
        <v>3</v>
      </c>
      <c r="GV107" s="441">
        <v>6</v>
      </c>
    </row>
    <row r="108" spans="7:204">
      <c r="G108" s="450">
        <v>2500</v>
      </c>
      <c r="H108" s="445">
        <v>35</v>
      </c>
      <c r="I108" s="249">
        <v>29</v>
      </c>
      <c r="J108" s="248">
        <v>23</v>
      </c>
      <c r="K108" s="248">
        <v>17</v>
      </c>
      <c r="L108" s="249">
        <v>12</v>
      </c>
      <c r="M108" s="249">
        <v>6</v>
      </c>
      <c r="N108" s="249">
        <f t="shared" si="51"/>
        <v>3</v>
      </c>
      <c r="O108" s="249">
        <v>0</v>
      </c>
      <c r="P108" s="249">
        <f t="shared" si="52"/>
        <v>-3</v>
      </c>
      <c r="Q108" s="446">
        <v>-6</v>
      </c>
      <c r="R108" s="435">
        <v>2500</v>
      </c>
      <c r="S108" s="248">
        <v>11</v>
      </c>
      <c r="T108" s="248">
        <v>9</v>
      </c>
      <c r="U108" s="248">
        <v>7</v>
      </c>
      <c r="V108" s="248">
        <v>6</v>
      </c>
      <c r="W108" s="248">
        <v>4</v>
      </c>
      <c r="X108" s="248">
        <v>2</v>
      </c>
      <c r="Y108" s="249">
        <f t="shared" si="53"/>
        <v>1</v>
      </c>
      <c r="Z108" s="248">
        <v>0</v>
      </c>
      <c r="AA108" s="439">
        <f t="shared" si="54"/>
        <v>-1</v>
      </c>
      <c r="AB108" s="248">
        <v>-2</v>
      </c>
      <c r="AC108" s="435">
        <v>2500</v>
      </c>
      <c r="AD108" s="440">
        <v>-30</v>
      </c>
      <c r="AE108" s="440">
        <v>-25</v>
      </c>
      <c r="AF108" s="440">
        <v>-20</v>
      </c>
      <c r="AG108" s="440">
        <v>-15</v>
      </c>
      <c r="AH108" s="440">
        <v>-10</v>
      </c>
      <c r="AI108" s="440">
        <v>-5</v>
      </c>
      <c r="AJ108" s="249">
        <f t="shared" si="55"/>
        <v>-2.5</v>
      </c>
      <c r="AK108" s="248">
        <v>0</v>
      </c>
      <c r="AL108" s="439">
        <f t="shared" si="56"/>
        <v>2.5</v>
      </c>
      <c r="AM108" s="441">
        <v>5</v>
      </c>
      <c r="AN108" s="435">
        <v>2500</v>
      </c>
      <c r="AO108" s="440">
        <v>-54</v>
      </c>
      <c r="AP108" s="440">
        <v>-45</v>
      </c>
      <c r="AQ108" s="440">
        <v>-36</v>
      </c>
      <c r="AR108" s="440">
        <v>-27</v>
      </c>
      <c r="AS108" s="440">
        <v>-18</v>
      </c>
      <c r="AT108" s="440">
        <v>-9</v>
      </c>
      <c r="AU108" s="442">
        <f t="shared" si="38"/>
        <v>-4.5</v>
      </c>
      <c r="AV108" s="440">
        <v>0</v>
      </c>
      <c r="AW108" s="442">
        <f t="shared" si="57"/>
        <v>4.5</v>
      </c>
      <c r="AX108" s="441">
        <v>9</v>
      </c>
      <c r="AY108" s="435">
        <v>2500</v>
      </c>
      <c r="AZ108" s="440">
        <v>3</v>
      </c>
      <c r="BA108" s="440">
        <v>3</v>
      </c>
      <c r="BB108" s="440">
        <v>2</v>
      </c>
      <c r="BC108" s="440">
        <v>2</v>
      </c>
      <c r="BD108" s="440">
        <v>1</v>
      </c>
      <c r="BE108" s="440">
        <v>1</v>
      </c>
      <c r="BF108" s="442">
        <f t="shared" si="39"/>
        <v>0.5</v>
      </c>
      <c r="BG108" s="440">
        <v>0</v>
      </c>
      <c r="BH108" s="442">
        <f t="shared" si="58"/>
        <v>-0.5</v>
      </c>
      <c r="BI108" s="441">
        <v>-1</v>
      </c>
      <c r="BJ108" s="447">
        <v>2500</v>
      </c>
      <c r="BK108" s="440">
        <v>-31</v>
      </c>
      <c r="BL108" s="440">
        <v>-26</v>
      </c>
      <c r="BM108" s="440">
        <v>-21</v>
      </c>
      <c r="BN108" s="440">
        <v>-16</v>
      </c>
      <c r="BO108" s="440">
        <v>-10</v>
      </c>
      <c r="BP108" s="440">
        <v>-5</v>
      </c>
      <c r="BQ108" s="442">
        <f t="shared" si="40"/>
        <v>-2.5</v>
      </c>
      <c r="BR108" s="440">
        <v>0</v>
      </c>
      <c r="BS108" s="442">
        <f t="shared" si="59"/>
        <v>2.5</v>
      </c>
      <c r="BT108" s="440">
        <v>5</v>
      </c>
      <c r="BU108" s="435">
        <v>2500</v>
      </c>
      <c r="BV108" s="440">
        <v>1</v>
      </c>
      <c r="BW108" s="440">
        <v>1</v>
      </c>
      <c r="BX108" s="440">
        <v>1</v>
      </c>
      <c r="BY108" s="440">
        <v>1</v>
      </c>
      <c r="BZ108" s="440">
        <v>0</v>
      </c>
      <c r="CA108" s="440">
        <v>0</v>
      </c>
      <c r="CB108" s="442">
        <f t="shared" si="41"/>
        <v>0</v>
      </c>
      <c r="CC108" s="440">
        <v>0</v>
      </c>
      <c r="CD108" s="442">
        <f t="shared" si="60"/>
        <v>0</v>
      </c>
      <c r="CE108" s="441">
        <v>0</v>
      </c>
      <c r="CF108" s="435">
        <v>2500</v>
      </c>
      <c r="CG108" s="440">
        <v>-23</v>
      </c>
      <c r="CH108" s="440">
        <v>-19</v>
      </c>
      <c r="CI108" s="440">
        <v>-15</v>
      </c>
      <c r="CJ108" s="440">
        <v>-11</v>
      </c>
      <c r="CK108" s="440">
        <v>-8</v>
      </c>
      <c r="CL108" s="440">
        <v>-4</v>
      </c>
      <c r="CM108" s="442">
        <f t="shared" si="42"/>
        <v>-2</v>
      </c>
      <c r="CN108" s="440">
        <v>0</v>
      </c>
      <c r="CO108" s="442">
        <f t="shared" si="61"/>
        <v>2</v>
      </c>
      <c r="CP108" s="441">
        <v>4</v>
      </c>
      <c r="CQ108" s="435">
        <v>2500</v>
      </c>
      <c r="CR108" s="440">
        <v>1</v>
      </c>
      <c r="CS108" s="440">
        <v>1</v>
      </c>
      <c r="CT108" s="440">
        <v>1</v>
      </c>
      <c r="CU108" s="440">
        <v>0</v>
      </c>
      <c r="CV108" s="440">
        <v>0</v>
      </c>
      <c r="CW108" s="440">
        <v>0</v>
      </c>
      <c r="CX108" s="442">
        <f t="shared" si="43"/>
        <v>0</v>
      </c>
      <c r="CY108" s="440">
        <v>0</v>
      </c>
      <c r="CZ108" s="442">
        <f t="shared" si="62"/>
        <v>0</v>
      </c>
      <c r="DA108" s="441">
        <v>0</v>
      </c>
      <c r="DB108" s="435">
        <v>2500</v>
      </c>
      <c r="DC108" s="440">
        <v>-21</v>
      </c>
      <c r="DD108" s="440">
        <v>-18</v>
      </c>
      <c r="DE108" s="440">
        <v>-14</v>
      </c>
      <c r="DF108" s="440">
        <v>-11</v>
      </c>
      <c r="DG108" s="440">
        <v>-7</v>
      </c>
      <c r="DH108" s="440">
        <v>-4</v>
      </c>
      <c r="DI108" s="442">
        <f t="shared" si="44"/>
        <v>-2</v>
      </c>
      <c r="DJ108" s="440">
        <v>0</v>
      </c>
      <c r="DK108" s="442">
        <f t="shared" si="63"/>
        <v>2</v>
      </c>
      <c r="DL108" s="441">
        <v>4</v>
      </c>
      <c r="DM108" s="435">
        <v>2500</v>
      </c>
      <c r="DN108" s="440">
        <v>1</v>
      </c>
      <c r="DO108" s="440">
        <v>1</v>
      </c>
      <c r="DP108" s="440">
        <v>1</v>
      </c>
      <c r="DQ108" s="440">
        <v>0</v>
      </c>
      <c r="DR108" s="440">
        <v>0</v>
      </c>
      <c r="DS108" s="440">
        <v>0</v>
      </c>
      <c r="DT108" s="442">
        <f t="shared" si="45"/>
        <v>0</v>
      </c>
      <c r="DU108" s="440">
        <v>0</v>
      </c>
      <c r="DV108" s="442">
        <f t="shared" si="64"/>
        <v>0</v>
      </c>
      <c r="DW108" s="441">
        <v>0</v>
      </c>
      <c r="DX108" s="435">
        <v>2500</v>
      </c>
      <c r="DY108" s="440">
        <v>-24</v>
      </c>
      <c r="DZ108" s="440">
        <v>-20</v>
      </c>
      <c r="EA108" s="440">
        <v>-16</v>
      </c>
      <c r="EB108" s="440">
        <v>-12</v>
      </c>
      <c r="EC108" s="440">
        <v>-8</v>
      </c>
      <c r="ED108" s="440">
        <v>-4</v>
      </c>
      <c r="EE108" s="442">
        <f t="shared" si="46"/>
        <v>-2</v>
      </c>
      <c r="EF108" s="440">
        <v>0</v>
      </c>
      <c r="EG108" s="442">
        <f t="shared" si="65"/>
        <v>2</v>
      </c>
      <c r="EH108" s="440">
        <v>4</v>
      </c>
      <c r="EI108" s="435">
        <v>2500</v>
      </c>
      <c r="EJ108" s="440">
        <v>3</v>
      </c>
      <c r="EK108" s="440">
        <v>2</v>
      </c>
      <c r="EL108" s="440">
        <v>2</v>
      </c>
      <c r="EM108" s="440">
        <v>1</v>
      </c>
      <c r="EN108" s="440">
        <v>1</v>
      </c>
      <c r="EO108" s="440">
        <v>0</v>
      </c>
      <c r="EP108" s="442">
        <f t="shared" si="66"/>
        <v>0</v>
      </c>
      <c r="EQ108" s="440">
        <v>0</v>
      </c>
      <c r="ER108" s="442">
        <f t="shared" si="67"/>
        <v>0</v>
      </c>
      <c r="ES108" s="441">
        <v>0</v>
      </c>
      <c r="ET108" s="435">
        <v>2500</v>
      </c>
      <c r="EU108" s="440">
        <v>-23</v>
      </c>
      <c r="EV108" s="440">
        <v>-19</v>
      </c>
      <c r="EW108" s="440">
        <v>-15</v>
      </c>
      <c r="EX108" s="440">
        <v>-11</v>
      </c>
      <c r="EY108" s="440">
        <v>-8</v>
      </c>
      <c r="EZ108" s="440">
        <v>-4</v>
      </c>
      <c r="FA108" s="442">
        <f t="shared" si="68"/>
        <v>-2</v>
      </c>
      <c r="FB108" s="440">
        <v>0</v>
      </c>
      <c r="FC108" s="442">
        <f t="shared" si="69"/>
        <v>2</v>
      </c>
      <c r="FD108" s="440">
        <v>4</v>
      </c>
      <c r="FE108" s="435">
        <v>2500</v>
      </c>
      <c r="FF108" s="440">
        <v>1</v>
      </c>
      <c r="FG108" s="440">
        <v>1</v>
      </c>
      <c r="FH108" s="440">
        <v>1</v>
      </c>
      <c r="FI108" s="440">
        <v>1</v>
      </c>
      <c r="FJ108" s="440">
        <v>0</v>
      </c>
      <c r="FK108" s="440">
        <v>0</v>
      </c>
      <c r="FL108" s="442">
        <f t="shared" si="47"/>
        <v>0</v>
      </c>
      <c r="FM108" s="440">
        <v>0</v>
      </c>
      <c r="FN108" s="442">
        <f t="shared" si="70"/>
        <v>0</v>
      </c>
      <c r="FO108" s="441">
        <v>0</v>
      </c>
      <c r="FP108" s="435">
        <v>2500</v>
      </c>
      <c r="FQ108" s="440">
        <v>-23</v>
      </c>
      <c r="FR108" s="440">
        <v>-19</v>
      </c>
      <c r="FS108" s="440">
        <v>-15</v>
      </c>
      <c r="FT108" s="440">
        <v>-11</v>
      </c>
      <c r="FU108" s="440">
        <v>-8</v>
      </c>
      <c r="FV108" s="440">
        <v>-4</v>
      </c>
      <c r="FW108" s="442">
        <f t="shared" si="48"/>
        <v>-2</v>
      </c>
      <c r="FX108" s="440">
        <v>0</v>
      </c>
      <c r="FY108" s="442">
        <f t="shared" si="71"/>
        <v>2</v>
      </c>
      <c r="FZ108" s="440">
        <v>4</v>
      </c>
      <c r="GA108" s="435">
        <v>2500</v>
      </c>
      <c r="GB108" s="440">
        <v>-36</v>
      </c>
      <c r="GC108" s="440">
        <v>-30</v>
      </c>
      <c r="GD108" s="440">
        <v>-24</v>
      </c>
      <c r="GE108" s="440">
        <v>-18</v>
      </c>
      <c r="GF108" s="440">
        <v>-12</v>
      </c>
      <c r="GG108" s="440">
        <v>-6</v>
      </c>
      <c r="GH108" s="442">
        <f t="shared" si="49"/>
        <v>-3</v>
      </c>
      <c r="GI108" s="440">
        <v>0</v>
      </c>
      <c r="GJ108" s="442">
        <f t="shared" si="72"/>
        <v>3</v>
      </c>
      <c r="GK108" s="441">
        <v>6</v>
      </c>
      <c r="GL108" s="435">
        <v>2500</v>
      </c>
      <c r="GM108" s="440">
        <v>-35</v>
      </c>
      <c r="GN108" s="440">
        <v>-29</v>
      </c>
      <c r="GO108" s="440">
        <v>-23</v>
      </c>
      <c r="GP108" s="440">
        <v>-17</v>
      </c>
      <c r="GQ108" s="440">
        <v>-12</v>
      </c>
      <c r="GR108" s="440">
        <v>-6</v>
      </c>
      <c r="GS108" s="442">
        <f t="shared" si="50"/>
        <v>-3</v>
      </c>
      <c r="GT108" s="440">
        <v>0</v>
      </c>
      <c r="GU108" s="442">
        <f t="shared" si="73"/>
        <v>3</v>
      </c>
      <c r="GV108" s="441">
        <v>6</v>
      </c>
    </row>
    <row r="109" spans="7:204">
      <c r="G109" s="450">
        <v>2400</v>
      </c>
      <c r="H109" s="445">
        <v>35</v>
      </c>
      <c r="I109" s="249">
        <v>29</v>
      </c>
      <c r="J109" s="248">
        <v>23</v>
      </c>
      <c r="K109" s="248">
        <v>17</v>
      </c>
      <c r="L109" s="249">
        <v>12</v>
      </c>
      <c r="M109" s="249">
        <v>6</v>
      </c>
      <c r="N109" s="249">
        <f t="shared" si="51"/>
        <v>3</v>
      </c>
      <c r="O109" s="249">
        <v>0</v>
      </c>
      <c r="P109" s="249">
        <f t="shared" si="52"/>
        <v>-3</v>
      </c>
      <c r="Q109" s="446">
        <v>-6</v>
      </c>
      <c r="R109" s="435">
        <v>2400</v>
      </c>
      <c r="S109" s="248">
        <v>11</v>
      </c>
      <c r="T109" s="248">
        <v>9</v>
      </c>
      <c r="U109" s="248">
        <v>7</v>
      </c>
      <c r="V109" s="248">
        <v>6</v>
      </c>
      <c r="W109" s="248">
        <v>4</v>
      </c>
      <c r="X109" s="248">
        <v>2</v>
      </c>
      <c r="Y109" s="249">
        <f t="shared" si="53"/>
        <v>1</v>
      </c>
      <c r="Z109" s="248">
        <v>0</v>
      </c>
      <c r="AA109" s="439">
        <f t="shared" si="54"/>
        <v>-1</v>
      </c>
      <c r="AB109" s="248">
        <v>-2</v>
      </c>
      <c r="AC109" s="435">
        <v>2400</v>
      </c>
      <c r="AD109" s="440">
        <v>-30</v>
      </c>
      <c r="AE109" s="440">
        <v>-25</v>
      </c>
      <c r="AF109" s="440">
        <v>-20</v>
      </c>
      <c r="AG109" s="440">
        <v>-15</v>
      </c>
      <c r="AH109" s="440">
        <v>-10</v>
      </c>
      <c r="AI109" s="440">
        <v>-5</v>
      </c>
      <c r="AJ109" s="249">
        <f t="shared" si="55"/>
        <v>-2.5</v>
      </c>
      <c r="AK109" s="248">
        <v>0</v>
      </c>
      <c r="AL109" s="439">
        <f t="shared" si="56"/>
        <v>2.5</v>
      </c>
      <c r="AM109" s="441">
        <v>5</v>
      </c>
      <c r="AN109" s="435">
        <v>2400</v>
      </c>
      <c r="AO109" s="440">
        <v>-54</v>
      </c>
      <c r="AP109" s="440">
        <v>-45</v>
      </c>
      <c r="AQ109" s="440">
        <v>-36</v>
      </c>
      <c r="AR109" s="440">
        <v>-27</v>
      </c>
      <c r="AS109" s="440">
        <v>-18</v>
      </c>
      <c r="AT109" s="440">
        <v>-9</v>
      </c>
      <c r="AU109" s="442">
        <f t="shared" si="38"/>
        <v>-4.5</v>
      </c>
      <c r="AV109" s="440">
        <v>0</v>
      </c>
      <c r="AW109" s="442">
        <f t="shared" si="57"/>
        <v>4.5</v>
      </c>
      <c r="AX109" s="441">
        <v>9</v>
      </c>
      <c r="AY109" s="435">
        <v>2400</v>
      </c>
      <c r="AZ109" s="440">
        <v>3</v>
      </c>
      <c r="BA109" s="440">
        <v>3</v>
      </c>
      <c r="BB109" s="440">
        <v>2</v>
      </c>
      <c r="BC109" s="440">
        <v>2</v>
      </c>
      <c r="BD109" s="440">
        <v>1</v>
      </c>
      <c r="BE109" s="440">
        <v>1</v>
      </c>
      <c r="BF109" s="442">
        <f t="shared" si="39"/>
        <v>0.5</v>
      </c>
      <c r="BG109" s="440">
        <v>0</v>
      </c>
      <c r="BH109" s="442">
        <f t="shared" si="58"/>
        <v>-0.5</v>
      </c>
      <c r="BI109" s="441">
        <v>-1</v>
      </c>
      <c r="BJ109" s="447">
        <v>2400</v>
      </c>
      <c r="BK109" s="440">
        <v>-31</v>
      </c>
      <c r="BL109" s="440">
        <v>-26</v>
      </c>
      <c r="BM109" s="440">
        <v>-21</v>
      </c>
      <c r="BN109" s="440">
        <v>-16</v>
      </c>
      <c r="BO109" s="440">
        <v>-10</v>
      </c>
      <c r="BP109" s="440">
        <v>-5</v>
      </c>
      <c r="BQ109" s="442">
        <f t="shared" si="40"/>
        <v>-2.5</v>
      </c>
      <c r="BR109" s="440">
        <v>0</v>
      </c>
      <c r="BS109" s="442">
        <f t="shared" si="59"/>
        <v>2.5</v>
      </c>
      <c r="BT109" s="440">
        <v>5</v>
      </c>
      <c r="BU109" s="435">
        <v>2400</v>
      </c>
      <c r="BV109" s="440">
        <v>1</v>
      </c>
      <c r="BW109" s="440">
        <v>1</v>
      </c>
      <c r="BX109" s="440">
        <v>1</v>
      </c>
      <c r="BY109" s="440">
        <v>1</v>
      </c>
      <c r="BZ109" s="440">
        <v>0</v>
      </c>
      <c r="CA109" s="440">
        <v>0</v>
      </c>
      <c r="CB109" s="442">
        <f t="shared" si="41"/>
        <v>0</v>
      </c>
      <c r="CC109" s="440">
        <v>0</v>
      </c>
      <c r="CD109" s="442">
        <f t="shared" si="60"/>
        <v>0</v>
      </c>
      <c r="CE109" s="441">
        <v>0</v>
      </c>
      <c r="CF109" s="435">
        <v>2400</v>
      </c>
      <c r="CG109" s="440">
        <v>-23</v>
      </c>
      <c r="CH109" s="440">
        <v>-19</v>
      </c>
      <c r="CI109" s="440">
        <v>-15</v>
      </c>
      <c r="CJ109" s="440">
        <v>-11</v>
      </c>
      <c r="CK109" s="440">
        <v>-8</v>
      </c>
      <c r="CL109" s="440">
        <v>-4</v>
      </c>
      <c r="CM109" s="442">
        <f t="shared" si="42"/>
        <v>-2</v>
      </c>
      <c r="CN109" s="440">
        <v>0</v>
      </c>
      <c r="CO109" s="442">
        <f t="shared" si="61"/>
        <v>2</v>
      </c>
      <c r="CP109" s="441">
        <v>4</v>
      </c>
      <c r="CQ109" s="435">
        <v>2400</v>
      </c>
      <c r="CR109" s="440">
        <v>1</v>
      </c>
      <c r="CS109" s="440">
        <v>1</v>
      </c>
      <c r="CT109" s="440">
        <v>1</v>
      </c>
      <c r="CU109" s="440">
        <v>0</v>
      </c>
      <c r="CV109" s="440">
        <v>0</v>
      </c>
      <c r="CW109" s="440">
        <v>0</v>
      </c>
      <c r="CX109" s="442">
        <f t="shared" si="43"/>
        <v>0</v>
      </c>
      <c r="CY109" s="440">
        <v>0</v>
      </c>
      <c r="CZ109" s="442">
        <f t="shared" si="62"/>
        <v>0</v>
      </c>
      <c r="DA109" s="441">
        <v>0</v>
      </c>
      <c r="DB109" s="435">
        <v>2400</v>
      </c>
      <c r="DC109" s="440">
        <v>-21</v>
      </c>
      <c r="DD109" s="440">
        <v>-18</v>
      </c>
      <c r="DE109" s="440">
        <v>-14</v>
      </c>
      <c r="DF109" s="440">
        <v>-11</v>
      </c>
      <c r="DG109" s="440">
        <v>-7</v>
      </c>
      <c r="DH109" s="440">
        <v>-4</v>
      </c>
      <c r="DI109" s="442">
        <f t="shared" si="44"/>
        <v>-2</v>
      </c>
      <c r="DJ109" s="440">
        <v>0</v>
      </c>
      <c r="DK109" s="442">
        <f t="shared" si="63"/>
        <v>2</v>
      </c>
      <c r="DL109" s="441">
        <v>4</v>
      </c>
      <c r="DM109" s="435">
        <v>2400</v>
      </c>
      <c r="DN109" s="440">
        <v>1</v>
      </c>
      <c r="DO109" s="440">
        <v>1</v>
      </c>
      <c r="DP109" s="440">
        <v>1</v>
      </c>
      <c r="DQ109" s="440">
        <v>0</v>
      </c>
      <c r="DR109" s="440">
        <v>0</v>
      </c>
      <c r="DS109" s="440">
        <v>0</v>
      </c>
      <c r="DT109" s="442">
        <f t="shared" si="45"/>
        <v>0</v>
      </c>
      <c r="DU109" s="440">
        <v>0</v>
      </c>
      <c r="DV109" s="442">
        <f t="shared" si="64"/>
        <v>0</v>
      </c>
      <c r="DW109" s="441">
        <v>0</v>
      </c>
      <c r="DX109" s="435">
        <v>2400</v>
      </c>
      <c r="DY109" s="440">
        <v>-24</v>
      </c>
      <c r="DZ109" s="440">
        <v>-20</v>
      </c>
      <c r="EA109" s="440">
        <v>-16</v>
      </c>
      <c r="EB109" s="440">
        <v>-12</v>
      </c>
      <c r="EC109" s="440">
        <v>-8</v>
      </c>
      <c r="ED109" s="440">
        <v>-4</v>
      </c>
      <c r="EE109" s="442">
        <f t="shared" si="46"/>
        <v>-2</v>
      </c>
      <c r="EF109" s="440">
        <v>0</v>
      </c>
      <c r="EG109" s="442">
        <f t="shared" si="65"/>
        <v>2</v>
      </c>
      <c r="EH109" s="440">
        <v>4</v>
      </c>
      <c r="EI109" s="435">
        <v>2400</v>
      </c>
      <c r="EJ109" s="440">
        <v>3</v>
      </c>
      <c r="EK109" s="440">
        <v>2</v>
      </c>
      <c r="EL109" s="440">
        <v>2</v>
      </c>
      <c r="EM109" s="440">
        <v>1</v>
      </c>
      <c r="EN109" s="440">
        <v>1</v>
      </c>
      <c r="EO109" s="440">
        <v>0</v>
      </c>
      <c r="EP109" s="442">
        <f t="shared" si="66"/>
        <v>0</v>
      </c>
      <c r="EQ109" s="440">
        <v>0</v>
      </c>
      <c r="ER109" s="442">
        <f t="shared" si="67"/>
        <v>0</v>
      </c>
      <c r="ES109" s="441">
        <v>0</v>
      </c>
      <c r="ET109" s="435">
        <v>2400</v>
      </c>
      <c r="EU109" s="440">
        <v>-23</v>
      </c>
      <c r="EV109" s="440">
        <v>-19</v>
      </c>
      <c r="EW109" s="440">
        <v>-15</v>
      </c>
      <c r="EX109" s="440">
        <v>-11</v>
      </c>
      <c r="EY109" s="440">
        <v>-8</v>
      </c>
      <c r="EZ109" s="440">
        <v>-4</v>
      </c>
      <c r="FA109" s="442">
        <f t="shared" si="68"/>
        <v>-2</v>
      </c>
      <c r="FB109" s="440">
        <v>0</v>
      </c>
      <c r="FC109" s="442">
        <f t="shared" si="69"/>
        <v>2</v>
      </c>
      <c r="FD109" s="440">
        <v>4</v>
      </c>
      <c r="FE109" s="435">
        <v>2400</v>
      </c>
      <c r="FF109" s="440">
        <v>1</v>
      </c>
      <c r="FG109" s="440">
        <v>1</v>
      </c>
      <c r="FH109" s="440">
        <v>1</v>
      </c>
      <c r="FI109" s="440">
        <v>1</v>
      </c>
      <c r="FJ109" s="440">
        <v>0</v>
      </c>
      <c r="FK109" s="440">
        <v>0</v>
      </c>
      <c r="FL109" s="442">
        <f t="shared" si="47"/>
        <v>0</v>
      </c>
      <c r="FM109" s="440">
        <v>0</v>
      </c>
      <c r="FN109" s="442">
        <f t="shared" si="70"/>
        <v>0</v>
      </c>
      <c r="FO109" s="441">
        <v>0</v>
      </c>
      <c r="FP109" s="435">
        <v>2400</v>
      </c>
      <c r="FQ109" s="440">
        <v>-23</v>
      </c>
      <c r="FR109" s="440">
        <v>-19</v>
      </c>
      <c r="FS109" s="440">
        <v>-15</v>
      </c>
      <c r="FT109" s="440">
        <v>-11</v>
      </c>
      <c r="FU109" s="440">
        <v>-8</v>
      </c>
      <c r="FV109" s="440">
        <v>-4</v>
      </c>
      <c r="FW109" s="442">
        <f t="shared" si="48"/>
        <v>-2</v>
      </c>
      <c r="FX109" s="440">
        <v>0</v>
      </c>
      <c r="FY109" s="442">
        <f t="shared" si="71"/>
        <v>2</v>
      </c>
      <c r="FZ109" s="440">
        <v>4</v>
      </c>
      <c r="GA109" s="435">
        <v>2400</v>
      </c>
      <c r="GB109" s="440">
        <v>-36</v>
      </c>
      <c r="GC109" s="440">
        <v>-30</v>
      </c>
      <c r="GD109" s="440">
        <v>-24</v>
      </c>
      <c r="GE109" s="440">
        <v>-18</v>
      </c>
      <c r="GF109" s="440">
        <v>-12</v>
      </c>
      <c r="GG109" s="440">
        <v>-6</v>
      </c>
      <c r="GH109" s="442">
        <f t="shared" si="49"/>
        <v>-3</v>
      </c>
      <c r="GI109" s="440">
        <v>0</v>
      </c>
      <c r="GJ109" s="442">
        <f t="shared" si="72"/>
        <v>3</v>
      </c>
      <c r="GK109" s="441">
        <v>6</v>
      </c>
      <c r="GL109" s="435">
        <v>2400</v>
      </c>
      <c r="GM109" s="440">
        <v>-35</v>
      </c>
      <c r="GN109" s="440">
        <v>-29</v>
      </c>
      <c r="GO109" s="440">
        <v>-23</v>
      </c>
      <c r="GP109" s="440">
        <v>-17</v>
      </c>
      <c r="GQ109" s="440">
        <v>-12</v>
      </c>
      <c r="GR109" s="440">
        <v>-6</v>
      </c>
      <c r="GS109" s="442">
        <f t="shared" si="50"/>
        <v>-3</v>
      </c>
      <c r="GT109" s="440">
        <v>0</v>
      </c>
      <c r="GU109" s="442">
        <f t="shared" si="73"/>
        <v>3</v>
      </c>
      <c r="GV109" s="441">
        <v>6</v>
      </c>
    </row>
    <row r="110" spans="7:204">
      <c r="G110" s="450">
        <v>2300</v>
      </c>
      <c r="H110" s="445">
        <v>35</v>
      </c>
      <c r="I110" s="249">
        <v>29</v>
      </c>
      <c r="J110" s="248">
        <v>23</v>
      </c>
      <c r="K110" s="248">
        <v>17</v>
      </c>
      <c r="L110" s="249">
        <v>12</v>
      </c>
      <c r="M110" s="249">
        <v>6</v>
      </c>
      <c r="N110" s="249">
        <f t="shared" si="51"/>
        <v>3</v>
      </c>
      <c r="O110" s="249">
        <v>0</v>
      </c>
      <c r="P110" s="249">
        <f t="shared" si="52"/>
        <v>-3</v>
      </c>
      <c r="Q110" s="446">
        <v>-6</v>
      </c>
      <c r="R110" s="435">
        <v>2300</v>
      </c>
      <c r="S110" s="248">
        <v>11</v>
      </c>
      <c r="T110" s="248">
        <v>9</v>
      </c>
      <c r="U110" s="248">
        <v>7</v>
      </c>
      <c r="V110" s="248">
        <v>6</v>
      </c>
      <c r="W110" s="248">
        <v>4</v>
      </c>
      <c r="X110" s="248">
        <v>2</v>
      </c>
      <c r="Y110" s="249">
        <f t="shared" si="53"/>
        <v>1</v>
      </c>
      <c r="Z110" s="248">
        <v>0</v>
      </c>
      <c r="AA110" s="439">
        <f t="shared" si="54"/>
        <v>-1</v>
      </c>
      <c r="AB110" s="248">
        <v>-2</v>
      </c>
      <c r="AC110" s="435">
        <v>2300</v>
      </c>
      <c r="AD110" s="440">
        <v>-30</v>
      </c>
      <c r="AE110" s="440">
        <v>-25</v>
      </c>
      <c r="AF110" s="440">
        <v>-20</v>
      </c>
      <c r="AG110" s="440">
        <v>-15</v>
      </c>
      <c r="AH110" s="440">
        <v>-10</v>
      </c>
      <c r="AI110" s="440">
        <v>-5</v>
      </c>
      <c r="AJ110" s="249">
        <f t="shared" si="55"/>
        <v>-2.5</v>
      </c>
      <c r="AK110" s="248">
        <v>0</v>
      </c>
      <c r="AL110" s="439">
        <f t="shared" si="56"/>
        <v>2.5</v>
      </c>
      <c r="AM110" s="441">
        <v>5</v>
      </c>
      <c r="AN110" s="435">
        <v>2300</v>
      </c>
      <c r="AO110" s="440">
        <v>-54</v>
      </c>
      <c r="AP110" s="440">
        <v>-45</v>
      </c>
      <c r="AQ110" s="440">
        <v>-36</v>
      </c>
      <c r="AR110" s="440">
        <v>-27</v>
      </c>
      <c r="AS110" s="440">
        <v>-18</v>
      </c>
      <c r="AT110" s="440">
        <v>-9</v>
      </c>
      <c r="AU110" s="442">
        <f t="shared" si="38"/>
        <v>-4.5</v>
      </c>
      <c r="AV110" s="440">
        <v>0</v>
      </c>
      <c r="AW110" s="442">
        <f t="shared" si="57"/>
        <v>4.5</v>
      </c>
      <c r="AX110" s="441">
        <v>9</v>
      </c>
      <c r="AY110" s="435">
        <v>2300</v>
      </c>
      <c r="AZ110" s="440">
        <v>3</v>
      </c>
      <c r="BA110" s="440">
        <v>3</v>
      </c>
      <c r="BB110" s="440">
        <v>2</v>
      </c>
      <c r="BC110" s="440">
        <v>2</v>
      </c>
      <c r="BD110" s="440">
        <v>1</v>
      </c>
      <c r="BE110" s="440">
        <v>1</v>
      </c>
      <c r="BF110" s="442">
        <f t="shared" si="39"/>
        <v>0.5</v>
      </c>
      <c r="BG110" s="440">
        <v>0</v>
      </c>
      <c r="BH110" s="442">
        <f t="shared" si="58"/>
        <v>-0.5</v>
      </c>
      <c r="BI110" s="441">
        <v>-1</v>
      </c>
      <c r="BJ110" s="447">
        <v>2300</v>
      </c>
      <c r="BK110" s="440">
        <v>-31</v>
      </c>
      <c r="BL110" s="440">
        <v>-26</v>
      </c>
      <c r="BM110" s="440">
        <v>-21</v>
      </c>
      <c r="BN110" s="440">
        <v>-16</v>
      </c>
      <c r="BO110" s="440">
        <v>-10</v>
      </c>
      <c r="BP110" s="440">
        <v>-5</v>
      </c>
      <c r="BQ110" s="442">
        <f t="shared" si="40"/>
        <v>-2.5</v>
      </c>
      <c r="BR110" s="440">
        <v>0</v>
      </c>
      <c r="BS110" s="442">
        <f t="shared" si="59"/>
        <v>2.5</v>
      </c>
      <c r="BT110" s="440">
        <v>5</v>
      </c>
      <c r="BU110" s="435">
        <v>2300</v>
      </c>
      <c r="BV110" s="440">
        <v>1</v>
      </c>
      <c r="BW110" s="440">
        <v>1</v>
      </c>
      <c r="BX110" s="440">
        <v>1</v>
      </c>
      <c r="BY110" s="440">
        <v>1</v>
      </c>
      <c r="BZ110" s="440">
        <v>0</v>
      </c>
      <c r="CA110" s="440">
        <v>0</v>
      </c>
      <c r="CB110" s="442">
        <f t="shared" si="41"/>
        <v>0</v>
      </c>
      <c r="CC110" s="440">
        <v>0</v>
      </c>
      <c r="CD110" s="442">
        <f t="shared" si="60"/>
        <v>0</v>
      </c>
      <c r="CE110" s="441">
        <v>0</v>
      </c>
      <c r="CF110" s="435">
        <v>2300</v>
      </c>
      <c r="CG110" s="440">
        <v>-23</v>
      </c>
      <c r="CH110" s="440">
        <v>-19</v>
      </c>
      <c r="CI110" s="440">
        <v>-15</v>
      </c>
      <c r="CJ110" s="440">
        <v>-11</v>
      </c>
      <c r="CK110" s="440">
        <v>-8</v>
      </c>
      <c r="CL110" s="440">
        <v>-4</v>
      </c>
      <c r="CM110" s="442">
        <f t="shared" si="42"/>
        <v>-2</v>
      </c>
      <c r="CN110" s="440">
        <v>0</v>
      </c>
      <c r="CO110" s="442">
        <f t="shared" si="61"/>
        <v>2</v>
      </c>
      <c r="CP110" s="441">
        <v>4</v>
      </c>
      <c r="CQ110" s="435">
        <v>2300</v>
      </c>
      <c r="CR110" s="440">
        <v>1</v>
      </c>
      <c r="CS110" s="440">
        <v>1</v>
      </c>
      <c r="CT110" s="440">
        <v>1</v>
      </c>
      <c r="CU110" s="440">
        <v>0</v>
      </c>
      <c r="CV110" s="440">
        <v>0</v>
      </c>
      <c r="CW110" s="440">
        <v>0</v>
      </c>
      <c r="CX110" s="442">
        <f t="shared" si="43"/>
        <v>0</v>
      </c>
      <c r="CY110" s="440">
        <v>0</v>
      </c>
      <c r="CZ110" s="442">
        <f t="shared" si="62"/>
        <v>0</v>
      </c>
      <c r="DA110" s="441">
        <v>0</v>
      </c>
      <c r="DB110" s="435">
        <v>2300</v>
      </c>
      <c r="DC110" s="440">
        <v>-21</v>
      </c>
      <c r="DD110" s="440">
        <v>-18</v>
      </c>
      <c r="DE110" s="440">
        <v>-14</v>
      </c>
      <c r="DF110" s="440">
        <v>-11</v>
      </c>
      <c r="DG110" s="440">
        <v>-7</v>
      </c>
      <c r="DH110" s="440">
        <v>-4</v>
      </c>
      <c r="DI110" s="442">
        <f t="shared" si="44"/>
        <v>-2</v>
      </c>
      <c r="DJ110" s="440">
        <v>0</v>
      </c>
      <c r="DK110" s="442">
        <f t="shared" si="63"/>
        <v>2</v>
      </c>
      <c r="DL110" s="441">
        <v>4</v>
      </c>
      <c r="DM110" s="435">
        <v>2300</v>
      </c>
      <c r="DN110" s="440">
        <v>1</v>
      </c>
      <c r="DO110" s="440">
        <v>1</v>
      </c>
      <c r="DP110" s="440">
        <v>1</v>
      </c>
      <c r="DQ110" s="440">
        <v>0</v>
      </c>
      <c r="DR110" s="440">
        <v>0</v>
      </c>
      <c r="DS110" s="440">
        <v>0</v>
      </c>
      <c r="DT110" s="442">
        <f t="shared" si="45"/>
        <v>0</v>
      </c>
      <c r="DU110" s="440">
        <v>0</v>
      </c>
      <c r="DV110" s="442">
        <f t="shared" si="64"/>
        <v>0</v>
      </c>
      <c r="DW110" s="441">
        <v>0</v>
      </c>
      <c r="DX110" s="435">
        <v>2300</v>
      </c>
      <c r="DY110" s="440">
        <v>-24</v>
      </c>
      <c r="DZ110" s="440">
        <v>-20</v>
      </c>
      <c r="EA110" s="440">
        <v>-16</v>
      </c>
      <c r="EB110" s="440">
        <v>-12</v>
      </c>
      <c r="EC110" s="440">
        <v>-8</v>
      </c>
      <c r="ED110" s="440">
        <v>-4</v>
      </c>
      <c r="EE110" s="442">
        <f t="shared" si="46"/>
        <v>-2</v>
      </c>
      <c r="EF110" s="440">
        <v>0</v>
      </c>
      <c r="EG110" s="442">
        <f t="shared" si="65"/>
        <v>2</v>
      </c>
      <c r="EH110" s="440">
        <v>4</v>
      </c>
      <c r="EI110" s="435">
        <v>2300</v>
      </c>
      <c r="EJ110" s="440">
        <v>3</v>
      </c>
      <c r="EK110" s="440">
        <v>2</v>
      </c>
      <c r="EL110" s="440">
        <v>2</v>
      </c>
      <c r="EM110" s="440">
        <v>1</v>
      </c>
      <c r="EN110" s="440">
        <v>1</v>
      </c>
      <c r="EO110" s="440">
        <v>0</v>
      </c>
      <c r="EP110" s="442">
        <f t="shared" si="66"/>
        <v>0</v>
      </c>
      <c r="EQ110" s="440">
        <v>0</v>
      </c>
      <c r="ER110" s="442">
        <f t="shared" si="67"/>
        <v>0</v>
      </c>
      <c r="ES110" s="441">
        <v>0</v>
      </c>
      <c r="ET110" s="435">
        <v>2300</v>
      </c>
      <c r="EU110" s="440">
        <v>-23</v>
      </c>
      <c r="EV110" s="440">
        <v>-19</v>
      </c>
      <c r="EW110" s="440">
        <v>-15</v>
      </c>
      <c r="EX110" s="440">
        <v>-11</v>
      </c>
      <c r="EY110" s="440">
        <v>-8</v>
      </c>
      <c r="EZ110" s="440">
        <v>-4</v>
      </c>
      <c r="FA110" s="442">
        <f t="shared" si="68"/>
        <v>-2</v>
      </c>
      <c r="FB110" s="440">
        <v>0</v>
      </c>
      <c r="FC110" s="442">
        <f t="shared" si="69"/>
        <v>2</v>
      </c>
      <c r="FD110" s="440">
        <v>4</v>
      </c>
      <c r="FE110" s="435">
        <v>2300</v>
      </c>
      <c r="FF110" s="440">
        <v>1</v>
      </c>
      <c r="FG110" s="440">
        <v>1</v>
      </c>
      <c r="FH110" s="440">
        <v>1</v>
      </c>
      <c r="FI110" s="440">
        <v>1</v>
      </c>
      <c r="FJ110" s="440">
        <v>0</v>
      </c>
      <c r="FK110" s="440">
        <v>0</v>
      </c>
      <c r="FL110" s="442">
        <f t="shared" si="47"/>
        <v>0</v>
      </c>
      <c r="FM110" s="440">
        <v>0</v>
      </c>
      <c r="FN110" s="442">
        <f t="shared" si="70"/>
        <v>0</v>
      </c>
      <c r="FO110" s="441">
        <v>0</v>
      </c>
      <c r="FP110" s="435">
        <v>2300</v>
      </c>
      <c r="FQ110" s="440">
        <v>-23</v>
      </c>
      <c r="FR110" s="440">
        <v>-19</v>
      </c>
      <c r="FS110" s="440">
        <v>-15</v>
      </c>
      <c r="FT110" s="440">
        <v>-11</v>
      </c>
      <c r="FU110" s="440">
        <v>-8</v>
      </c>
      <c r="FV110" s="440">
        <v>-4</v>
      </c>
      <c r="FW110" s="442">
        <f t="shared" si="48"/>
        <v>-2</v>
      </c>
      <c r="FX110" s="440">
        <v>0</v>
      </c>
      <c r="FY110" s="442">
        <f t="shared" si="71"/>
        <v>2</v>
      </c>
      <c r="FZ110" s="440">
        <v>4</v>
      </c>
      <c r="GA110" s="435">
        <v>2300</v>
      </c>
      <c r="GB110" s="440">
        <v>-36</v>
      </c>
      <c r="GC110" s="440">
        <v>-30</v>
      </c>
      <c r="GD110" s="440">
        <v>-24</v>
      </c>
      <c r="GE110" s="440">
        <v>-18</v>
      </c>
      <c r="GF110" s="440">
        <v>-12</v>
      </c>
      <c r="GG110" s="440">
        <v>-6</v>
      </c>
      <c r="GH110" s="442">
        <f t="shared" si="49"/>
        <v>-3</v>
      </c>
      <c r="GI110" s="440">
        <v>0</v>
      </c>
      <c r="GJ110" s="442">
        <f t="shared" si="72"/>
        <v>3</v>
      </c>
      <c r="GK110" s="441">
        <v>6</v>
      </c>
      <c r="GL110" s="435">
        <v>2300</v>
      </c>
      <c r="GM110" s="440">
        <v>-35</v>
      </c>
      <c r="GN110" s="440">
        <v>-29</v>
      </c>
      <c r="GO110" s="440">
        <v>-23</v>
      </c>
      <c r="GP110" s="440">
        <v>-17</v>
      </c>
      <c r="GQ110" s="440">
        <v>-12</v>
      </c>
      <c r="GR110" s="440">
        <v>-6</v>
      </c>
      <c r="GS110" s="442">
        <f t="shared" si="50"/>
        <v>-3</v>
      </c>
      <c r="GT110" s="440">
        <v>0</v>
      </c>
      <c r="GU110" s="442">
        <f t="shared" si="73"/>
        <v>3</v>
      </c>
      <c r="GV110" s="441">
        <v>6</v>
      </c>
    </row>
    <row r="111" spans="7:204">
      <c r="G111" s="450">
        <v>2200</v>
      </c>
      <c r="H111" s="445">
        <v>35</v>
      </c>
      <c r="I111" s="249">
        <v>29</v>
      </c>
      <c r="J111" s="248">
        <v>23</v>
      </c>
      <c r="K111" s="248">
        <v>17</v>
      </c>
      <c r="L111" s="249">
        <v>12</v>
      </c>
      <c r="M111" s="249">
        <v>6</v>
      </c>
      <c r="N111" s="249">
        <f t="shared" si="51"/>
        <v>3</v>
      </c>
      <c r="O111" s="249">
        <v>0</v>
      </c>
      <c r="P111" s="249">
        <f t="shared" si="52"/>
        <v>-3</v>
      </c>
      <c r="Q111" s="446">
        <v>-6</v>
      </c>
      <c r="R111" s="435">
        <v>2200</v>
      </c>
      <c r="S111" s="248">
        <v>11</v>
      </c>
      <c r="T111" s="248">
        <v>9</v>
      </c>
      <c r="U111" s="248">
        <v>7</v>
      </c>
      <c r="V111" s="248">
        <v>6</v>
      </c>
      <c r="W111" s="248">
        <v>4</v>
      </c>
      <c r="X111" s="248">
        <v>2</v>
      </c>
      <c r="Y111" s="249">
        <f t="shared" si="53"/>
        <v>1</v>
      </c>
      <c r="Z111" s="248">
        <v>0</v>
      </c>
      <c r="AA111" s="439">
        <f t="shared" si="54"/>
        <v>-1</v>
      </c>
      <c r="AB111" s="248">
        <v>-2</v>
      </c>
      <c r="AC111" s="435">
        <v>2200</v>
      </c>
      <c r="AD111" s="440">
        <v>-30</v>
      </c>
      <c r="AE111" s="440">
        <v>-25</v>
      </c>
      <c r="AF111" s="440">
        <v>-20</v>
      </c>
      <c r="AG111" s="440">
        <v>-15</v>
      </c>
      <c r="AH111" s="440">
        <v>-10</v>
      </c>
      <c r="AI111" s="440">
        <v>-5</v>
      </c>
      <c r="AJ111" s="249">
        <f t="shared" si="55"/>
        <v>-2.5</v>
      </c>
      <c r="AK111" s="248">
        <v>0</v>
      </c>
      <c r="AL111" s="439">
        <f t="shared" si="56"/>
        <v>2.5</v>
      </c>
      <c r="AM111" s="441">
        <v>5</v>
      </c>
      <c r="AN111" s="435">
        <v>2200</v>
      </c>
      <c r="AO111" s="440">
        <v>-54</v>
      </c>
      <c r="AP111" s="440">
        <v>-45</v>
      </c>
      <c r="AQ111" s="440">
        <v>-36</v>
      </c>
      <c r="AR111" s="440">
        <v>-27</v>
      </c>
      <c r="AS111" s="440">
        <v>-18</v>
      </c>
      <c r="AT111" s="440">
        <v>-9</v>
      </c>
      <c r="AU111" s="442">
        <f t="shared" si="38"/>
        <v>-4.5</v>
      </c>
      <c r="AV111" s="440">
        <v>0</v>
      </c>
      <c r="AW111" s="442">
        <f t="shared" si="57"/>
        <v>4.5</v>
      </c>
      <c r="AX111" s="441">
        <v>9</v>
      </c>
      <c r="AY111" s="435">
        <v>2200</v>
      </c>
      <c r="AZ111" s="440">
        <v>3</v>
      </c>
      <c r="BA111" s="440">
        <v>3</v>
      </c>
      <c r="BB111" s="440">
        <v>2</v>
      </c>
      <c r="BC111" s="440">
        <v>2</v>
      </c>
      <c r="BD111" s="440">
        <v>1</v>
      </c>
      <c r="BE111" s="440">
        <v>1</v>
      </c>
      <c r="BF111" s="442">
        <f t="shared" si="39"/>
        <v>0.5</v>
      </c>
      <c r="BG111" s="440">
        <v>0</v>
      </c>
      <c r="BH111" s="442">
        <f t="shared" si="58"/>
        <v>-0.5</v>
      </c>
      <c r="BI111" s="441">
        <v>-1</v>
      </c>
      <c r="BJ111" s="447">
        <v>2200</v>
      </c>
      <c r="BK111" s="440">
        <v>-31</v>
      </c>
      <c r="BL111" s="440">
        <v>-26</v>
      </c>
      <c r="BM111" s="440">
        <v>-21</v>
      </c>
      <c r="BN111" s="440">
        <v>-16</v>
      </c>
      <c r="BO111" s="440">
        <v>-10</v>
      </c>
      <c r="BP111" s="440">
        <v>-5</v>
      </c>
      <c r="BQ111" s="442">
        <f t="shared" si="40"/>
        <v>-2.5</v>
      </c>
      <c r="BR111" s="440">
        <v>0</v>
      </c>
      <c r="BS111" s="442">
        <f t="shared" si="59"/>
        <v>2.5</v>
      </c>
      <c r="BT111" s="440">
        <v>5</v>
      </c>
      <c r="BU111" s="435">
        <v>2200</v>
      </c>
      <c r="BV111" s="440">
        <v>1</v>
      </c>
      <c r="BW111" s="440">
        <v>1</v>
      </c>
      <c r="BX111" s="440">
        <v>1</v>
      </c>
      <c r="BY111" s="440">
        <v>1</v>
      </c>
      <c r="BZ111" s="440">
        <v>0</v>
      </c>
      <c r="CA111" s="440">
        <v>0</v>
      </c>
      <c r="CB111" s="442">
        <f t="shared" si="41"/>
        <v>0</v>
      </c>
      <c r="CC111" s="440">
        <v>0</v>
      </c>
      <c r="CD111" s="442">
        <f t="shared" si="60"/>
        <v>0</v>
      </c>
      <c r="CE111" s="441">
        <v>0</v>
      </c>
      <c r="CF111" s="435">
        <v>2200</v>
      </c>
      <c r="CG111" s="440">
        <v>-23</v>
      </c>
      <c r="CH111" s="440">
        <v>-19</v>
      </c>
      <c r="CI111" s="440">
        <v>-15</v>
      </c>
      <c r="CJ111" s="440">
        <v>-11</v>
      </c>
      <c r="CK111" s="440">
        <v>-8</v>
      </c>
      <c r="CL111" s="440">
        <v>-4</v>
      </c>
      <c r="CM111" s="442">
        <f t="shared" si="42"/>
        <v>-2</v>
      </c>
      <c r="CN111" s="440">
        <v>0</v>
      </c>
      <c r="CO111" s="442">
        <f t="shared" si="61"/>
        <v>2</v>
      </c>
      <c r="CP111" s="441">
        <v>4</v>
      </c>
      <c r="CQ111" s="435">
        <v>2200</v>
      </c>
      <c r="CR111" s="440">
        <v>1</v>
      </c>
      <c r="CS111" s="440">
        <v>1</v>
      </c>
      <c r="CT111" s="440">
        <v>1</v>
      </c>
      <c r="CU111" s="440">
        <v>0</v>
      </c>
      <c r="CV111" s="440">
        <v>0</v>
      </c>
      <c r="CW111" s="440">
        <v>0</v>
      </c>
      <c r="CX111" s="442">
        <f t="shared" si="43"/>
        <v>0</v>
      </c>
      <c r="CY111" s="440">
        <v>0</v>
      </c>
      <c r="CZ111" s="442">
        <f t="shared" si="62"/>
        <v>0</v>
      </c>
      <c r="DA111" s="441">
        <v>0</v>
      </c>
      <c r="DB111" s="435">
        <v>2200</v>
      </c>
      <c r="DC111" s="440">
        <v>-21</v>
      </c>
      <c r="DD111" s="440">
        <v>-18</v>
      </c>
      <c r="DE111" s="440">
        <v>-14</v>
      </c>
      <c r="DF111" s="440">
        <v>-11</v>
      </c>
      <c r="DG111" s="440">
        <v>-7</v>
      </c>
      <c r="DH111" s="440">
        <v>-4</v>
      </c>
      <c r="DI111" s="442">
        <f t="shared" si="44"/>
        <v>-2</v>
      </c>
      <c r="DJ111" s="440">
        <v>0</v>
      </c>
      <c r="DK111" s="442">
        <f t="shared" si="63"/>
        <v>2</v>
      </c>
      <c r="DL111" s="441">
        <v>4</v>
      </c>
      <c r="DM111" s="435">
        <v>2200</v>
      </c>
      <c r="DN111" s="440">
        <v>1</v>
      </c>
      <c r="DO111" s="440">
        <v>1</v>
      </c>
      <c r="DP111" s="440">
        <v>1</v>
      </c>
      <c r="DQ111" s="440">
        <v>0</v>
      </c>
      <c r="DR111" s="440">
        <v>0</v>
      </c>
      <c r="DS111" s="440">
        <v>0</v>
      </c>
      <c r="DT111" s="442">
        <f t="shared" si="45"/>
        <v>0</v>
      </c>
      <c r="DU111" s="440">
        <v>0</v>
      </c>
      <c r="DV111" s="442">
        <f t="shared" si="64"/>
        <v>0</v>
      </c>
      <c r="DW111" s="441">
        <v>0</v>
      </c>
      <c r="DX111" s="435">
        <v>2200</v>
      </c>
      <c r="DY111" s="440">
        <v>-24</v>
      </c>
      <c r="DZ111" s="440">
        <v>-20</v>
      </c>
      <c r="EA111" s="440">
        <v>-16</v>
      </c>
      <c r="EB111" s="440">
        <v>-12</v>
      </c>
      <c r="EC111" s="440">
        <v>-8</v>
      </c>
      <c r="ED111" s="440">
        <v>-4</v>
      </c>
      <c r="EE111" s="442">
        <f t="shared" si="46"/>
        <v>-2</v>
      </c>
      <c r="EF111" s="440">
        <v>0</v>
      </c>
      <c r="EG111" s="442">
        <f t="shared" si="65"/>
        <v>2</v>
      </c>
      <c r="EH111" s="440">
        <v>4</v>
      </c>
      <c r="EI111" s="435">
        <v>2200</v>
      </c>
      <c r="EJ111" s="440">
        <v>3</v>
      </c>
      <c r="EK111" s="440">
        <v>2</v>
      </c>
      <c r="EL111" s="440">
        <v>2</v>
      </c>
      <c r="EM111" s="440">
        <v>1</v>
      </c>
      <c r="EN111" s="440">
        <v>1</v>
      </c>
      <c r="EO111" s="440">
        <v>0</v>
      </c>
      <c r="EP111" s="442">
        <f t="shared" si="66"/>
        <v>0</v>
      </c>
      <c r="EQ111" s="440">
        <v>0</v>
      </c>
      <c r="ER111" s="442">
        <f t="shared" si="67"/>
        <v>0</v>
      </c>
      <c r="ES111" s="441">
        <v>0</v>
      </c>
      <c r="ET111" s="435">
        <v>2200</v>
      </c>
      <c r="EU111" s="440">
        <v>-23</v>
      </c>
      <c r="EV111" s="440">
        <v>-19</v>
      </c>
      <c r="EW111" s="440">
        <v>-15</v>
      </c>
      <c r="EX111" s="440">
        <v>-11</v>
      </c>
      <c r="EY111" s="440">
        <v>-8</v>
      </c>
      <c r="EZ111" s="440">
        <v>-4</v>
      </c>
      <c r="FA111" s="442">
        <f t="shared" si="68"/>
        <v>-2</v>
      </c>
      <c r="FB111" s="440">
        <v>0</v>
      </c>
      <c r="FC111" s="442">
        <f t="shared" si="69"/>
        <v>2</v>
      </c>
      <c r="FD111" s="440">
        <v>4</v>
      </c>
      <c r="FE111" s="435">
        <v>2200</v>
      </c>
      <c r="FF111" s="440">
        <v>1</v>
      </c>
      <c r="FG111" s="440">
        <v>1</v>
      </c>
      <c r="FH111" s="440">
        <v>1</v>
      </c>
      <c r="FI111" s="440">
        <v>1</v>
      </c>
      <c r="FJ111" s="440">
        <v>0</v>
      </c>
      <c r="FK111" s="440">
        <v>0</v>
      </c>
      <c r="FL111" s="442">
        <f t="shared" si="47"/>
        <v>0</v>
      </c>
      <c r="FM111" s="440">
        <v>0</v>
      </c>
      <c r="FN111" s="442">
        <f t="shared" si="70"/>
        <v>0</v>
      </c>
      <c r="FO111" s="441">
        <v>0</v>
      </c>
      <c r="FP111" s="435">
        <v>2200</v>
      </c>
      <c r="FQ111" s="440">
        <v>-23</v>
      </c>
      <c r="FR111" s="440">
        <v>-19</v>
      </c>
      <c r="FS111" s="440">
        <v>-15</v>
      </c>
      <c r="FT111" s="440">
        <v>-11</v>
      </c>
      <c r="FU111" s="440">
        <v>-8</v>
      </c>
      <c r="FV111" s="440">
        <v>-4</v>
      </c>
      <c r="FW111" s="442">
        <f t="shared" si="48"/>
        <v>-2</v>
      </c>
      <c r="FX111" s="440">
        <v>0</v>
      </c>
      <c r="FY111" s="442">
        <f t="shared" si="71"/>
        <v>2</v>
      </c>
      <c r="FZ111" s="440">
        <v>4</v>
      </c>
      <c r="GA111" s="435">
        <v>2200</v>
      </c>
      <c r="GB111" s="440">
        <v>-36</v>
      </c>
      <c r="GC111" s="440">
        <v>-30</v>
      </c>
      <c r="GD111" s="440">
        <v>-24</v>
      </c>
      <c r="GE111" s="440">
        <v>-18</v>
      </c>
      <c r="GF111" s="440">
        <v>-12</v>
      </c>
      <c r="GG111" s="440">
        <v>-6</v>
      </c>
      <c r="GH111" s="442">
        <f t="shared" si="49"/>
        <v>-3</v>
      </c>
      <c r="GI111" s="440">
        <v>0</v>
      </c>
      <c r="GJ111" s="442">
        <f t="shared" si="72"/>
        <v>3</v>
      </c>
      <c r="GK111" s="441">
        <v>6</v>
      </c>
      <c r="GL111" s="435">
        <v>2200</v>
      </c>
      <c r="GM111" s="440">
        <v>-35</v>
      </c>
      <c r="GN111" s="440">
        <v>-29</v>
      </c>
      <c r="GO111" s="440">
        <v>-23</v>
      </c>
      <c r="GP111" s="440">
        <v>-17</v>
      </c>
      <c r="GQ111" s="440">
        <v>-12</v>
      </c>
      <c r="GR111" s="440">
        <v>-6</v>
      </c>
      <c r="GS111" s="442">
        <f t="shared" si="50"/>
        <v>-3</v>
      </c>
      <c r="GT111" s="440">
        <v>0</v>
      </c>
      <c r="GU111" s="442">
        <f t="shared" si="73"/>
        <v>3</v>
      </c>
      <c r="GV111" s="441">
        <v>6</v>
      </c>
    </row>
    <row r="112" spans="7:204">
      <c r="G112" s="450">
        <v>2100</v>
      </c>
      <c r="H112" s="445">
        <v>35</v>
      </c>
      <c r="I112" s="249">
        <v>29</v>
      </c>
      <c r="J112" s="248">
        <v>23</v>
      </c>
      <c r="K112" s="248">
        <v>17</v>
      </c>
      <c r="L112" s="249">
        <v>12</v>
      </c>
      <c r="M112" s="249">
        <v>6</v>
      </c>
      <c r="N112" s="249">
        <f t="shared" si="51"/>
        <v>3</v>
      </c>
      <c r="O112" s="249">
        <v>0</v>
      </c>
      <c r="P112" s="249">
        <f t="shared" si="52"/>
        <v>-3</v>
      </c>
      <c r="Q112" s="446">
        <v>-6</v>
      </c>
      <c r="R112" s="435">
        <v>2100</v>
      </c>
      <c r="S112" s="248">
        <v>11</v>
      </c>
      <c r="T112" s="248">
        <v>9</v>
      </c>
      <c r="U112" s="248">
        <v>7</v>
      </c>
      <c r="V112" s="248">
        <v>6</v>
      </c>
      <c r="W112" s="248">
        <v>4</v>
      </c>
      <c r="X112" s="248">
        <v>2</v>
      </c>
      <c r="Y112" s="249">
        <f t="shared" si="53"/>
        <v>1</v>
      </c>
      <c r="Z112" s="248">
        <v>0</v>
      </c>
      <c r="AA112" s="439">
        <f t="shared" si="54"/>
        <v>-1</v>
      </c>
      <c r="AB112" s="248">
        <v>-2</v>
      </c>
      <c r="AC112" s="435">
        <v>2100</v>
      </c>
      <c r="AD112" s="440">
        <v>-30</v>
      </c>
      <c r="AE112" s="440">
        <v>-25</v>
      </c>
      <c r="AF112" s="440">
        <v>-20</v>
      </c>
      <c r="AG112" s="440">
        <v>-15</v>
      </c>
      <c r="AH112" s="440">
        <v>-10</v>
      </c>
      <c r="AI112" s="440">
        <v>-5</v>
      </c>
      <c r="AJ112" s="249">
        <f t="shared" si="55"/>
        <v>-2.5</v>
      </c>
      <c r="AK112" s="248">
        <v>0</v>
      </c>
      <c r="AL112" s="439">
        <f t="shared" si="56"/>
        <v>2.5</v>
      </c>
      <c r="AM112" s="441">
        <v>5</v>
      </c>
      <c r="AN112" s="435">
        <v>2100</v>
      </c>
      <c r="AO112" s="440">
        <v>-54</v>
      </c>
      <c r="AP112" s="440">
        <v>-45</v>
      </c>
      <c r="AQ112" s="440">
        <v>-36</v>
      </c>
      <c r="AR112" s="440">
        <v>-27</v>
      </c>
      <c r="AS112" s="440">
        <v>-18</v>
      </c>
      <c r="AT112" s="440">
        <v>-9</v>
      </c>
      <c r="AU112" s="442">
        <f t="shared" si="38"/>
        <v>-4.5</v>
      </c>
      <c r="AV112" s="440">
        <v>0</v>
      </c>
      <c r="AW112" s="442">
        <f t="shared" si="57"/>
        <v>4.5</v>
      </c>
      <c r="AX112" s="441">
        <v>9</v>
      </c>
      <c r="AY112" s="435">
        <v>2100</v>
      </c>
      <c r="AZ112" s="440">
        <v>3</v>
      </c>
      <c r="BA112" s="440">
        <v>3</v>
      </c>
      <c r="BB112" s="440">
        <v>2</v>
      </c>
      <c r="BC112" s="440">
        <v>2</v>
      </c>
      <c r="BD112" s="440">
        <v>1</v>
      </c>
      <c r="BE112" s="440">
        <v>1</v>
      </c>
      <c r="BF112" s="442">
        <f t="shared" si="39"/>
        <v>0.5</v>
      </c>
      <c r="BG112" s="440">
        <v>0</v>
      </c>
      <c r="BH112" s="442">
        <f t="shared" si="58"/>
        <v>-0.5</v>
      </c>
      <c r="BI112" s="441">
        <v>-1</v>
      </c>
      <c r="BJ112" s="447">
        <v>2100</v>
      </c>
      <c r="BK112" s="440">
        <v>-31</v>
      </c>
      <c r="BL112" s="440">
        <v>-26</v>
      </c>
      <c r="BM112" s="440">
        <v>-21</v>
      </c>
      <c r="BN112" s="440">
        <v>-16</v>
      </c>
      <c r="BO112" s="440">
        <v>-10</v>
      </c>
      <c r="BP112" s="440">
        <v>-5</v>
      </c>
      <c r="BQ112" s="442">
        <f t="shared" si="40"/>
        <v>-2.5</v>
      </c>
      <c r="BR112" s="440">
        <v>0</v>
      </c>
      <c r="BS112" s="442">
        <f t="shared" si="59"/>
        <v>2.5</v>
      </c>
      <c r="BT112" s="440">
        <v>5</v>
      </c>
      <c r="BU112" s="435">
        <v>2100</v>
      </c>
      <c r="BV112" s="440">
        <v>1</v>
      </c>
      <c r="BW112" s="440">
        <v>1</v>
      </c>
      <c r="BX112" s="440">
        <v>1</v>
      </c>
      <c r="BY112" s="440">
        <v>1</v>
      </c>
      <c r="BZ112" s="440">
        <v>0</v>
      </c>
      <c r="CA112" s="440">
        <v>0</v>
      </c>
      <c r="CB112" s="442">
        <f t="shared" si="41"/>
        <v>0</v>
      </c>
      <c r="CC112" s="440">
        <v>0</v>
      </c>
      <c r="CD112" s="442">
        <f t="shared" si="60"/>
        <v>0</v>
      </c>
      <c r="CE112" s="441">
        <v>0</v>
      </c>
      <c r="CF112" s="435">
        <v>2100</v>
      </c>
      <c r="CG112" s="440">
        <v>-23</v>
      </c>
      <c r="CH112" s="440">
        <v>-19</v>
      </c>
      <c r="CI112" s="440">
        <v>-15</v>
      </c>
      <c r="CJ112" s="440">
        <v>-11</v>
      </c>
      <c r="CK112" s="440">
        <v>-8</v>
      </c>
      <c r="CL112" s="440">
        <v>-4</v>
      </c>
      <c r="CM112" s="442">
        <f t="shared" si="42"/>
        <v>-2</v>
      </c>
      <c r="CN112" s="440">
        <v>0</v>
      </c>
      <c r="CO112" s="442">
        <f t="shared" si="61"/>
        <v>2</v>
      </c>
      <c r="CP112" s="441">
        <v>4</v>
      </c>
      <c r="CQ112" s="435">
        <v>2100</v>
      </c>
      <c r="CR112" s="440">
        <v>1</v>
      </c>
      <c r="CS112" s="440">
        <v>1</v>
      </c>
      <c r="CT112" s="440">
        <v>1</v>
      </c>
      <c r="CU112" s="440">
        <v>0</v>
      </c>
      <c r="CV112" s="440">
        <v>0</v>
      </c>
      <c r="CW112" s="440">
        <v>0</v>
      </c>
      <c r="CX112" s="442">
        <f t="shared" si="43"/>
        <v>0</v>
      </c>
      <c r="CY112" s="440">
        <v>0</v>
      </c>
      <c r="CZ112" s="442">
        <f t="shared" si="62"/>
        <v>0</v>
      </c>
      <c r="DA112" s="441">
        <v>0</v>
      </c>
      <c r="DB112" s="435">
        <v>2100</v>
      </c>
      <c r="DC112" s="440">
        <v>-21</v>
      </c>
      <c r="DD112" s="440">
        <v>-18</v>
      </c>
      <c r="DE112" s="440">
        <v>-14</v>
      </c>
      <c r="DF112" s="440">
        <v>-11</v>
      </c>
      <c r="DG112" s="440">
        <v>-7</v>
      </c>
      <c r="DH112" s="440">
        <v>-4</v>
      </c>
      <c r="DI112" s="442">
        <f t="shared" si="44"/>
        <v>-2</v>
      </c>
      <c r="DJ112" s="440">
        <v>0</v>
      </c>
      <c r="DK112" s="442">
        <f t="shared" si="63"/>
        <v>2</v>
      </c>
      <c r="DL112" s="441">
        <v>4</v>
      </c>
      <c r="DM112" s="435">
        <v>2100</v>
      </c>
      <c r="DN112" s="440">
        <v>1</v>
      </c>
      <c r="DO112" s="440">
        <v>1</v>
      </c>
      <c r="DP112" s="440">
        <v>1</v>
      </c>
      <c r="DQ112" s="440">
        <v>0</v>
      </c>
      <c r="DR112" s="440">
        <v>0</v>
      </c>
      <c r="DS112" s="440">
        <v>0</v>
      </c>
      <c r="DT112" s="442">
        <f t="shared" si="45"/>
        <v>0</v>
      </c>
      <c r="DU112" s="440">
        <v>0</v>
      </c>
      <c r="DV112" s="442">
        <f t="shared" si="64"/>
        <v>0</v>
      </c>
      <c r="DW112" s="441">
        <v>0</v>
      </c>
      <c r="DX112" s="435">
        <v>2100</v>
      </c>
      <c r="DY112" s="440">
        <v>-24</v>
      </c>
      <c r="DZ112" s="440">
        <v>-20</v>
      </c>
      <c r="EA112" s="440">
        <v>-16</v>
      </c>
      <c r="EB112" s="440">
        <v>-12</v>
      </c>
      <c r="EC112" s="440">
        <v>-8</v>
      </c>
      <c r="ED112" s="440">
        <v>-4</v>
      </c>
      <c r="EE112" s="442">
        <f t="shared" si="46"/>
        <v>-2</v>
      </c>
      <c r="EF112" s="440">
        <v>0</v>
      </c>
      <c r="EG112" s="442">
        <f t="shared" si="65"/>
        <v>2</v>
      </c>
      <c r="EH112" s="440">
        <v>4</v>
      </c>
      <c r="EI112" s="435">
        <v>2100</v>
      </c>
      <c r="EJ112" s="440">
        <v>3</v>
      </c>
      <c r="EK112" s="440">
        <v>2</v>
      </c>
      <c r="EL112" s="440">
        <v>2</v>
      </c>
      <c r="EM112" s="440">
        <v>1</v>
      </c>
      <c r="EN112" s="440">
        <v>1</v>
      </c>
      <c r="EO112" s="440">
        <v>0</v>
      </c>
      <c r="EP112" s="442">
        <f t="shared" si="66"/>
        <v>0</v>
      </c>
      <c r="EQ112" s="440">
        <v>0</v>
      </c>
      <c r="ER112" s="442">
        <f t="shared" si="67"/>
        <v>0</v>
      </c>
      <c r="ES112" s="441">
        <v>0</v>
      </c>
      <c r="ET112" s="435">
        <v>2100</v>
      </c>
      <c r="EU112" s="440">
        <v>-23</v>
      </c>
      <c r="EV112" s="440">
        <v>-19</v>
      </c>
      <c r="EW112" s="440">
        <v>-15</v>
      </c>
      <c r="EX112" s="440">
        <v>-11</v>
      </c>
      <c r="EY112" s="440">
        <v>-8</v>
      </c>
      <c r="EZ112" s="440">
        <v>-4</v>
      </c>
      <c r="FA112" s="442">
        <f t="shared" si="68"/>
        <v>-2</v>
      </c>
      <c r="FB112" s="440">
        <v>0</v>
      </c>
      <c r="FC112" s="442">
        <f t="shared" si="69"/>
        <v>2</v>
      </c>
      <c r="FD112" s="440">
        <v>4</v>
      </c>
      <c r="FE112" s="435">
        <v>2100</v>
      </c>
      <c r="FF112" s="440">
        <v>1</v>
      </c>
      <c r="FG112" s="440">
        <v>1</v>
      </c>
      <c r="FH112" s="440">
        <v>1</v>
      </c>
      <c r="FI112" s="440">
        <v>1</v>
      </c>
      <c r="FJ112" s="440">
        <v>0</v>
      </c>
      <c r="FK112" s="440">
        <v>0</v>
      </c>
      <c r="FL112" s="442">
        <f t="shared" si="47"/>
        <v>0</v>
      </c>
      <c r="FM112" s="440">
        <v>0</v>
      </c>
      <c r="FN112" s="442">
        <f t="shared" si="70"/>
        <v>0</v>
      </c>
      <c r="FO112" s="441">
        <v>0</v>
      </c>
      <c r="FP112" s="435">
        <v>2100</v>
      </c>
      <c r="FQ112" s="440">
        <v>-23</v>
      </c>
      <c r="FR112" s="440">
        <v>-19</v>
      </c>
      <c r="FS112" s="440">
        <v>-15</v>
      </c>
      <c r="FT112" s="440">
        <v>-11</v>
      </c>
      <c r="FU112" s="440">
        <v>-8</v>
      </c>
      <c r="FV112" s="440">
        <v>-4</v>
      </c>
      <c r="FW112" s="442">
        <f t="shared" si="48"/>
        <v>-2</v>
      </c>
      <c r="FX112" s="440">
        <v>0</v>
      </c>
      <c r="FY112" s="442">
        <f t="shared" si="71"/>
        <v>2</v>
      </c>
      <c r="FZ112" s="440">
        <v>4</v>
      </c>
      <c r="GA112" s="435">
        <v>2100</v>
      </c>
      <c r="GB112" s="440">
        <v>-36</v>
      </c>
      <c r="GC112" s="440">
        <v>-30</v>
      </c>
      <c r="GD112" s="440">
        <v>-24</v>
      </c>
      <c r="GE112" s="440">
        <v>-18</v>
      </c>
      <c r="GF112" s="440">
        <v>-12</v>
      </c>
      <c r="GG112" s="440">
        <v>-6</v>
      </c>
      <c r="GH112" s="442">
        <f t="shared" si="49"/>
        <v>-3</v>
      </c>
      <c r="GI112" s="440">
        <v>0</v>
      </c>
      <c r="GJ112" s="442">
        <f t="shared" si="72"/>
        <v>3</v>
      </c>
      <c r="GK112" s="441">
        <v>6</v>
      </c>
      <c r="GL112" s="435">
        <v>2100</v>
      </c>
      <c r="GM112" s="440">
        <v>-35</v>
      </c>
      <c r="GN112" s="440">
        <v>-29</v>
      </c>
      <c r="GO112" s="440">
        <v>-23</v>
      </c>
      <c r="GP112" s="440">
        <v>-17</v>
      </c>
      <c r="GQ112" s="440">
        <v>-12</v>
      </c>
      <c r="GR112" s="440">
        <v>-6</v>
      </c>
      <c r="GS112" s="442">
        <f t="shared" si="50"/>
        <v>-3</v>
      </c>
      <c r="GT112" s="440">
        <v>0</v>
      </c>
      <c r="GU112" s="442">
        <f t="shared" si="73"/>
        <v>3</v>
      </c>
      <c r="GV112" s="441">
        <v>6</v>
      </c>
    </row>
    <row r="113" spans="7:204">
      <c r="G113" s="450">
        <v>2000</v>
      </c>
      <c r="H113" s="445">
        <v>35</v>
      </c>
      <c r="I113" s="249">
        <v>29</v>
      </c>
      <c r="J113" s="248">
        <v>23</v>
      </c>
      <c r="K113" s="248">
        <v>17</v>
      </c>
      <c r="L113" s="249">
        <v>12</v>
      </c>
      <c r="M113" s="249">
        <v>6</v>
      </c>
      <c r="N113" s="249">
        <f t="shared" si="51"/>
        <v>3</v>
      </c>
      <c r="O113" s="249">
        <v>0</v>
      </c>
      <c r="P113" s="249">
        <f t="shared" si="52"/>
        <v>-3</v>
      </c>
      <c r="Q113" s="446">
        <v>-6</v>
      </c>
      <c r="R113" s="435">
        <v>2000</v>
      </c>
      <c r="S113" s="248">
        <v>11</v>
      </c>
      <c r="T113" s="248">
        <v>9</v>
      </c>
      <c r="U113" s="248">
        <v>7</v>
      </c>
      <c r="V113" s="248">
        <v>5</v>
      </c>
      <c r="W113" s="248">
        <v>4</v>
      </c>
      <c r="X113" s="248">
        <v>2</v>
      </c>
      <c r="Y113" s="249">
        <f t="shared" si="53"/>
        <v>1</v>
      </c>
      <c r="Z113" s="248">
        <v>0</v>
      </c>
      <c r="AA113" s="439">
        <f t="shared" si="54"/>
        <v>-1</v>
      </c>
      <c r="AB113" s="248">
        <v>-2</v>
      </c>
      <c r="AC113" s="435">
        <v>2000</v>
      </c>
      <c r="AD113" s="440">
        <v>-30</v>
      </c>
      <c r="AE113" s="440">
        <v>-25</v>
      </c>
      <c r="AF113" s="440">
        <v>-20</v>
      </c>
      <c r="AG113" s="440">
        <v>-15</v>
      </c>
      <c r="AH113" s="440">
        <v>-10</v>
      </c>
      <c r="AI113" s="440">
        <v>-5</v>
      </c>
      <c r="AJ113" s="249">
        <f t="shared" si="55"/>
        <v>-2.5</v>
      </c>
      <c r="AK113" s="248">
        <v>0</v>
      </c>
      <c r="AL113" s="439">
        <f t="shared" si="56"/>
        <v>2.5</v>
      </c>
      <c r="AM113" s="441">
        <v>5</v>
      </c>
      <c r="AN113" s="435">
        <v>2000</v>
      </c>
      <c r="AO113" s="440">
        <v>-54</v>
      </c>
      <c r="AP113" s="440">
        <v>-45</v>
      </c>
      <c r="AQ113" s="440">
        <v>-36</v>
      </c>
      <c r="AR113" s="440">
        <v>-27</v>
      </c>
      <c r="AS113" s="440">
        <v>-18</v>
      </c>
      <c r="AT113" s="440">
        <v>-9</v>
      </c>
      <c r="AU113" s="442">
        <f t="shared" si="38"/>
        <v>-4.5</v>
      </c>
      <c r="AV113" s="440">
        <v>0</v>
      </c>
      <c r="AW113" s="442">
        <f t="shared" si="57"/>
        <v>4.5</v>
      </c>
      <c r="AX113" s="441">
        <v>9</v>
      </c>
      <c r="AY113" s="435">
        <v>2000</v>
      </c>
      <c r="AZ113" s="440">
        <v>3</v>
      </c>
      <c r="BA113" s="440">
        <v>3</v>
      </c>
      <c r="BB113" s="440">
        <v>2</v>
      </c>
      <c r="BC113" s="440">
        <v>2</v>
      </c>
      <c r="BD113" s="440">
        <v>1</v>
      </c>
      <c r="BE113" s="440">
        <v>1</v>
      </c>
      <c r="BF113" s="442">
        <f t="shared" si="39"/>
        <v>0.5</v>
      </c>
      <c r="BG113" s="440">
        <v>0</v>
      </c>
      <c r="BH113" s="442">
        <f t="shared" si="58"/>
        <v>-0.5</v>
      </c>
      <c r="BI113" s="441">
        <v>-1</v>
      </c>
      <c r="BJ113" s="447">
        <v>2000</v>
      </c>
      <c r="BK113" s="440">
        <v>-31</v>
      </c>
      <c r="BL113" s="440">
        <v>-26</v>
      </c>
      <c r="BM113" s="440">
        <v>-21</v>
      </c>
      <c r="BN113" s="440">
        <v>-16</v>
      </c>
      <c r="BO113" s="440">
        <v>-10</v>
      </c>
      <c r="BP113" s="440">
        <v>-5</v>
      </c>
      <c r="BQ113" s="442">
        <f t="shared" si="40"/>
        <v>-2.5</v>
      </c>
      <c r="BR113" s="440">
        <v>0</v>
      </c>
      <c r="BS113" s="442">
        <f t="shared" si="59"/>
        <v>2.5</v>
      </c>
      <c r="BT113" s="440">
        <v>5</v>
      </c>
      <c r="BU113" s="435">
        <v>2000</v>
      </c>
      <c r="BV113" s="440">
        <v>1</v>
      </c>
      <c r="BW113" s="440">
        <v>1</v>
      </c>
      <c r="BX113" s="440">
        <v>1</v>
      </c>
      <c r="BY113" s="440">
        <v>0</v>
      </c>
      <c r="BZ113" s="440">
        <v>0</v>
      </c>
      <c r="CA113" s="440">
        <v>0</v>
      </c>
      <c r="CB113" s="442">
        <f t="shared" si="41"/>
        <v>0</v>
      </c>
      <c r="CC113" s="440">
        <v>0</v>
      </c>
      <c r="CD113" s="442">
        <f t="shared" si="60"/>
        <v>0</v>
      </c>
      <c r="CE113" s="441">
        <v>0</v>
      </c>
      <c r="CF113" s="435">
        <v>2000</v>
      </c>
      <c r="CG113" s="440">
        <v>-23</v>
      </c>
      <c r="CH113" s="440">
        <v>-19</v>
      </c>
      <c r="CI113" s="440">
        <v>-15</v>
      </c>
      <c r="CJ113" s="440">
        <v>-12</v>
      </c>
      <c r="CK113" s="440">
        <v>-8</v>
      </c>
      <c r="CL113" s="440">
        <v>-4</v>
      </c>
      <c r="CM113" s="442">
        <f t="shared" si="42"/>
        <v>-2</v>
      </c>
      <c r="CN113" s="440">
        <v>0</v>
      </c>
      <c r="CO113" s="442">
        <f t="shared" si="61"/>
        <v>2</v>
      </c>
      <c r="CP113" s="441">
        <v>4</v>
      </c>
      <c r="CQ113" s="435">
        <v>2000</v>
      </c>
      <c r="CR113" s="440">
        <v>1</v>
      </c>
      <c r="CS113" s="440">
        <v>1</v>
      </c>
      <c r="CT113" s="440">
        <v>0</v>
      </c>
      <c r="CU113" s="440">
        <v>0</v>
      </c>
      <c r="CV113" s="440">
        <v>0</v>
      </c>
      <c r="CW113" s="440">
        <v>0</v>
      </c>
      <c r="CX113" s="442">
        <f t="shared" si="43"/>
        <v>0</v>
      </c>
      <c r="CY113" s="440">
        <v>0</v>
      </c>
      <c r="CZ113" s="442">
        <f t="shared" si="62"/>
        <v>0</v>
      </c>
      <c r="DA113" s="441">
        <v>0</v>
      </c>
      <c r="DB113" s="435">
        <v>2000</v>
      </c>
      <c r="DC113" s="440">
        <v>-21</v>
      </c>
      <c r="DD113" s="440">
        <v>-18</v>
      </c>
      <c r="DE113" s="440">
        <v>-14</v>
      </c>
      <c r="DF113" s="440">
        <v>-11</v>
      </c>
      <c r="DG113" s="440">
        <v>-7</v>
      </c>
      <c r="DH113" s="440">
        <v>-4</v>
      </c>
      <c r="DI113" s="442">
        <f t="shared" si="44"/>
        <v>-2</v>
      </c>
      <c r="DJ113" s="440">
        <v>0</v>
      </c>
      <c r="DK113" s="442">
        <f t="shared" si="63"/>
        <v>2</v>
      </c>
      <c r="DL113" s="441">
        <v>4</v>
      </c>
      <c r="DM113" s="435">
        <v>2000</v>
      </c>
      <c r="DN113" s="440">
        <v>1</v>
      </c>
      <c r="DO113" s="440">
        <v>1</v>
      </c>
      <c r="DP113" s="440">
        <v>1</v>
      </c>
      <c r="DQ113" s="440">
        <v>0</v>
      </c>
      <c r="DR113" s="440">
        <v>0</v>
      </c>
      <c r="DS113" s="440">
        <v>0</v>
      </c>
      <c r="DT113" s="442">
        <f t="shared" si="45"/>
        <v>0</v>
      </c>
      <c r="DU113" s="440">
        <v>0</v>
      </c>
      <c r="DV113" s="442">
        <f t="shared" si="64"/>
        <v>0</v>
      </c>
      <c r="DW113" s="441">
        <v>0</v>
      </c>
      <c r="DX113" s="435">
        <v>2000</v>
      </c>
      <c r="DY113" s="440">
        <v>-24</v>
      </c>
      <c r="DZ113" s="440">
        <v>-20</v>
      </c>
      <c r="EA113" s="440">
        <v>-16</v>
      </c>
      <c r="EB113" s="440">
        <v>-12</v>
      </c>
      <c r="EC113" s="440">
        <v>-8</v>
      </c>
      <c r="ED113" s="440">
        <v>-4</v>
      </c>
      <c r="EE113" s="442">
        <f t="shared" si="46"/>
        <v>-2</v>
      </c>
      <c r="EF113" s="440">
        <v>0</v>
      </c>
      <c r="EG113" s="442">
        <f t="shared" si="65"/>
        <v>2</v>
      </c>
      <c r="EH113" s="440">
        <v>4</v>
      </c>
      <c r="EI113" s="435">
        <v>2000</v>
      </c>
      <c r="EJ113" s="440">
        <v>3</v>
      </c>
      <c r="EK113" s="440">
        <v>2</v>
      </c>
      <c r="EL113" s="440">
        <v>2</v>
      </c>
      <c r="EM113" s="440">
        <v>1</v>
      </c>
      <c r="EN113" s="440">
        <v>1</v>
      </c>
      <c r="EO113" s="440">
        <v>0</v>
      </c>
      <c r="EP113" s="442">
        <f t="shared" si="66"/>
        <v>0</v>
      </c>
      <c r="EQ113" s="440">
        <v>0</v>
      </c>
      <c r="ER113" s="442">
        <f t="shared" si="67"/>
        <v>0</v>
      </c>
      <c r="ES113" s="441">
        <v>0</v>
      </c>
      <c r="ET113" s="435">
        <v>2000</v>
      </c>
      <c r="EU113" s="440">
        <v>-23</v>
      </c>
      <c r="EV113" s="440">
        <v>-19</v>
      </c>
      <c r="EW113" s="440">
        <v>-15</v>
      </c>
      <c r="EX113" s="440">
        <v>-11</v>
      </c>
      <c r="EY113" s="440">
        <v>-8</v>
      </c>
      <c r="EZ113" s="440">
        <v>-4</v>
      </c>
      <c r="FA113" s="442">
        <f t="shared" si="68"/>
        <v>-2</v>
      </c>
      <c r="FB113" s="440">
        <v>0</v>
      </c>
      <c r="FC113" s="442">
        <f t="shared" si="69"/>
        <v>2</v>
      </c>
      <c r="FD113" s="440">
        <v>4</v>
      </c>
      <c r="FE113" s="435">
        <v>2000</v>
      </c>
      <c r="FF113" s="440">
        <v>1</v>
      </c>
      <c r="FG113" s="440">
        <v>1</v>
      </c>
      <c r="FH113" s="440">
        <v>1</v>
      </c>
      <c r="FI113" s="440">
        <v>1</v>
      </c>
      <c r="FJ113" s="440">
        <v>0</v>
      </c>
      <c r="FK113" s="440">
        <v>0</v>
      </c>
      <c r="FL113" s="442">
        <f t="shared" si="47"/>
        <v>0</v>
      </c>
      <c r="FM113" s="440">
        <v>0</v>
      </c>
      <c r="FN113" s="442">
        <f t="shared" si="70"/>
        <v>0</v>
      </c>
      <c r="FO113" s="441">
        <v>0</v>
      </c>
      <c r="FP113" s="435">
        <v>2000</v>
      </c>
      <c r="FQ113" s="440">
        <v>-23</v>
      </c>
      <c r="FR113" s="440">
        <v>-19</v>
      </c>
      <c r="FS113" s="440">
        <v>-15</v>
      </c>
      <c r="FT113" s="440">
        <v>-12</v>
      </c>
      <c r="FU113" s="440">
        <v>-8</v>
      </c>
      <c r="FV113" s="440">
        <v>-4</v>
      </c>
      <c r="FW113" s="442">
        <f t="shared" si="48"/>
        <v>-2</v>
      </c>
      <c r="FX113" s="440">
        <v>0</v>
      </c>
      <c r="FY113" s="442">
        <f t="shared" si="71"/>
        <v>2</v>
      </c>
      <c r="FZ113" s="440">
        <v>4</v>
      </c>
      <c r="GA113" s="435">
        <v>2000</v>
      </c>
      <c r="GB113" s="440">
        <v>-36</v>
      </c>
      <c r="GC113" s="440">
        <v>-30</v>
      </c>
      <c r="GD113" s="440">
        <v>-24</v>
      </c>
      <c r="GE113" s="440">
        <v>-18</v>
      </c>
      <c r="GF113" s="440">
        <v>-12</v>
      </c>
      <c r="GG113" s="440">
        <v>-6</v>
      </c>
      <c r="GH113" s="442">
        <f t="shared" si="49"/>
        <v>-3</v>
      </c>
      <c r="GI113" s="440">
        <v>0</v>
      </c>
      <c r="GJ113" s="442">
        <f t="shared" si="72"/>
        <v>3</v>
      </c>
      <c r="GK113" s="441">
        <v>6</v>
      </c>
      <c r="GL113" s="435">
        <v>2000</v>
      </c>
      <c r="GM113" s="440">
        <v>-35</v>
      </c>
      <c r="GN113" s="440">
        <v>-29</v>
      </c>
      <c r="GO113" s="440">
        <v>-23</v>
      </c>
      <c r="GP113" s="440">
        <v>-17</v>
      </c>
      <c r="GQ113" s="440">
        <v>-12</v>
      </c>
      <c r="GR113" s="440">
        <v>-6</v>
      </c>
      <c r="GS113" s="442">
        <f t="shared" si="50"/>
        <v>-3</v>
      </c>
      <c r="GT113" s="440">
        <v>0</v>
      </c>
      <c r="GU113" s="442">
        <f t="shared" si="73"/>
        <v>3</v>
      </c>
      <c r="GV113" s="441">
        <v>6</v>
      </c>
    </row>
    <row r="114" spans="7:204">
      <c r="G114" s="450">
        <v>1900</v>
      </c>
      <c r="H114" s="445">
        <v>35</v>
      </c>
      <c r="I114" s="249">
        <v>29</v>
      </c>
      <c r="J114" s="248">
        <v>23</v>
      </c>
      <c r="K114" s="248">
        <v>17</v>
      </c>
      <c r="L114" s="249">
        <v>12</v>
      </c>
      <c r="M114" s="249">
        <v>6</v>
      </c>
      <c r="N114" s="249">
        <f t="shared" si="51"/>
        <v>3</v>
      </c>
      <c r="O114" s="249">
        <v>0</v>
      </c>
      <c r="P114" s="249">
        <f t="shared" si="52"/>
        <v>-3</v>
      </c>
      <c r="Q114" s="446">
        <v>-6</v>
      </c>
      <c r="R114" s="435">
        <v>1900</v>
      </c>
      <c r="S114" s="248">
        <v>11</v>
      </c>
      <c r="T114" s="248">
        <v>9</v>
      </c>
      <c r="U114" s="248">
        <v>7</v>
      </c>
      <c r="V114" s="248">
        <v>5</v>
      </c>
      <c r="W114" s="248">
        <v>4</v>
      </c>
      <c r="X114" s="248">
        <v>2</v>
      </c>
      <c r="Y114" s="249">
        <f t="shared" si="53"/>
        <v>1</v>
      </c>
      <c r="Z114" s="248">
        <v>0</v>
      </c>
      <c r="AA114" s="439">
        <f t="shared" si="54"/>
        <v>-1</v>
      </c>
      <c r="AB114" s="248">
        <v>-2</v>
      </c>
      <c r="AC114" s="435">
        <v>1900</v>
      </c>
      <c r="AD114" s="440">
        <v>-30</v>
      </c>
      <c r="AE114" s="440">
        <v>-25</v>
      </c>
      <c r="AF114" s="440">
        <v>-20</v>
      </c>
      <c r="AG114" s="440">
        <v>-15</v>
      </c>
      <c r="AH114" s="440">
        <v>-10</v>
      </c>
      <c r="AI114" s="440">
        <v>-5</v>
      </c>
      <c r="AJ114" s="249">
        <f t="shared" si="55"/>
        <v>-2.5</v>
      </c>
      <c r="AK114" s="248">
        <v>0</v>
      </c>
      <c r="AL114" s="439">
        <f t="shared" si="56"/>
        <v>2.5</v>
      </c>
      <c r="AM114" s="441">
        <v>5</v>
      </c>
      <c r="AN114" s="435">
        <v>1900</v>
      </c>
      <c r="AO114" s="440">
        <v>-54</v>
      </c>
      <c r="AP114" s="440">
        <v>-45</v>
      </c>
      <c r="AQ114" s="440">
        <v>-36</v>
      </c>
      <c r="AR114" s="440">
        <v>-27</v>
      </c>
      <c r="AS114" s="440">
        <v>-18</v>
      </c>
      <c r="AT114" s="440">
        <v>-9</v>
      </c>
      <c r="AU114" s="442">
        <f t="shared" si="38"/>
        <v>-4.5</v>
      </c>
      <c r="AV114" s="440">
        <v>0</v>
      </c>
      <c r="AW114" s="442">
        <f t="shared" si="57"/>
        <v>4.5</v>
      </c>
      <c r="AX114" s="441">
        <v>9</v>
      </c>
      <c r="AY114" s="435">
        <v>1900</v>
      </c>
      <c r="AZ114" s="440">
        <v>3</v>
      </c>
      <c r="BA114" s="440">
        <v>3</v>
      </c>
      <c r="BB114" s="440">
        <v>2</v>
      </c>
      <c r="BC114" s="440">
        <v>2</v>
      </c>
      <c r="BD114" s="440">
        <v>1</v>
      </c>
      <c r="BE114" s="440">
        <v>1</v>
      </c>
      <c r="BF114" s="442">
        <f t="shared" si="39"/>
        <v>0.5</v>
      </c>
      <c r="BG114" s="440">
        <v>0</v>
      </c>
      <c r="BH114" s="442">
        <f t="shared" si="58"/>
        <v>-0.5</v>
      </c>
      <c r="BI114" s="441">
        <v>-1</v>
      </c>
      <c r="BJ114" s="447">
        <v>1900</v>
      </c>
      <c r="BK114" s="440">
        <v>-31</v>
      </c>
      <c r="BL114" s="440">
        <v>-26</v>
      </c>
      <c r="BM114" s="440">
        <v>-21</v>
      </c>
      <c r="BN114" s="440">
        <v>-16</v>
      </c>
      <c r="BO114" s="440">
        <v>-10</v>
      </c>
      <c r="BP114" s="440">
        <v>-5</v>
      </c>
      <c r="BQ114" s="442">
        <f t="shared" si="40"/>
        <v>-2.5</v>
      </c>
      <c r="BR114" s="440">
        <v>0</v>
      </c>
      <c r="BS114" s="442">
        <f t="shared" si="59"/>
        <v>2.5</v>
      </c>
      <c r="BT114" s="440">
        <v>5</v>
      </c>
      <c r="BU114" s="435">
        <v>1900</v>
      </c>
      <c r="BV114" s="440">
        <v>1</v>
      </c>
      <c r="BW114" s="440">
        <v>1</v>
      </c>
      <c r="BX114" s="440">
        <v>1</v>
      </c>
      <c r="BY114" s="440">
        <v>0</v>
      </c>
      <c r="BZ114" s="440">
        <v>0</v>
      </c>
      <c r="CA114" s="440">
        <v>0</v>
      </c>
      <c r="CB114" s="442">
        <f t="shared" si="41"/>
        <v>0</v>
      </c>
      <c r="CC114" s="440">
        <v>0</v>
      </c>
      <c r="CD114" s="442">
        <f t="shared" si="60"/>
        <v>0</v>
      </c>
      <c r="CE114" s="441">
        <v>0</v>
      </c>
      <c r="CF114" s="435">
        <v>1900</v>
      </c>
      <c r="CG114" s="440">
        <v>-23</v>
      </c>
      <c r="CH114" s="440">
        <v>-19</v>
      </c>
      <c r="CI114" s="440">
        <v>-15</v>
      </c>
      <c r="CJ114" s="440">
        <v>-12</v>
      </c>
      <c r="CK114" s="440">
        <v>-8</v>
      </c>
      <c r="CL114" s="440">
        <v>-4</v>
      </c>
      <c r="CM114" s="442">
        <f t="shared" si="42"/>
        <v>-2</v>
      </c>
      <c r="CN114" s="440">
        <v>0</v>
      </c>
      <c r="CO114" s="442">
        <f t="shared" si="61"/>
        <v>2</v>
      </c>
      <c r="CP114" s="441">
        <v>4</v>
      </c>
      <c r="CQ114" s="435">
        <v>1900</v>
      </c>
      <c r="CR114" s="440">
        <v>1</v>
      </c>
      <c r="CS114" s="440">
        <v>1</v>
      </c>
      <c r="CT114" s="440">
        <v>0</v>
      </c>
      <c r="CU114" s="440">
        <v>0</v>
      </c>
      <c r="CV114" s="440">
        <v>0</v>
      </c>
      <c r="CW114" s="440">
        <v>0</v>
      </c>
      <c r="CX114" s="442">
        <f t="shared" si="43"/>
        <v>0</v>
      </c>
      <c r="CY114" s="440">
        <v>0</v>
      </c>
      <c r="CZ114" s="442">
        <f t="shared" si="62"/>
        <v>0</v>
      </c>
      <c r="DA114" s="441">
        <v>0</v>
      </c>
      <c r="DB114" s="435">
        <v>1900</v>
      </c>
      <c r="DC114" s="440">
        <v>-21</v>
      </c>
      <c r="DD114" s="440">
        <v>-18</v>
      </c>
      <c r="DE114" s="440">
        <v>-14</v>
      </c>
      <c r="DF114" s="440">
        <v>-11</v>
      </c>
      <c r="DG114" s="440">
        <v>-7</v>
      </c>
      <c r="DH114" s="440">
        <v>-4</v>
      </c>
      <c r="DI114" s="442">
        <f t="shared" si="44"/>
        <v>-2</v>
      </c>
      <c r="DJ114" s="440">
        <v>0</v>
      </c>
      <c r="DK114" s="442">
        <f t="shared" si="63"/>
        <v>2</v>
      </c>
      <c r="DL114" s="441">
        <v>4</v>
      </c>
      <c r="DM114" s="435">
        <v>1900</v>
      </c>
      <c r="DN114" s="440">
        <v>1</v>
      </c>
      <c r="DO114" s="440">
        <v>1</v>
      </c>
      <c r="DP114" s="440">
        <v>1</v>
      </c>
      <c r="DQ114" s="440">
        <v>0</v>
      </c>
      <c r="DR114" s="440">
        <v>0</v>
      </c>
      <c r="DS114" s="440">
        <v>0</v>
      </c>
      <c r="DT114" s="442">
        <f t="shared" si="45"/>
        <v>0</v>
      </c>
      <c r="DU114" s="440">
        <v>0</v>
      </c>
      <c r="DV114" s="442">
        <f t="shared" si="64"/>
        <v>0</v>
      </c>
      <c r="DW114" s="441">
        <v>0</v>
      </c>
      <c r="DX114" s="435">
        <v>1900</v>
      </c>
      <c r="DY114" s="440">
        <v>-24</v>
      </c>
      <c r="DZ114" s="440">
        <v>-20</v>
      </c>
      <c r="EA114" s="440">
        <v>-16</v>
      </c>
      <c r="EB114" s="440">
        <v>-12</v>
      </c>
      <c r="EC114" s="440">
        <v>-8</v>
      </c>
      <c r="ED114" s="440">
        <v>-4</v>
      </c>
      <c r="EE114" s="442">
        <f t="shared" si="46"/>
        <v>-2</v>
      </c>
      <c r="EF114" s="440">
        <v>0</v>
      </c>
      <c r="EG114" s="442">
        <f t="shared" si="65"/>
        <v>2</v>
      </c>
      <c r="EH114" s="440">
        <v>4</v>
      </c>
      <c r="EI114" s="435">
        <v>1900</v>
      </c>
      <c r="EJ114" s="440">
        <v>3</v>
      </c>
      <c r="EK114" s="440">
        <v>2</v>
      </c>
      <c r="EL114" s="440">
        <v>2</v>
      </c>
      <c r="EM114" s="440">
        <v>1</v>
      </c>
      <c r="EN114" s="440">
        <v>1</v>
      </c>
      <c r="EO114" s="440">
        <v>0</v>
      </c>
      <c r="EP114" s="442">
        <f t="shared" si="66"/>
        <v>0</v>
      </c>
      <c r="EQ114" s="440">
        <v>0</v>
      </c>
      <c r="ER114" s="442">
        <f t="shared" si="67"/>
        <v>0</v>
      </c>
      <c r="ES114" s="441">
        <v>0</v>
      </c>
      <c r="ET114" s="435">
        <v>1900</v>
      </c>
      <c r="EU114" s="440">
        <v>-23</v>
      </c>
      <c r="EV114" s="440">
        <v>-19</v>
      </c>
      <c r="EW114" s="440">
        <v>-15</v>
      </c>
      <c r="EX114" s="440">
        <v>-11</v>
      </c>
      <c r="EY114" s="440">
        <v>-8</v>
      </c>
      <c r="EZ114" s="440">
        <v>-4</v>
      </c>
      <c r="FA114" s="442">
        <f t="shared" si="68"/>
        <v>-2</v>
      </c>
      <c r="FB114" s="440">
        <v>0</v>
      </c>
      <c r="FC114" s="442">
        <f t="shared" si="69"/>
        <v>2</v>
      </c>
      <c r="FD114" s="440">
        <v>4</v>
      </c>
      <c r="FE114" s="435">
        <v>1900</v>
      </c>
      <c r="FF114" s="440">
        <v>1</v>
      </c>
      <c r="FG114" s="440">
        <v>1</v>
      </c>
      <c r="FH114" s="440">
        <v>1</v>
      </c>
      <c r="FI114" s="440">
        <v>1</v>
      </c>
      <c r="FJ114" s="440">
        <v>0</v>
      </c>
      <c r="FK114" s="440">
        <v>0</v>
      </c>
      <c r="FL114" s="442">
        <f t="shared" si="47"/>
        <v>0</v>
      </c>
      <c r="FM114" s="440">
        <v>0</v>
      </c>
      <c r="FN114" s="442">
        <f t="shared" si="70"/>
        <v>0</v>
      </c>
      <c r="FO114" s="441">
        <v>0</v>
      </c>
      <c r="FP114" s="435">
        <v>1900</v>
      </c>
      <c r="FQ114" s="440">
        <v>-23</v>
      </c>
      <c r="FR114" s="440">
        <v>-19</v>
      </c>
      <c r="FS114" s="440">
        <v>-15</v>
      </c>
      <c r="FT114" s="440">
        <v>-12</v>
      </c>
      <c r="FU114" s="440">
        <v>-8</v>
      </c>
      <c r="FV114" s="440">
        <v>-4</v>
      </c>
      <c r="FW114" s="442">
        <f t="shared" si="48"/>
        <v>-2</v>
      </c>
      <c r="FX114" s="440">
        <v>0</v>
      </c>
      <c r="FY114" s="442">
        <f t="shared" si="71"/>
        <v>2</v>
      </c>
      <c r="FZ114" s="440">
        <v>4</v>
      </c>
      <c r="GA114" s="435">
        <v>1900</v>
      </c>
      <c r="GB114" s="440">
        <v>-36</v>
      </c>
      <c r="GC114" s="440">
        <v>-30</v>
      </c>
      <c r="GD114" s="440">
        <v>-24</v>
      </c>
      <c r="GE114" s="440">
        <v>-18</v>
      </c>
      <c r="GF114" s="440">
        <v>-12</v>
      </c>
      <c r="GG114" s="440">
        <v>-6</v>
      </c>
      <c r="GH114" s="442">
        <f t="shared" si="49"/>
        <v>-3</v>
      </c>
      <c r="GI114" s="440">
        <v>0</v>
      </c>
      <c r="GJ114" s="442">
        <f t="shared" si="72"/>
        <v>3</v>
      </c>
      <c r="GK114" s="441">
        <v>6</v>
      </c>
      <c r="GL114" s="435">
        <v>1900</v>
      </c>
      <c r="GM114" s="440">
        <v>-35</v>
      </c>
      <c r="GN114" s="440">
        <v>-29</v>
      </c>
      <c r="GO114" s="440">
        <v>-23</v>
      </c>
      <c r="GP114" s="440">
        <v>-17</v>
      </c>
      <c r="GQ114" s="440">
        <v>-12</v>
      </c>
      <c r="GR114" s="440">
        <v>-6</v>
      </c>
      <c r="GS114" s="442">
        <f t="shared" si="50"/>
        <v>-3</v>
      </c>
      <c r="GT114" s="440">
        <v>0</v>
      </c>
      <c r="GU114" s="442">
        <f t="shared" si="73"/>
        <v>3</v>
      </c>
      <c r="GV114" s="441">
        <v>6</v>
      </c>
    </row>
    <row r="115" spans="7:204">
      <c r="G115" s="450">
        <v>1800</v>
      </c>
      <c r="H115" s="445">
        <v>35</v>
      </c>
      <c r="I115" s="249">
        <v>29</v>
      </c>
      <c r="J115" s="248">
        <v>23</v>
      </c>
      <c r="K115" s="248">
        <v>17</v>
      </c>
      <c r="L115" s="249">
        <v>12</v>
      </c>
      <c r="M115" s="249">
        <v>6</v>
      </c>
      <c r="N115" s="249">
        <f t="shared" si="51"/>
        <v>3</v>
      </c>
      <c r="O115" s="249">
        <v>0</v>
      </c>
      <c r="P115" s="249">
        <f t="shared" si="52"/>
        <v>-3</v>
      </c>
      <c r="Q115" s="446">
        <v>-6</v>
      </c>
      <c r="R115" s="435">
        <v>1800</v>
      </c>
      <c r="S115" s="248">
        <v>11</v>
      </c>
      <c r="T115" s="248">
        <v>9</v>
      </c>
      <c r="U115" s="248">
        <v>7</v>
      </c>
      <c r="V115" s="248">
        <v>5</v>
      </c>
      <c r="W115" s="248">
        <v>4</v>
      </c>
      <c r="X115" s="248">
        <v>2</v>
      </c>
      <c r="Y115" s="249">
        <f t="shared" si="53"/>
        <v>1</v>
      </c>
      <c r="Z115" s="248">
        <v>0</v>
      </c>
      <c r="AA115" s="439">
        <f t="shared" si="54"/>
        <v>-1</v>
      </c>
      <c r="AB115" s="248">
        <v>-2</v>
      </c>
      <c r="AC115" s="435">
        <v>1800</v>
      </c>
      <c r="AD115" s="440">
        <v>-30</v>
      </c>
      <c r="AE115" s="440">
        <v>-25</v>
      </c>
      <c r="AF115" s="440">
        <v>-20</v>
      </c>
      <c r="AG115" s="440">
        <v>-15</v>
      </c>
      <c r="AH115" s="440">
        <v>-10</v>
      </c>
      <c r="AI115" s="440">
        <v>-5</v>
      </c>
      <c r="AJ115" s="249">
        <f t="shared" si="55"/>
        <v>-2.5</v>
      </c>
      <c r="AK115" s="248">
        <v>0</v>
      </c>
      <c r="AL115" s="439">
        <f t="shared" si="56"/>
        <v>2.5</v>
      </c>
      <c r="AM115" s="441">
        <v>5</v>
      </c>
      <c r="AN115" s="435">
        <v>1800</v>
      </c>
      <c r="AO115" s="440">
        <v>-54</v>
      </c>
      <c r="AP115" s="440">
        <v>-45</v>
      </c>
      <c r="AQ115" s="440">
        <v>-36</v>
      </c>
      <c r="AR115" s="440">
        <v>-27</v>
      </c>
      <c r="AS115" s="440">
        <v>-18</v>
      </c>
      <c r="AT115" s="440">
        <v>-9</v>
      </c>
      <c r="AU115" s="442">
        <f t="shared" si="38"/>
        <v>-4.5</v>
      </c>
      <c r="AV115" s="440">
        <v>0</v>
      </c>
      <c r="AW115" s="442">
        <f t="shared" si="57"/>
        <v>4.5</v>
      </c>
      <c r="AX115" s="441">
        <v>9</v>
      </c>
      <c r="AY115" s="435">
        <v>1800</v>
      </c>
      <c r="AZ115" s="440">
        <v>3</v>
      </c>
      <c r="BA115" s="440">
        <v>3</v>
      </c>
      <c r="BB115" s="440">
        <v>2</v>
      </c>
      <c r="BC115" s="440">
        <v>2</v>
      </c>
      <c r="BD115" s="440">
        <v>1</v>
      </c>
      <c r="BE115" s="440">
        <v>1</v>
      </c>
      <c r="BF115" s="442">
        <f t="shared" si="39"/>
        <v>0.5</v>
      </c>
      <c r="BG115" s="440">
        <v>0</v>
      </c>
      <c r="BH115" s="442">
        <f t="shared" si="58"/>
        <v>-0.5</v>
      </c>
      <c r="BI115" s="441">
        <v>-1</v>
      </c>
      <c r="BJ115" s="447">
        <v>1800</v>
      </c>
      <c r="BK115" s="440">
        <v>-31</v>
      </c>
      <c r="BL115" s="440">
        <v>-26</v>
      </c>
      <c r="BM115" s="440">
        <v>-21</v>
      </c>
      <c r="BN115" s="440">
        <v>-16</v>
      </c>
      <c r="BO115" s="440">
        <v>-10</v>
      </c>
      <c r="BP115" s="440">
        <v>-5</v>
      </c>
      <c r="BQ115" s="442">
        <f t="shared" si="40"/>
        <v>-2.5</v>
      </c>
      <c r="BR115" s="440">
        <v>0</v>
      </c>
      <c r="BS115" s="442">
        <f t="shared" si="59"/>
        <v>2.5</v>
      </c>
      <c r="BT115" s="440">
        <v>5</v>
      </c>
      <c r="BU115" s="435">
        <v>1800</v>
      </c>
      <c r="BV115" s="440">
        <v>1</v>
      </c>
      <c r="BW115" s="440">
        <v>1</v>
      </c>
      <c r="BX115" s="440">
        <v>1</v>
      </c>
      <c r="BY115" s="440">
        <v>0</v>
      </c>
      <c r="BZ115" s="440">
        <v>0</v>
      </c>
      <c r="CA115" s="440">
        <v>0</v>
      </c>
      <c r="CB115" s="442">
        <f t="shared" si="41"/>
        <v>0</v>
      </c>
      <c r="CC115" s="440">
        <v>0</v>
      </c>
      <c r="CD115" s="442">
        <f t="shared" si="60"/>
        <v>0</v>
      </c>
      <c r="CE115" s="441">
        <v>0</v>
      </c>
      <c r="CF115" s="435">
        <v>1800</v>
      </c>
      <c r="CG115" s="440">
        <v>-23</v>
      </c>
      <c r="CH115" s="440">
        <v>-19</v>
      </c>
      <c r="CI115" s="440">
        <v>-15</v>
      </c>
      <c r="CJ115" s="440">
        <v>-12</v>
      </c>
      <c r="CK115" s="440">
        <v>-8</v>
      </c>
      <c r="CL115" s="440">
        <v>-4</v>
      </c>
      <c r="CM115" s="442">
        <f t="shared" si="42"/>
        <v>-2</v>
      </c>
      <c r="CN115" s="440">
        <v>0</v>
      </c>
      <c r="CO115" s="442">
        <f t="shared" si="61"/>
        <v>2</v>
      </c>
      <c r="CP115" s="441">
        <v>4</v>
      </c>
      <c r="CQ115" s="435">
        <v>1800</v>
      </c>
      <c r="CR115" s="440">
        <v>1</v>
      </c>
      <c r="CS115" s="440">
        <v>1</v>
      </c>
      <c r="CT115" s="440">
        <v>0</v>
      </c>
      <c r="CU115" s="440">
        <v>0</v>
      </c>
      <c r="CV115" s="440">
        <v>0</v>
      </c>
      <c r="CW115" s="440">
        <v>0</v>
      </c>
      <c r="CX115" s="442">
        <f t="shared" si="43"/>
        <v>0</v>
      </c>
      <c r="CY115" s="440">
        <v>0</v>
      </c>
      <c r="CZ115" s="442">
        <f t="shared" si="62"/>
        <v>0</v>
      </c>
      <c r="DA115" s="441">
        <v>0</v>
      </c>
      <c r="DB115" s="435">
        <v>1800</v>
      </c>
      <c r="DC115" s="440">
        <v>-21</v>
      </c>
      <c r="DD115" s="440">
        <v>-18</v>
      </c>
      <c r="DE115" s="440">
        <v>-14</v>
      </c>
      <c r="DF115" s="440">
        <v>-11</v>
      </c>
      <c r="DG115" s="440">
        <v>-7</v>
      </c>
      <c r="DH115" s="440">
        <v>-4</v>
      </c>
      <c r="DI115" s="442">
        <f t="shared" si="44"/>
        <v>-2</v>
      </c>
      <c r="DJ115" s="440">
        <v>0</v>
      </c>
      <c r="DK115" s="442">
        <f t="shared" si="63"/>
        <v>2</v>
      </c>
      <c r="DL115" s="441">
        <v>4</v>
      </c>
      <c r="DM115" s="435">
        <v>1800</v>
      </c>
      <c r="DN115" s="440">
        <v>1</v>
      </c>
      <c r="DO115" s="440">
        <v>1</v>
      </c>
      <c r="DP115" s="440">
        <v>1</v>
      </c>
      <c r="DQ115" s="440">
        <v>0</v>
      </c>
      <c r="DR115" s="440">
        <v>0</v>
      </c>
      <c r="DS115" s="440">
        <v>0</v>
      </c>
      <c r="DT115" s="442">
        <f t="shared" si="45"/>
        <v>0</v>
      </c>
      <c r="DU115" s="440">
        <v>0</v>
      </c>
      <c r="DV115" s="442">
        <f t="shared" si="64"/>
        <v>0</v>
      </c>
      <c r="DW115" s="441">
        <v>0</v>
      </c>
      <c r="DX115" s="435">
        <v>1800</v>
      </c>
      <c r="DY115" s="440">
        <v>-24</v>
      </c>
      <c r="DZ115" s="440">
        <v>-20</v>
      </c>
      <c r="EA115" s="440">
        <v>-16</v>
      </c>
      <c r="EB115" s="440">
        <v>-12</v>
      </c>
      <c r="EC115" s="440">
        <v>-8</v>
      </c>
      <c r="ED115" s="440">
        <v>-4</v>
      </c>
      <c r="EE115" s="442">
        <f t="shared" si="46"/>
        <v>-2</v>
      </c>
      <c r="EF115" s="440">
        <v>0</v>
      </c>
      <c r="EG115" s="442">
        <f t="shared" si="65"/>
        <v>2</v>
      </c>
      <c r="EH115" s="440">
        <v>4</v>
      </c>
      <c r="EI115" s="435">
        <v>1800</v>
      </c>
      <c r="EJ115" s="440">
        <v>3</v>
      </c>
      <c r="EK115" s="440">
        <v>2</v>
      </c>
      <c r="EL115" s="440">
        <v>2</v>
      </c>
      <c r="EM115" s="440">
        <v>1</v>
      </c>
      <c r="EN115" s="440">
        <v>1</v>
      </c>
      <c r="EO115" s="440">
        <v>0</v>
      </c>
      <c r="EP115" s="442">
        <f t="shared" si="66"/>
        <v>0</v>
      </c>
      <c r="EQ115" s="440">
        <v>0</v>
      </c>
      <c r="ER115" s="442">
        <f t="shared" si="67"/>
        <v>0</v>
      </c>
      <c r="ES115" s="441">
        <v>0</v>
      </c>
      <c r="ET115" s="435">
        <v>1800</v>
      </c>
      <c r="EU115" s="440">
        <v>-23</v>
      </c>
      <c r="EV115" s="440">
        <v>-19</v>
      </c>
      <c r="EW115" s="440">
        <v>-15</v>
      </c>
      <c r="EX115" s="440">
        <v>-11</v>
      </c>
      <c r="EY115" s="440">
        <v>-8</v>
      </c>
      <c r="EZ115" s="440">
        <v>-4</v>
      </c>
      <c r="FA115" s="442">
        <f t="shared" si="68"/>
        <v>-2</v>
      </c>
      <c r="FB115" s="440">
        <v>0</v>
      </c>
      <c r="FC115" s="442">
        <f t="shared" si="69"/>
        <v>2</v>
      </c>
      <c r="FD115" s="440">
        <v>4</v>
      </c>
      <c r="FE115" s="435">
        <v>1800</v>
      </c>
      <c r="FF115" s="440">
        <v>1</v>
      </c>
      <c r="FG115" s="440">
        <v>1</v>
      </c>
      <c r="FH115" s="440">
        <v>1</v>
      </c>
      <c r="FI115" s="440">
        <v>1</v>
      </c>
      <c r="FJ115" s="440">
        <v>0</v>
      </c>
      <c r="FK115" s="440">
        <v>0</v>
      </c>
      <c r="FL115" s="442">
        <f t="shared" si="47"/>
        <v>0</v>
      </c>
      <c r="FM115" s="440">
        <v>0</v>
      </c>
      <c r="FN115" s="442">
        <f t="shared" si="70"/>
        <v>0</v>
      </c>
      <c r="FO115" s="441">
        <v>0</v>
      </c>
      <c r="FP115" s="435">
        <v>1800</v>
      </c>
      <c r="FQ115" s="440">
        <v>-23</v>
      </c>
      <c r="FR115" s="440">
        <v>-19</v>
      </c>
      <c r="FS115" s="440">
        <v>-15</v>
      </c>
      <c r="FT115" s="440">
        <v>-12</v>
      </c>
      <c r="FU115" s="440">
        <v>-8</v>
      </c>
      <c r="FV115" s="440">
        <v>-4</v>
      </c>
      <c r="FW115" s="442">
        <f t="shared" si="48"/>
        <v>-2</v>
      </c>
      <c r="FX115" s="440">
        <v>0</v>
      </c>
      <c r="FY115" s="442">
        <f t="shared" si="71"/>
        <v>2</v>
      </c>
      <c r="FZ115" s="440">
        <v>4</v>
      </c>
      <c r="GA115" s="435">
        <v>1800</v>
      </c>
      <c r="GB115" s="440">
        <v>-36</v>
      </c>
      <c r="GC115" s="440">
        <v>-30</v>
      </c>
      <c r="GD115" s="440">
        <v>-24</v>
      </c>
      <c r="GE115" s="440">
        <v>-18</v>
      </c>
      <c r="GF115" s="440">
        <v>-12</v>
      </c>
      <c r="GG115" s="440">
        <v>-6</v>
      </c>
      <c r="GH115" s="442">
        <f t="shared" si="49"/>
        <v>-3</v>
      </c>
      <c r="GI115" s="440">
        <v>0</v>
      </c>
      <c r="GJ115" s="442">
        <f t="shared" si="72"/>
        <v>3</v>
      </c>
      <c r="GK115" s="441">
        <v>6</v>
      </c>
      <c r="GL115" s="435">
        <v>1800</v>
      </c>
      <c r="GM115" s="440">
        <v>-35</v>
      </c>
      <c r="GN115" s="440">
        <v>-29</v>
      </c>
      <c r="GO115" s="440">
        <v>-23</v>
      </c>
      <c r="GP115" s="440">
        <v>-17</v>
      </c>
      <c r="GQ115" s="440">
        <v>-12</v>
      </c>
      <c r="GR115" s="440">
        <v>-6</v>
      </c>
      <c r="GS115" s="442">
        <f t="shared" si="50"/>
        <v>-3</v>
      </c>
      <c r="GT115" s="440">
        <v>0</v>
      </c>
      <c r="GU115" s="442">
        <f t="shared" si="73"/>
        <v>3</v>
      </c>
      <c r="GV115" s="441">
        <v>6</v>
      </c>
    </row>
    <row r="116" spans="7:204">
      <c r="G116" s="450">
        <v>1700</v>
      </c>
      <c r="H116" s="445">
        <v>35</v>
      </c>
      <c r="I116" s="249">
        <v>29</v>
      </c>
      <c r="J116" s="248">
        <v>23</v>
      </c>
      <c r="K116" s="248">
        <v>17</v>
      </c>
      <c r="L116" s="248">
        <v>12</v>
      </c>
      <c r="M116" s="249">
        <v>6</v>
      </c>
      <c r="N116" s="249">
        <f t="shared" si="51"/>
        <v>3</v>
      </c>
      <c r="O116" s="249">
        <v>0</v>
      </c>
      <c r="P116" s="249">
        <f t="shared" si="52"/>
        <v>-3</v>
      </c>
      <c r="Q116" s="446">
        <v>-6</v>
      </c>
      <c r="R116" s="435">
        <v>1700</v>
      </c>
      <c r="S116" s="248">
        <v>11</v>
      </c>
      <c r="T116" s="248">
        <v>9</v>
      </c>
      <c r="U116" s="248">
        <v>7</v>
      </c>
      <c r="V116" s="248">
        <v>5</v>
      </c>
      <c r="W116" s="248">
        <v>4</v>
      </c>
      <c r="X116" s="248">
        <v>2</v>
      </c>
      <c r="Y116" s="249">
        <f t="shared" si="53"/>
        <v>1</v>
      </c>
      <c r="Z116" s="248">
        <v>0</v>
      </c>
      <c r="AA116" s="439">
        <f t="shared" si="54"/>
        <v>-1</v>
      </c>
      <c r="AB116" s="248">
        <v>-2</v>
      </c>
      <c r="AC116" s="435">
        <v>1700</v>
      </c>
      <c r="AD116" s="440">
        <v>-30</v>
      </c>
      <c r="AE116" s="440">
        <v>-25</v>
      </c>
      <c r="AF116" s="440">
        <v>-20</v>
      </c>
      <c r="AG116" s="440">
        <v>-15</v>
      </c>
      <c r="AH116" s="440">
        <v>-10</v>
      </c>
      <c r="AI116" s="440">
        <v>-5</v>
      </c>
      <c r="AJ116" s="249">
        <f t="shared" si="55"/>
        <v>-2.5</v>
      </c>
      <c r="AK116" s="248">
        <v>0</v>
      </c>
      <c r="AL116" s="439">
        <f t="shared" si="56"/>
        <v>2.5</v>
      </c>
      <c r="AM116" s="441">
        <v>5</v>
      </c>
      <c r="AN116" s="435">
        <v>1700</v>
      </c>
      <c r="AO116" s="440">
        <v>-54</v>
      </c>
      <c r="AP116" s="440">
        <v>-45</v>
      </c>
      <c r="AQ116" s="440">
        <v>-36</v>
      </c>
      <c r="AR116" s="440">
        <v>-27</v>
      </c>
      <c r="AS116" s="440">
        <v>-18</v>
      </c>
      <c r="AT116" s="440">
        <v>-9</v>
      </c>
      <c r="AU116" s="442">
        <f t="shared" si="38"/>
        <v>-4.5</v>
      </c>
      <c r="AV116" s="440">
        <v>0</v>
      </c>
      <c r="AW116" s="442">
        <f t="shared" si="57"/>
        <v>4.5</v>
      </c>
      <c r="AX116" s="441">
        <v>9</v>
      </c>
      <c r="AY116" s="435">
        <v>1700</v>
      </c>
      <c r="AZ116" s="440">
        <v>3</v>
      </c>
      <c r="BA116" s="440">
        <v>3</v>
      </c>
      <c r="BB116" s="440">
        <v>2</v>
      </c>
      <c r="BC116" s="440">
        <v>2</v>
      </c>
      <c r="BD116" s="440">
        <v>1</v>
      </c>
      <c r="BE116" s="440">
        <v>1</v>
      </c>
      <c r="BF116" s="442">
        <f t="shared" si="39"/>
        <v>0.5</v>
      </c>
      <c r="BG116" s="440">
        <v>0</v>
      </c>
      <c r="BH116" s="442">
        <f t="shared" si="58"/>
        <v>-0.5</v>
      </c>
      <c r="BI116" s="441">
        <v>-1</v>
      </c>
      <c r="BJ116" s="447">
        <v>1700</v>
      </c>
      <c r="BK116" s="440">
        <v>-31</v>
      </c>
      <c r="BL116" s="440">
        <v>-26</v>
      </c>
      <c r="BM116" s="440">
        <v>-21</v>
      </c>
      <c r="BN116" s="440">
        <v>-16</v>
      </c>
      <c r="BO116" s="440">
        <v>-10</v>
      </c>
      <c r="BP116" s="440">
        <v>-5</v>
      </c>
      <c r="BQ116" s="442">
        <f t="shared" si="40"/>
        <v>-2.5</v>
      </c>
      <c r="BR116" s="440">
        <v>0</v>
      </c>
      <c r="BS116" s="442">
        <f t="shared" si="59"/>
        <v>2.5</v>
      </c>
      <c r="BT116" s="440">
        <v>5</v>
      </c>
      <c r="BU116" s="435">
        <v>1700</v>
      </c>
      <c r="BV116" s="440">
        <v>1</v>
      </c>
      <c r="BW116" s="440">
        <v>1</v>
      </c>
      <c r="BX116" s="440">
        <v>1</v>
      </c>
      <c r="BY116" s="440">
        <v>0</v>
      </c>
      <c r="BZ116" s="440">
        <v>0</v>
      </c>
      <c r="CA116" s="440">
        <v>0</v>
      </c>
      <c r="CB116" s="442">
        <f t="shared" si="41"/>
        <v>0</v>
      </c>
      <c r="CC116" s="440">
        <v>0</v>
      </c>
      <c r="CD116" s="442">
        <f t="shared" si="60"/>
        <v>0</v>
      </c>
      <c r="CE116" s="441">
        <v>0</v>
      </c>
      <c r="CF116" s="435">
        <v>1700</v>
      </c>
      <c r="CG116" s="440">
        <v>-23</v>
      </c>
      <c r="CH116" s="440">
        <v>-19</v>
      </c>
      <c r="CI116" s="440">
        <v>-15</v>
      </c>
      <c r="CJ116" s="440">
        <v>-12</v>
      </c>
      <c r="CK116" s="440">
        <v>-8</v>
      </c>
      <c r="CL116" s="440">
        <v>-4</v>
      </c>
      <c r="CM116" s="442">
        <f t="shared" si="42"/>
        <v>-2</v>
      </c>
      <c r="CN116" s="440">
        <v>0</v>
      </c>
      <c r="CO116" s="442">
        <f t="shared" si="61"/>
        <v>2</v>
      </c>
      <c r="CP116" s="441">
        <v>4</v>
      </c>
      <c r="CQ116" s="435">
        <v>1700</v>
      </c>
      <c r="CR116" s="440">
        <v>1</v>
      </c>
      <c r="CS116" s="440">
        <v>1</v>
      </c>
      <c r="CT116" s="440">
        <v>0</v>
      </c>
      <c r="CU116" s="440">
        <v>0</v>
      </c>
      <c r="CV116" s="440">
        <v>0</v>
      </c>
      <c r="CW116" s="440">
        <v>0</v>
      </c>
      <c r="CX116" s="442">
        <f t="shared" si="43"/>
        <v>0</v>
      </c>
      <c r="CY116" s="440">
        <v>0</v>
      </c>
      <c r="CZ116" s="442">
        <f t="shared" si="62"/>
        <v>0</v>
      </c>
      <c r="DA116" s="441">
        <v>0</v>
      </c>
      <c r="DB116" s="435">
        <v>1700</v>
      </c>
      <c r="DC116" s="440">
        <v>-21</v>
      </c>
      <c r="DD116" s="440">
        <v>-18</v>
      </c>
      <c r="DE116" s="440">
        <v>-14</v>
      </c>
      <c r="DF116" s="440">
        <v>-11</v>
      </c>
      <c r="DG116" s="440">
        <v>-7</v>
      </c>
      <c r="DH116" s="440">
        <v>-4</v>
      </c>
      <c r="DI116" s="442">
        <f t="shared" si="44"/>
        <v>-2</v>
      </c>
      <c r="DJ116" s="440">
        <v>0</v>
      </c>
      <c r="DK116" s="442">
        <f t="shared" si="63"/>
        <v>2</v>
      </c>
      <c r="DL116" s="441">
        <v>4</v>
      </c>
      <c r="DM116" s="435">
        <v>1700</v>
      </c>
      <c r="DN116" s="440">
        <v>1</v>
      </c>
      <c r="DO116" s="440">
        <v>1</v>
      </c>
      <c r="DP116" s="440">
        <v>1</v>
      </c>
      <c r="DQ116" s="440">
        <v>0</v>
      </c>
      <c r="DR116" s="440">
        <v>0</v>
      </c>
      <c r="DS116" s="440">
        <v>0</v>
      </c>
      <c r="DT116" s="442">
        <f t="shared" si="45"/>
        <v>0</v>
      </c>
      <c r="DU116" s="440">
        <v>0</v>
      </c>
      <c r="DV116" s="442">
        <f t="shared" si="64"/>
        <v>0</v>
      </c>
      <c r="DW116" s="441">
        <v>0</v>
      </c>
      <c r="DX116" s="435">
        <v>1700</v>
      </c>
      <c r="DY116" s="440">
        <v>-24</v>
      </c>
      <c r="DZ116" s="440">
        <v>-20</v>
      </c>
      <c r="EA116" s="440">
        <v>-16</v>
      </c>
      <c r="EB116" s="440">
        <v>-12</v>
      </c>
      <c r="EC116" s="440">
        <v>-8</v>
      </c>
      <c r="ED116" s="440">
        <v>-4</v>
      </c>
      <c r="EE116" s="442">
        <f t="shared" si="46"/>
        <v>-2</v>
      </c>
      <c r="EF116" s="440">
        <v>0</v>
      </c>
      <c r="EG116" s="442">
        <f t="shared" si="65"/>
        <v>2</v>
      </c>
      <c r="EH116" s="440">
        <v>4</v>
      </c>
      <c r="EI116" s="435">
        <v>1700</v>
      </c>
      <c r="EJ116" s="248">
        <v>3</v>
      </c>
      <c r="EK116" s="440">
        <v>2</v>
      </c>
      <c r="EL116" s="440">
        <v>2</v>
      </c>
      <c r="EM116" s="440">
        <v>1</v>
      </c>
      <c r="EN116" s="440">
        <v>1</v>
      </c>
      <c r="EO116" s="440">
        <v>0</v>
      </c>
      <c r="EP116" s="442">
        <f t="shared" si="66"/>
        <v>0</v>
      </c>
      <c r="EQ116" s="440">
        <v>0</v>
      </c>
      <c r="ER116" s="442">
        <f t="shared" si="67"/>
        <v>0</v>
      </c>
      <c r="ES116" s="441">
        <v>0</v>
      </c>
      <c r="ET116" s="435">
        <v>1700</v>
      </c>
      <c r="EU116" s="440">
        <v>-23</v>
      </c>
      <c r="EV116" s="440">
        <v>-19</v>
      </c>
      <c r="EW116" s="440">
        <v>-15</v>
      </c>
      <c r="EX116" s="440">
        <v>-11</v>
      </c>
      <c r="EY116" s="440">
        <v>-8</v>
      </c>
      <c r="EZ116" s="440">
        <v>-4</v>
      </c>
      <c r="FA116" s="442">
        <f t="shared" si="68"/>
        <v>-2</v>
      </c>
      <c r="FB116" s="440">
        <v>0</v>
      </c>
      <c r="FC116" s="442">
        <f t="shared" si="69"/>
        <v>2</v>
      </c>
      <c r="FD116" s="440">
        <v>4</v>
      </c>
      <c r="FE116" s="435">
        <v>1700</v>
      </c>
      <c r="FF116" s="440">
        <v>1</v>
      </c>
      <c r="FG116" s="440">
        <v>1</v>
      </c>
      <c r="FH116" s="440">
        <v>1</v>
      </c>
      <c r="FI116" s="440">
        <v>1</v>
      </c>
      <c r="FJ116" s="440">
        <v>0</v>
      </c>
      <c r="FK116" s="440">
        <v>0</v>
      </c>
      <c r="FL116" s="442">
        <f t="shared" si="47"/>
        <v>0</v>
      </c>
      <c r="FM116" s="440">
        <v>0</v>
      </c>
      <c r="FN116" s="442">
        <f t="shared" si="70"/>
        <v>0</v>
      </c>
      <c r="FO116" s="441">
        <v>0</v>
      </c>
      <c r="FP116" s="435">
        <v>1700</v>
      </c>
      <c r="FQ116" s="440">
        <v>-23</v>
      </c>
      <c r="FR116" s="440">
        <v>-19</v>
      </c>
      <c r="FS116" s="440">
        <v>-15</v>
      </c>
      <c r="FT116" s="440">
        <v>-12</v>
      </c>
      <c r="FU116" s="440">
        <v>-8</v>
      </c>
      <c r="FV116" s="440">
        <v>-4</v>
      </c>
      <c r="FW116" s="442">
        <f t="shared" si="48"/>
        <v>-2</v>
      </c>
      <c r="FX116" s="440">
        <v>0</v>
      </c>
      <c r="FY116" s="442">
        <f t="shared" si="71"/>
        <v>2</v>
      </c>
      <c r="FZ116" s="440">
        <v>4</v>
      </c>
      <c r="GA116" s="435">
        <v>1700</v>
      </c>
      <c r="GB116" s="440">
        <v>-36</v>
      </c>
      <c r="GC116" s="440">
        <v>-30</v>
      </c>
      <c r="GD116" s="440">
        <v>-24</v>
      </c>
      <c r="GE116" s="440">
        <v>-18</v>
      </c>
      <c r="GF116" s="440">
        <v>-12</v>
      </c>
      <c r="GG116" s="440">
        <v>-6</v>
      </c>
      <c r="GH116" s="442">
        <f t="shared" si="49"/>
        <v>-3</v>
      </c>
      <c r="GI116" s="440">
        <v>0</v>
      </c>
      <c r="GJ116" s="442">
        <f t="shared" si="72"/>
        <v>3</v>
      </c>
      <c r="GK116" s="441">
        <v>6</v>
      </c>
      <c r="GL116" s="435">
        <v>1700</v>
      </c>
      <c r="GM116" s="440">
        <v>-35</v>
      </c>
      <c r="GN116" s="440">
        <v>-29</v>
      </c>
      <c r="GO116" s="440">
        <v>-23</v>
      </c>
      <c r="GP116" s="440">
        <v>-17</v>
      </c>
      <c r="GQ116" s="440">
        <v>-12</v>
      </c>
      <c r="GR116" s="440">
        <v>-6</v>
      </c>
      <c r="GS116" s="442">
        <f t="shared" si="50"/>
        <v>-3</v>
      </c>
      <c r="GT116" s="440">
        <v>0</v>
      </c>
      <c r="GU116" s="442">
        <f t="shared" si="73"/>
        <v>3</v>
      </c>
      <c r="GV116" s="441">
        <v>6</v>
      </c>
    </row>
    <row r="117" spans="7:204">
      <c r="G117" s="450">
        <v>1600</v>
      </c>
      <c r="H117" s="445">
        <v>35</v>
      </c>
      <c r="I117" s="249">
        <v>29</v>
      </c>
      <c r="J117" s="248">
        <v>23</v>
      </c>
      <c r="K117" s="248">
        <v>17</v>
      </c>
      <c r="L117" s="248">
        <v>12</v>
      </c>
      <c r="M117" s="249">
        <v>6</v>
      </c>
      <c r="N117" s="249">
        <f t="shared" si="51"/>
        <v>3</v>
      </c>
      <c r="O117" s="249">
        <v>0</v>
      </c>
      <c r="P117" s="249">
        <f t="shared" si="52"/>
        <v>-3</v>
      </c>
      <c r="Q117" s="446">
        <v>-6</v>
      </c>
      <c r="R117" s="435">
        <v>1600</v>
      </c>
      <c r="S117" s="248">
        <v>11</v>
      </c>
      <c r="T117" s="248">
        <v>9</v>
      </c>
      <c r="U117" s="248">
        <v>7</v>
      </c>
      <c r="V117" s="248">
        <v>5</v>
      </c>
      <c r="W117" s="248">
        <v>4</v>
      </c>
      <c r="X117" s="248">
        <v>2</v>
      </c>
      <c r="Y117" s="249">
        <f t="shared" si="53"/>
        <v>1</v>
      </c>
      <c r="Z117" s="248">
        <v>0</v>
      </c>
      <c r="AA117" s="439">
        <f t="shared" si="54"/>
        <v>-1</v>
      </c>
      <c r="AB117" s="248">
        <v>-2</v>
      </c>
      <c r="AC117" s="435">
        <v>1600</v>
      </c>
      <c r="AD117" s="440">
        <v>-30</v>
      </c>
      <c r="AE117" s="440">
        <v>-25</v>
      </c>
      <c r="AF117" s="440">
        <v>-20</v>
      </c>
      <c r="AG117" s="440">
        <v>-15</v>
      </c>
      <c r="AH117" s="440">
        <v>-10</v>
      </c>
      <c r="AI117" s="440">
        <v>-5</v>
      </c>
      <c r="AJ117" s="249">
        <f t="shared" si="55"/>
        <v>-2.5</v>
      </c>
      <c r="AK117" s="248">
        <v>0</v>
      </c>
      <c r="AL117" s="439">
        <f t="shared" si="56"/>
        <v>2.5</v>
      </c>
      <c r="AM117" s="441">
        <v>5</v>
      </c>
      <c r="AN117" s="435">
        <v>1600</v>
      </c>
      <c r="AO117" s="440">
        <v>-54</v>
      </c>
      <c r="AP117" s="440">
        <v>-45</v>
      </c>
      <c r="AQ117" s="440">
        <v>-36</v>
      </c>
      <c r="AR117" s="440">
        <v>-27</v>
      </c>
      <c r="AS117" s="440">
        <v>-18</v>
      </c>
      <c r="AT117" s="440">
        <v>-9</v>
      </c>
      <c r="AU117" s="442">
        <f t="shared" si="38"/>
        <v>-4.5</v>
      </c>
      <c r="AV117" s="440">
        <v>0</v>
      </c>
      <c r="AW117" s="442">
        <f t="shared" si="57"/>
        <v>4.5</v>
      </c>
      <c r="AX117" s="441">
        <v>9</v>
      </c>
      <c r="AY117" s="435">
        <v>1600</v>
      </c>
      <c r="AZ117" s="440">
        <v>3</v>
      </c>
      <c r="BA117" s="440">
        <v>3</v>
      </c>
      <c r="BB117" s="440">
        <v>2</v>
      </c>
      <c r="BC117" s="440">
        <v>2</v>
      </c>
      <c r="BD117" s="440">
        <v>1</v>
      </c>
      <c r="BE117" s="440">
        <v>1</v>
      </c>
      <c r="BF117" s="442">
        <f t="shared" si="39"/>
        <v>0.5</v>
      </c>
      <c r="BG117" s="440">
        <v>0</v>
      </c>
      <c r="BH117" s="442">
        <f t="shared" si="58"/>
        <v>-0.5</v>
      </c>
      <c r="BI117" s="441">
        <v>-1</v>
      </c>
      <c r="BJ117" s="447">
        <v>1600</v>
      </c>
      <c r="BK117" s="440">
        <v>-31</v>
      </c>
      <c r="BL117" s="440">
        <v>-26</v>
      </c>
      <c r="BM117" s="440">
        <v>-21</v>
      </c>
      <c r="BN117" s="440">
        <v>-16</v>
      </c>
      <c r="BO117" s="440">
        <v>-10</v>
      </c>
      <c r="BP117" s="440">
        <v>-5</v>
      </c>
      <c r="BQ117" s="442">
        <f t="shared" si="40"/>
        <v>-2.5</v>
      </c>
      <c r="BR117" s="440">
        <v>0</v>
      </c>
      <c r="BS117" s="442">
        <f t="shared" si="59"/>
        <v>2.5</v>
      </c>
      <c r="BT117" s="440">
        <v>5</v>
      </c>
      <c r="BU117" s="435">
        <v>1600</v>
      </c>
      <c r="BV117" s="440">
        <v>1</v>
      </c>
      <c r="BW117" s="440">
        <v>1</v>
      </c>
      <c r="BX117" s="440">
        <v>1</v>
      </c>
      <c r="BY117" s="440">
        <v>0</v>
      </c>
      <c r="BZ117" s="440">
        <v>0</v>
      </c>
      <c r="CA117" s="440">
        <v>0</v>
      </c>
      <c r="CB117" s="442">
        <f t="shared" si="41"/>
        <v>0</v>
      </c>
      <c r="CC117" s="440">
        <v>0</v>
      </c>
      <c r="CD117" s="442">
        <f t="shared" si="60"/>
        <v>0</v>
      </c>
      <c r="CE117" s="441">
        <v>0</v>
      </c>
      <c r="CF117" s="435">
        <v>1600</v>
      </c>
      <c r="CG117" s="440">
        <v>-23</v>
      </c>
      <c r="CH117" s="440">
        <v>-19</v>
      </c>
      <c r="CI117" s="440">
        <v>-15</v>
      </c>
      <c r="CJ117" s="440">
        <v>-12</v>
      </c>
      <c r="CK117" s="440">
        <v>-8</v>
      </c>
      <c r="CL117" s="440">
        <v>-4</v>
      </c>
      <c r="CM117" s="442">
        <f t="shared" si="42"/>
        <v>-2</v>
      </c>
      <c r="CN117" s="440">
        <v>0</v>
      </c>
      <c r="CO117" s="442">
        <f t="shared" si="61"/>
        <v>2</v>
      </c>
      <c r="CP117" s="441">
        <v>4</v>
      </c>
      <c r="CQ117" s="435">
        <v>1600</v>
      </c>
      <c r="CR117" s="440">
        <v>1</v>
      </c>
      <c r="CS117" s="440">
        <v>1</v>
      </c>
      <c r="CT117" s="440">
        <v>0</v>
      </c>
      <c r="CU117" s="440">
        <v>0</v>
      </c>
      <c r="CV117" s="440">
        <v>0</v>
      </c>
      <c r="CW117" s="440">
        <v>0</v>
      </c>
      <c r="CX117" s="442">
        <f t="shared" si="43"/>
        <v>0</v>
      </c>
      <c r="CY117" s="440">
        <v>0</v>
      </c>
      <c r="CZ117" s="442">
        <f t="shared" si="62"/>
        <v>0</v>
      </c>
      <c r="DA117" s="441">
        <v>0</v>
      </c>
      <c r="DB117" s="435">
        <v>1600</v>
      </c>
      <c r="DC117" s="440">
        <v>-21</v>
      </c>
      <c r="DD117" s="440">
        <v>-18</v>
      </c>
      <c r="DE117" s="440">
        <v>-14</v>
      </c>
      <c r="DF117" s="440">
        <v>-11</v>
      </c>
      <c r="DG117" s="440">
        <v>-7</v>
      </c>
      <c r="DH117" s="440">
        <v>-4</v>
      </c>
      <c r="DI117" s="442">
        <f t="shared" si="44"/>
        <v>-2</v>
      </c>
      <c r="DJ117" s="440">
        <v>0</v>
      </c>
      <c r="DK117" s="442">
        <f t="shared" si="63"/>
        <v>2</v>
      </c>
      <c r="DL117" s="441">
        <v>4</v>
      </c>
      <c r="DM117" s="435">
        <v>1600</v>
      </c>
      <c r="DN117" s="440">
        <v>1</v>
      </c>
      <c r="DO117" s="440">
        <v>1</v>
      </c>
      <c r="DP117" s="440">
        <v>1</v>
      </c>
      <c r="DQ117" s="440">
        <v>0</v>
      </c>
      <c r="DR117" s="440">
        <v>0</v>
      </c>
      <c r="DS117" s="440">
        <v>0</v>
      </c>
      <c r="DT117" s="442">
        <f t="shared" si="45"/>
        <v>0</v>
      </c>
      <c r="DU117" s="440">
        <v>0</v>
      </c>
      <c r="DV117" s="442">
        <f t="shared" si="64"/>
        <v>0</v>
      </c>
      <c r="DW117" s="441">
        <v>0</v>
      </c>
      <c r="DX117" s="435">
        <v>1600</v>
      </c>
      <c r="DY117" s="440">
        <v>-24</v>
      </c>
      <c r="DZ117" s="440">
        <v>-20</v>
      </c>
      <c r="EA117" s="440">
        <v>-16</v>
      </c>
      <c r="EB117" s="440">
        <v>-12</v>
      </c>
      <c r="EC117" s="440">
        <v>-8</v>
      </c>
      <c r="ED117" s="440">
        <v>-4</v>
      </c>
      <c r="EE117" s="442">
        <f t="shared" si="46"/>
        <v>-2</v>
      </c>
      <c r="EF117" s="440">
        <v>0</v>
      </c>
      <c r="EG117" s="442">
        <f t="shared" si="65"/>
        <v>2</v>
      </c>
      <c r="EH117" s="440">
        <v>4</v>
      </c>
      <c r="EI117" s="435">
        <v>1600</v>
      </c>
      <c r="EJ117" s="248">
        <v>3</v>
      </c>
      <c r="EK117" s="440">
        <v>2</v>
      </c>
      <c r="EL117" s="440">
        <v>2</v>
      </c>
      <c r="EM117" s="440">
        <v>1</v>
      </c>
      <c r="EN117" s="440">
        <v>1</v>
      </c>
      <c r="EO117" s="440">
        <v>0</v>
      </c>
      <c r="EP117" s="442">
        <f t="shared" si="66"/>
        <v>0</v>
      </c>
      <c r="EQ117" s="440">
        <v>0</v>
      </c>
      <c r="ER117" s="442">
        <f t="shared" si="67"/>
        <v>0</v>
      </c>
      <c r="ES117" s="441">
        <v>0</v>
      </c>
      <c r="ET117" s="435">
        <v>1600</v>
      </c>
      <c r="EU117" s="440">
        <v>-23</v>
      </c>
      <c r="EV117" s="440">
        <v>-19</v>
      </c>
      <c r="EW117" s="440">
        <v>-15</v>
      </c>
      <c r="EX117" s="440">
        <v>-11</v>
      </c>
      <c r="EY117" s="440">
        <v>-8</v>
      </c>
      <c r="EZ117" s="440">
        <v>-4</v>
      </c>
      <c r="FA117" s="442">
        <f t="shared" si="68"/>
        <v>-2</v>
      </c>
      <c r="FB117" s="440">
        <v>0</v>
      </c>
      <c r="FC117" s="442">
        <f t="shared" si="69"/>
        <v>2</v>
      </c>
      <c r="FD117" s="440">
        <v>4</v>
      </c>
      <c r="FE117" s="435">
        <v>1600</v>
      </c>
      <c r="FF117" s="440">
        <v>1</v>
      </c>
      <c r="FG117" s="440">
        <v>1</v>
      </c>
      <c r="FH117" s="440">
        <v>1</v>
      </c>
      <c r="FI117" s="440">
        <v>1</v>
      </c>
      <c r="FJ117" s="440">
        <v>0</v>
      </c>
      <c r="FK117" s="440">
        <v>0</v>
      </c>
      <c r="FL117" s="442">
        <f t="shared" si="47"/>
        <v>0</v>
      </c>
      <c r="FM117" s="440">
        <v>0</v>
      </c>
      <c r="FN117" s="442">
        <f t="shared" si="70"/>
        <v>0</v>
      </c>
      <c r="FO117" s="441">
        <v>0</v>
      </c>
      <c r="FP117" s="435">
        <v>1600</v>
      </c>
      <c r="FQ117" s="440">
        <v>-23</v>
      </c>
      <c r="FR117" s="440">
        <v>-19</v>
      </c>
      <c r="FS117" s="440">
        <v>-15</v>
      </c>
      <c r="FT117" s="440">
        <v>-12</v>
      </c>
      <c r="FU117" s="440">
        <v>-8</v>
      </c>
      <c r="FV117" s="440">
        <v>-4</v>
      </c>
      <c r="FW117" s="442">
        <f t="shared" si="48"/>
        <v>-2</v>
      </c>
      <c r="FX117" s="440">
        <v>0</v>
      </c>
      <c r="FY117" s="442">
        <f t="shared" si="71"/>
        <v>2</v>
      </c>
      <c r="FZ117" s="440">
        <v>4</v>
      </c>
      <c r="GA117" s="435">
        <v>1600</v>
      </c>
      <c r="GB117" s="440">
        <v>-36</v>
      </c>
      <c r="GC117" s="440">
        <v>-30</v>
      </c>
      <c r="GD117" s="440">
        <v>-24</v>
      </c>
      <c r="GE117" s="440">
        <v>-18</v>
      </c>
      <c r="GF117" s="440">
        <v>-12</v>
      </c>
      <c r="GG117" s="440">
        <v>-6</v>
      </c>
      <c r="GH117" s="442">
        <f t="shared" si="49"/>
        <v>-3</v>
      </c>
      <c r="GI117" s="440">
        <v>0</v>
      </c>
      <c r="GJ117" s="442">
        <f t="shared" si="72"/>
        <v>3</v>
      </c>
      <c r="GK117" s="441">
        <v>6</v>
      </c>
      <c r="GL117" s="435">
        <v>1600</v>
      </c>
      <c r="GM117" s="440">
        <v>-35</v>
      </c>
      <c r="GN117" s="440">
        <v>-29</v>
      </c>
      <c r="GO117" s="440">
        <v>-23</v>
      </c>
      <c r="GP117" s="440">
        <v>-17</v>
      </c>
      <c r="GQ117" s="440">
        <v>-12</v>
      </c>
      <c r="GR117" s="440">
        <v>-6</v>
      </c>
      <c r="GS117" s="442">
        <f t="shared" si="50"/>
        <v>-3</v>
      </c>
      <c r="GT117" s="440">
        <v>0</v>
      </c>
      <c r="GU117" s="442">
        <f t="shared" si="73"/>
        <v>3</v>
      </c>
      <c r="GV117" s="441">
        <v>6</v>
      </c>
    </row>
    <row r="118" spans="7:204">
      <c r="G118" s="450">
        <v>1500</v>
      </c>
      <c r="H118" s="445">
        <v>35</v>
      </c>
      <c r="I118" s="249">
        <v>29</v>
      </c>
      <c r="J118" s="248">
        <v>23</v>
      </c>
      <c r="K118" s="248">
        <v>17</v>
      </c>
      <c r="L118" s="248">
        <v>11</v>
      </c>
      <c r="M118" s="249">
        <v>6</v>
      </c>
      <c r="N118" s="249">
        <f t="shared" si="51"/>
        <v>3</v>
      </c>
      <c r="O118" s="249">
        <v>0</v>
      </c>
      <c r="P118" s="249">
        <f t="shared" si="52"/>
        <v>-3</v>
      </c>
      <c r="Q118" s="446">
        <v>-6</v>
      </c>
      <c r="R118" s="435">
        <v>1500</v>
      </c>
      <c r="S118" s="248">
        <v>11</v>
      </c>
      <c r="T118" s="248">
        <v>9</v>
      </c>
      <c r="U118" s="248">
        <v>7</v>
      </c>
      <c r="V118" s="248">
        <v>5</v>
      </c>
      <c r="W118" s="248">
        <v>4</v>
      </c>
      <c r="X118" s="248">
        <v>2</v>
      </c>
      <c r="Y118" s="249">
        <f t="shared" si="53"/>
        <v>1</v>
      </c>
      <c r="Z118" s="248">
        <v>0</v>
      </c>
      <c r="AA118" s="439">
        <f t="shared" si="54"/>
        <v>-1</v>
      </c>
      <c r="AB118" s="248">
        <v>-2</v>
      </c>
      <c r="AC118" s="435">
        <v>1500</v>
      </c>
      <c r="AD118" s="440">
        <v>-31</v>
      </c>
      <c r="AE118" s="440">
        <v>-25</v>
      </c>
      <c r="AF118" s="440">
        <v>-20</v>
      </c>
      <c r="AG118" s="440">
        <v>-15</v>
      </c>
      <c r="AH118" s="440">
        <v>-10</v>
      </c>
      <c r="AI118" s="440">
        <v>-5</v>
      </c>
      <c r="AJ118" s="249">
        <f t="shared" si="55"/>
        <v>-2.5</v>
      </c>
      <c r="AK118" s="248">
        <v>0</v>
      </c>
      <c r="AL118" s="439">
        <f t="shared" si="56"/>
        <v>2.5</v>
      </c>
      <c r="AM118" s="441">
        <v>5</v>
      </c>
      <c r="AN118" s="435">
        <v>1500</v>
      </c>
      <c r="AO118" s="440">
        <v>-54</v>
      </c>
      <c r="AP118" s="440">
        <v>-45</v>
      </c>
      <c r="AQ118" s="440">
        <v>-36</v>
      </c>
      <c r="AR118" s="440">
        <v>-27</v>
      </c>
      <c r="AS118" s="440">
        <v>-18</v>
      </c>
      <c r="AT118" s="440">
        <v>-9</v>
      </c>
      <c r="AU118" s="442">
        <f t="shared" si="38"/>
        <v>-4.5</v>
      </c>
      <c r="AV118" s="440">
        <v>0</v>
      </c>
      <c r="AW118" s="442">
        <f t="shared" si="57"/>
        <v>4.5</v>
      </c>
      <c r="AX118" s="441">
        <v>9</v>
      </c>
      <c r="AY118" s="435">
        <v>1500</v>
      </c>
      <c r="AZ118" s="440">
        <v>3</v>
      </c>
      <c r="BA118" s="440">
        <v>3</v>
      </c>
      <c r="BB118" s="440">
        <v>2</v>
      </c>
      <c r="BC118" s="440">
        <v>2</v>
      </c>
      <c r="BD118" s="440">
        <v>1</v>
      </c>
      <c r="BE118" s="440">
        <v>1</v>
      </c>
      <c r="BF118" s="442">
        <f t="shared" si="39"/>
        <v>0.5</v>
      </c>
      <c r="BG118" s="440">
        <v>0</v>
      </c>
      <c r="BH118" s="442">
        <f t="shared" si="58"/>
        <v>0</v>
      </c>
      <c r="BI118" s="441">
        <v>0</v>
      </c>
      <c r="BJ118" s="447">
        <v>1500</v>
      </c>
      <c r="BK118" s="440">
        <v>-32</v>
      </c>
      <c r="BL118" s="440">
        <v>-26</v>
      </c>
      <c r="BM118" s="440">
        <v>-21</v>
      </c>
      <c r="BN118" s="440">
        <v>-16</v>
      </c>
      <c r="BO118" s="440">
        <v>-11</v>
      </c>
      <c r="BP118" s="440">
        <v>-5</v>
      </c>
      <c r="BQ118" s="442">
        <f t="shared" si="40"/>
        <v>-2.5</v>
      </c>
      <c r="BR118" s="440">
        <v>0</v>
      </c>
      <c r="BS118" s="442">
        <f t="shared" si="59"/>
        <v>2.5</v>
      </c>
      <c r="BT118" s="440">
        <v>5</v>
      </c>
      <c r="BU118" s="435">
        <v>1500</v>
      </c>
      <c r="BV118" s="440">
        <v>1</v>
      </c>
      <c r="BW118" s="440">
        <v>1</v>
      </c>
      <c r="BX118" s="440">
        <v>1</v>
      </c>
      <c r="BY118" s="440">
        <v>0</v>
      </c>
      <c r="BZ118" s="440">
        <v>0</v>
      </c>
      <c r="CA118" s="440">
        <v>0</v>
      </c>
      <c r="CB118" s="442">
        <f t="shared" si="41"/>
        <v>0</v>
      </c>
      <c r="CC118" s="440">
        <v>0</v>
      </c>
      <c r="CD118" s="442">
        <f t="shared" si="60"/>
        <v>0</v>
      </c>
      <c r="CE118" s="441">
        <v>0</v>
      </c>
      <c r="CF118" s="435">
        <v>1500</v>
      </c>
      <c r="CG118" s="440">
        <v>-23</v>
      </c>
      <c r="CH118" s="440">
        <v>-19</v>
      </c>
      <c r="CI118" s="440">
        <v>-15</v>
      </c>
      <c r="CJ118" s="440">
        <v>-12</v>
      </c>
      <c r="CK118" s="440">
        <v>-8</v>
      </c>
      <c r="CL118" s="440">
        <v>-4</v>
      </c>
      <c r="CM118" s="442">
        <f t="shared" si="42"/>
        <v>-2</v>
      </c>
      <c r="CN118" s="440">
        <v>0</v>
      </c>
      <c r="CO118" s="442">
        <f t="shared" si="61"/>
        <v>2</v>
      </c>
      <c r="CP118" s="441">
        <v>4</v>
      </c>
      <c r="CQ118" s="435">
        <v>1500</v>
      </c>
      <c r="CR118" s="440">
        <v>1</v>
      </c>
      <c r="CS118" s="440">
        <v>0</v>
      </c>
      <c r="CT118" s="440">
        <v>0</v>
      </c>
      <c r="CU118" s="440">
        <v>0</v>
      </c>
      <c r="CV118" s="440">
        <v>0</v>
      </c>
      <c r="CW118" s="440">
        <v>0</v>
      </c>
      <c r="CX118" s="442">
        <f t="shared" si="43"/>
        <v>0</v>
      </c>
      <c r="CY118" s="440">
        <v>0</v>
      </c>
      <c r="CZ118" s="442">
        <f t="shared" si="62"/>
        <v>0</v>
      </c>
      <c r="DA118" s="441">
        <v>0</v>
      </c>
      <c r="DB118" s="435">
        <v>1500</v>
      </c>
      <c r="DC118" s="440">
        <v>-21</v>
      </c>
      <c r="DD118" s="440">
        <v>-18</v>
      </c>
      <c r="DE118" s="440">
        <v>-14</v>
      </c>
      <c r="DF118" s="440">
        <v>-11</v>
      </c>
      <c r="DG118" s="440">
        <v>-7</v>
      </c>
      <c r="DH118" s="440">
        <v>-4</v>
      </c>
      <c r="DI118" s="442">
        <f t="shared" si="44"/>
        <v>-2</v>
      </c>
      <c r="DJ118" s="440">
        <v>0</v>
      </c>
      <c r="DK118" s="442">
        <f t="shared" si="63"/>
        <v>2</v>
      </c>
      <c r="DL118" s="441">
        <v>4</v>
      </c>
      <c r="DM118" s="435">
        <v>1500</v>
      </c>
      <c r="DN118" s="440">
        <v>1</v>
      </c>
      <c r="DO118" s="440">
        <v>1</v>
      </c>
      <c r="DP118" s="440">
        <v>0</v>
      </c>
      <c r="DQ118" s="440">
        <v>0</v>
      </c>
      <c r="DR118" s="440">
        <v>0</v>
      </c>
      <c r="DS118" s="440">
        <v>0</v>
      </c>
      <c r="DT118" s="442">
        <f t="shared" si="45"/>
        <v>0</v>
      </c>
      <c r="DU118" s="440">
        <v>0</v>
      </c>
      <c r="DV118" s="442">
        <f t="shared" si="64"/>
        <v>0</v>
      </c>
      <c r="DW118" s="441">
        <v>0</v>
      </c>
      <c r="DX118" s="435">
        <v>1500</v>
      </c>
      <c r="DY118" s="440">
        <v>-24</v>
      </c>
      <c r="DZ118" s="440">
        <v>-20</v>
      </c>
      <c r="EA118" s="440">
        <v>-16</v>
      </c>
      <c r="EB118" s="440">
        <v>-12</v>
      </c>
      <c r="EC118" s="440">
        <v>-8</v>
      </c>
      <c r="ED118" s="440">
        <v>-4</v>
      </c>
      <c r="EE118" s="442">
        <f t="shared" si="46"/>
        <v>-2</v>
      </c>
      <c r="EF118" s="440">
        <v>0</v>
      </c>
      <c r="EG118" s="442">
        <f t="shared" si="65"/>
        <v>2</v>
      </c>
      <c r="EH118" s="440">
        <v>4</v>
      </c>
      <c r="EI118" s="435">
        <v>1500</v>
      </c>
      <c r="EJ118" s="248">
        <v>2</v>
      </c>
      <c r="EK118" s="440">
        <v>2</v>
      </c>
      <c r="EL118" s="440">
        <v>2</v>
      </c>
      <c r="EM118" s="440">
        <v>1</v>
      </c>
      <c r="EN118" s="440">
        <v>1</v>
      </c>
      <c r="EO118" s="440">
        <v>0</v>
      </c>
      <c r="EP118" s="442">
        <f t="shared" si="66"/>
        <v>0</v>
      </c>
      <c r="EQ118" s="440">
        <v>0</v>
      </c>
      <c r="ER118" s="442">
        <f t="shared" si="67"/>
        <v>0</v>
      </c>
      <c r="ES118" s="441">
        <v>0</v>
      </c>
      <c r="ET118" s="435">
        <v>1500</v>
      </c>
      <c r="EU118" s="440">
        <v>-23</v>
      </c>
      <c r="EV118" s="440">
        <v>-19</v>
      </c>
      <c r="EW118" s="440">
        <v>-15</v>
      </c>
      <c r="EX118" s="440">
        <v>-11</v>
      </c>
      <c r="EY118" s="440">
        <v>-8</v>
      </c>
      <c r="EZ118" s="440">
        <v>-4</v>
      </c>
      <c r="FA118" s="442">
        <f t="shared" si="68"/>
        <v>-2</v>
      </c>
      <c r="FB118" s="440">
        <v>0</v>
      </c>
      <c r="FC118" s="442">
        <f t="shared" si="69"/>
        <v>2</v>
      </c>
      <c r="FD118" s="440">
        <v>4</v>
      </c>
      <c r="FE118" s="435">
        <v>1500</v>
      </c>
      <c r="FF118" s="440">
        <v>1</v>
      </c>
      <c r="FG118" s="440">
        <v>1</v>
      </c>
      <c r="FH118" s="440">
        <v>1</v>
      </c>
      <c r="FI118" s="440">
        <v>1</v>
      </c>
      <c r="FJ118" s="440">
        <v>0</v>
      </c>
      <c r="FK118" s="440">
        <v>0</v>
      </c>
      <c r="FL118" s="442">
        <f t="shared" si="47"/>
        <v>0</v>
      </c>
      <c r="FM118" s="440">
        <v>0</v>
      </c>
      <c r="FN118" s="442">
        <f t="shared" si="70"/>
        <v>0</v>
      </c>
      <c r="FO118" s="441">
        <v>0</v>
      </c>
      <c r="FP118" s="435">
        <v>1500</v>
      </c>
      <c r="FQ118" s="440">
        <v>-23</v>
      </c>
      <c r="FR118" s="440">
        <v>-19</v>
      </c>
      <c r="FS118" s="440">
        <v>-15</v>
      </c>
      <c r="FT118" s="440">
        <v>-12</v>
      </c>
      <c r="FU118" s="440">
        <v>-8</v>
      </c>
      <c r="FV118" s="440">
        <v>-4</v>
      </c>
      <c r="FW118" s="442">
        <f t="shared" si="48"/>
        <v>-2</v>
      </c>
      <c r="FX118" s="440">
        <v>0</v>
      </c>
      <c r="FY118" s="442">
        <f t="shared" si="71"/>
        <v>2</v>
      </c>
      <c r="FZ118" s="440">
        <v>4</v>
      </c>
      <c r="GA118" s="435">
        <v>1500</v>
      </c>
      <c r="GB118" s="440">
        <v>-36</v>
      </c>
      <c r="GC118" s="440">
        <v>-30</v>
      </c>
      <c r="GD118" s="440">
        <v>-24</v>
      </c>
      <c r="GE118" s="440">
        <v>-18</v>
      </c>
      <c r="GF118" s="440">
        <v>-12</v>
      </c>
      <c r="GG118" s="440">
        <v>-6</v>
      </c>
      <c r="GH118" s="442">
        <f t="shared" si="49"/>
        <v>-3</v>
      </c>
      <c r="GI118" s="440">
        <v>0</v>
      </c>
      <c r="GJ118" s="442">
        <f t="shared" si="72"/>
        <v>3</v>
      </c>
      <c r="GK118" s="441">
        <v>6</v>
      </c>
      <c r="GL118" s="435">
        <v>1500</v>
      </c>
      <c r="GM118" s="440">
        <v>-35</v>
      </c>
      <c r="GN118" s="440">
        <v>-29</v>
      </c>
      <c r="GO118" s="440">
        <v>-23</v>
      </c>
      <c r="GP118" s="440">
        <v>-18</v>
      </c>
      <c r="GQ118" s="440">
        <v>-12</v>
      </c>
      <c r="GR118" s="440">
        <v>-6</v>
      </c>
      <c r="GS118" s="442">
        <f t="shared" si="50"/>
        <v>-3</v>
      </c>
      <c r="GT118" s="440">
        <v>0</v>
      </c>
      <c r="GU118" s="442">
        <f t="shared" si="73"/>
        <v>3</v>
      </c>
      <c r="GV118" s="441">
        <v>6</v>
      </c>
    </row>
    <row r="119" spans="7:204">
      <c r="G119" s="450">
        <v>1400</v>
      </c>
      <c r="H119" s="445">
        <v>35</v>
      </c>
      <c r="I119" s="249">
        <v>29</v>
      </c>
      <c r="J119" s="248">
        <v>23</v>
      </c>
      <c r="K119" s="248">
        <v>17</v>
      </c>
      <c r="L119" s="248">
        <v>11</v>
      </c>
      <c r="M119" s="249">
        <v>6</v>
      </c>
      <c r="N119" s="249">
        <f t="shared" si="51"/>
        <v>3</v>
      </c>
      <c r="O119" s="249">
        <v>0</v>
      </c>
      <c r="P119" s="249">
        <f t="shared" si="52"/>
        <v>-3</v>
      </c>
      <c r="Q119" s="446">
        <v>-6</v>
      </c>
      <c r="R119" s="435">
        <v>1400</v>
      </c>
      <c r="S119" s="248">
        <v>11</v>
      </c>
      <c r="T119" s="248">
        <v>9</v>
      </c>
      <c r="U119" s="248">
        <v>7</v>
      </c>
      <c r="V119" s="248">
        <v>5</v>
      </c>
      <c r="W119" s="248">
        <v>4</v>
      </c>
      <c r="X119" s="248">
        <v>2</v>
      </c>
      <c r="Y119" s="249">
        <f t="shared" si="53"/>
        <v>1</v>
      </c>
      <c r="Z119" s="248">
        <v>0</v>
      </c>
      <c r="AA119" s="439">
        <f t="shared" si="54"/>
        <v>-1</v>
      </c>
      <c r="AB119" s="248">
        <v>-2</v>
      </c>
      <c r="AC119" s="435">
        <v>1400</v>
      </c>
      <c r="AD119" s="440">
        <v>-31</v>
      </c>
      <c r="AE119" s="440">
        <v>-25</v>
      </c>
      <c r="AF119" s="440">
        <v>-20</v>
      </c>
      <c r="AG119" s="440">
        <v>-15</v>
      </c>
      <c r="AH119" s="440">
        <v>-10</v>
      </c>
      <c r="AI119" s="440">
        <v>-5</v>
      </c>
      <c r="AJ119" s="249">
        <f t="shared" si="55"/>
        <v>-2.5</v>
      </c>
      <c r="AK119" s="248">
        <v>0</v>
      </c>
      <c r="AL119" s="439">
        <f t="shared" si="56"/>
        <v>2.5</v>
      </c>
      <c r="AM119" s="441">
        <v>5</v>
      </c>
      <c r="AN119" s="435">
        <v>1400</v>
      </c>
      <c r="AO119" s="440">
        <v>-54</v>
      </c>
      <c r="AP119" s="440">
        <v>-45</v>
      </c>
      <c r="AQ119" s="440">
        <v>-36</v>
      </c>
      <c r="AR119" s="440">
        <v>-27</v>
      </c>
      <c r="AS119" s="440">
        <v>-18</v>
      </c>
      <c r="AT119" s="440">
        <v>-9</v>
      </c>
      <c r="AU119" s="442">
        <f t="shared" si="38"/>
        <v>-4.5</v>
      </c>
      <c r="AV119" s="440">
        <v>0</v>
      </c>
      <c r="AW119" s="442">
        <f t="shared" si="57"/>
        <v>4.5</v>
      </c>
      <c r="AX119" s="441">
        <v>9</v>
      </c>
      <c r="AY119" s="435">
        <v>1400</v>
      </c>
      <c r="AZ119" s="440">
        <v>3</v>
      </c>
      <c r="BA119" s="440">
        <v>3</v>
      </c>
      <c r="BB119" s="440">
        <v>2</v>
      </c>
      <c r="BC119" s="440">
        <v>2</v>
      </c>
      <c r="BD119" s="440">
        <v>1</v>
      </c>
      <c r="BE119" s="440">
        <v>1</v>
      </c>
      <c r="BF119" s="442">
        <f t="shared" si="39"/>
        <v>0.5</v>
      </c>
      <c r="BG119" s="440">
        <v>0</v>
      </c>
      <c r="BH119" s="442">
        <f t="shared" si="58"/>
        <v>0</v>
      </c>
      <c r="BI119" s="441">
        <v>0</v>
      </c>
      <c r="BJ119" s="447">
        <v>1400</v>
      </c>
      <c r="BK119" s="440">
        <v>-32</v>
      </c>
      <c r="BL119" s="440">
        <v>-26</v>
      </c>
      <c r="BM119" s="440">
        <v>-21</v>
      </c>
      <c r="BN119" s="440">
        <v>-16</v>
      </c>
      <c r="BO119" s="440">
        <v>-11</v>
      </c>
      <c r="BP119" s="440">
        <v>-5</v>
      </c>
      <c r="BQ119" s="442">
        <f t="shared" si="40"/>
        <v>-2.5</v>
      </c>
      <c r="BR119" s="440">
        <v>0</v>
      </c>
      <c r="BS119" s="442">
        <f t="shared" si="59"/>
        <v>2.5</v>
      </c>
      <c r="BT119" s="440">
        <v>5</v>
      </c>
      <c r="BU119" s="435">
        <v>1400</v>
      </c>
      <c r="BV119" s="440">
        <v>1</v>
      </c>
      <c r="BW119" s="440">
        <v>1</v>
      </c>
      <c r="BX119" s="440">
        <v>1</v>
      </c>
      <c r="BY119" s="440">
        <v>0</v>
      </c>
      <c r="BZ119" s="440">
        <v>0</v>
      </c>
      <c r="CA119" s="440">
        <v>0</v>
      </c>
      <c r="CB119" s="442">
        <f t="shared" si="41"/>
        <v>0</v>
      </c>
      <c r="CC119" s="440">
        <v>0</v>
      </c>
      <c r="CD119" s="442">
        <f t="shared" si="60"/>
        <v>0</v>
      </c>
      <c r="CE119" s="441">
        <v>0</v>
      </c>
      <c r="CF119" s="435">
        <v>1400</v>
      </c>
      <c r="CG119" s="440">
        <v>-23</v>
      </c>
      <c r="CH119" s="440">
        <v>-19</v>
      </c>
      <c r="CI119" s="440">
        <v>-15</v>
      </c>
      <c r="CJ119" s="440">
        <v>-12</v>
      </c>
      <c r="CK119" s="440">
        <v>-8</v>
      </c>
      <c r="CL119" s="440">
        <v>-4</v>
      </c>
      <c r="CM119" s="442">
        <f t="shared" si="42"/>
        <v>-2</v>
      </c>
      <c r="CN119" s="440">
        <v>0</v>
      </c>
      <c r="CO119" s="442">
        <f t="shared" si="61"/>
        <v>2</v>
      </c>
      <c r="CP119" s="441">
        <v>4</v>
      </c>
      <c r="CQ119" s="435">
        <v>1400</v>
      </c>
      <c r="CR119" s="440">
        <v>1</v>
      </c>
      <c r="CS119" s="440">
        <v>0</v>
      </c>
      <c r="CT119" s="440">
        <v>0</v>
      </c>
      <c r="CU119" s="440">
        <v>0</v>
      </c>
      <c r="CV119" s="440">
        <v>0</v>
      </c>
      <c r="CW119" s="440">
        <v>0</v>
      </c>
      <c r="CX119" s="442">
        <f t="shared" si="43"/>
        <v>0</v>
      </c>
      <c r="CY119" s="440">
        <v>0</v>
      </c>
      <c r="CZ119" s="442">
        <f t="shared" si="62"/>
        <v>0</v>
      </c>
      <c r="DA119" s="441">
        <v>0</v>
      </c>
      <c r="DB119" s="435">
        <v>1400</v>
      </c>
      <c r="DC119" s="440">
        <v>-21</v>
      </c>
      <c r="DD119" s="440">
        <v>-18</v>
      </c>
      <c r="DE119" s="440">
        <v>-14</v>
      </c>
      <c r="DF119" s="440">
        <v>-11</v>
      </c>
      <c r="DG119" s="440">
        <v>-7</v>
      </c>
      <c r="DH119" s="440">
        <v>-4</v>
      </c>
      <c r="DI119" s="442">
        <f t="shared" si="44"/>
        <v>-2</v>
      </c>
      <c r="DJ119" s="440">
        <v>0</v>
      </c>
      <c r="DK119" s="442">
        <f t="shared" si="63"/>
        <v>2</v>
      </c>
      <c r="DL119" s="441">
        <v>4</v>
      </c>
      <c r="DM119" s="435">
        <v>1400</v>
      </c>
      <c r="DN119" s="440">
        <v>1</v>
      </c>
      <c r="DO119" s="440">
        <v>1</v>
      </c>
      <c r="DP119" s="440">
        <v>0</v>
      </c>
      <c r="DQ119" s="440">
        <v>0</v>
      </c>
      <c r="DR119" s="440">
        <v>0</v>
      </c>
      <c r="DS119" s="440">
        <v>0</v>
      </c>
      <c r="DT119" s="442">
        <f t="shared" si="45"/>
        <v>0</v>
      </c>
      <c r="DU119" s="440">
        <v>0</v>
      </c>
      <c r="DV119" s="442">
        <f t="shared" si="64"/>
        <v>0</v>
      </c>
      <c r="DW119" s="441">
        <v>0</v>
      </c>
      <c r="DX119" s="435">
        <v>1400</v>
      </c>
      <c r="DY119" s="440">
        <v>-24</v>
      </c>
      <c r="DZ119" s="440">
        <v>-20</v>
      </c>
      <c r="EA119" s="440">
        <v>-16</v>
      </c>
      <c r="EB119" s="440">
        <v>-12</v>
      </c>
      <c r="EC119" s="440">
        <v>-8</v>
      </c>
      <c r="ED119" s="440">
        <v>-4</v>
      </c>
      <c r="EE119" s="442">
        <f t="shared" si="46"/>
        <v>-2</v>
      </c>
      <c r="EF119" s="440">
        <v>0</v>
      </c>
      <c r="EG119" s="442">
        <f t="shared" si="65"/>
        <v>2</v>
      </c>
      <c r="EH119" s="440">
        <v>4</v>
      </c>
      <c r="EI119" s="435">
        <v>1400</v>
      </c>
      <c r="EJ119" s="248">
        <v>2</v>
      </c>
      <c r="EK119" s="440">
        <v>2</v>
      </c>
      <c r="EL119" s="440">
        <v>2</v>
      </c>
      <c r="EM119" s="440">
        <v>1</v>
      </c>
      <c r="EN119" s="440">
        <v>1</v>
      </c>
      <c r="EO119" s="440">
        <v>0</v>
      </c>
      <c r="EP119" s="442">
        <f t="shared" si="66"/>
        <v>0</v>
      </c>
      <c r="EQ119" s="440">
        <v>0</v>
      </c>
      <c r="ER119" s="442">
        <f t="shared" si="67"/>
        <v>0</v>
      </c>
      <c r="ES119" s="441">
        <v>0</v>
      </c>
      <c r="ET119" s="435">
        <v>1400</v>
      </c>
      <c r="EU119" s="440">
        <v>-23</v>
      </c>
      <c r="EV119" s="440">
        <v>-19</v>
      </c>
      <c r="EW119" s="440">
        <v>-15</v>
      </c>
      <c r="EX119" s="440">
        <v>-11</v>
      </c>
      <c r="EY119" s="440">
        <v>-8</v>
      </c>
      <c r="EZ119" s="440">
        <v>-4</v>
      </c>
      <c r="FA119" s="442">
        <f t="shared" si="68"/>
        <v>-2</v>
      </c>
      <c r="FB119" s="440">
        <v>0</v>
      </c>
      <c r="FC119" s="442">
        <f t="shared" si="69"/>
        <v>2</v>
      </c>
      <c r="FD119" s="440">
        <v>4</v>
      </c>
      <c r="FE119" s="435">
        <v>1400</v>
      </c>
      <c r="FF119" s="440">
        <v>1</v>
      </c>
      <c r="FG119" s="440">
        <v>1</v>
      </c>
      <c r="FH119" s="440">
        <v>1</v>
      </c>
      <c r="FI119" s="440">
        <v>1</v>
      </c>
      <c r="FJ119" s="440">
        <v>0</v>
      </c>
      <c r="FK119" s="440">
        <v>0</v>
      </c>
      <c r="FL119" s="442">
        <f t="shared" si="47"/>
        <v>0</v>
      </c>
      <c r="FM119" s="440">
        <v>0</v>
      </c>
      <c r="FN119" s="442">
        <f t="shared" si="70"/>
        <v>0</v>
      </c>
      <c r="FO119" s="441">
        <v>0</v>
      </c>
      <c r="FP119" s="435">
        <v>1400</v>
      </c>
      <c r="FQ119" s="440">
        <v>-23</v>
      </c>
      <c r="FR119" s="440">
        <v>-19</v>
      </c>
      <c r="FS119" s="440">
        <v>-15</v>
      </c>
      <c r="FT119" s="440">
        <v>-12</v>
      </c>
      <c r="FU119" s="440">
        <v>-8</v>
      </c>
      <c r="FV119" s="440">
        <v>-4</v>
      </c>
      <c r="FW119" s="442">
        <f t="shared" si="48"/>
        <v>-2</v>
      </c>
      <c r="FX119" s="440">
        <v>0</v>
      </c>
      <c r="FY119" s="442">
        <f t="shared" si="71"/>
        <v>2</v>
      </c>
      <c r="FZ119" s="440">
        <v>4</v>
      </c>
      <c r="GA119" s="435">
        <v>1400</v>
      </c>
      <c r="GB119" s="440">
        <v>-36</v>
      </c>
      <c r="GC119" s="440">
        <v>-30</v>
      </c>
      <c r="GD119" s="440">
        <v>-24</v>
      </c>
      <c r="GE119" s="440">
        <v>-18</v>
      </c>
      <c r="GF119" s="440">
        <v>-12</v>
      </c>
      <c r="GG119" s="440">
        <v>-6</v>
      </c>
      <c r="GH119" s="442">
        <f t="shared" si="49"/>
        <v>-3</v>
      </c>
      <c r="GI119" s="440">
        <v>0</v>
      </c>
      <c r="GJ119" s="442">
        <f t="shared" si="72"/>
        <v>3</v>
      </c>
      <c r="GK119" s="441">
        <v>6</v>
      </c>
      <c r="GL119" s="435">
        <v>1400</v>
      </c>
      <c r="GM119" s="440">
        <v>-35</v>
      </c>
      <c r="GN119" s="440">
        <v>-29</v>
      </c>
      <c r="GO119" s="440">
        <v>-23</v>
      </c>
      <c r="GP119" s="440">
        <v>-18</v>
      </c>
      <c r="GQ119" s="440">
        <v>-12</v>
      </c>
      <c r="GR119" s="440">
        <v>-6</v>
      </c>
      <c r="GS119" s="442">
        <f t="shared" si="50"/>
        <v>-3</v>
      </c>
      <c r="GT119" s="440">
        <v>0</v>
      </c>
      <c r="GU119" s="442">
        <f t="shared" si="73"/>
        <v>3</v>
      </c>
      <c r="GV119" s="441">
        <v>6</v>
      </c>
    </row>
    <row r="120" spans="7:204">
      <c r="G120" s="450">
        <v>1300</v>
      </c>
      <c r="H120" s="248">
        <v>34</v>
      </c>
      <c r="I120" s="248">
        <v>29</v>
      </c>
      <c r="J120" s="248">
        <v>23</v>
      </c>
      <c r="K120" s="248">
        <v>17</v>
      </c>
      <c r="L120" s="248">
        <v>11</v>
      </c>
      <c r="M120" s="249">
        <v>6</v>
      </c>
      <c r="N120" s="249">
        <f t="shared" si="51"/>
        <v>3</v>
      </c>
      <c r="O120" s="249">
        <v>0</v>
      </c>
      <c r="P120" s="249">
        <f t="shared" si="52"/>
        <v>-3</v>
      </c>
      <c r="Q120" s="446">
        <v>-6</v>
      </c>
      <c r="R120" s="435">
        <v>1300</v>
      </c>
      <c r="S120" s="248">
        <v>11</v>
      </c>
      <c r="T120" s="248">
        <v>9</v>
      </c>
      <c r="U120" s="248">
        <v>7</v>
      </c>
      <c r="V120" s="248">
        <v>5</v>
      </c>
      <c r="W120" s="248">
        <v>4</v>
      </c>
      <c r="X120" s="248">
        <v>2</v>
      </c>
      <c r="Y120" s="249">
        <f t="shared" si="53"/>
        <v>1</v>
      </c>
      <c r="Z120" s="248">
        <v>0</v>
      </c>
      <c r="AA120" s="439">
        <f t="shared" si="54"/>
        <v>-1</v>
      </c>
      <c r="AB120" s="248">
        <v>-2</v>
      </c>
      <c r="AC120" s="435">
        <v>1300</v>
      </c>
      <c r="AD120" s="440">
        <v>-31</v>
      </c>
      <c r="AE120" s="440">
        <v>-25</v>
      </c>
      <c r="AF120" s="440">
        <v>-20</v>
      </c>
      <c r="AG120" s="440">
        <v>-15</v>
      </c>
      <c r="AH120" s="440">
        <v>-10</v>
      </c>
      <c r="AI120" s="440">
        <v>-5</v>
      </c>
      <c r="AJ120" s="249">
        <f t="shared" si="55"/>
        <v>-2.5</v>
      </c>
      <c r="AK120" s="248">
        <v>0</v>
      </c>
      <c r="AL120" s="439">
        <f t="shared" si="56"/>
        <v>2.5</v>
      </c>
      <c r="AM120" s="441">
        <v>5</v>
      </c>
      <c r="AN120" s="435">
        <v>1300</v>
      </c>
      <c r="AO120" s="440">
        <v>-54</v>
      </c>
      <c r="AP120" s="440">
        <v>-45</v>
      </c>
      <c r="AQ120" s="440">
        <v>-36</v>
      </c>
      <c r="AR120" s="440">
        <v>-27</v>
      </c>
      <c r="AS120" s="440">
        <v>-18</v>
      </c>
      <c r="AT120" s="440">
        <v>-9</v>
      </c>
      <c r="AU120" s="442">
        <f t="shared" si="38"/>
        <v>-4.5</v>
      </c>
      <c r="AV120" s="440">
        <v>0</v>
      </c>
      <c r="AW120" s="442">
        <f t="shared" si="57"/>
        <v>4.5</v>
      </c>
      <c r="AX120" s="441">
        <v>9</v>
      </c>
      <c r="AY120" s="435">
        <v>1300</v>
      </c>
      <c r="AZ120" s="440">
        <v>3</v>
      </c>
      <c r="BA120" s="440">
        <v>3</v>
      </c>
      <c r="BB120" s="440">
        <v>2</v>
      </c>
      <c r="BC120" s="440">
        <v>2</v>
      </c>
      <c r="BD120" s="440">
        <v>1</v>
      </c>
      <c r="BE120" s="440">
        <v>1</v>
      </c>
      <c r="BF120" s="442">
        <f t="shared" si="39"/>
        <v>0.5</v>
      </c>
      <c r="BG120" s="440">
        <v>0</v>
      </c>
      <c r="BH120" s="442">
        <f t="shared" si="58"/>
        <v>0</v>
      </c>
      <c r="BI120" s="441">
        <v>0</v>
      </c>
      <c r="BJ120" s="447">
        <v>1300</v>
      </c>
      <c r="BK120" s="440">
        <v>-32</v>
      </c>
      <c r="BL120" s="440">
        <v>-26</v>
      </c>
      <c r="BM120" s="440">
        <v>-21</v>
      </c>
      <c r="BN120" s="440">
        <v>-16</v>
      </c>
      <c r="BO120" s="440">
        <v>-11</v>
      </c>
      <c r="BP120" s="440">
        <v>-5</v>
      </c>
      <c r="BQ120" s="442">
        <f t="shared" si="40"/>
        <v>-2.5</v>
      </c>
      <c r="BR120" s="440">
        <v>0</v>
      </c>
      <c r="BS120" s="442">
        <f t="shared" si="59"/>
        <v>2.5</v>
      </c>
      <c r="BT120" s="440">
        <v>5</v>
      </c>
      <c r="BU120" s="435">
        <v>1300</v>
      </c>
      <c r="BV120" s="440">
        <v>1</v>
      </c>
      <c r="BW120" s="440">
        <v>1</v>
      </c>
      <c r="BX120" s="440">
        <v>1</v>
      </c>
      <c r="BY120" s="440">
        <v>0</v>
      </c>
      <c r="BZ120" s="440">
        <v>0</v>
      </c>
      <c r="CA120" s="440">
        <v>0</v>
      </c>
      <c r="CB120" s="442">
        <f t="shared" si="41"/>
        <v>0</v>
      </c>
      <c r="CC120" s="440">
        <v>0</v>
      </c>
      <c r="CD120" s="442">
        <f t="shared" si="60"/>
        <v>0</v>
      </c>
      <c r="CE120" s="441">
        <v>0</v>
      </c>
      <c r="CF120" s="435">
        <v>1300</v>
      </c>
      <c r="CG120" s="440">
        <v>-23</v>
      </c>
      <c r="CH120" s="440">
        <v>-19</v>
      </c>
      <c r="CI120" s="440">
        <v>-15</v>
      </c>
      <c r="CJ120" s="440">
        <v>-12</v>
      </c>
      <c r="CK120" s="440">
        <v>-8</v>
      </c>
      <c r="CL120" s="440">
        <v>-4</v>
      </c>
      <c r="CM120" s="442">
        <f t="shared" si="42"/>
        <v>-2</v>
      </c>
      <c r="CN120" s="440">
        <v>0</v>
      </c>
      <c r="CO120" s="442">
        <f t="shared" si="61"/>
        <v>2</v>
      </c>
      <c r="CP120" s="441">
        <v>4</v>
      </c>
      <c r="CQ120" s="435">
        <v>1300</v>
      </c>
      <c r="CR120" s="440">
        <v>1</v>
      </c>
      <c r="CS120" s="440">
        <v>0</v>
      </c>
      <c r="CT120" s="440">
        <v>0</v>
      </c>
      <c r="CU120" s="440">
        <v>0</v>
      </c>
      <c r="CV120" s="440">
        <v>0</v>
      </c>
      <c r="CW120" s="440">
        <v>0</v>
      </c>
      <c r="CX120" s="442">
        <f t="shared" si="43"/>
        <v>0</v>
      </c>
      <c r="CY120" s="440">
        <v>0</v>
      </c>
      <c r="CZ120" s="442">
        <f t="shared" si="62"/>
        <v>0</v>
      </c>
      <c r="DA120" s="441">
        <v>0</v>
      </c>
      <c r="DB120" s="435">
        <v>1300</v>
      </c>
      <c r="DC120" s="440">
        <v>-21</v>
      </c>
      <c r="DD120" s="440">
        <v>-18</v>
      </c>
      <c r="DE120" s="440">
        <v>-14</v>
      </c>
      <c r="DF120" s="440">
        <v>-11</v>
      </c>
      <c r="DG120" s="440">
        <v>-7</v>
      </c>
      <c r="DH120" s="440">
        <v>-4</v>
      </c>
      <c r="DI120" s="442">
        <f t="shared" si="44"/>
        <v>-2</v>
      </c>
      <c r="DJ120" s="440">
        <v>0</v>
      </c>
      <c r="DK120" s="442">
        <f t="shared" si="63"/>
        <v>2</v>
      </c>
      <c r="DL120" s="441">
        <v>4</v>
      </c>
      <c r="DM120" s="435">
        <v>1300</v>
      </c>
      <c r="DN120" s="440">
        <v>1</v>
      </c>
      <c r="DO120" s="440">
        <v>1</v>
      </c>
      <c r="DP120" s="440">
        <v>0</v>
      </c>
      <c r="DQ120" s="440">
        <v>0</v>
      </c>
      <c r="DR120" s="440">
        <v>0</v>
      </c>
      <c r="DS120" s="440">
        <v>0</v>
      </c>
      <c r="DT120" s="442">
        <f t="shared" si="45"/>
        <v>0</v>
      </c>
      <c r="DU120" s="440">
        <v>0</v>
      </c>
      <c r="DV120" s="442">
        <f t="shared" si="64"/>
        <v>0</v>
      </c>
      <c r="DW120" s="441">
        <v>0</v>
      </c>
      <c r="DX120" s="435">
        <v>1300</v>
      </c>
      <c r="DY120" s="440">
        <v>-24</v>
      </c>
      <c r="DZ120" s="440">
        <v>-20</v>
      </c>
      <c r="EA120" s="440">
        <v>-16</v>
      </c>
      <c r="EB120" s="440">
        <v>-12</v>
      </c>
      <c r="EC120" s="440">
        <v>-8</v>
      </c>
      <c r="ED120" s="440">
        <v>-4</v>
      </c>
      <c r="EE120" s="442">
        <f t="shared" si="46"/>
        <v>-2</v>
      </c>
      <c r="EF120" s="440">
        <v>0</v>
      </c>
      <c r="EG120" s="442">
        <f t="shared" si="65"/>
        <v>2</v>
      </c>
      <c r="EH120" s="440">
        <v>4</v>
      </c>
      <c r="EI120" s="435">
        <v>1300</v>
      </c>
      <c r="EJ120" s="248">
        <v>2</v>
      </c>
      <c r="EK120" s="440">
        <v>2</v>
      </c>
      <c r="EL120" s="440">
        <v>2</v>
      </c>
      <c r="EM120" s="440">
        <v>1</v>
      </c>
      <c r="EN120" s="440">
        <v>1</v>
      </c>
      <c r="EO120" s="440">
        <v>0</v>
      </c>
      <c r="EP120" s="442">
        <f t="shared" si="66"/>
        <v>0</v>
      </c>
      <c r="EQ120" s="440">
        <v>0</v>
      </c>
      <c r="ER120" s="442">
        <f t="shared" si="67"/>
        <v>0</v>
      </c>
      <c r="ES120" s="441">
        <v>0</v>
      </c>
      <c r="ET120" s="435">
        <v>1300</v>
      </c>
      <c r="EU120" s="440">
        <v>-23</v>
      </c>
      <c r="EV120" s="440">
        <v>-19</v>
      </c>
      <c r="EW120" s="440">
        <v>-15</v>
      </c>
      <c r="EX120" s="440">
        <v>-11</v>
      </c>
      <c r="EY120" s="440">
        <v>-8</v>
      </c>
      <c r="EZ120" s="440">
        <v>-4</v>
      </c>
      <c r="FA120" s="442">
        <f t="shared" si="68"/>
        <v>-2</v>
      </c>
      <c r="FB120" s="440">
        <v>0</v>
      </c>
      <c r="FC120" s="442">
        <f t="shared" si="69"/>
        <v>2</v>
      </c>
      <c r="FD120" s="440">
        <v>4</v>
      </c>
      <c r="FE120" s="435">
        <v>1300</v>
      </c>
      <c r="FF120" s="440">
        <v>1</v>
      </c>
      <c r="FG120" s="440">
        <v>1</v>
      </c>
      <c r="FH120" s="440">
        <v>1</v>
      </c>
      <c r="FI120" s="440">
        <v>0</v>
      </c>
      <c r="FJ120" s="440">
        <v>0</v>
      </c>
      <c r="FK120" s="440">
        <v>0</v>
      </c>
      <c r="FL120" s="442">
        <f t="shared" si="47"/>
        <v>0</v>
      </c>
      <c r="FM120" s="440">
        <v>0</v>
      </c>
      <c r="FN120" s="442">
        <f t="shared" si="70"/>
        <v>0</v>
      </c>
      <c r="FO120" s="441">
        <v>0</v>
      </c>
      <c r="FP120" s="435">
        <v>1300</v>
      </c>
      <c r="FQ120" s="440">
        <v>-23</v>
      </c>
      <c r="FR120" s="440">
        <v>-19</v>
      </c>
      <c r="FS120" s="440">
        <v>-15</v>
      </c>
      <c r="FT120" s="440">
        <v>-12</v>
      </c>
      <c r="FU120" s="440">
        <v>-8</v>
      </c>
      <c r="FV120" s="440">
        <v>-4</v>
      </c>
      <c r="FW120" s="442">
        <f t="shared" si="48"/>
        <v>-2</v>
      </c>
      <c r="FX120" s="440">
        <v>0</v>
      </c>
      <c r="FY120" s="442">
        <f t="shared" si="71"/>
        <v>2</v>
      </c>
      <c r="FZ120" s="440">
        <v>4</v>
      </c>
      <c r="GA120" s="435">
        <v>1300</v>
      </c>
      <c r="GB120" s="440">
        <v>-36</v>
      </c>
      <c r="GC120" s="440">
        <v>-30</v>
      </c>
      <c r="GD120" s="440">
        <v>-24</v>
      </c>
      <c r="GE120" s="440">
        <v>-18</v>
      </c>
      <c r="GF120" s="440">
        <v>-12</v>
      </c>
      <c r="GG120" s="440">
        <v>-6</v>
      </c>
      <c r="GH120" s="442">
        <f t="shared" si="49"/>
        <v>-3</v>
      </c>
      <c r="GI120" s="440">
        <v>0</v>
      </c>
      <c r="GJ120" s="442">
        <f t="shared" si="72"/>
        <v>3</v>
      </c>
      <c r="GK120" s="441">
        <v>6</v>
      </c>
      <c r="GL120" s="435">
        <v>1300</v>
      </c>
      <c r="GM120" s="440">
        <v>-35</v>
      </c>
      <c r="GN120" s="440">
        <v>-29</v>
      </c>
      <c r="GO120" s="440">
        <v>-23</v>
      </c>
      <c r="GP120" s="440">
        <v>-18</v>
      </c>
      <c r="GQ120" s="440">
        <v>-12</v>
      </c>
      <c r="GR120" s="440">
        <v>-6</v>
      </c>
      <c r="GS120" s="442">
        <f t="shared" si="50"/>
        <v>-3</v>
      </c>
      <c r="GT120" s="440">
        <v>0</v>
      </c>
      <c r="GU120" s="442">
        <f t="shared" si="73"/>
        <v>3</v>
      </c>
      <c r="GV120" s="441">
        <v>6</v>
      </c>
    </row>
    <row r="121" spans="7:204">
      <c r="G121" s="450">
        <v>1200</v>
      </c>
      <c r="H121" s="248">
        <v>34</v>
      </c>
      <c r="I121" s="248">
        <v>29</v>
      </c>
      <c r="J121" s="248">
        <v>23</v>
      </c>
      <c r="K121" s="248">
        <v>17</v>
      </c>
      <c r="L121" s="248">
        <v>11</v>
      </c>
      <c r="M121" s="249">
        <v>6</v>
      </c>
      <c r="N121" s="249">
        <f t="shared" si="51"/>
        <v>3</v>
      </c>
      <c r="O121" s="249">
        <v>0</v>
      </c>
      <c r="P121" s="249">
        <f t="shared" si="52"/>
        <v>-3</v>
      </c>
      <c r="Q121" s="446">
        <v>-6</v>
      </c>
      <c r="R121" s="435">
        <v>1200</v>
      </c>
      <c r="S121" s="248">
        <v>11</v>
      </c>
      <c r="T121" s="248">
        <v>9</v>
      </c>
      <c r="U121" s="248">
        <v>7</v>
      </c>
      <c r="V121" s="248">
        <v>5</v>
      </c>
      <c r="W121" s="248">
        <v>4</v>
      </c>
      <c r="X121" s="248">
        <v>2</v>
      </c>
      <c r="Y121" s="249">
        <f t="shared" si="53"/>
        <v>1</v>
      </c>
      <c r="Z121" s="248">
        <v>0</v>
      </c>
      <c r="AA121" s="439">
        <f t="shared" si="54"/>
        <v>-1</v>
      </c>
      <c r="AB121" s="248">
        <v>-2</v>
      </c>
      <c r="AC121" s="435">
        <v>1200</v>
      </c>
      <c r="AD121" s="440">
        <v>-30</v>
      </c>
      <c r="AE121" s="440">
        <v>-25</v>
      </c>
      <c r="AF121" s="440">
        <v>-20</v>
      </c>
      <c r="AG121" s="440">
        <v>-15</v>
      </c>
      <c r="AH121" s="440">
        <v>-10</v>
      </c>
      <c r="AI121" s="440">
        <v>-5</v>
      </c>
      <c r="AJ121" s="249">
        <f t="shared" si="55"/>
        <v>-2.5</v>
      </c>
      <c r="AK121" s="248">
        <v>0</v>
      </c>
      <c r="AL121" s="439">
        <f t="shared" si="56"/>
        <v>2.5</v>
      </c>
      <c r="AM121" s="441">
        <v>5</v>
      </c>
      <c r="AN121" s="435">
        <v>1200</v>
      </c>
      <c r="AO121" s="440">
        <v>-54</v>
      </c>
      <c r="AP121" s="440">
        <v>-45</v>
      </c>
      <c r="AQ121" s="440">
        <v>-36</v>
      </c>
      <c r="AR121" s="440">
        <v>-27</v>
      </c>
      <c r="AS121" s="440">
        <v>-18</v>
      </c>
      <c r="AT121" s="440">
        <v>-9</v>
      </c>
      <c r="AU121" s="442">
        <f t="shared" si="38"/>
        <v>-4.5</v>
      </c>
      <c r="AV121" s="440">
        <v>0</v>
      </c>
      <c r="AW121" s="442">
        <f t="shared" si="57"/>
        <v>4.5</v>
      </c>
      <c r="AX121" s="441">
        <v>9</v>
      </c>
      <c r="AY121" s="435">
        <v>1200</v>
      </c>
      <c r="AZ121" s="440">
        <v>3</v>
      </c>
      <c r="BA121" s="440">
        <v>3</v>
      </c>
      <c r="BB121" s="440">
        <v>2</v>
      </c>
      <c r="BC121" s="440">
        <v>2</v>
      </c>
      <c r="BD121" s="440">
        <v>1</v>
      </c>
      <c r="BE121" s="440">
        <v>1</v>
      </c>
      <c r="BF121" s="442">
        <f t="shared" si="39"/>
        <v>0.5</v>
      </c>
      <c r="BG121" s="440">
        <v>0</v>
      </c>
      <c r="BH121" s="442">
        <f t="shared" si="58"/>
        <v>0</v>
      </c>
      <c r="BI121" s="441">
        <v>0</v>
      </c>
      <c r="BJ121" s="447">
        <v>1200</v>
      </c>
      <c r="BK121" s="440">
        <v>-32</v>
      </c>
      <c r="BL121" s="440">
        <v>-26</v>
      </c>
      <c r="BM121" s="440">
        <v>-21</v>
      </c>
      <c r="BN121" s="440">
        <v>-16</v>
      </c>
      <c r="BO121" s="440">
        <v>-11</v>
      </c>
      <c r="BP121" s="440">
        <v>-5</v>
      </c>
      <c r="BQ121" s="442">
        <f t="shared" si="40"/>
        <v>-2.5</v>
      </c>
      <c r="BR121" s="440">
        <v>0</v>
      </c>
      <c r="BS121" s="442">
        <f t="shared" si="59"/>
        <v>2.5</v>
      </c>
      <c r="BT121" s="440">
        <v>5</v>
      </c>
      <c r="BU121" s="435">
        <v>1200</v>
      </c>
      <c r="BV121" s="440">
        <v>1</v>
      </c>
      <c r="BW121" s="440">
        <v>1</v>
      </c>
      <c r="BX121" s="440">
        <v>1</v>
      </c>
      <c r="BY121" s="440">
        <v>0</v>
      </c>
      <c r="BZ121" s="440">
        <v>0</v>
      </c>
      <c r="CA121" s="440">
        <v>0</v>
      </c>
      <c r="CB121" s="442">
        <f t="shared" si="41"/>
        <v>0</v>
      </c>
      <c r="CC121" s="440">
        <v>0</v>
      </c>
      <c r="CD121" s="442">
        <f t="shared" si="60"/>
        <v>0</v>
      </c>
      <c r="CE121" s="441">
        <v>0</v>
      </c>
      <c r="CF121" s="435">
        <v>1200</v>
      </c>
      <c r="CG121" s="440">
        <v>-23</v>
      </c>
      <c r="CH121" s="440">
        <v>-19</v>
      </c>
      <c r="CI121" s="440">
        <v>-15</v>
      </c>
      <c r="CJ121" s="440">
        <v>-12</v>
      </c>
      <c r="CK121" s="440">
        <v>-8</v>
      </c>
      <c r="CL121" s="440">
        <v>-4</v>
      </c>
      <c r="CM121" s="442">
        <f t="shared" si="42"/>
        <v>-2</v>
      </c>
      <c r="CN121" s="440">
        <v>0</v>
      </c>
      <c r="CO121" s="442">
        <f t="shared" si="61"/>
        <v>2</v>
      </c>
      <c r="CP121" s="441">
        <v>4</v>
      </c>
      <c r="CQ121" s="435">
        <v>1200</v>
      </c>
      <c r="CR121" s="440">
        <v>1</v>
      </c>
      <c r="CS121" s="440">
        <v>0</v>
      </c>
      <c r="CT121" s="440">
        <v>0</v>
      </c>
      <c r="CU121" s="440">
        <v>0</v>
      </c>
      <c r="CV121" s="440">
        <v>0</v>
      </c>
      <c r="CW121" s="440">
        <v>0</v>
      </c>
      <c r="CX121" s="442">
        <f t="shared" si="43"/>
        <v>0</v>
      </c>
      <c r="CY121" s="440">
        <v>0</v>
      </c>
      <c r="CZ121" s="442">
        <f t="shared" si="62"/>
        <v>0</v>
      </c>
      <c r="DA121" s="441">
        <v>0</v>
      </c>
      <c r="DB121" s="435">
        <v>1200</v>
      </c>
      <c r="DC121" s="440">
        <v>-21</v>
      </c>
      <c r="DD121" s="440">
        <v>-18</v>
      </c>
      <c r="DE121" s="440">
        <v>-14</v>
      </c>
      <c r="DF121" s="440">
        <v>-11</v>
      </c>
      <c r="DG121" s="440">
        <v>-7</v>
      </c>
      <c r="DH121" s="440">
        <v>-4</v>
      </c>
      <c r="DI121" s="442">
        <f t="shared" si="44"/>
        <v>-2</v>
      </c>
      <c r="DJ121" s="440">
        <v>0</v>
      </c>
      <c r="DK121" s="442">
        <f t="shared" si="63"/>
        <v>2</v>
      </c>
      <c r="DL121" s="441">
        <v>4</v>
      </c>
      <c r="DM121" s="435">
        <v>1200</v>
      </c>
      <c r="DN121" s="440">
        <v>1</v>
      </c>
      <c r="DO121" s="440">
        <v>1</v>
      </c>
      <c r="DP121" s="440">
        <v>0</v>
      </c>
      <c r="DQ121" s="440">
        <v>0</v>
      </c>
      <c r="DR121" s="440">
        <v>0</v>
      </c>
      <c r="DS121" s="440">
        <v>0</v>
      </c>
      <c r="DT121" s="442">
        <f t="shared" si="45"/>
        <v>0</v>
      </c>
      <c r="DU121" s="440">
        <v>0</v>
      </c>
      <c r="DV121" s="442">
        <f t="shared" si="64"/>
        <v>0</v>
      </c>
      <c r="DW121" s="441">
        <v>0</v>
      </c>
      <c r="DX121" s="435">
        <v>1200</v>
      </c>
      <c r="DY121" s="440">
        <v>-24</v>
      </c>
      <c r="DZ121" s="440">
        <v>-20</v>
      </c>
      <c r="EA121" s="440">
        <v>-16</v>
      </c>
      <c r="EB121" s="440">
        <v>-12</v>
      </c>
      <c r="EC121" s="440">
        <v>-8</v>
      </c>
      <c r="ED121" s="440">
        <v>-4</v>
      </c>
      <c r="EE121" s="442">
        <f t="shared" si="46"/>
        <v>-2</v>
      </c>
      <c r="EF121" s="440">
        <v>0</v>
      </c>
      <c r="EG121" s="442">
        <f t="shared" si="65"/>
        <v>2</v>
      </c>
      <c r="EH121" s="440">
        <v>4</v>
      </c>
      <c r="EI121" s="435">
        <v>1200</v>
      </c>
      <c r="EJ121" s="248">
        <v>2</v>
      </c>
      <c r="EK121" s="440">
        <v>2</v>
      </c>
      <c r="EL121" s="440">
        <v>2</v>
      </c>
      <c r="EM121" s="440">
        <v>1</v>
      </c>
      <c r="EN121" s="440">
        <v>1</v>
      </c>
      <c r="EO121" s="440">
        <v>0</v>
      </c>
      <c r="EP121" s="442">
        <f t="shared" si="66"/>
        <v>0</v>
      </c>
      <c r="EQ121" s="440">
        <v>0</v>
      </c>
      <c r="ER121" s="442">
        <f t="shared" si="67"/>
        <v>0</v>
      </c>
      <c r="ES121" s="441">
        <v>0</v>
      </c>
      <c r="ET121" s="435">
        <v>1200</v>
      </c>
      <c r="EU121" s="440">
        <v>-23</v>
      </c>
      <c r="EV121" s="440">
        <v>-19</v>
      </c>
      <c r="EW121" s="440">
        <v>-15</v>
      </c>
      <c r="EX121" s="248">
        <v>-12</v>
      </c>
      <c r="EY121" s="440">
        <v>-8</v>
      </c>
      <c r="EZ121" s="440">
        <v>-4</v>
      </c>
      <c r="FA121" s="442">
        <f t="shared" si="68"/>
        <v>-2</v>
      </c>
      <c r="FB121" s="440">
        <v>0</v>
      </c>
      <c r="FC121" s="442">
        <f t="shared" si="69"/>
        <v>2</v>
      </c>
      <c r="FD121" s="440">
        <v>4</v>
      </c>
      <c r="FE121" s="435">
        <v>1200</v>
      </c>
      <c r="FF121" s="440">
        <v>1</v>
      </c>
      <c r="FG121" s="440">
        <v>1</v>
      </c>
      <c r="FH121" s="440">
        <v>1</v>
      </c>
      <c r="FI121" s="440">
        <v>0</v>
      </c>
      <c r="FJ121" s="440">
        <v>0</v>
      </c>
      <c r="FK121" s="440">
        <v>0</v>
      </c>
      <c r="FL121" s="442">
        <f t="shared" si="47"/>
        <v>0</v>
      </c>
      <c r="FM121" s="440">
        <v>0</v>
      </c>
      <c r="FN121" s="442">
        <f t="shared" si="70"/>
        <v>0</v>
      </c>
      <c r="FO121" s="441">
        <v>0</v>
      </c>
      <c r="FP121" s="435">
        <v>1200</v>
      </c>
      <c r="FQ121" s="440">
        <v>-23</v>
      </c>
      <c r="FR121" s="440">
        <v>-19</v>
      </c>
      <c r="FS121" s="440">
        <v>-15</v>
      </c>
      <c r="FT121" s="440">
        <v>-12</v>
      </c>
      <c r="FU121" s="440">
        <v>-8</v>
      </c>
      <c r="FV121" s="440">
        <v>-4</v>
      </c>
      <c r="FW121" s="442">
        <f t="shared" si="48"/>
        <v>-2</v>
      </c>
      <c r="FX121" s="440">
        <v>0</v>
      </c>
      <c r="FY121" s="442">
        <f t="shared" si="71"/>
        <v>2</v>
      </c>
      <c r="FZ121" s="440">
        <v>4</v>
      </c>
      <c r="GA121" s="435">
        <v>1200</v>
      </c>
      <c r="GB121" s="440">
        <v>-36</v>
      </c>
      <c r="GC121" s="440">
        <v>-30</v>
      </c>
      <c r="GD121" s="440">
        <v>-24</v>
      </c>
      <c r="GE121" s="440">
        <v>-18</v>
      </c>
      <c r="GF121" s="440">
        <v>-12</v>
      </c>
      <c r="GG121" s="440">
        <v>-6</v>
      </c>
      <c r="GH121" s="442">
        <f t="shared" si="49"/>
        <v>-3</v>
      </c>
      <c r="GI121" s="440">
        <v>0</v>
      </c>
      <c r="GJ121" s="442">
        <f t="shared" si="72"/>
        <v>3</v>
      </c>
      <c r="GK121" s="441">
        <v>6</v>
      </c>
      <c r="GL121" s="435">
        <v>1200</v>
      </c>
      <c r="GM121" s="440">
        <v>-35</v>
      </c>
      <c r="GN121" s="440">
        <v>-29</v>
      </c>
      <c r="GO121" s="440">
        <v>-23</v>
      </c>
      <c r="GP121" s="440">
        <v>-18</v>
      </c>
      <c r="GQ121" s="440">
        <v>-12</v>
      </c>
      <c r="GR121" s="440">
        <v>-6</v>
      </c>
      <c r="GS121" s="442">
        <f t="shared" si="50"/>
        <v>-3</v>
      </c>
      <c r="GT121" s="440">
        <v>0</v>
      </c>
      <c r="GU121" s="442">
        <f t="shared" si="73"/>
        <v>3</v>
      </c>
      <c r="GV121" s="441">
        <v>6</v>
      </c>
    </row>
    <row r="122" spans="7:204">
      <c r="G122" s="450">
        <v>1100</v>
      </c>
      <c r="H122" s="248">
        <v>34</v>
      </c>
      <c r="I122" s="248">
        <v>29</v>
      </c>
      <c r="J122" s="248">
        <v>23</v>
      </c>
      <c r="K122" s="248">
        <v>17</v>
      </c>
      <c r="L122" s="248">
        <v>11</v>
      </c>
      <c r="M122" s="249">
        <v>6</v>
      </c>
      <c r="N122" s="249">
        <f t="shared" si="51"/>
        <v>3</v>
      </c>
      <c r="O122" s="249">
        <v>0</v>
      </c>
      <c r="P122" s="249">
        <f t="shared" si="52"/>
        <v>-3</v>
      </c>
      <c r="Q122" s="446">
        <v>-6</v>
      </c>
      <c r="R122" s="435">
        <v>1100</v>
      </c>
      <c r="S122" s="248">
        <v>11</v>
      </c>
      <c r="T122" s="248">
        <v>9</v>
      </c>
      <c r="U122" s="248">
        <v>7</v>
      </c>
      <c r="V122" s="248">
        <v>5</v>
      </c>
      <c r="W122" s="248">
        <v>4</v>
      </c>
      <c r="X122" s="248">
        <v>2</v>
      </c>
      <c r="Y122" s="249">
        <f t="shared" si="53"/>
        <v>1</v>
      </c>
      <c r="Z122" s="248">
        <v>0</v>
      </c>
      <c r="AA122" s="439">
        <f t="shared" si="54"/>
        <v>-1</v>
      </c>
      <c r="AB122" s="248">
        <v>-2</v>
      </c>
      <c r="AC122" s="435">
        <v>1100</v>
      </c>
      <c r="AD122" s="440">
        <v>-26</v>
      </c>
      <c r="AE122" s="440">
        <v>-22</v>
      </c>
      <c r="AF122" s="440">
        <v>-19</v>
      </c>
      <c r="AG122" s="440">
        <v>-14</v>
      </c>
      <c r="AH122" s="440">
        <v>-10</v>
      </c>
      <c r="AI122" s="440">
        <v>-5</v>
      </c>
      <c r="AJ122" s="249">
        <f t="shared" si="55"/>
        <v>-2.5</v>
      </c>
      <c r="AK122" s="248">
        <v>0</v>
      </c>
      <c r="AL122" s="439">
        <f t="shared" si="56"/>
        <v>2.5</v>
      </c>
      <c r="AM122" s="441">
        <v>5</v>
      </c>
      <c r="AN122" s="435">
        <v>1100</v>
      </c>
      <c r="AO122" s="440">
        <v>-49</v>
      </c>
      <c r="AP122" s="440">
        <v>-42</v>
      </c>
      <c r="AQ122" s="440">
        <v>-35</v>
      </c>
      <c r="AR122" s="440">
        <v>-27</v>
      </c>
      <c r="AS122" s="440">
        <v>-18</v>
      </c>
      <c r="AT122" s="440">
        <v>-9</v>
      </c>
      <c r="AU122" s="442">
        <f t="shared" si="38"/>
        <v>-4.5</v>
      </c>
      <c r="AV122" s="440">
        <v>0</v>
      </c>
      <c r="AW122" s="442">
        <f t="shared" si="57"/>
        <v>4.5</v>
      </c>
      <c r="AX122" s="441">
        <v>9</v>
      </c>
      <c r="AY122" s="435">
        <v>1100</v>
      </c>
      <c r="AZ122" s="440">
        <v>4</v>
      </c>
      <c r="BA122" s="440">
        <v>3</v>
      </c>
      <c r="BB122" s="440">
        <v>2</v>
      </c>
      <c r="BC122" s="440">
        <v>2</v>
      </c>
      <c r="BD122" s="440">
        <v>1</v>
      </c>
      <c r="BE122" s="440">
        <v>0</v>
      </c>
      <c r="BF122" s="442">
        <f t="shared" si="39"/>
        <v>0</v>
      </c>
      <c r="BG122" s="440">
        <v>0</v>
      </c>
      <c r="BH122" s="442">
        <f t="shared" si="58"/>
        <v>0</v>
      </c>
      <c r="BI122" s="441">
        <v>0</v>
      </c>
      <c r="BJ122" s="447">
        <v>1100</v>
      </c>
      <c r="BK122" s="440">
        <v>-30</v>
      </c>
      <c r="BL122" s="440">
        <v>-26</v>
      </c>
      <c r="BM122" s="440">
        <v>-21</v>
      </c>
      <c r="BN122" s="440">
        <v>-16</v>
      </c>
      <c r="BO122" s="440">
        <v>-11</v>
      </c>
      <c r="BP122" s="440">
        <v>-5</v>
      </c>
      <c r="BQ122" s="442">
        <f t="shared" si="40"/>
        <v>-2.5</v>
      </c>
      <c r="BR122" s="440">
        <v>0</v>
      </c>
      <c r="BS122" s="442">
        <f t="shared" si="59"/>
        <v>2.5</v>
      </c>
      <c r="BT122" s="440">
        <v>5</v>
      </c>
      <c r="BU122" s="435">
        <v>1100</v>
      </c>
      <c r="BV122" s="440">
        <v>2</v>
      </c>
      <c r="BW122" s="440">
        <v>1</v>
      </c>
      <c r="BX122" s="440">
        <v>1</v>
      </c>
      <c r="BY122" s="440">
        <v>0</v>
      </c>
      <c r="BZ122" s="440">
        <v>0</v>
      </c>
      <c r="CA122" s="440">
        <v>0</v>
      </c>
      <c r="CB122" s="442">
        <f t="shared" si="41"/>
        <v>0</v>
      </c>
      <c r="CC122" s="440">
        <v>0</v>
      </c>
      <c r="CD122" s="442">
        <f t="shared" si="60"/>
        <v>0</v>
      </c>
      <c r="CE122" s="441">
        <v>0</v>
      </c>
      <c r="CF122" s="435">
        <v>1100</v>
      </c>
      <c r="CG122" s="440">
        <v>-22</v>
      </c>
      <c r="CH122" s="440">
        <v>-19</v>
      </c>
      <c r="CI122" s="440">
        <v>-15</v>
      </c>
      <c r="CJ122" s="440">
        <v>-12</v>
      </c>
      <c r="CK122" s="440">
        <v>-8</v>
      </c>
      <c r="CL122" s="440">
        <v>-4</v>
      </c>
      <c r="CM122" s="442">
        <f t="shared" si="42"/>
        <v>-2</v>
      </c>
      <c r="CN122" s="440">
        <v>0</v>
      </c>
      <c r="CO122" s="442">
        <f t="shared" si="61"/>
        <v>2</v>
      </c>
      <c r="CP122" s="441">
        <v>4</v>
      </c>
      <c r="CQ122" s="435">
        <v>1100</v>
      </c>
      <c r="CR122" s="440">
        <v>1</v>
      </c>
      <c r="CS122" s="440">
        <v>1</v>
      </c>
      <c r="CT122" s="440">
        <v>1</v>
      </c>
      <c r="CU122" s="440">
        <v>0</v>
      </c>
      <c r="CV122" s="440">
        <v>0</v>
      </c>
      <c r="CW122" s="440">
        <v>0</v>
      </c>
      <c r="CX122" s="442">
        <f t="shared" si="43"/>
        <v>0</v>
      </c>
      <c r="CY122" s="440">
        <v>0</v>
      </c>
      <c r="CZ122" s="442">
        <f t="shared" si="62"/>
        <v>0</v>
      </c>
      <c r="DA122" s="441">
        <v>0</v>
      </c>
      <c r="DB122" s="435">
        <v>1100</v>
      </c>
      <c r="DC122" s="440">
        <v>-19</v>
      </c>
      <c r="DD122" s="440">
        <v>-17</v>
      </c>
      <c r="DE122" s="440">
        <v>-14</v>
      </c>
      <c r="DF122" s="440">
        <v>-11</v>
      </c>
      <c r="DG122" s="440">
        <v>-7</v>
      </c>
      <c r="DH122" s="440">
        <v>-4</v>
      </c>
      <c r="DI122" s="442">
        <f t="shared" si="44"/>
        <v>-2</v>
      </c>
      <c r="DJ122" s="440">
        <v>0</v>
      </c>
      <c r="DK122" s="442">
        <f t="shared" si="63"/>
        <v>2</v>
      </c>
      <c r="DL122" s="441">
        <v>4</v>
      </c>
      <c r="DM122" s="435">
        <v>1100</v>
      </c>
      <c r="DN122" s="440">
        <v>1</v>
      </c>
      <c r="DO122" s="440">
        <v>1</v>
      </c>
      <c r="DP122" s="440">
        <v>1</v>
      </c>
      <c r="DQ122" s="440">
        <v>0</v>
      </c>
      <c r="DR122" s="440">
        <v>0</v>
      </c>
      <c r="DS122" s="440">
        <v>0</v>
      </c>
      <c r="DT122" s="442">
        <f t="shared" si="45"/>
        <v>0</v>
      </c>
      <c r="DU122" s="440">
        <v>0</v>
      </c>
      <c r="DV122" s="442">
        <f t="shared" si="64"/>
        <v>0</v>
      </c>
      <c r="DW122" s="441">
        <v>0</v>
      </c>
      <c r="DX122" s="435">
        <v>1100</v>
      </c>
      <c r="DY122" s="440">
        <v>-23</v>
      </c>
      <c r="DZ122" s="440">
        <v>-19</v>
      </c>
      <c r="EA122" s="440">
        <v>-16</v>
      </c>
      <c r="EB122" s="440">
        <v>-12</v>
      </c>
      <c r="EC122" s="440">
        <v>-8</v>
      </c>
      <c r="ED122" s="440">
        <v>-4</v>
      </c>
      <c r="EE122" s="442">
        <f t="shared" si="46"/>
        <v>-2</v>
      </c>
      <c r="EF122" s="440">
        <v>0</v>
      </c>
      <c r="EG122" s="442">
        <f t="shared" si="65"/>
        <v>2</v>
      </c>
      <c r="EH122" s="440">
        <v>4</v>
      </c>
      <c r="EI122" s="435">
        <v>1100</v>
      </c>
      <c r="EJ122" s="248">
        <v>4</v>
      </c>
      <c r="EK122" s="248">
        <v>3</v>
      </c>
      <c r="EL122" s="440">
        <v>2</v>
      </c>
      <c r="EM122" s="440">
        <v>1</v>
      </c>
      <c r="EN122" s="440">
        <v>1</v>
      </c>
      <c r="EO122" s="440">
        <v>0</v>
      </c>
      <c r="EP122" s="442">
        <f t="shared" si="66"/>
        <v>0</v>
      </c>
      <c r="EQ122" s="440">
        <v>0</v>
      </c>
      <c r="ER122" s="442">
        <f t="shared" si="67"/>
        <v>0</v>
      </c>
      <c r="ES122" s="441">
        <v>0</v>
      </c>
      <c r="ET122" s="435">
        <v>1100</v>
      </c>
      <c r="EU122" s="248">
        <v>-21</v>
      </c>
      <c r="EV122" s="248">
        <v>-18</v>
      </c>
      <c r="EW122" s="440">
        <v>-15</v>
      </c>
      <c r="EX122" s="248">
        <v>-11</v>
      </c>
      <c r="EY122" s="440">
        <v>-8</v>
      </c>
      <c r="EZ122" s="440">
        <v>-4</v>
      </c>
      <c r="FA122" s="442">
        <f t="shared" si="68"/>
        <v>-2</v>
      </c>
      <c r="FB122" s="440">
        <v>0</v>
      </c>
      <c r="FC122" s="442">
        <f t="shared" si="69"/>
        <v>2</v>
      </c>
      <c r="FD122" s="440">
        <v>4</v>
      </c>
      <c r="FE122" s="435">
        <v>1100</v>
      </c>
      <c r="FF122" s="440">
        <v>2</v>
      </c>
      <c r="FG122" s="440">
        <v>1</v>
      </c>
      <c r="FH122" s="440">
        <v>1</v>
      </c>
      <c r="FI122" s="440">
        <v>0</v>
      </c>
      <c r="FJ122" s="440">
        <v>0</v>
      </c>
      <c r="FK122" s="440">
        <v>0</v>
      </c>
      <c r="FL122" s="442">
        <f t="shared" si="47"/>
        <v>0</v>
      </c>
      <c r="FM122" s="440">
        <v>0</v>
      </c>
      <c r="FN122" s="442">
        <f t="shared" si="70"/>
        <v>0</v>
      </c>
      <c r="FO122" s="441">
        <v>0</v>
      </c>
      <c r="FP122" s="435">
        <v>1100</v>
      </c>
      <c r="FQ122" s="440">
        <v>-21</v>
      </c>
      <c r="FR122" s="440">
        <v>-18</v>
      </c>
      <c r="FS122" s="440">
        <v>-15</v>
      </c>
      <c r="FT122" s="440">
        <v>-11</v>
      </c>
      <c r="FU122" s="440">
        <v>-8</v>
      </c>
      <c r="FV122" s="440">
        <v>-4</v>
      </c>
      <c r="FW122" s="442">
        <f t="shared" si="48"/>
        <v>-2</v>
      </c>
      <c r="FX122" s="440">
        <v>0</v>
      </c>
      <c r="FY122" s="442">
        <f t="shared" si="71"/>
        <v>2</v>
      </c>
      <c r="FZ122" s="440">
        <v>4</v>
      </c>
      <c r="GA122" s="435">
        <v>1100</v>
      </c>
      <c r="GB122" s="440">
        <v>-36</v>
      </c>
      <c r="GC122" s="440">
        <v>-30</v>
      </c>
      <c r="GD122" s="440">
        <v>-24</v>
      </c>
      <c r="GE122" s="440">
        <v>-18</v>
      </c>
      <c r="GF122" s="440">
        <v>-12</v>
      </c>
      <c r="GG122" s="440">
        <v>-6</v>
      </c>
      <c r="GH122" s="442">
        <f t="shared" si="49"/>
        <v>-3</v>
      </c>
      <c r="GI122" s="440">
        <v>0</v>
      </c>
      <c r="GJ122" s="442">
        <f t="shared" si="72"/>
        <v>3</v>
      </c>
      <c r="GK122" s="441">
        <v>6</v>
      </c>
      <c r="GL122" s="435">
        <v>1100</v>
      </c>
      <c r="GM122" s="440">
        <v>-35</v>
      </c>
      <c r="GN122" s="440">
        <v>-29</v>
      </c>
      <c r="GO122" s="440">
        <v>-23</v>
      </c>
      <c r="GP122" s="440">
        <v>-18</v>
      </c>
      <c r="GQ122" s="440">
        <v>-12</v>
      </c>
      <c r="GR122" s="440">
        <v>-6</v>
      </c>
      <c r="GS122" s="442">
        <f t="shared" si="50"/>
        <v>-3</v>
      </c>
      <c r="GT122" s="440">
        <v>0</v>
      </c>
      <c r="GU122" s="442">
        <f t="shared" si="73"/>
        <v>3</v>
      </c>
      <c r="GV122" s="441">
        <v>6</v>
      </c>
    </row>
    <row r="123" spans="7:204">
      <c r="G123" s="450">
        <v>1000</v>
      </c>
      <c r="H123" s="248">
        <v>37</v>
      </c>
      <c r="I123" s="248">
        <v>30</v>
      </c>
      <c r="J123" s="248">
        <v>24</v>
      </c>
      <c r="K123" s="248">
        <v>18</v>
      </c>
      <c r="L123" s="248">
        <v>12</v>
      </c>
      <c r="M123" s="249">
        <v>6</v>
      </c>
      <c r="N123" s="249">
        <f t="shared" si="51"/>
        <v>3</v>
      </c>
      <c r="O123" s="249">
        <v>0</v>
      </c>
      <c r="P123" s="249">
        <f t="shared" si="52"/>
        <v>-3</v>
      </c>
      <c r="Q123" s="446">
        <v>-6</v>
      </c>
      <c r="R123" s="435">
        <v>1000</v>
      </c>
      <c r="S123" s="248">
        <v>14</v>
      </c>
      <c r="T123" s="248">
        <v>12</v>
      </c>
      <c r="U123" s="248">
        <v>9</v>
      </c>
      <c r="V123" s="248">
        <v>7</v>
      </c>
      <c r="W123" s="248">
        <v>5</v>
      </c>
      <c r="X123" s="248">
        <v>2</v>
      </c>
      <c r="Y123" s="249">
        <f t="shared" si="53"/>
        <v>1</v>
      </c>
      <c r="Z123" s="248">
        <v>0</v>
      </c>
      <c r="AA123" s="439">
        <f t="shared" si="54"/>
        <v>-1</v>
      </c>
      <c r="AB123" s="248">
        <v>-2</v>
      </c>
      <c r="AC123" s="435">
        <v>1000</v>
      </c>
      <c r="AD123" s="440">
        <v>-19</v>
      </c>
      <c r="AE123" s="440">
        <v>-17</v>
      </c>
      <c r="AF123" s="440">
        <v>-15</v>
      </c>
      <c r="AG123" s="440">
        <v>-11</v>
      </c>
      <c r="AH123" s="440">
        <v>-8</v>
      </c>
      <c r="AI123" s="440">
        <v>-4</v>
      </c>
      <c r="AJ123" s="249">
        <f t="shared" si="55"/>
        <v>-2</v>
      </c>
      <c r="AK123" s="248">
        <v>0</v>
      </c>
      <c r="AL123" s="439">
        <f t="shared" si="56"/>
        <v>3</v>
      </c>
      <c r="AM123" s="441">
        <v>6</v>
      </c>
      <c r="AN123" s="435">
        <v>1000</v>
      </c>
      <c r="AO123" s="440">
        <v>-41</v>
      </c>
      <c r="AP123" s="440">
        <v>-36</v>
      </c>
      <c r="AQ123" s="440">
        <v>-30</v>
      </c>
      <c r="AR123" s="440">
        <v>-23</v>
      </c>
      <c r="AS123" s="440">
        <v>-16</v>
      </c>
      <c r="AT123" s="440">
        <v>-8</v>
      </c>
      <c r="AU123" s="442">
        <f t="shared" si="38"/>
        <v>-4</v>
      </c>
      <c r="AV123" s="440">
        <v>0</v>
      </c>
      <c r="AW123" s="442">
        <f t="shared" si="57"/>
        <v>5</v>
      </c>
      <c r="AX123" s="441">
        <v>10</v>
      </c>
      <c r="AY123" s="435">
        <v>1000</v>
      </c>
      <c r="AZ123" s="440">
        <v>9</v>
      </c>
      <c r="BA123" s="440">
        <v>7</v>
      </c>
      <c r="BB123" s="440">
        <v>5</v>
      </c>
      <c r="BC123" s="440">
        <v>4</v>
      </c>
      <c r="BD123" s="440">
        <v>3</v>
      </c>
      <c r="BE123" s="440">
        <v>1</v>
      </c>
      <c r="BF123" s="442">
        <f t="shared" si="39"/>
        <v>0.5</v>
      </c>
      <c r="BG123" s="440">
        <v>0</v>
      </c>
      <c r="BH123" s="442">
        <f t="shared" si="58"/>
        <v>0</v>
      </c>
      <c r="BI123" s="441">
        <v>0</v>
      </c>
      <c r="BJ123" s="447">
        <v>1000</v>
      </c>
      <c r="BK123" s="440">
        <v>-24</v>
      </c>
      <c r="BL123" s="440">
        <v>-21</v>
      </c>
      <c r="BM123" s="440">
        <v>-17</v>
      </c>
      <c r="BN123" s="440">
        <v>-13</v>
      </c>
      <c r="BO123" s="440">
        <v>-9</v>
      </c>
      <c r="BP123" s="440">
        <v>-4</v>
      </c>
      <c r="BQ123" s="442">
        <f t="shared" si="40"/>
        <v>-2</v>
      </c>
      <c r="BR123" s="440">
        <v>0</v>
      </c>
      <c r="BS123" s="442">
        <f t="shared" si="59"/>
        <v>3</v>
      </c>
      <c r="BT123" s="440">
        <v>6</v>
      </c>
      <c r="BU123" s="435">
        <v>1000</v>
      </c>
      <c r="BV123" s="440">
        <v>7</v>
      </c>
      <c r="BW123" s="440">
        <v>5</v>
      </c>
      <c r="BX123" s="440">
        <v>4</v>
      </c>
      <c r="BY123" s="440">
        <v>3</v>
      </c>
      <c r="BZ123" s="440">
        <v>2</v>
      </c>
      <c r="CA123" s="440">
        <v>1</v>
      </c>
      <c r="CB123" s="442">
        <f t="shared" si="41"/>
        <v>0.5</v>
      </c>
      <c r="CC123" s="440">
        <v>0</v>
      </c>
      <c r="CD123" s="442">
        <f t="shared" si="60"/>
        <v>0.5</v>
      </c>
      <c r="CE123" s="441">
        <v>1</v>
      </c>
      <c r="CF123" s="435">
        <v>1000</v>
      </c>
      <c r="CG123" s="440">
        <v>-17</v>
      </c>
      <c r="CH123" s="440">
        <v>-15</v>
      </c>
      <c r="CI123" s="440">
        <v>-13</v>
      </c>
      <c r="CJ123" s="440">
        <v>-10</v>
      </c>
      <c r="CK123" s="440">
        <v>-7</v>
      </c>
      <c r="CL123" s="440">
        <v>-4</v>
      </c>
      <c r="CM123" s="442">
        <f t="shared" si="42"/>
        <v>-2</v>
      </c>
      <c r="CN123" s="440">
        <v>0</v>
      </c>
      <c r="CO123" s="442">
        <f t="shared" si="61"/>
        <v>2</v>
      </c>
      <c r="CP123" s="441">
        <v>4</v>
      </c>
      <c r="CQ123" s="435">
        <v>1000</v>
      </c>
      <c r="CR123" s="440">
        <v>7</v>
      </c>
      <c r="CS123" s="440">
        <v>5</v>
      </c>
      <c r="CT123" s="440">
        <v>4</v>
      </c>
      <c r="CU123" s="440">
        <v>3</v>
      </c>
      <c r="CV123" s="440">
        <v>2</v>
      </c>
      <c r="CW123" s="440">
        <v>1</v>
      </c>
      <c r="CX123" s="442">
        <f t="shared" si="43"/>
        <v>0.5</v>
      </c>
      <c r="CY123" s="440">
        <v>0</v>
      </c>
      <c r="CZ123" s="442">
        <f t="shared" si="62"/>
        <v>0.5</v>
      </c>
      <c r="DA123" s="441">
        <v>1</v>
      </c>
      <c r="DB123" s="435">
        <v>1000</v>
      </c>
      <c r="DC123" s="440">
        <v>-14</v>
      </c>
      <c r="DD123" s="440">
        <v>-12</v>
      </c>
      <c r="DE123" s="440">
        <v>-10</v>
      </c>
      <c r="DF123" s="440">
        <v>-8</v>
      </c>
      <c r="DG123" s="440">
        <v>-6</v>
      </c>
      <c r="DH123" s="440">
        <v>-3</v>
      </c>
      <c r="DI123" s="442">
        <f t="shared" si="44"/>
        <v>-1.5</v>
      </c>
      <c r="DJ123" s="440">
        <v>0</v>
      </c>
      <c r="DK123" s="442">
        <f t="shared" si="63"/>
        <v>2</v>
      </c>
      <c r="DL123" s="441">
        <v>4</v>
      </c>
      <c r="DM123" s="435">
        <v>1000</v>
      </c>
      <c r="DN123" s="440">
        <v>7</v>
      </c>
      <c r="DO123" s="440">
        <v>5</v>
      </c>
      <c r="DP123" s="440">
        <v>4</v>
      </c>
      <c r="DQ123" s="440">
        <v>3</v>
      </c>
      <c r="DR123" s="440">
        <v>2</v>
      </c>
      <c r="DS123" s="440">
        <v>1</v>
      </c>
      <c r="DT123" s="442">
        <f t="shared" si="45"/>
        <v>0.5</v>
      </c>
      <c r="DU123" s="440">
        <v>0</v>
      </c>
      <c r="DV123" s="442">
        <f t="shared" si="64"/>
        <v>0.5</v>
      </c>
      <c r="DW123" s="441">
        <v>1</v>
      </c>
      <c r="DX123" s="435">
        <v>1000</v>
      </c>
      <c r="DY123" s="440">
        <v>-17</v>
      </c>
      <c r="DZ123" s="440">
        <v>-15</v>
      </c>
      <c r="EA123" s="440">
        <v>-12</v>
      </c>
      <c r="EB123" s="440">
        <v>-10</v>
      </c>
      <c r="EC123" s="440">
        <v>-7</v>
      </c>
      <c r="ED123" s="440">
        <v>-3</v>
      </c>
      <c r="EE123" s="442">
        <f t="shared" si="46"/>
        <v>-1.5</v>
      </c>
      <c r="EF123" s="440">
        <v>0</v>
      </c>
      <c r="EG123" s="442">
        <f t="shared" si="65"/>
        <v>2.5</v>
      </c>
      <c r="EH123" s="440">
        <v>5</v>
      </c>
      <c r="EI123" s="435">
        <v>1000</v>
      </c>
      <c r="EJ123" s="248">
        <v>9</v>
      </c>
      <c r="EK123" s="248">
        <v>7</v>
      </c>
      <c r="EL123" s="248">
        <v>5</v>
      </c>
      <c r="EM123" s="248">
        <v>4</v>
      </c>
      <c r="EN123" s="248">
        <v>2</v>
      </c>
      <c r="EO123" s="248">
        <v>1</v>
      </c>
      <c r="EP123" s="442">
        <f t="shared" si="66"/>
        <v>0.5</v>
      </c>
      <c r="EQ123" s="440">
        <v>0</v>
      </c>
      <c r="ER123" s="442">
        <f t="shared" si="67"/>
        <v>0</v>
      </c>
      <c r="ES123" s="248">
        <v>0</v>
      </c>
      <c r="ET123" s="435">
        <v>1000</v>
      </c>
      <c r="EU123" s="248">
        <v>-15</v>
      </c>
      <c r="EV123" s="248">
        <v>-13</v>
      </c>
      <c r="EW123" s="248">
        <v>-11</v>
      </c>
      <c r="EX123" s="248">
        <v>-9</v>
      </c>
      <c r="EY123" s="248">
        <v>-6</v>
      </c>
      <c r="EZ123" s="248">
        <v>-3</v>
      </c>
      <c r="FA123" s="442">
        <f t="shared" si="68"/>
        <v>-1.5</v>
      </c>
      <c r="FB123" s="440">
        <v>0</v>
      </c>
      <c r="FC123" s="442">
        <f t="shared" si="69"/>
        <v>2.5</v>
      </c>
      <c r="FD123" s="248">
        <v>5</v>
      </c>
      <c r="FE123" s="435">
        <v>1000</v>
      </c>
      <c r="FF123" s="440">
        <v>7</v>
      </c>
      <c r="FG123" s="440">
        <v>5</v>
      </c>
      <c r="FH123" s="440">
        <v>4</v>
      </c>
      <c r="FI123" s="440">
        <v>2</v>
      </c>
      <c r="FJ123" s="440">
        <v>1</v>
      </c>
      <c r="FK123" s="440">
        <v>1</v>
      </c>
      <c r="FL123" s="442">
        <f t="shared" si="47"/>
        <v>0.5</v>
      </c>
      <c r="FM123" s="440">
        <v>0</v>
      </c>
      <c r="FN123" s="442">
        <f t="shared" si="70"/>
        <v>0</v>
      </c>
      <c r="FO123" s="441">
        <v>0</v>
      </c>
      <c r="FP123" s="435">
        <v>1000</v>
      </c>
      <c r="FQ123" s="440">
        <v>-15</v>
      </c>
      <c r="FR123" s="440">
        <v>-14</v>
      </c>
      <c r="FS123" s="440">
        <v>-11</v>
      </c>
      <c r="FT123" s="440">
        <v>-9</v>
      </c>
      <c r="FU123" s="440">
        <v>-6</v>
      </c>
      <c r="FV123" s="440">
        <v>-3</v>
      </c>
      <c r="FW123" s="442">
        <f t="shared" si="48"/>
        <v>-1.5</v>
      </c>
      <c r="FX123" s="440">
        <v>0</v>
      </c>
      <c r="FY123" s="442">
        <f t="shared" si="71"/>
        <v>2.5</v>
      </c>
      <c r="FZ123" s="440">
        <v>5</v>
      </c>
      <c r="GA123" s="435">
        <v>1000</v>
      </c>
      <c r="GB123" s="440">
        <v>-35</v>
      </c>
      <c r="GC123" s="440">
        <v>-29</v>
      </c>
      <c r="GD123" s="440">
        <v>-24</v>
      </c>
      <c r="GE123" s="440">
        <v>-18</v>
      </c>
      <c r="GF123" s="440">
        <v>-12</v>
      </c>
      <c r="GG123" s="440">
        <v>-6</v>
      </c>
      <c r="GH123" s="442">
        <f t="shared" si="49"/>
        <v>-3</v>
      </c>
      <c r="GI123" s="440">
        <v>0</v>
      </c>
      <c r="GJ123" s="442">
        <f t="shared" si="72"/>
        <v>3</v>
      </c>
      <c r="GK123" s="441">
        <v>6</v>
      </c>
      <c r="GL123" s="435">
        <v>1000</v>
      </c>
      <c r="GM123" s="440">
        <v>-34</v>
      </c>
      <c r="GN123" s="440">
        <v>-29</v>
      </c>
      <c r="GO123" s="440">
        <v>-23</v>
      </c>
      <c r="GP123" s="440">
        <v>-17</v>
      </c>
      <c r="GQ123" s="440">
        <v>-12</v>
      </c>
      <c r="GR123" s="440">
        <v>-6</v>
      </c>
      <c r="GS123" s="442">
        <f t="shared" si="50"/>
        <v>-3</v>
      </c>
      <c r="GT123" s="440">
        <v>0</v>
      </c>
      <c r="GU123" s="442">
        <f t="shared" si="73"/>
        <v>3</v>
      </c>
      <c r="GV123" s="441">
        <v>6</v>
      </c>
    </row>
    <row r="124" spans="7:204">
      <c r="G124" s="450">
        <v>900</v>
      </c>
      <c r="H124" s="248">
        <v>43</v>
      </c>
      <c r="I124" s="248">
        <v>36</v>
      </c>
      <c r="J124" s="248">
        <v>29</v>
      </c>
      <c r="K124" s="248">
        <v>22</v>
      </c>
      <c r="L124" s="248">
        <v>15</v>
      </c>
      <c r="M124" s="248">
        <v>8</v>
      </c>
      <c r="N124" s="249">
        <f t="shared" si="51"/>
        <v>4</v>
      </c>
      <c r="O124" s="249">
        <v>0</v>
      </c>
      <c r="P124" s="249">
        <f t="shared" si="52"/>
        <v>-3</v>
      </c>
      <c r="Q124" s="446">
        <v>-6</v>
      </c>
      <c r="R124" s="435">
        <v>900</v>
      </c>
      <c r="S124" s="248">
        <v>22</v>
      </c>
      <c r="T124" s="248">
        <v>18</v>
      </c>
      <c r="U124" s="248">
        <v>14</v>
      </c>
      <c r="V124" s="248">
        <v>11</v>
      </c>
      <c r="W124" s="248">
        <v>7</v>
      </c>
      <c r="X124" s="248">
        <v>4</v>
      </c>
      <c r="Y124" s="249">
        <f t="shared" si="53"/>
        <v>2</v>
      </c>
      <c r="Z124" s="248">
        <v>0</v>
      </c>
      <c r="AA124" s="439">
        <f t="shared" si="54"/>
        <v>-1</v>
      </c>
      <c r="AB124" s="248">
        <v>-2</v>
      </c>
      <c r="AC124" s="435">
        <v>900</v>
      </c>
      <c r="AD124" s="440">
        <v>-14</v>
      </c>
      <c r="AE124" s="440">
        <v>-14</v>
      </c>
      <c r="AF124" s="440">
        <v>-12</v>
      </c>
      <c r="AG124" s="440">
        <v>-10</v>
      </c>
      <c r="AH124" s="440">
        <v>-7</v>
      </c>
      <c r="AI124" s="440">
        <v>-4</v>
      </c>
      <c r="AJ124" s="249">
        <f t="shared" si="55"/>
        <v>-2</v>
      </c>
      <c r="AK124" s="248">
        <v>0</v>
      </c>
      <c r="AL124" s="439">
        <f t="shared" si="56"/>
        <v>3</v>
      </c>
      <c r="AM124" s="441">
        <v>6</v>
      </c>
      <c r="AN124" s="435">
        <v>900</v>
      </c>
      <c r="AO124" s="440">
        <v>-35</v>
      </c>
      <c r="AP124" s="440">
        <v>-32</v>
      </c>
      <c r="AQ124" s="440">
        <v>-27</v>
      </c>
      <c r="AR124" s="440">
        <v>-21</v>
      </c>
      <c r="AS124" s="440">
        <v>-15</v>
      </c>
      <c r="AT124" s="440">
        <v>-7</v>
      </c>
      <c r="AU124" s="442">
        <f t="shared" si="38"/>
        <v>-3.5</v>
      </c>
      <c r="AV124" s="440">
        <v>0</v>
      </c>
      <c r="AW124" s="442">
        <f t="shared" si="57"/>
        <v>5</v>
      </c>
      <c r="AX124" s="441">
        <v>10</v>
      </c>
      <c r="AY124" s="435">
        <v>900</v>
      </c>
      <c r="AZ124" s="440">
        <v>13</v>
      </c>
      <c r="BA124" s="440">
        <v>10</v>
      </c>
      <c r="BB124" s="440">
        <v>7</v>
      </c>
      <c r="BC124" s="440">
        <v>5</v>
      </c>
      <c r="BD124" s="440">
        <v>3</v>
      </c>
      <c r="BE124" s="440">
        <v>2</v>
      </c>
      <c r="BF124" s="442">
        <f t="shared" si="39"/>
        <v>1</v>
      </c>
      <c r="BG124" s="440">
        <v>0</v>
      </c>
      <c r="BH124" s="442">
        <f t="shared" si="58"/>
        <v>0.5</v>
      </c>
      <c r="BI124" s="441">
        <v>1</v>
      </c>
      <c r="BJ124" s="447">
        <v>900</v>
      </c>
      <c r="BK124" s="440">
        <v>-20</v>
      </c>
      <c r="BL124" s="440">
        <v>-18</v>
      </c>
      <c r="BM124" s="440">
        <v>-15</v>
      </c>
      <c r="BN124" s="440">
        <v>-12</v>
      </c>
      <c r="BO124" s="440">
        <v>-8</v>
      </c>
      <c r="BP124" s="440">
        <v>-4</v>
      </c>
      <c r="BQ124" s="442">
        <f t="shared" si="40"/>
        <v>-2</v>
      </c>
      <c r="BR124" s="440">
        <v>0</v>
      </c>
      <c r="BS124" s="442">
        <f t="shared" si="59"/>
        <v>3</v>
      </c>
      <c r="BT124" s="440">
        <v>6</v>
      </c>
      <c r="BU124" s="435">
        <v>900</v>
      </c>
      <c r="BV124" s="440">
        <v>10</v>
      </c>
      <c r="BW124" s="440">
        <v>8</v>
      </c>
      <c r="BX124" s="440">
        <v>5</v>
      </c>
      <c r="BY124" s="440">
        <v>4</v>
      </c>
      <c r="BZ124" s="440">
        <v>2</v>
      </c>
      <c r="CA124" s="440">
        <v>1</v>
      </c>
      <c r="CB124" s="442">
        <f t="shared" si="41"/>
        <v>0.5</v>
      </c>
      <c r="CC124" s="440">
        <v>0</v>
      </c>
      <c r="CD124" s="442">
        <f t="shared" si="60"/>
        <v>0.5</v>
      </c>
      <c r="CE124" s="441">
        <v>1</v>
      </c>
      <c r="CF124" s="435">
        <v>900</v>
      </c>
      <c r="CG124" s="440">
        <v>-14</v>
      </c>
      <c r="CH124" s="440">
        <v>-13</v>
      </c>
      <c r="CI124" s="440">
        <v>-11</v>
      </c>
      <c r="CJ124" s="440">
        <v>-9</v>
      </c>
      <c r="CK124" s="440">
        <v>-7</v>
      </c>
      <c r="CL124" s="440">
        <v>-3</v>
      </c>
      <c r="CM124" s="442">
        <f t="shared" si="42"/>
        <v>-1.5</v>
      </c>
      <c r="CN124" s="440">
        <v>0</v>
      </c>
      <c r="CO124" s="442">
        <f t="shared" si="61"/>
        <v>2</v>
      </c>
      <c r="CP124" s="441">
        <v>4</v>
      </c>
      <c r="CQ124" s="435">
        <v>900</v>
      </c>
      <c r="CR124" s="440">
        <v>10</v>
      </c>
      <c r="CS124" s="440">
        <v>8</v>
      </c>
      <c r="CT124" s="440">
        <v>5</v>
      </c>
      <c r="CU124" s="440">
        <v>4</v>
      </c>
      <c r="CV124" s="440">
        <v>2</v>
      </c>
      <c r="CW124" s="440">
        <v>1</v>
      </c>
      <c r="CX124" s="442">
        <f t="shared" si="43"/>
        <v>0.5</v>
      </c>
      <c r="CY124" s="440">
        <v>0</v>
      </c>
      <c r="CZ124" s="442">
        <f t="shared" si="62"/>
        <v>0.5</v>
      </c>
      <c r="DA124" s="441">
        <v>1</v>
      </c>
      <c r="DB124" s="435">
        <v>900</v>
      </c>
      <c r="DC124" s="440">
        <v>-11</v>
      </c>
      <c r="DD124" s="440">
        <v>-10</v>
      </c>
      <c r="DE124" s="440">
        <v>-9</v>
      </c>
      <c r="DF124" s="440">
        <v>-7</v>
      </c>
      <c r="DG124" s="440">
        <v>-5</v>
      </c>
      <c r="DH124" s="440">
        <v>-2</v>
      </c>
      <c r="DI124" s="442">
        <f t="shared" si="44"/>
        <v>-1</v>
      </c>
      <c r="DJ124" s="440">
        <v>0</v>
      </c>
      <c r="DK124" s="442">
        <f t="shared" si="63"/>
        <v>2.5</v>
      </c>
      <c r="DL124" s="441">
        <v>5</v>
      </c>
      <c r="DM124" s="435">
        <v>900</v>
      </c>
      <c r="DN124" s="440">
        <v>10</v>
      </c>
      <c r="DO124" s="440">
        <v>8</v>
      </c>
      <c r="DP124" s="440">
        <v>5</v>
      </c>
      <c r="DQ124" s="440">
        <v>3</v>
      </c>
      <c r="DR124" s="440">
        <v>2</v>
      </c>
      <c r="DS124" s="440">
        <v>1</v>
      </c>
      <c r="DT124" s="442">
        <f t="shared" si="45"/>
        <v>0.5</v>
      </c>
      <c r="DU124" s="440">
        <v>0</v>
      </c>
      <c r="DV124" s="442">
        <f t="shared" si="64"/>
        <v>0.5</v>
      </c>
      <c r="DW124" s="441">
        <v>1</v>
      </c>
      <c r="DX124" s="435">
        <v>900</v>
      </c>
      <c r="DY124" s="440">
        <v>-14</v>
      </c>
      <c r="DZ124" s="440">
        <v>-12</v>
      </c>
      <c r="EA124" s="440">
        <v>-11</v>
      </c>
      <c r="EB124" s="440">
        <v>-9</v>
      </c>
      <c r="EC124" s="440">
        <v>-6</v>
      </c>
      <c r="ED124" s="440">
        <v>-3</v>
      </c>
      <c r="EE124" s="442">
        <f t="shared" si="46"/>
        <v>-1.5</v>
      </c>
      <c r="EF124" s="440">
        <v>0</v>
      </c>
      <c r="EG124" s="442">
        <f t="shared" si="65"/>
        <v>2.5</v>
      </c>
      <c r="EH124" s="440">
        <v>5</v>
      </c>
      <c r="EI124" s="435">
        <v>900</v>
      </c>
      <c r="EJ124" s="248">
        <v>12</v>
      </c>
      <c r="EK124" s="248">
        <v>9</v>
      </c>
      <c r="EL124" s="248">
        <v>6</v>
      </c>
      <c r="EM124" s="248">
        <v>4</v>
      </c>
      <c r="EN124" s="248">
        <v>3</v>
      </c>
      <c r="EO124" s="248">
        <v>2</v>
      </c>
      <c r="EP124" s="442">
        <f t="shared" si="66"/>
        <v>1</v>
      </c>
      <c r="EQ124" s="440">
        <v>0</v>
      </c>
      <c r="ER124" s="442">
        <f t="shared" si="67"/>
        <v>0.5</v>
      </c>
      <c r="ES124" s="248">
        <v>1</v>
      </c>
      <c r="ET124" s="435">
        <v>900</v>
      </c>
      <c r="EU124" s="248">
        <v>-12</v>
      </c>
      <c r="EV124" s="248">
        <v>-11</v>
      </c>
      <c r="EW124" s="248">
        <v>-10</v>
      </c>
      <c r="EX124" s="248">
        <v>-8</v>
      </c>
      <c r="EY124" s="248">
        <v>-5</v>
      </c>
      <c r="EZ124" s="248">
        <v>-2</v>
      </c>
      <c r="FA124" s="442">
        <f t="shared" si="68"/>
        <v>-1</v>
      </c>
      <c r="FB124" s="440">
        <v>0</v>
      </c>
      <c r="FC124" s="442">
        <f t="shared" si="69"/>
        <v>2.5</v>
      </c>
      <c r="FD124" s="248">
        <v>5</v>
      </c>
      <c r="FE124" s="435">
        <v>900</v>
      </c>
      <c r="FF124" s="440">
        <v>10</v>
      </c>
      <c r="FG124" s="440">
        <v>7</v>
      </c>
      <c r="FH124" s="440">
        <v>5</v>
      </c>
      <c r="FI124" s="440">
        <v>3</v>
      </c>
      <c r="FJ124" s="440">
        <v>2</v>
      </c>
      <c r="FK124" s="440">
        <v>1</v>
      </c>
      <c r="FL124" s="442">
        <f t="shared" si="47"/>
        <v>0.5</v>
      </c>
      <c r="FM124" s="440">
        <v>0</v>
      </c>
      <c r="FN124" s="442">
        <f t="shared" si="70"/>
        <v>0</v>
      </c>
      <c r="FO124" s="441">
        <v>0</v>
      </c>
      <c r="FP124" s="435">
        <v>900</v>
      </c>
      <c r="FQ124" s="440">
        <v>-12</v>
      </c>
      <c r="FR124" s="440">
        <v>-11</v>
      </c>
      <c r="FS124" s="440">
        <v>-10</v>
      </c>
      <c r="FT124" s="440">
        <v>-8</v>
      </c>
      <c r="FU124" s="440">
        <v>-5</v>
      </c>
      <c r="FV124" s="440">
        <v>-2</v>
      </c>
      <c r="FW124" s="442">
        <f t="shared" si="48"/>
        <v>-1</v>
      </c>
      <c r="FX124" s="440">
        <v>0</v>
      </c>
      <c r="FY124" s="442">
        <f t="shared" si="71"/>
        <v>2.5</v>
      </c>
      <c r="FZ124" s="440">
        <v>5</v>
      </c>
      <c r="GA124" s="435">
        <v>900</v>
      </c>
      <c r="GB124" s="440">
        <v>-35</v>
      </c>
      <c r="GC124" s="440">
        <v>-29</v>
      </c>
      <c r="GD124" s="440">
        <v>-24</v>
      </c>
      <c r="GE124" s="440">
        <v>-18</v>
      </c>
      <c r="GF124" s="440">
        <v>-12</v>
      </c>
      <c r="GG124" s="440">
        <v>-6</v>
      </c>
      <c r="GH124" s="442">
        <f t="shared" si="49"/>
        <v>-3</v>
      </c>
      <c r="GI124" s="440">
        <v>0</v>
      </c>
      <c r="GJ124" s="442">
        <f t="shared" si="72"/>
        <v>3</v>
      </c>
      <c r="GK124" s="441">
        <v>6</v>
      </c>
      <c r="GL124" s="435">
        <v>900</v>
      </c>
      <c r="GM124" s="440">
        <v>-34</v>
      </c>
      <c r="GN124" s="440">
        <v>-28</v>
      </c>
      <c r="GO124" s="440">
        <v>-23</v>
      </c>
      <c r="GP124" s="440">
        <v>-17</v>
      </c>
      <c r="GQ124" s="440">
        <v>-12</v>
      </c>
      <c r="GR124" s="440">
        <v>-6</v>
      </c>
      <c r="GS124" s="442">
        <f t="shared" si="50"/>
        <v>-3</v>
      </c>
      <c r="GT124" s="440">
        <v>0</v>
      </c>
      <c r="GU124" s="442">
        <f t="shared" si="73"/>
        <v>3</v>
      </c>
      <c r="GV124" s="441">
        <v>6</v>
      </c>
    </row>
    <row r="125" spans="7:204">
      <c r="G125" s="451">
        <v>800</v>
      </c>
      <c r="H125" s="248">
        <v>52</v>
      </c>
      <c r="I125" s="248">
        <v>43</v>
      </c>
      <c r="J125" s="248">
        <v>34</v>
      </c>
      <c r="K125" s="248">
        <v>26</v>
      </c>
      <c r="L125" s="248">
        <v>17</v>
      </c>
      <c r="M125" s="248">
        <v>9</v>
      </c>
      <c r="N125" s="249">
        <f t="shared" si="51"/>
        <v>4.5</v>
      </c>
      <c r="O125" s="249">
        <v>0</v>
      </c>
      <c r="P125" s="249">
        <f t="shared" si="52"/>
        <v>-3</v>
      </c>
      <c r="Q125" s="446">
        <v>-6</v>
      </c>
      <c r="R125" s="435">
        <v>800</v>
      </c>
      <c r="S125" s="248">
        <v>31</v>
      </c>
      <c r="T125" s="248">
        <v>26</v>
      </c>
      <c r="U125" s="248">
        <v>20</v>
      </c>
      <c r="V125" s="248">
        <v>15</v>
      </c>
      <c r="W125" s="248">
        <v>10</v>
      </c>
      <c r="X125" s="248">
        <v>6</v>
      </c>
      <c r="Y125" s="249">
        <f t="shared" si="53"/>
        <v>3</v>
      </c>
      <c r="Z125" s="248">
        <v>0</v>
      </c>
      <c r="AA125" s="439">
        <f t="shared" si="54"/>
        <v>-1</v>
      </c>
      <c r="AB125" s="248">
        <v>-2</v>
      </c>
      <c r="AC125" s="435">
        <v>800</v>
      </c>
      <c r="AD125" s="440">
        <v>-5</v>
      </c>
      <c r="AE125" s="440">
        <v>-7</v>
      </c>
      <c r="AF125" s="440">
        <v>-8</v>
      </c>
      <c r="AG125" s="440">
        <v>-8</v>
      </c>
      <c r="AH125" s="440">
        <v>-6</v>
      </c>
      <c r="AI125" s="440">
        <v>-3</v>
      </c>
      <c r="AJ125" s="249">
        <f t="shared" si="55"/>
        <v>-1.5</v>
      </c>
      <c r="AK125" s="248">
        <v>0</v>
      </c>
      <c r="AL125" s="439">
        <f t="shared" si="56"/>
        <v>3.5</v>
      </c>
      <c r="AM125" s="441">
        <v>7</v>
      </c>
      <c r="AN125" s="435">
        <v>800</v>
      </c>
      <c r="AO125" s="440">
        <v>-23</v>
      </c>
      <c r="AP125" s="440">
        <v>-23</v>
      </c>
      <c r="AQ125" s="440">
        <v>-22</v>
      </c>
      <c r="AR125" s="440">
        <v>-18</v>
      </c>
      <c r="AS125" s="440">
        <v>-13</v>
      </c>
      <c r="AT125" s="440">
        <v>-6</v>
      </c>
      <c r="AU125" s="442">
        <f t="shared" si="38"/>
        <v>-3</v>
      </c>
      <c r="AV125" s="440">
        <v>0</v>
      </c>
      <c r="AW125" s="442">
        <f t="shared" si="57"/>
        <v>5</v>
      </c>
      <c r="AX125" s="441">
        <v>10</v>
      </c>
      <c r="AY125" s="435">
        <v>800</v>
      </c>
      <c r="AZ125" s="440">
        <v>17</v>
      </c>
      <c r="BA125" s="440">
        <v>12</v>
      </c>
      <c r="BB125" s="440">
        <v>9</v>
      </c>
      <c r="BC125" s="440">
        <v>6</v>
      </c>
      <c r="BD125" s="440">
        <v>4</v>
      </c>
      <c r="BE125" s="440">
        <v>2</v>
      </c>
      <c r="BF125" s="442">
        <f t="shared" si="39"/>
        <v>1</v>
      </c>
      <c r="BG125" s="440">
        <v>0</v>
      </c>
      <c r="BH125" s="442">
        <f t="shared" si="58"/>
        <v>0.5</v>
      </c>
      <c r="BI125" s="441">
        <v>1</v>
      </c>
      <c r="BJ125" s="447">
        <v>800</v>
      </c>
      <c r="BK125" s="440">
        <v>-14</v>
      </c>
      <c r="BL125" s="440">
        <v>-14</v>
      </c>
      <c r="BM125" s="440">
        <v>-12</v>
      </c>
      <c r="BN125" s="440">
        <v>-10</v>
      </c>
      <c r="BO125" s="440">
        <v>-7</v>
      </c>
      <c r="BP125" s="440">
        <v>-3</v>
      </c>
      <c r="BQ125" s="442">
        <f t="shared" si="40"/>
        <v>-1.5</v>
      </c>
      <c r="BR125" s="440">
        <v>0</v>
      </c>
      <c r="BS125" s="442">
        <f t="shared" si="59"/>
        <v>3</v>
      </c>
      <c r="BT125" s="440">
        <v>6</v>
      </c>
      <c r="BU125" s="435">
        <v>800</v>
      </c>
      <c r="BV125" s="440">
        <v>14</v>
      </c>
      <c r="BW125" s="440">
        <v>10</v>
      </c>
      <c r="BX125" s="440">
        <v>7</v>
      </c>
      <c r="BY125" s="440">
        <v>5</v>
      </c>
      <c r="BZ125" s="440">
        <v>3</v>
      </c>
      <c r="CA125" s="440">
        <v>2</v>
      </c>
      <c r="CB125" s="442">
        <f t="shared" si="41"/>
        <v>1</v>
      </c>
      <c r="CC125" s="440">
        <v>0</v>
      </c>
      <c r="CD125" s="442">
        <f t="shared" si="60"/>
        <v>0.5</v>
      </c>
      <c r="CE125" s="441">
        <v>1</v>
      </c>
      <c r="CF125" s="435">
        <v>800</v>
      </c>
      <c r="CG125" s="440">
        <v>-10</v>
      </c>
      <c r="CH125" s="440">
        <v>-10</v>
      </c>
      <c r="CI125" s="440">
        <v>-9</v>
      </c>
      <c r="CJ125" s="440">
        <v>-7</v>
      </c>
      <c r="CK125" s="440">
        <v>-5</v>
      </c>
      <c r="CL125" s="440">
        <v>-3</v>
      </c>
      <c r="CM125" s="442">
        <f t="shared" si="42"/>
        <v>-1.5</v>
      </c>
      <c r="CN125" s="440">
        <v>0</v>
      </c>
      <c r="CO125" s="442">
        <f t="shared" si="61"/>
        <v>2</v>
      </c>
      <c r="CP125" s="441">
        <v>4</v>
      </c>
      <c r="CQ125" s="435">
        <v>800</v>
      </c>
      <c r="CR125" s="440">
        <v>14</v>
      </c>
      <c r="CS125" s="440">
        <v>10</v>
      </c>
      <c r="CT125" s="440">
        <v>7</v>
      </c>
      <c r="CU125" s="440">
        <v>5</v>
      </c>
      <c r="CV125" s="440">
        <v>3</v>
      </c>
      <c r="CW125" s="440">
        <v>2</v>
      </c>
      <c r="CX125" s="442">
        <f t="shared" si="43"/>
        <v>1</v>
      </c>
      <c r="CY125" s="440">
        <v>0</v>
      </c>
      <c r="CZ125" s="442">
        <f t="shared" si="62"/>
        <v>0.5</v>
      </c>
      <c r="DA125" s="441">
        <v>1</v>
      </c>
      <c r="DB125" s="435">
        <v>800</v>
      </c>
      <c r="DC125" s="440">
        <v>-4</v>
      </c>
      <c r="DD125" s="440">
        <v>-6</v>
      </c>
      <c r="DE125" s="440">
        <v>-6</v>
      </c>
      <c r="DF125" s="440">
        <v>-5</v>
      </c>
      <c r="DG125" s="440">
        <v>-3</v>
      </c>
      <c r="DH125" s="440">
        <v>-1</v>
      </c>
      <c r="DI125" s="442">
        <f t="shared" si="44"/>
        <v>-0.5</v>
      </c>
      <c r="DJ125" s="440">
        <v>0</v>
      </c>
      <c r="DK125" s="442">
        <f t="shared" si="63"/>
        <v>2.5</v>
      </c>
      <c r="DL125" s="441">
        <v>5</v>
      </c>
      <c r="DM125" s="435">
        <v>800</v>
      </c>
      <c r="DN125" s="440">
        <v>14</v>
      </c>
      <c r="DO125" s="440">
        <v>10</v>
      </c>
      <c r="DP125" s="440">
        <v>7</v>
      </c>
      <c r="DQ125" s="440">
        <v>5</v>
      </c>
      <c r="DR125" s="440">
        <v>3</v>
      </c>
      <c r="DS125" s="440">
        <v>2</v>
      </c>
      <c r="DT125" s="442">
        <f t="shared" si="45"/>
        <v>1</v>
      </c>
      <c r="DU125" s="440">
        <v>0</v>
      </c>
      <c r="DV125" s="442">
        <f t="shared" si="64"/>
        <v>0.5</v>
      </c>
      <c r="DW125" s="441">
        <v>1</v>
      </c>
      <c r="DX125" s="435">
        <v>800</v>
      </c>
      <c r="DY125" s="440">
        <v>-7</v>
      </c>
      <c r="DZ125" s="440">
        <v>-8</v>
      </c>
      <c r="EA125" s="440">
        <v>-8</v>
      </c>
      <c r="EB125" s="440">
        <v>-7</v>
      </c>
      <c r="EC125" s="440">
        <v>-5</v>
      </c>
      <c r="ED125" s="440">
        <v>-2</v>
      </c>
      <c r="EE125" s="442">
        <f t="shared" si="46"/>
        <v>-1</v>
      </c>
      <c r="EF125" s="440">
        <v>0</v>
      </c>
      <c r="EG125" s="442">
        <f t="shared" si="65"/>
        <v>2.5</v>
      </c>
      <c r="EH125" s="440">
        <v>5</v>
      </c>
      <c r="EI125" s="435">
        <v>800</v>
      </c>
      <c r="EJ125" s="248">
        <v>15</v>
      </c>
      <c r="EK125" s="248">
        <v>12</v>
      </c>
      <c r="EL125" s="248">
        <v>8</v>
      </c>
      <c r="EM125" s="248">
        <v>6</v>
      </c>
      <c r="EN125" s="248">
        <v>4</v>
      </c>
      <c r="EO125" s="248">
        <v>2</v>
      </c>
      <c r="EP125" s="442">
        <f t="shared" si="66"/>
        <v>1</v>
      </c>
      <c r="EQ125" s="440">
        <v>0</v>
      </c>
      <c r="ER125" s="442">
        <f t="shared" si="67"/>
        <v>0.5</v>
      </c>
      <c r="ES125" s="248">
        <v>1</v>
      </c>
      <c r="ET125" s="435">
        <v>800</v>
      </c>
      <c r="EU125" s="248">
        <v>-6</v>
      </c>
      <c r="EV125" s="248">
        <v>-7</v>
      </c>
      <c r="EW125" s="248">
        <v>-7</v>
      </c>
      <c r="EX125" s="248">
        <v>-6</v>
      </c>
      <c r="EY125" s="248">
        <v>-4</v>
      </c>
      <c r="EZ125" s="248">
        <v>-2</v>
      </c>
      <c r="FA125" s="442">
        <f t="shared" si="68"/>
        <v>-1</v>
      </c>
      <c r="FB125" s="440">
        <v>0</v>
      </c>
      <c r="FC125" s="442">
        <f t="shared" si="69"/>
        <v>2.5</v>
      </c>
      <c r="FD125" s="248">
        <v>5</v>
      </c>
      <c r="FE125" s="435">
        <v>800</v>
      </c>
      <c r="FF125" s="440">
        <v>13</v>
      </c>
      <c r="FG125" s="440">
        <v>9</v>
      </c>
      <c r="FH125" s="440">
        <v>6</v>
      </c>
      <c r="FI125" s="440">
        <v>4</v>
      </c>
      <c r="FJ125" s="440">
        <v>2</v>
      </c>
      <c r="FK125" s="440">
        <v>1</v>
      </c>
      <c r="FL125" s="442">
        <f t="shared" si="47"/>
        <v>0.5</v>
      </c>
      <c r="FM125" s="440">
        <v>0</v>
      </c>
      <c r="FN125" s="442">
        <f t="shared" si="70"/>
        <v>0</v>
      </c>
      <c r="FO125" s="441">
        <v>0</v>
      </c>
      <c r="FP125" s="435">
        <v>800</v>
      </c>
      <c r="FQ125" s="440">
        <v>-5</v>
      </c>
      <c r="FR125" s="440">
        <v>-6</v>
      </c>
      <c r="FS125" s="440">
        <v>-6</v>
      </c>
      <c r="FT125" s="440">
        <v>-6</v>
      </c>
      <c r="FU125" s="440">
        <v>-4</v>
      </c>
      <c r="FV125" s="440">
        <v>-2</v>
      </c>
      <c r="FW125" s="442">
        <f t="shared" si="48"/>
        <v>-1</v>
      </c>
      <c r="FX125" s="440">
        <v>0</v>
      </c>
      <c r="FY125" s="442">
        <f t="shared" si="71"/>
        <v>2.5</v>
      </c>
      <c r="FZ125" s="440">
        <v>5</v>
      </c>
      <c r="GA125" s="435">
        <v>800</v>
      </c>
      <c r="GB125" s="440">
        <v>-33</v>
      </c>
      <c r="GC125" s="440">
        <v>-28</v>
      </c>
      <c r="GD125" s="440">
        <v>-23</v>
      </c>
      <c r="GE125" s="440">
        <v>-17</v>
      </c>
      <c r="GF125" s="440">
        <v>-11</v>
      </c>
      <c r="GG125" s="440">
        <v>-6</v>
      </c>
      <c r="GH125" s="442">
        <f t="shared" si="49"/>
        <v>-3</v>
      </c>
      <c r="GI125" s="440">
        <v>0</v>
      </c>
      <c r="GJ125" s="442">
        <f t="shared" si="72"/>
        <v>3</v>
      </c>
      <c r="GK125" s="441">
        <v>6</v>
      </c>
      <c r="GL125" s="435">
        <v>800</v>
      </c>
      <c r="GM125" s="440">
        <v>-32</v>
      </c>
      <c r="GN125" s="440">
        <v>-27</v>
      </c>
      <c r="GO125" s="440">
        <v>-22</v>
      </c>
      <c r="GP125" s="440">
        <v>-16</v>
      </c>
      <c r="GQ125" s="440">
        <v>-11</v>
      </c>
      <c r="GR125" s="440">
        <v>-6</v>
      </c>
      <c r="GS125" s="442">
        <f t="shared" si="50"/>
        <v>-3</v>
      </c>
      <c r="GT125" s="440">
        <v>0</v>
      </c>
      <c r="GU125" s="442">
        <f t="shared" si="73"/>
        <v>3</v>
      </c>
      <c r="GV125" s="441">
        <v>6</v>
      </c>
    </row>
    <row r="126" spans="7:204">
      <c r="G126" s="428" t="s">
        <v>194</v>
      </c>
      <c r="H126" s="429">
        <v>-3</v>
      </c>
      <c r="I126" s="429">
        <v>-2.5</v>
      </c>
      <c r="J126" s="429">
        <v>-2</v>
      </c>
      <c r="K126" s="429">
        <v>-1.5</v>
      </c>
      <c r="L126" s="429">
        <v>-1</v>
      </c>
      <c r="M126" s="429">
        <v>-0.5</v>
      </c>
      <c r="N126" s="429">
        <v>-0.25</v>
      </c>
      <c r="O126" s="430">
        <v>0</v>
      </c>
      <c r="P126" s="430">
        <v>0.25</v>
      </c>
      <c r="Q126" s="431">
        <v>0.5</v>
      </c>
      <c r="BQ126" s="249"/>
    </row>
    <row r="127" spans="7:204">
      <c r="BQ127" s="249"/>
    </row>
    <row r="128" spans="7:204">
      <c r="BQ128" s="249"/>
    </row>
    <row r="129" spans="69:69">
      <c r="BQ129" s="249"/>
    </row>
    <row r="130" spans="69:69">
      <c r="BQ130" s="249"/>
    </row>
    <row r="131" spans="69:69">
      <c r="BQ131" s="249"/>
    </row>
    <row r="132" spans="69:69">
      <c r="BQ132" s="249"/>
    </row>
    <row r="133" spans="69:69">
      <c r="BQ133" s="249"/>
    </row>
    <row r="134" spans="69:69">
      <c r="BQ134" s="249"/>
    </row>
    <row r="135" spans="69:69">
      <c r="BQ135" s="249"/>
    </row>
    <row r="136" spans="69:69">
      <c r="BQ136" s="249"/>
    </row>
    <row r="137" spans="69:69">
      <c r="BQ137" s="249"/>
    </row>
  </sheetData>
  <mergeCells count="43">
    <mergeCell ref="ET7:FD7"/>
    <mergeCell ref="FE7:FO7"/>
    <mergeCell ref="FP7:FZ7"/>
    <mergeCell ref="GA7:GK7"/>
    <mergeCell ref="GL7:GV7"/>
    <mergeCell ref="CF7:CP7"/>
    <mergeCell ref="CQ7:DA7"/>
    <mergeCell ref="DB7:DL7"/>
    <mergeCell ref="DM7:DW7"/>
    <mergeCell ref="DX7:EH7"/>
    <mergeCell ref="EI7:ES7"/>
    <mergeCell ref="FW2:FX3"/>
    <mergeCell ref="GH2:GI3"/>
    <mergeCell ref="GS2:GT3"/>
    <mergeCell ref="G7:Q7"/>
    <mergeCell ref="R7:AB7"/>
    <mergeCell ref="AC7:AM7"/>
    <mergeCell ref="AN7:AX7"/>
    <mergeCell ref="AY7:BI7"/>
    <mergeCell ref="BJ7:BT7"/>
    <mergeCell ref="BU7:CE7"/>
    <mergeCell ref="DI2:DJ3"/>
    <mergeCell ref="DT2:DU3"/>
    <mergeCell ref="EE2:EF3"/>
    <mergeCell ref="EP2:EQ3"/>
    <mergeCell ref="FA2:FB3"/>
    <mergeCell ref="FL2:FM3"/>
    <mergeCell ref="GX1:HA1"/>
    <mergeCell ref="M2:N3"/>
    <mergeCell ref="X2:Y3"/>
    <mergeCell ref="AI2:AJ3"/>
    <mergeCell ref="AU2:AV3"/>
    <mergeCell ref="BF2:BG3"/>
    <mergeCell ref="BQ2:BR3"/>
    <mergeCell ref="CB2:CC3"/>
    <mergeCell ref="CM2:CN3"/>
    <mergeCell ref="CX2:CY3"/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E45"/>
  <sheetViews>
    <sheetView view="pageBreakPreview" topLeftCell="A14" zoomScaleNormal="100" zoomScaleSheetLayoutView="100" workbookViewId="0">
      <selection activeCell="M23" sqref="M23:N23"/>
    </sheetView>
  </sheetViews>
  <sheetFormatPr defaultRowHeight="14.25"/>
  <cols>
    <col min="1" max="1" width="3.625" style="29" customWidth="1"/>
    <col min="2" max="2" width="5" style="29" customWidth="1"/>
    <col min="3" max="3" width="3.75" style="29" customWidth="1"/>
    <col min="4" max="4" width="4.5" style="29" customWidth="1"/>
    <col min="5" max="5" width="5" style="29" customWidth="1"/>
    <col min="6" max="6" width="4.375" style="29" customWidth="1"/>
    <col min="7" max="7" width="5.75" style="29" customWidth="1"/>
    <col min="8" max="8" width="5.5" style="29" customWidth="1"/>
    <col min="9" max="9" width="5" style="29" customWidth="1"/>
    <col min="10" max="10" width="4.125" style="29" customWidth="1"/>
    <col min="11" max="11" width="5.5" style="29" customWidth="1"/>
    <col min="12" max="12" width="4.375" style="29" customWidth="1"/>
    <col min="13" max="13" width="6.25" style="29" customWidth="1"/>
    <col min="14" max="14" width="4.5" style="29" customWidth="1"/>
    <col min="15" max="15" width="5.5" style="29" customWidth="1"/>
    <col min="16" max="16" width="4.5" style="29" customWidth="1"/>
    <col min="17" max="17" width="6.875" style="29" customWidth="1"/>
    <col min="18" max="18" width="4.5" style="29" customWidth="1"/>
    <col min="19" max="19" width="3.75" style="29" customWidth="1"/>
    <col min="20" max="20" width="3.625" style="29" customWidth="1"/>
    <col min="21" max="21" width="1.75" style="29" customWidth="1"/>
    <col min="22" max="22" width="5" style="29" customWidth="1"/>
    <col min="23" max="23" width="5.5" style="29" customWidth="1"/>
    <col min="24" max="24" width="3.875" style="29" customWidth="1"/>
    <col min="25" max="25" width="5.25" style="29" customWidth="1"/>
    <col min="26" max="26" width="4.5" style="29" customWidth="1"/>
    <col min="27" max="27" width="4.125" style="29" customWidth="1"/>
    <col min="28" max="28" width="3.625" style="29" customWidth="1"/>
    <col min="29" max="29" width="3.125" style="29" customWidth="1"/>
    <col min="30" max="30" width="7" style="29" customWidth="1"/>
    <col min="31" max="31" width="8.75" style="29" customWidth="1"/>
    <col min="32" max="256" width="8.75" style="29"/>
    <col min="257" max="257" width="3.625" style="29" customWidth="1"/>
    <col min="258" max="258" width="5" style="29" customWidth="1"/>
    <col min="259" max="259" width="3.75" style="29" customWidth="1"/>
    <col min="260" max="260" width="4.5" style="29" customWidth="1"/>
    <col min="261" max="261" width="5" style="29" customWidth="1"/>
    <col min="262" max="262" width="4.375" style="29" customWidth="1"/>
    <col min="263" max="263" width="5.75" style="29" customWidth="1"/>
    <col min="264" max="264" width="5.5" style="29" customWidth="1"/>
    <col min="265" max="265" width="5" style="29" customWidth="1"/>
    <col min="266" max="266" width="4.125" style="29" customWidth="1"/>
    <col min="267" max="267" width="5.5" style="29" customWidth="1"/>
    <col min="268" max="268" width="4.375" style="29" customWidth="1"/>
    <col min="269" max="269" width="6.25" style="29" customWidth="1"/>
    <col min="270" max="270" width="4.5" style="29" customWidth="1"/>
    <col min="271" max="271" width="5.5" style="29" customWidth="1"/>
    <col min="272" max="272" width="4.5" style="29" customWidth="1"/>
    <col min="273" max="273" width="8.75" style="29"/>
    <col min="274" max="274" width="4.5" style="29" customWidth="1"/>
    <col min="275" max="275" width="3.75" style="29" customWidth="1"/>
    <col min="276" max="276" width="3.625" style="29" customWidth="1"/>
    <col min="277" max="277" width="4.625" style="29" customWidth="1"/>
    <col min="278" max="278" width="5" style="29" customWidth="1"/>
    <col min="279" max="279" width="5.5" style="29" customWidth="1"/>
    <col min="280" max="280" width="3.875" style="29" customWidth="1"/>
    <col min="281" max="281" width="5.25" style="29" customWidth="1"/>
    <col min="282" max="282" width="4.5" style="29" customWidth="1"/>
    <col min="283" max="283" width="4.125" style="29" customWidth="1"/>
    <col min="284" max="284" width="3.625" style="29" customWidth="1"/>
    <col min="285" max="285" width="4.375" style="29" customWidth="1"/>
    <col min="286" max="512" width="8.75" style="29"/>
    <col min="513" max="513" width="3.625" style="29" customWidth="1"/>
    <col min="514" max="514" width="5" style="29" customWidth="1"/>
    <col min="515" max="515" width="3.75" style="29" customWidth="1"/>
    <col min="516" max="516" width="4.5" style="29" customWidth="1"/>
    <col min="517" max="517" width="5" style="29" customWidth="1"/>
    <col min="518" max="518" width="4.375" style="29" customWidth="1"/>
    <col min="519" max="519" width="5.75" style="29" customWidth="1"/>
    <col min="520" max="520" width="5.5" style="29" customWidth="1"/>
    <col min="521" max="521" width="5" style="29" customWidth="1"/>
    <col min="522" max="522" width="4.125" style="29" customWidth="1"/>
    <col min="523" max="523" width="5.5" style="29" customWidth="1"/>
    <col min="524" max="524" width="4.375" style="29" customWidth="1"/>
    <col min="525" max="525" width="6.25" style="29" customWidth="1"/>
    <col min="526" max="526" width="4.5" style="29" customWidth="1"/>
    <col min="527" max="527" width="5.5" style="29" customWidth="1"/>
    <col min="528" max="528" width="4.5" style="29" customWidth="1"/>
    <col min="529" max="529" width="8.75" style="29"/>
    <col min="530" max="530" width="4.5" style="29" customWidth="1"/>
    <col min="531" max="531" width="3.75" style="29" customWidth="1"/>
    <col min="532" max="532" width="3.625" style="29" customWidth="1"/>
    <col min="533" max="533" width="4.625" style="29" customWidth="1"/>
    <col min="534" max="534" width="5" style="29" customWidth="1"/>
    <col min="535" max="535" width="5.5" style="29" customWidth="1"/>
    <col min="536" max="536" width="3.875" style="29" customWidth="1"/>
    <col min="537" max="537" width="5.25" style="29" customWidth="1"/>
    <col min="538" max="538" width="4.5" style="29" customWidth="1"/>
    <col min="539" max="539" width="4.125" style="29" customWidth="1"/>
    <col min="540" max="540" width="3.625" style="29" customWidth="1"/>
    <col min="541" max="541" width="4.375" style="29" customWidth="1"/>
    <col min="542" max="768" width="8.75" style="29"/>
    <col min="769" max="769" width="3.625" style="29" customWidth="1"/>
    <col min="770" max="770" width="5" style="29" customWidth="1"/>
    <col min="771" max="771" width="3.75" style="29" customWidth="1"/>
    <col min="772" max="772" width="4.5" style="29" customWidth="1"/>
    <col min="773" max="773" width="5" style="29" customWidth="1"/>
    <col min="774" max="774" width="4.375" style="29" customWidth="1"/>
    <col min="775" max="775" width="5.75" style="29" customWidth="1"/>
    <col min="776" max="776" width="5.5" style="29" customWidth="1"/>
    <col min="777" max="777" width="5" style="29" customWidth="1"/>
    <col min="778" max="778" width="4.125" style="29" customWidth="1"/>
    <col min="779" max="779" width="5.5" style="29" customWidth="1"/>
    <col min="780" max="780" width="4.375" style="29" customWidth="1"/>
    <col min="781" max="781" width="6.25" style="29" customWidth="1"/>
    <col min="782" max="782" width="4.5" style="29" customWidth="1"/>
    <col min="783" max="783" width="5.5" style="29" customWidth="1"/>
    <col min="784" max="784" width="4.5" style="29" customWidth="1"/>
    <col min="785" max="785" width="8.75" style="29"/>
    <col min="786" max="786" width="4.5" style="29" customWidth="1"/>
    <col min="787" max="787" width="3.75" style="29" customWidth="1"/>
    <col min="788" max="788" width="3.625" style="29" customWidth="1"/>
    <col min="789" max="789" width="4.625" style="29" customWidth="1"/>
    <col min="790" max="790" width="5" style="29" customWidth="1"/>
    <col min="791" max="791" width="5.5" style="29" customWidth="1"/>
    <col min="792" max="792" width="3.875" style="29" customWidth="1"/>
    <col min="793" max="793" width="5.25" style="29" customWidth="1"/>
    <col min="794" max="794" width="4.5" style="29" customWidth="1"/>
    <col min="795" max="795" width="4.125" style="29" customWidth="1"/>
    <col min="796" max="796" width="3.625" style="29" customWidth="1"/>
    <col min="797" max="797" width="4.375" style="29" customWidth="1"/>
    <col min="798" max="1024" width="8.75" style="29"/>
    <col min="1025" max="1025" width="3.625" style="29" customWidth="1"/>
    <col min="1026" max="1026" width="5" style="29" customWidth="1"/>
    <col min="1027" max="1027" width="3.75" style="29" customWidth="1"/>
    <col min="1028" max="1028" width="4.5" style="29" customWidth="1"/>
    <col min="1029" max="1029" width="5" style="29" customWidth="1"/>
    <col min="1030" max="1030" width="4.375" style="29" customWidth="1"/>
    <col min="1031" max="1031" width="5.75" style="29" customWidth="1"/>
    <col min="1032" max="1032" width="5.5" style="29" customWidth="1"/>
    <col min="1033" max="1033" width="5" style="29" customWidth="1"/>
    <col min="1034" max="1034" width="4.125" style="29" customWidth="1"/>
    <col min="1035" max="1035" width="5.5" style="29" customWidth="1"/>
    <col min="1036" max="1036" width="4.375" style="29" customWidth="1"/>
    <col min="1037" max="1037" width="6.25" style="29" customWidth="1"/>
    <col min="1038" max="1038" width="4.5" style="29" customWidth="1"/>
    <col min="1039" max="1039" width="5.5" style="29" customWidth="1"/>
    <col min="1040" max="1040" width="4.5" style="29" customWidth="1"/>
    <col min="1041" max="1041" width="8.75" style="29"/>
    <col min="1042" max="1042" width="4.5" style="29" customWidth="1"/>
    <col min="1043" max="1043" width="3.75" style="29" customWidth="1"/>
    <col min="1044" max="1044" width="3.625" style="29" customWidth="1"/>
    <col min="1045" max="1045" width="4.625" style="29" customWidth="1"/>
    <col min="1046" max="1046" width="5" style="29" customWidth="1"/>
    <col min="1047" max="1047" width="5.5" style="29" customWidth="1"/>
    <col min="1048" max="1048" width="3.875" style="29" customWidth="1"/>
    <col min="1049" max="1049" width="5.25" style="29" customWidth="1"/>
    <col min="1050" max="1050" width="4.5" style="29" customWidth="1"/>
    <col min="1051" max="1051" width="4.125" style="29" customWidth="1"/>
    <col min="1052" max="1052" width="3.625" style="29" customWidth="1"/>
    <col min="1053" max="1053" width="4.375" style="29" customWidth="1"/>
    <col min="1054" max="1280" width="8.75" style="29"/>
    <col min="1281" max="1281" width="3.625" style="29" customWidth="1"/>
    <col min="1282" max="1282" width="5" style="29" customWidth="1"/>
    <col min="1283" max="1283" width="3.75" style="29" customWidth="1"/>
    <col min="1284" max="1284" width="4.5" style="29" customWidth="1"/>
    <col min="1285" max="1285" width="5" style="29" customWidth="1"/>
    <col min="1286" max="1286" width="4.375" style="29" customWidth="1"/>
    <col min="1287" max="1287" width="5.75" style="29" customWidth="1"/>
    <col min="1288" max="1288" width="5.5" style="29" customWidth="1"/>
    <col min="1289" max="1289" width="5" style="29" customWidth="1"/>
    <col min="1290" max="1290" width="4.125" style="29" customWidth="1"/>
    <col min="1291" max="1291" width="5.5" style="29" customWidth="1"/>
    <col min="1292" max="1292" width="4.375" style="29" customWidth="1"/>
    <col min="1293" max="1293" width="6.25" style="29" customWidth="1"/>
    <col min="1294" max="1294" width="4.5" style="29" customWidth="1"/>
    <col min="1295" max="1295" width="5.5" style="29" customWidth="1"/>
    <col min="1296" max="1296" width="4.5" style="29" customWidth="1"/>
    <col min="1297" max="1297" width="8.75" style="29"/>
    <col min="1298" max="1298" width="4.5" style="29" customWidth="1"/>
    <col min="1299" max="1299" width="3.75" style="29" customWidth="1"/>
    <col min="1300" max="1300" width="3.625" style="29" customWidth="1"/>
    <col min="1301" max="1301" width="4.625" style="29" customWidth="1"/>
    <col min="1302" max="1302" width="5" style="29" customWidth="1"/>
    <col min="1303" max="1303" width="5.5" style="29" customWidth="1"/>
    <col min="1304" max="1304" width="3.875" style="29" customWidth="1"/>
    <col min="1305" max="1305" width="5.25" style="29" customWidth="1"/>
    <col min="1306" max="1306" width="4.5" style="29" customWidth="1"/>
    <col min="1307" max="1307" width="4.125" style="29" customWidth="1"/>
    <col min="1308" max="1308" width="3.625" style="29" customWidth="1"/>
    <col min="1309" max="1309" width="4.375" style="29" customWidth="1"/>
    <col min="1310" max="1536" width="8.75" style="29"/>
    <col min="1537" max="1537" width="3.625" style="29" customWidth="1"/>
    <col min="1538" max="1538" width="5" style="29" customWidth="1"/>
    <col min="1539" max="1539" width="3.75" style="29" customWidth="1"/>
    <col min="1540" max="1540" width="4.5" style="29" customWidth="1"/>
    <col min="1541" max="1541" width="5" style="29" customWidth="1"/>
    <col min="1542" max="1542" width="4.375" style="29" customWidth="1"/>
    <col min="1543" max="1543" width="5.75" style="29" customWidth="1"/>
    <col min="1544" max="1544" width="5.5" style="29" customWidth="1"/>
    <col min="1545" max="1545" width="5" style="29" customWidth="1"/>
    <col min="1546" max="1546" width="4.125" style="29" customWidth="1"/>
    <col min="1547" max="1547" width="5.5" style="29" customWidth="1"/>
    <col min="1548" max="1548" width="4.375" style="29" customWidth="1"/>
    <col min="1549" max="1549" width="6.25" style="29" customWidth="1"/>
    <col min="1550" max="1550" width="4.5" style="29" customWidth="1"/>
    <col min="1551" max="1551" width="5.5" style="29" customWidth="1"/>
    <col min="1552" max="1552" width="4.5" style="29" customWidth="1"/>
    <col min="1553" max="1553" width="8.75" style="29"/>
    <col min="1554" max="1554" width="4.5" style="29" customWidth="1"/>
    <col min="1555" max="1555" width="3.75" style="29" customWidth="1"/>
    <col min="1556" max="1556" width="3.625" style="29" customWidth="1"/>
    <col min="1557" max="1557" width="4.625" style="29" customWidth="1"/>
    <col min="1558" max="1558" width="5" style="29" customWidth="1"/>
    <col min="1559" max="1559" width="5.5" style="29" customWidth="1"/>
    <col min="1560" max="1560" width="3.875" style="29" customWidth="1"/>
    <col min="1561" max="1561" width="5.25" style="29" customWidth="1"/>
    <col min="1562" max="1562" width="4.5" style="29" customWidth="1"/>
    <col min="1563" max="1563" width="4.125" style="29" customWidth="1"/>
    <col min="1564" max="1564" width="3.625" style="29" customWidth="1"/>
    <col min="1565" max="1565" width="4.375" style="29" customWidth="1"/>
    <col min="1566" max="1792" width="8.75" style="29"/>
    <col min="1793" max="1793" width="3.625" style="29" customWidth="1"/>
    <col min="1794" max="1794" width="5" style="29" customWidth="1"/>
    <col min="1795" max="1795" width="3.75" style="29" customWidth="1"/>
    <col min="1796" max="1796" width="4.5" style="29" customWidth="1"/>
    <col min="1797" max="1797" width="5" style="29" customWidth="1"/>
    <col min="1798" max="1798" width="4.375" style="29" customWidth="1"/>
    <col min="1799" max="1799" width="5.75" style="29" customWidth="1"/>
    <col min="1800" max="1800" width="5.5" style="29" customWidth="1"/>
    <col min="1801" max="1801" width="5" style="29" customWidth="1"/>
    <col min="1802" max="1802" width="4.125" style="29" customWidth="1"/>
    <col min="1803" max="1803" width="5.5" style="29" customWidth="1"/>
    <col min="1804" max="1804" width="4.375" style="29" customWidth="1"/>
    <col min="1805" max="1805" width="6.25" style="29" customWidth="1"/>
    <col min="1806" max="1806" width="4.5" style="29" customWidth="1"/>
    <col min="1807" max="1807" width="5.5" style="29" customWidth="1"/>
    <col min="1808" max="1808" width="4.5" style="29" customWidth="1"/>
    <col min="1809" max="1809" width="8.75" style="29"/>
    <col min="1810" max="1810" width="4.5" style="29" customWidth="1"/>
    <col min="1811" max="1811" width="3.75" style="29" customWidth="1"/>
    <col min="1812" max="1812" width="3.625" style="29" customWidth="1"/>
    <col min="1813" max="1813" width="4.625" style="29" customWidth="1"/>
    <col min="1814" max="1814" width="5" style="29" customWidth="1"/>
    <col min="1815" max="1815" width="5.5" style="29" customWidth="1"/>
    <col min="1816" max="1816" width="3.875" style="29" customWidth="1"/>
    <col min="1817" max="1817" width="5.25" style="29" customWidth="1"/>
    <col min="1818" max="1818" width="4.5" style="29" customWidth="1"/>
    <col min="1819" max="1819" width="4.125" style="29" customWidth="1"/>
    <col min="1820" max="1820" width="3.625" style="29" customWidth="1"/>
    <col min="1821" max="1821" width="4.375" style="29" customWidth="1"/>
    <col min="1822" max="2048" width="8.75" style="29"/>
    <col min="2049" max="2049" width="3.625" style="29" customWidth="1"/>
    <col min="2050" max="2050" width="5" style="29" customWidth="1"/>
    <col min="2051" max="2051" width="3.75" style="29" customWidth="1"/>
    <col min="2052" max="2052" width="4.5" style="29" customWidth="1"/>
    <col min="2053" max="2053" width="5" style="29" customWidth="1"/>
    <col min="2054" max="2054" width="4.375" style="29" customWidth="1"/>
    <col min="2055" max="2055" width="5.75" style="29" customWidth="1"/>
    <col min="2056" max="2056" width="5.5" style="29" customWidth="1"/>
    <col min="2057" max="2057" width="5" style="29" customWidth="1"/>
    <col min="2058" max="2058" width="4.125" style="29" customWidth="1"/>
    <col min="2059" max="2059" width="5.5" style="29" customWidth="1"/>
    <col min="2060" max="2060" width="4.375" style="29" customWidth="1"/>
    <col min="2061" max="2061" width="6.25" style="29" customWidth="1"/>
    <col min="2062" max="2062" width="4.5" style="29" customWidth="1"/>
    <col min="2063" max="2063" width="5.5" style="29" customWidth="1"/>
    <col min="2064" max="2064" width="4.5" style="29" customWidth="1"/>
    <col min="2065" max="2065" width="8.75" style="29"/>
    <col min="2066" max="2066" width="4.5" style="29" customWidth="1"/>
    <col min="2067" max="2067" width="3.75" style="29" customWidth="1"/>
    <col min="2068" max="2068" width="3.625" style="29" customWidth="1"/>
    <col min="2069" max="2069" width="4.625" style="29" customWidth="1"/>
    <col min="2070" max="2070" width="5" style="29" customWidth="1"/>
    <col min="2071" max="2071" width="5.5" style="29" customWidth="1"/>
    <col min="2072" max="2072" width="3.875" style="29" customWidth="1"/>
    <col min="2073" max="2073" width="5.25" style="29" customWidth="1"/>
    <col min="2074" max="2074" width="4.5" style="29" customWidth="1"/>
    <col min="2075" max="2075" width="4.125" style="29" customWidth="1"/>
    <col min="2076" max="2076" width="3.625" style="29" customWidth="1"/>
    <col min="2077" max="2077" width="4.375" style="29" customWidth="1"/>
    <col min="2078" max="2304" width="8.75" style="29"/>
    <col min="2305" max="2305" width="3.625" style="29" customWidth="1"/>
    <col min="2306" max="2306" width="5" style="29" customWidth="1"/>
    <col min="2307" max="2307" width="3.75" style="29" customWidth="1"/>
    <col min="2308" max="2308" width="4.5" style="29" customWidth="1"/>
    <col min="2309" max="2309" width="5" style="29" customWidth="1"/>
    <col min="2310" max="2310" width="4.375" style="29" customWidth="1"/>
    <col min="2311" max="2311" width="5.75" style="29" customWidth="1"/>
    <col min="2312" max="2312" width="5.5" style="29" customWidth="1"/>
    <col min="2313" max="2313" width="5" style="29" customWidth="1"/>
    <col min="2314" max="2314" width="4.125" style="29" customWidth="1"/>
    <col min="2315" max="2315" width="5.5" style="29" customWidth="1"/>
    <col min="2316" max="2316" width="4.375" style="29" customWidth="1"/>
    <col min="2317" max="2317" width="6.25" style="29" customWidth="1"/>
    <col min="2318" max="2318" width="4.5" style="29" customWidth="1"/>
    <col min="2319" max="2319" width="5.5" style="29" customWidth="1"/>
    <col min="2320" max="2320" width="4.5" style="29" customWidth="1"/>
    <col min="2321" max="2321" width="8.75" style="29"/>
    <col min="2322" max="2322" width="4.5" style="29" customWidth="1"/>
    <col min="2323" max="2323" width="3.75" style="29" customWidth="1"/>
    <col min="2324" max="2324" width="3.625" style="29" customWidth="1"/>
    <col min="2325" max="2325" width="4.625" style="29" customWidth="1"/>
    <col min="2326" max="2326" width="5" style="29" customWidth="1"/>
    <col min="2327" max="2327" width="5.5" style="29" customWidth="1"/>
    <col min="2328" max="2328" width="3.875" style="29" customWidth="1"/>
    <col min="2329" max="2329" width="5.25" style="29" customWidth="1"/>
    <col min="2330" max="2330" width="4.5" style="29" customWidth="1"/>
    <col min="2331" max="2331" width="4.125" style="29" customWidth="1"/>
    <col min="2332" max="2332" width="3.625" style="29" customWidth="1"/>
    <col min="2333" max="2333" width="4.375" style="29" customWidth="1"/>
    <col min="2334" max="2560" width="8.75" style="29"/>
    <col min="2561" max="2561" width="3.625" style="29" customWidth="1"/>
    <col min="2562" max="2562" width="5" style="29" customWidth="1"/>
    <col min="2563" max="2563" width="3.75" style="29" customWidth="1"/>
    <col min="2564" max="2564" width="4.5" style="29" customWidth="1"/>
    <col min="2565" max="2565" width="5" style="29" customWidth="1"/>
    <col min="2566" max="2566" width="4.375" style="29" customWidth="1"/>
    <col min="2567" max="2567" width="5.75" style="29" customWidth="1"/>
    <col min="2568" max="2568" width="5.5" style="29" customWidth="1"/>
    <col min="2569" max="2569" width="5" style="29" customWidth="1"/>
    <col min="2570" max="2570" width="4.125" style="29" customWidth="1"/>
    <col min="2571" max="2571" width="5.5" style="29" customWidth="1"/>
    <col min="2572" max="2572" width="4.375" style="29" customWidth="1"/>
    <col min="2573" max="2573" width="6.25" style="29" customWidth="1"/>
    <col min="2574" max="2574" width="4.5" style="29" customWidth="1"/>
    <col min="2575" max="2575" width="5.5" style="29" customWidth="1"/>
    <col min="2576" max="2576" width="4.5" style="29" customWidth="1"/>
    <col min="2577" max="2577" width="8.75" style="29"/>
    <col min="2578" max="2578" width="4.5" style="29" customWidth="1"/>
    <col min="2579" max="2579" width="3.75" style="29" customWidth="1"/>
    <col min="2580" max="2580" width="3.625" style="29" customWidth="1"/>
    <col min="2581" max="2581" width="4.625" style="29" customWidth="1"/>
    <col min="2582" max="2582" width="5" style="29" customWidth="1"/>
    <col min="2583" max="2583" width="5.5" style="29" customWidth="1"/>
    <col min="2584" max="2584" width="3.875" style="29" customWidth="1"/>
    <col min="2585" max="2585" width="5.25" style="29" customWidth="1"/>
    <col min="2586" max="2586" width="4.5" style="29" customWidth="1"/>
    <col min="2587" max="2587" width="4.125" style="29" customWidth="1"/>
    <col min="2588" max="2588" width="3.625" style="29" customWidth="1"/>
    <col min="2589" max="2589" width="4.375" style="29" customWidth="1"/>
    <col min="2590" max="2816" width="8.75" style="29"/>
    <col min="2817" max="2817" width="3.625" style="29" customWidth="1"/>
    <col min="2818" max="2818" width="5" style="29" customWidth="1"/>
    <col min="2819" max="2819" width="3.75" style="29" customWidth="1"/>
    <col min="2820" max="2820" width="4.5" style="29" customWidth="1"/>
    <col min="2821" max="2821" width="5" style="29" customWidth="1"/>
    <col min="2822" max="2822" width="4.375" style="29" customWidth="1"/>
    <col min="2823" max="2823" width="5.75" style="29" customWidth="1"/>
    <col min="2824" max="2824" width="5.5" style="29" customWidth="1"/>
    <col min="2825" max="2825" width="5" style="29" customWidth="1"/>
    <col min="2826" max="2826" width="4.125" style="29" customWidth="1"/>
    <col min="2827" max="2827" width="5.5" style="29" customWidth="1"/>
    <col min="2828" max="2828" width="4.375" style="29" customWidth="1"/>
    <col min="2829" max="2829" width="6.25" style="29" customWidth="1"/>
    <col min="2830" max="2830" width="4.5" style="29" customWidth="1"/>
    <col min="2831" max="2831" width="5.5" style="29" customWidth="1"/>
    <col min="2832" max="2832" width="4.5" style="29" customWidth="1"/>
    <col min="2833" max="2833" width="8.75" style="29"/>
    <col min="2834" max="2834" width="4.5" style="29" customWidth="1"/>
    <col min="2835" max="2835" width="3.75" style="29" customWidth="1"/>
    <col min="2836" max="2836" width="3.625" style="29" customWidth="1"/>
    <col min="2837" max="2837" width="4.625" style="29" customWidth="1"/>
    <col min="2838" max="2838" width="5" style="29" customWidth="1"/>
    <col min="2839" max="2839" width="5.5" style="29" customWidth="1"/>
    <col min="2840" max="2840" width="3.875" style="29" customWidth="1"/>
    <col min="2841" max="2841" width="5.25" style="29" customWidth="1"/>
    <col min="2842" max="2842" width="4.5" style="29" customWidth="1"/>
    <col min="2843" max="2843" width="4.125" style="29" customWidth="1"/>
    <col min="2844" max="2844" width="3.625" style="29" customWidth="1"/>
    <col min="2845" max="2845" width="4.375" style="29" customWidth="1"/>
    <col min="2846" max="3072" width="8.75" style="29"/>
    <col min="3073" max="3073" width="3.625" style="29" customWidth="1"/>
    <col min="3074" max="3074" width="5" style="29" customWidth="1"/>
    <col min="3075" max="3075" width="3.75" style="29" customWidth="1"/>
    <col min="3076" max="3076" width="4.5" style="29" customWidth="1"/>
    <col min="3077" max="3077" width="5" style="29" customWidth="1"/>
    <col min="3078" max="3078" width="4.375" style="29" customWidth="1"/>
    <col min="3079" max="3079" width="5.75" style="29" customWidth="1"/>
    <col min="3080" max="3080" width="5.5" style="29" customWidth="1"/>
    <col min="3081" max="3081" width="5" style="29" customWidth="1"/>
    <col min="3082" max="3082" width="4.125" style="29" customWidth="1"/>
    <col min="3083" max="3083" width="5.5" style="29" customWidth="1"/>
    <col min="3084" max="3084" width="4.375" style="29" customWidth="1"/>
    <col min="3085" max="3085" width="6.25" style="29" customWidth="1"/>
    <col min="3086" max="3086" width="4.5" style="29" customWidth="1"/>
    <col min="3087" max="3087" width="5.5" style="29" customWidth="1"/>
    <col min="3088" max="3088" width="4.5" style="29" customWidth="1"/>
    <col min="3089" max="3089" width="8.75" style="29"/>
    <col min="3090" max="3090" width="4.5" style="29" customWidth="1"/>
    <col min="3091" max="3091" width="3.75" style="29" customWidth="1"/>
    <col min="3092" max="3092" width="3.625" style="29" customWidth="1"/>
    <col min="3093" max="3093" width="4.625" style="29" customWidth="1"/>
    <col min="3094" max="3094" width="5" style="29" customWidth="1"/>
    <col min="3095" max="3095" width="5.5" style="29" customWidth="1"/>
    <col min="3096" max="3096" width="3.875" style="29" customWidth="1"/>
    <col min="3097" max="3097" width="5.25" style="29" customWidth="1"/>
    <col min="3098" max="3098" width="4.5" style="29" customWidth="1"/>
    <col min="3099" max="3099" width="4.125" style="29" customWidth="1"/>
    <col min="3100" max="3100" width="3.625" style="29" customWidth="1"/>
    <col min="3101" max="3101" width="4.375" style="29" customWidth="1"/>
    <col min="3102" max="3328" width="8.75" style="29"/>
    <col min="3329" max="3329" width="3.625" style="29" customWidth="1"/>
    <col min="3330" max="3330" width="5" style="29" customWidth="1"/>
    <col min="3331" max="3331" width="3.75" style="29" customWidth="1"/>
    <col min="3332" max="3332" width="4.5" style="29" customWidth="1"/>
    <col min="3333" max="3333" width="5" style="29" customWidth="1"/>
    <col min="3334" max="3334" width="4.375" style="29" customWidth="1"/>
    <col min="3335" max="3335" width="5.75" style="29" customWidth="1"/>
    <col min="3336" max="3336" width="5.5" style="29" customWidth="1"/>
    <col min="3337" max="3337" width="5" style="29" customWidth="1"/>
    <col min="3338" max="3338" width="4.125" style="29" customWidth="1"/>
    <col min="3339" max="3339" width="5.5" style="29" customWidth="1"/>
    <col min="3340" max="3340" width="4.375" style="29" customWidth="1"/>
    <col min="3341" max="3341" width="6.25" style="29" customWidth="1"/>
    <col min="3342" max="3342" width="4.5" style="29" customWidth="1"/>
    <col min="3343" max="3343" width="5.5" style="29" customWidth="1"/>
    <col min="3344" max="3344" width="4.5" style="29" customWidth="1"/>
    <col min="3345" max="3345" width="8.75" style="29"/>
    <col min="3346" max="3346" width="4.5" style="29" customWidth="1"/>
    <col min="3347" max="3347" width="3.75" style="29" customWidth="1"/>
    <col min="3348" max="3348" width="3.625" style="29" customWidth="1"/>
    <col min="3349" max="3349" width="4.625" style="29" customWidth="1"/>
    <col min="3350" max="3350" width="5" style="29" customWidth="1"/>
    <col min="3351" max="3351" width="5.5" style="29" customWidth="1"/>
    <col min="3352" max="3352" width="3.875" style="29" customWidth="1"/>
    <col min="3353" max="3353" width="5.25" style="29" customWidth="1"/>
    <col min="3354" max="3354" width="4.5" style="29" customWidth="1"/>
    <col min="3355" max="3355" width="4.125" style="29" customWidth="1"/>
    <col min="3356" max="3356" width="3.625" style="29" customWidth="1"/>
    <col min="3357" max="3357" width="4.375" style="29" customWidth="1"/>
    <col min="3358" max="3584" width="8.75" style="29"/>
    <col min="3585" max="3585" width="3.625" style="29" customWidth="1"/>
    <col min="3586" max="3586" width="5" style="29" customWidth="1"/>
    <col min="3587" max="3587" width="3.75" style="29" customWidth="1"/>
    <col min="3588" max="3588" width="4.5" style="29" customWidth="1"/>
    <col min="3589" max="3589" width="5" style="29" customWidth="1"/>
    <col min="3590" max="3590" width="4.375" style="29" customWidth="1"/>
    <col min="3591" max="3591" width="5.75" style="29" customWidth="1"/>
    <col min="3592" max="3592" width="5.5" style="29" customWidth="1"/>
    <col min="3593" max="3593" width="5" style="29" customWidth="1"/>
    <col min="3594" max="3594" width="4.125" style="29" customWidth="1"/>
    <col min="3595" max="3595" width="5.5" style="29" customWidth="1"/>
    <col min="3596" max="3596" width="4.375" style="29" customWidth="1"/>
    <col min="3597" max="3597" width="6.25" style="29" customWidth="1"/>
    <col min="3598" max="3598" width="4.5" style="29" customWidth="1"/>
    <col min="3599" max="3599" width="5.5" style="29" customWidth="1"/>
    <col min="3600" max="3600" width="4.5" style="29" customWidth="1"/>
    <col min="3601" max="3601" width="8.75" style="29"/>
    <col min="3602" max="3602" width="4.5" style="29" customWidth="1"/>
    <col min="3603" max="3603" width="3.75" style="29" customWidth="1"/>
    <col min="3604" max="3604" width="3.625" style="29" customWidth="1"/>
    <col min="3605" max="3605" width="4.625" style="29" customWidth="1"/>
    <col min="3606" max="3606" width="5" style="29" customWidth="1"/>
    <col min="3607" max="3607" width="5.5" style="29" customWidth="1"/>
    <col min="3608" max="3608" width="3.875" style="29" customWidth="1"/>
    <col min="3609" max="3609" width="5.25" style="29" customWidth="1"/>
    <col min="3610" max="3610" width="4.5" style="29" customWidth="1"/>
    <col min="3611" max="3611" width="4.125" style="29" customWidth="1"/>
    <col min="3612" max="3612" width="3.625" style="29" customWidth="1"/>
    <col min="3613" max="3613" width="4.375" style="29" customWidth="1"/>
    <col min="3614" max="3840" width="8.75" style="29"/>
    <col min="3841" max="3841" width="3.625" style="29" customWidth="1"/>
    <col min="3842" max="3842" width="5" style="29" customWidth="1"/>
    <col min="3843" max="3843" width="3.75" style="29" customWidth="1"/>
    <col min="3844" max="3844" width="4.5" style="29" customWidth="1"/>
    <col min="3845" max="3845" width="5" style="29" customWidth="1"/>
    <col min="3846" max="3846" width="4.375" style="29" customWidth="1"/>
    <col min="3847" max="3847" width="5.75" style="29" customWidth="1"/>
    <col min="3848" max="3848" width="5.5" style="29" customWidth="1"/>
    <col min="3849" max="3849" width="5" style="29" customWidth="1"/>
    <col min="3850" max="3850" width="4.125" style="29" customWidth="1"/>
    <col min="3851" max="3851" width="5.5" style="29" customWidth="1"/>
    <col min="3852" max="3852" width="4.375" style="29" customWidth="1"/>
    <col min="3853" max="3853" width="6.25" style="29" customWidth="1"/>
    <col min="3854" max="3854" width="4.5" style="29" customWidth="1"/>
    <col min="3855" max="3855" width="5.5" style="29" customWidth="1"/>
    <col min="3856" max="3856" width="4.5" style="29" customWidth="1"/>
    <col min="3857" max="3857" width="8.75" style="29"/>
    <col min="3858" max="3858" width="4.5" style="29" customWidth="1"/>
    <col min="3859" max="3859" width="3.75" style="29" customWidth="1"/>
    <col min="3860" max="3860" width="3.625" style="29" customWidth="1"/>
    <col min="3861" max="3861" width="4.625" style="29" customWidth="1"/>
    <col min="3862" max="3862" width="5" style="29" customWidth="1"/>
    <col min="3863" max="3863" width="5.5" style="29" customWidth="1"/>
    <col min="3864" max="3864" width="3.875" style="29" customWidth="1"/>
    <col min="3865" max="3865" width="5.25" style="29" customWidth="1"/>
    <col min="3866" max="3866" width="4.5" style="29" customWidth="1"/>
    <col min="3867" max="3867" width="4.125" style="29" customWidth="1"/>
    <col min="3868" max="3868" width="3.625" style="29" customWidth="1"/>
    <col min="3869" max="3869" width="4.375" style="29" customWidth="1"/>
    <col min="3870" max="4096" width="8.75" style="29"/>
    <col min="4097" max="4097" width="3.625" style="29" customWidth="1"/>
    <col min="4098" max="4098" width="5" style="29" customWidth="1"/>
    <col min="4099" max="4099" width="3.75" style="29" customWidth="1"/>
    <col min="4100" max="4100" width="4.5" style="29" customWidth="1"/>
    <col min="4101" max="4101" width="5" style="29" customWidth="1"/>
    <col min="4102" max="4102" width="4.375" style="29" customWidth="1"/>
    <col min="4103" max="4103" width="5.75" style="29" customWidth="1"/>
    <col min="4104" max="4104" width="5.5" style="29" customWidth="1"/>
    <col min="4105" max="4105" width="5" style="29" customWidth="1"/>
    <col min="4106" max="4106" width="4.125" style="29" customWidth="1"/>
    <col min="4107" max="4107" width="5.5" style="29" customWidth="1"/>
    <col min="4108" max="4108" width="4.375" style="29" customWidth="1"/>
    <col min="4109" max="4109" width="6.25" style="29" customWidth="1"/>
    <col min="4110" max="4110" width="4.5" style="29" customWidth="1"/>
    <col min="4111" max="4111" width="5.5" style="29" customWidth="1"/>
    <col min="4112" max="4112" width="4.5" style="29" customWidth="1"/>
    <col min="4113" max="4113" width="8.75" style="29"/>
    <col min="4114" max="4114" width="4.5" style="29" customWidth="1"/>
    <col min="4115" max="4115" width="3.75" style="29" customWidth="1"/>
    <col min="4116" max="4116" width="3.625" style="29" customWidth="1"/>
    <col min="4117" max="4117" width="4.625" style="29" customWidth="1"/>
    <col min="4118" max="4118" width="5" style="29" customWidth="1"/>
    <col min="4119" max="4119" width="5.5" style="29" customWidth="1"/>
    <col min="4120" max="4120" width="3.875" style="29" customWidth="1"/>
    <col min="4121" max="4121" width="5.25" style="29" customWidth="1"/>
    <col min="4122" max="4122" width="4.5" style="29" customWidth="1"/>
    <col min="4123" max="4123" width="4.125" style="29" customWidth="1"/>
    <col min="4124" max="4124" width="3.625" style="29" customWidth="1"/>
    <col min="4125" max="4125" width="4.375" style="29" customWidth="1"/>
    <col min="4126" max="4352" width="8.75" style="29"/>
    <col min="4353" max="4353" width="3.625" style="29" customWidth="1"/>
    <col min="4354" max="4354" width="5" style="29" customWidth="1"/>
    <col min="4355" max="4355" width="3.75" style="29" customWidth="1"/>
    <col min="4356" max="4356" width="4.5" style="29" customWidth="1"/>
    <col min="4357" max="4357" width="5" style="29" customWidth="1"/>
    <col min="4358" max="4358" width="4.375" style="29" customWidth="1"/>
    <col min="4359" max="4359" width="5.75" style="29" customWidth="1"/>
    <col min="4360" max="4360" width="5.5" style="29" customWidth="1"/>
    <col min="4361" max="4361" width="5" style="29" customWidth="1"/>
    <col min="4362" max="4362" width="4.125" style="29" customWidth="1"/>
    <col min="4363" max="4363" width="5.5" style="29" customWidth="1"/>
    <col min="4364" max="4364" width="4.375" style="29" customWidth="1"/>
    <col min="4365" max="4365" width="6.25" style="29" customWidth="1"/>
    <col min="4366" max="4366" width="4.5" style="29" customWidth="1"/>
    <col min="4367" max="4367" width="5.5" style="29" customWidth="1"/>
    <col min="4368" max="4368" width="4.5" style="29" customWidth="1"/>
    <col min="4369" max="4369" width="8.75" style="29"/>
    <col min="4370" max="4370" width="4.5" style="29" customWidth="1"/>
    <col min="4371" max="4371" width="3.75" style="29" customWidth="1"/>
    <col min="4372" max="4372" width="3.625" style="29" customWidth="1"/>
    <col min="4373" max="4373" width="4.625" style="29" customWidth="1"/>
    <col min="4374" max="4374" width="5" style="29" customWidth="1"/>
    <col min="4375" max="4375" width="5.5" style="29" customWidth="1"/>
    <col min="4376" max="4376" width="3.875" style="29" customWidth="1"/>
    <col min="4377" max="4377" width="5.25" style="29" customWidth="1"/>
    <col min="4378" max="4378" width="4.5" style="29" customWidth="1"/>
    <col min="4379" max="4379" width="4.125" style="29" customWidth="1"/>
    <col min="4380" max="4380" width="3.625" style="29" customWidth="1"/>
    <col min="4381" max="4381" width="4.375" style="29" customWidth="1"/>
    <col min="4382" max="4608" width="8.75" style="29"/>
    <col min="4609" max="4609" width="3.625" style="29" customWidth="1"/>
    <col min="4610" max="4610" width="5" style="29" customWidth="1"/>
    <col min="4611" max="4611" width="3.75" style="29" customWidth="1"/>
    <col min="4612" max="4612" width="4.5" style="29" customWidth="1"/>
    <col min="4613" max="4613" width="5" style="29" customWidth="1"/>
    <col min="4614" max="4614" width="4.375" style="29" customWidth="1"/>
    <col min="4615" max="4615" width="5.75" style="29" customWidth="1"/>
    <col min="4616" max="4616" width="5.5" style="29" customWidth="1"/>
    <col min="4617" max="4617" width="5" style="29" customWidth="1"/>
    <col min="4618" max="4618" width="4.125" style="29" customWidth="1"/>
    <col min="4619" max="4619" width="5.5" style="29" customWidth="1"/>
    <col min="4620" max="4620" width="4.375" style="29" customWidth="1"/>
    <col min="4621" max="4621" width="6.25" style="29" customWidth="1"/>
    <col min="4622" max="4622" width="4.5" style="29" customWidth="1"/>
    <col min="4623" max="4623" width="5.5" style="29" customWidth="1"/>
    <col min="4624" max="4624" width="4.5" style="29" customWidth="1"/>
    <col min="4625" max="4625" width="8.75" style="29"/>
    <col min="4626" max="4626" width="4.5" style="29" customWidth="1"/>
    <col min="4627" max="4627" width="3.75" style="29" customWidth="1"/>
    <col min="4628" max="4628" width="3.625" style="29" customWidth="1"/>
    <col min="4629" max="4629" width="4.625" style="29" customWidth="1"/>
    <col min="4630" max="4630" width="5" style="29" customWidth="1"/>
    <col min="4631" max="4631" width="5.5" style="29" customWidth="1"/>
    <col min="4632" max="4632" width="3.875" style="29" customWidth="1"/>
    <col min="4633" max="4633" width="5.25" style="29" customWidth="1"/>
    <col min="4634" max="4634" width="4.5" style="29" customWidth="1"/>
    <col min="4635" max="4635" width="4.125" style="29" customWidth="1"/>
    <col min="4636" max="4636" width="3.625" style="29" customWidth="1"/>
    <col min="4637" max="4637" width="4.375" style="29" customWidth="1"/>
    <col min="4638" max="4864" width="8.75" style="29"/>
    <col min="4865" max="4865" width="3.625" style="29" customWidth="1"/>
    <col min="4866" max="4866" width="5" style="29" customWidth="1"/>
    <col min="4867" max="4867" width="3.75" style="29" customWidth="1"/>
    <col min="4868" max="4868" width="4.5" style="29" customWidth="1"/>
    <col min="4869" max="4869" width="5" style="29" customWidth="1"/>
    <col min="4870" max="4870" width="4.375" style="29" customWidth="1"/>
    <col min="4871" max="4871" width="5.75" style="29" customWidth="1"/>
    <col min="4872" max="4872" width="5.5" style="29" customWidth="1"/>
    <col min="4873" max="4873" width="5" style="29" customWidth="1"/>
    <col min="4874" max="4874" width="4.125" style="29" customWidth="1"/>
    <col min="4875" max="4875" width="5.5" style="29" customWidth="1"/>
    <col min="4876" max="4876" width="4.375" style="29" customWidth="1"/>
    <col min="4877" max="4877" width="6.25" style="29" customWidth="1"/>
    <col min="4878" max="4878" width="4.5" style="29" customWidth="1"/>
    <col min="4879" max="4879" width="5.5" style="29" customWidth="1"/>
    <col min="4880" max="4880" width="4.5" style="29" customWidth="1"/>
    <col min="4881" max="4881" width="8.75" style="29"/>
    <col min="4882" max="4882" width="4.5" style="29" customWidth="1"/>
    <col min="4883" max="4883" width="3.75" style="29" customWidth="1"/>
    <col min="4884" max="4884" width="3.625" style="29" customWidth="1"/>
    <col min="4885" max="4885" width="4.625" style="29" customWidth="1"/>
    <col min="4886" max="4886" width="5" style="29" customWidth="1"/>
    <col min="4887" max="4887" width="5.5" style="29" customWidth="1"/>
    <col min="4888" max="4888" width="3.875" style="29" customWidth="1"/>
    <col min="4889" max="4889" width="5.25" style="29" customWidth="1"/>
    <col min="4890" max="4890" width="4.5" style="29" customWidth="1"/>
    <col min="4891" max="4891" width="4.125" style="29" customWidth="1"/>
    <col min="4892" max="4892" width="3.625" style="29" customWidth="1"/>
    <col min="4893" max="4893" width="4.375" style="29" customWidth="1"/>
    <col min="4894" max="5120" width="8.75" style="29"/>
    <col min="5121" max="5121" width="3.625" style="29" customWidth="1"/>
    <col min="5122" max="5122" width="5" style="29" customWidth="1"/>
    <col min="5123" max="5123" width="3.75" style="29" customWidth="1"/>
    <col min="5124" max="5124" width="4.5" style="29" customWidth="1"/>
    <col min="5125" max="5125" width="5" style="29" customWidth="1"/>
    <col min="5126" max="5126" width="4.375" style="29" customWidth="1"/>
    <col min="5127" max="5127" width="5.75" style="29" customWidth="1"/>
    <col min="5128" max="5128" width="5.5" style="29" customWidth="1"/>
    <col min="5129" max="5129" width="5" style="29" customWidth="1"/>
    <col min="5130" max="5130" width="4.125" style="29" customWidth="1"/>
    <col min="5131" max="5131" width="5.5" style="29" customWidth="1"/>
    <col min="5132" max="5132" width="4.375" style="29" customWidth="1"/>
    <col min="5133" max="5133" width="6.25" style="29" customWidth="1"/>
    <col min="5134" max="5134" width="4.5" style="29" customWidth="1"/>
    <col min="5135" max="5135" width="5.5" style="29" customWidth="1"/>
    <col min="5136" max="5136" width="4.5" style="29" customWidth="1"/>
    <col min="5137" max="5137" width="8.75" style="29"/>
    <col min="5138" max="5138" width="4.5" style="29" customWidth="1"/>
    <col min="5139" max="5139" width="3.75" style="29" customWidth="1"/>
    <col min="5140" max="5140" width="3.625" style="29" customWidth="1"/>
    <col min="5141" max="5141" width="4.625" style="29" customWidth="1"/>
    <col min="5142" max="5142" width="5" style="29" customWidth="1"/>
    <col min="5143" max="5143" width="5.5" style="29" customWidth="1"/>
    <col min="5144" max="5144" width="3.875" style="29" customWidth="1"/>
    <col min="5145" max="5145" width="5.25" style="29" customWidth="1"/>
    <col min="5146" max="5146" width="4.5" style="29" customWidth="1"/>
    <col min="5147" max="5147" width="4.125" style="29" customWidth="1"/>
    <col min="5148" max="5148" width="3.625" style="29" customWidth="1"/>
    <col min="5149" max="5149" width="4.375" style="29" customWidth="1"/>
    <col min="5150" max="5376" width="8.75" style="29"/>
    <col min="5377" max="5377" width="3.625" style="29" customWidth="1"/>
    <col min="5378" max="5378" width="5" style="29" customWidth="1"/>
    <col min="5379" max="5379" width="3.75" style="29" customWidth="1"/>
    <col min="5380" max="5380" width="4.5" style="29" customWidth="1"/>
    <col min="5381" max="5381" width="5" style="29" customWidth="1"/>
    <col min="5382" max="5382" width="4.375" style="29" customWidth="1"/>
    <col min="5383" max="5383" width="5.75" style="29" customWidth="1"/>
    <col min="5384" max="5384" width="5.5" style="29" customWidth="1"/>
    <col min="5385" max="5385" width="5" style="29" customWidth="1"/>
    <col min="5386" max="5386" width="4.125" style="29" customWidth="1"/>
    <col min="5387" max="5387" width="5.5" style="29" customWidth="1"/>
    <col min="5388" max="5388" width="4.375" style="29" customWidth="1"/>
    <col min="5389" max="5389" width="6.25" style="29" customWidth="1"/>
    <col min="5390" max="5390" width="4.5" style="29" customWidth="1"/>
    <col min="5391" max="5391" width="5.5" style="29" customWidth="1"/>
    <col min="5392" max="5392" width="4.5" style="29" customWidth="1"/>
    <col min="5393" max="5393" width="8.75" style="29"/>
    <col min="5394" max="5394" width="4.5" style="29" customWidth="1"/>
    <col min="5395" max="5395" width="3.75" style="29" customWidth="1"/>
    <col min="5396" max="5396" width="3.625" style="29" customWidth="1"/>
    <col min="5397" max="5397" width="4.625" style="29" customWidth="1"/>
    <col min="5398" max="5398" width="5" style="29" customWidth="1"/>
    <col min="5399" max="5399" width="5.5" style="29" customWidth="1"/>
    <col min="5400" max="5400" width="3.875" style="29" customWidth="1"/>
    <col min="5401" max="5401" width="5.25" style="29" customWidth="1"/>
    <col min="5402" max="5402" width="4.5" style="29" customWidth="1"/>
    <col min="5403" max="5403" width="4.125" style="29" customWidth="1"/>
    <col min="5404" max="5404" width="3.625" style="29" customWidth="1"/>
    <col min="5405" max="5405" width="4.375" style="29" customWidth="1"/>
    <col min="5406" max="5632" width="8.75" style="29"/>
    <col min="5633" max="5633" width="3.625" style="29" customWidth="1"/>
    <col min="5634" max="5634" width="5" style="29" customWidth="1"/>
    <col min="5635" max="5635" width="3.75" style="29" customWidth="1"/>
    <col min="5636" max="5636" width="4.5" style="29" customWidth="1"/>
    <col min="5637" max="5637" width="5" style="29" customWidth="1"/>
    <col min="5638" max="5638" width="4.375" style="29" customWidth="1"/>
    <col min="5639" max="5639" width="5.75" style="29" customWidth="1"/>
    <col min="5640" max="5640" width="5.5" style="29" customWidth="1"/>
    <col min="5641" max="5641" width="5" style="29" customWidth="1"/>
    <col min="5642" max="5642" width="4.125" style="29" customWidth="1"/>
    <col min="5643" max="5643" width="5.5" style="29" customWidth="1"/>
    <col min="5644" max="5644" width="4.375" style="29" customWidth="1"/>
    <col min="5645" max="5645" width="6.25" style="29" customWidth="1"/>
    <col min="5646" max="5646" width="4.5" style="29" customWidth="1"/>
    <col min="5647" max="5647" width="5.5" style="29" customWidth="1"/>
    <col min="5648" max="5648" width="4.5" style="29" customWidth="1"/>
    <col min="5649" max="5649" width="8.75" style="29"/>
    <col min="5650" max="5650" width="4.5" style="29" customWidth="1"/>
    <col min="5651" max="5651" width="3.75" style="29" customWidth="1"/>
    <col min="5652" max="5652" width="3.625" style="29" customWidth="1"/>
    <col min="5653" max="5653" width="4.625" style="29" customWidth="1"/>
    <col min="5654" max="5654" width="5" style="29" customWidth="1"/>
    <col min="5655" max="5655" width="5.5" style="29" customWidth="1"/>
    <col min="5656" max="5656" width="3.875" style="29" customWidth="1"/>
    <col min="5657" max="5657" width="5.25" style="29" customWidth="1"/>
    <col min="5658" max="5658" width="4.5" style="29" customWidth="1"/>
    <col min="5659" max="5659" width="4.125" style="29" customWidth="1"/>
    <col min="5660" max="5660" width="3.625" style="29" customWidth="1"/>
    <col min="5661" max="5661" width="4.375" style="29" customWidth="1"/>
    <col min="5662" max="5888" width="8.75" style="29"/>
    <col min="5889" max="5889" width="3.625" style="29" customWidth="1"/>
    <col min="5890" max="5890" width="5" style="29" customWidth="1"/>
    <col min="5891" max="5891" width="3.75" style="29" customWidth="1"/>
    <col min="5892" max="5892" width="4.5" style="29" customWidth="1"/>
    <col min="5893" max="5893" width="5" style="29" customWidth="1"/>
    <col min="5894" max="5894" width="4.375" style="29" customWidth="1"/>
    <col min="5895" max="5895" width="5.75" style="29" customWidth="1"/>
    <col min="5896" max="5896" width="5.5" style="29" customWidth="1"/>
    <col min="5897" max="5897" width="5" style="29" customWidth="1"/>
    <col min="5898" max="5898" width="4.125" style="29" customWidth="1"/>
    <col min="5899" max="5899" width="5.5" style="29" customWidth="1"/>
    <col min="5900" max="5900" width="4.375" style="29" customWidth="1"/>
    <col min="5901" max="5901" width="6.25" style="29" customWidth="1"/>
    <col min="5902" max="5902" width="4.5" style="29" customWidth="1"/>
    <col min="5903" max="5903" width="5.5" style="29" customWidth="1"/>
    <col min="5904" max="5904" width="4.5" style="29" customWidth="1"/>
    <col min="5905" max="5905" width="8.75" style="29"/>
    <col min="5906" max="5906" width="4.5" style="29" customWidth="1"/>
    <col min="5907" max="5907" width="3.75" style="29" customWidth="1"/>
    <col min="5908" max="5908" width="3.625" style="29" customWidth="1"/>
    <col min="5909" max="5909" width="4.625" style="29" customWidth="1"/>
    <col min="5910" max="5910" width="5" style="29" customWidth="1"/>
    <col min="5911" max="5911" width="5.5" style="29" customWidth="1"/>
    <col min="5912" max="5912" width="3.875" style="29" customWidth="1"/>
    <col min="5913" max="5913" width="5.25" style="29" customWidth="1"/>
    <col min="5914" max="5914" width="4.5" style="29" customWidth="1"/>
    <col min="5915" max="5915" width="4.125" style="29" customWidth="1"/>
    <col min="5916" max="5916" width="3.625" style="29" customWidth="1"/>
    <col min="5917" max="5917" width="4.375" style="29" customWidth="1"/>
    <col min="5918" max="6144" width="8.75" style="29"/>
    <col min="6145" max="6145" width="3.625" style="29" customWidth="1"/>
    <col min="6146" max="6146" width="5" style="29" customWidth="1"/>
    <col min="6147" max="6147" width="3.75" style="29" customWidth="1"/>
    <col min="6148" max="6148" width="4.5" style="29" customWidth="1"/>
    <col min="6149" max="6149" width="5" style="29" customWidth="1"/>
    <col min="6150" max="6150" width="4.375" style="29" customWidth="1"/>
    <col min="6151" max="6151" width="5.75" style="29" customWidth="1"/>
    <col min="6152" max="6152" width="5.5" style="29" customWidth="1"/>
    <col min="6153" max="6153" width="5" style="29" customWidth="1"/>
    <col min="6154" max="6154" width="4.125" style="29" customWidth="1"/>
    <col min="6155" max="6155" width="5.5" style="29" customWidth="1"/>
    <col min="6156" max="6156" width="4.375" style="29" customWidth="1"/>
    <col min="6157" max="6157" width="6.25" style="29" customWidth="1"/>
    <col min="6158" max="6158" width="4.5" style="29" customWidth="1"/>
    <col min="6159" max="6159" width="5.5" style="29" customWidth="1"/>
    <col min="6160" max="6160" width="4.5" style="29" customWidth="1"/>
    <col min="6161" max="6161" width="8.75" style="29"/>
    <col min="6162" max="6162" width="4.5" style="29" customWidth="1"/>
    <col min="6163" max="6163" width="3.75" style="29" customWidth="1"/>
    <col min="6164" max="6164" width="3.625" style="29" customWidth="1"/>
    <col min="6165" max="6165" width="4.625" style="29" customWidth="1"/>
    <col min="6166" max="6166" width="5" style="29" customWidth="1"/>
    <col min="6167" max="6167" width="5.5" style="29" customWidth="1"/>
    <col min="6168" max="6168" width="3.875" style="29" customWidth="1"/>
    <col min="6169" max="6169" width="5.25" style="29" customWidth="1"/>
    <col min="6170" max="6170" width="4.5" style="29" customWidth="1"/>
    <col min="6171" max="6171" width="4.125" style="29" customWidth="1"/>
    <col min="6172" max="6172" width="3.625" style="29" customWidth="1"/>
    <col min="6173" max="6173" width="4.375" style="29" customWidth="1"/>
    <col min="6174" max="6400" width="8.75" style="29"/>
    <col min="6401" max="6401" width="3.625" style="29" customWidth="1"/>
    <col min="6402" max="6402" width="5" style="29" customWidth="1"/>
    <col min="6403" max="6403" width="3.75" style="29" customWidth="1"/>
    <col min="6404" max="6404" width="4.5" style="29" customWidth="1"/>
    <col min="6405" max="6405" width="5" style="29" customWidth="1"/>
    <col min="6406" max="6406" width="4.375" style="29" customWidth="1"/>
    <col min="6407" max="6407" width="5.75" style="29" customWidth="1"/>
    <col min="6408" max="6408" width="5.5" style="29" customWidth="1"/>
    <col min="6409" max="6409" width="5" style="29" customWidth="1"/>
    <col min="6410" max="6410" width="4.125" style="29" customWidth="1"/>
    <col min="6411" max="6411" width="5.5" style="29" customWidth="1"/>
    <col min="6412" max="6412" width="4.375" style="29" customWidth="1"/>
    <col min="6413" max="6413" width="6.25" style="29" customWidth="1"/>
    <col min="6414" max="6414" width="4.5" style="29" customWidth="1"/>
    <col min="6415" max="6415" width="5.5" style="29" customWidth="1"/>
    <col min="6416" max="6416" width="4.5" style="29" customWidth="1"/>
    <col min="6417" max="6417" width="8.75" style="29"/>
    <col min="6418" max="6418" width="4.5" style="29" customWidth="1"/>
    <col min="6419" max="6419" width="3.75" style="29" customWidth="1"/>
    <col min="6420" max="6420" width="3.625" style="29" customWidth="1"/>
    <col min="6421" max="6421" width="4.625" style="29" customWidth="1"/>
    <col min="6422" max="6422" width="5" style="29" customWidth="1"/>
    <col min="6423" max="6423" width="5.5" style="29" customWidth="1"/>
    <col min="6424" max="6424" width="3.875" style="29" customWidth="1"/>
    <col min="6425" max="6425" width="5.25" style="29" customWidth="1"/>
    <col min="6426" max="6426" width="4.5" style="29" customWidth="1"/>
    <col min="6427" max="6427" width="4.125" style="29" customWidth="1"/>
    <col min="6428" max="6428" width="3.625" style="29" customWidth="1"/>
    <col min="6429" max="6429" width="4.375" style="29" customWidth="1"/>
    <col min="6430" max="6656" width="8.75" style="29"/>
    <col min="6657" max="6657" width="3.625" style="29" customWidth="1"/>
    <col min="6658" max="6658" width="5" style="29" customWidth="1"/>
    <col min="6659" max="6659" width="3.75" style="29" customWidth="1"/>
    <col min="6660" max="6660" width="4.5" style="29" customWidth="1"/>
    <col min="6661" max="6661" width="5" style="29" customWidth="1"/>
    <col min="6662" max="6662" width="4.375" style="29" customWidth="1"/>
    <col min="6663" max="6663" width="5.75" style="29" customWidth="1"/>
    <col min="6664" max="6664" width="5.5" style="29" customWidth="1"/>
    <col min="6665" max="6665" width="5" style="29" customWidth="1"/>
    <col min="6666" max="6666" width="4.125" style="29" customWidth="1"/>
    <col min="6667" max="6667" width="5.5" style="29" customWidth="1"/>
    <col min="6668" max="6668" width="4.375" style="29" customWidth="1"/>
    <col min="6669" max="6669" width="6.25" style="29" customWidth="1"/>
    <col min="6670" max="6670" width="4.5" style="29" customWidth="1"/>
    <col min="6671" max="6671" width="5.5" style="29" customWidth="1"/>
    <col min="6672" max="6672" width="4.5" style="29" customWidth="1"/>
    <col min="6673" max="6673" width="8.75" style="29"/>
    <col min="6674" max="6674" width="4.5" style="29" customWidth="1"/>
    <col min="6675" max="6675" width="3.75" style="29" customWidth="1"/>
    <col min="6676" max="6676" width="3.625" style="29" customWidth="1"/>
    <col min="6677" max="6677" width="4.625" style="29" customWidth="1"/>
    <col min="6678" max="6678" width="5" style="29" customWidth="1"/>
    <col min="6679" max="6679" width="5.5" style="29" customWidth="1"/>
    <col min="6680" max="6680" width="3.875" style="29" customWidth="1"/>
    <col min="6681" max="6681" width="5.25" style="29" customWidth="1"/>
    <col min="6682" max="6682" width="4.5" style="29" customWidth="1"/>
    <col min="6683" max="6683" width="4.125" style="29" customWidth="1"/>
    <col min="6684" max="6684" width="3.625" style="29" customWidth="1"/>
    <col min="6685" max="6685" width="4.375" style="29" customWidth="1"/>
    <col min="6686" max="6912" width="8.75" style="29"/>
    <col min="6913" max="6913" width="3.625" style="29" customWidth="1"/>
    <col min="6914" max="6914" width="5" style="29" customWidth="1"/>
    <col min="6915" max="6915" width="3.75" style="29" customWidth="1"/>
    <col min="6916" max="6916" width="4.5" style="29" customWidth="1"/>
    <col min="6917" max="6917" width="5" style="29" customWidth="1"/>
    <col min="6918" max="6918" width="4.375" style="29" customWidth="1"/>
    <col min="6919" max="6919" width="5.75" style="29" customWidth="1"/>
    <col min="6920" max="6920" width="5.5" style="29" customWidth="1"/>
    <col min="6921" max="6921" width="5" style="29" customWidth="1"/>
    <col min="6922" max="6922" width="4.125" style="29" customWidth="1"/>
    <col min="6923" max="6923" width="5.5" style="29" customWidth="1"/>
    <col min="6924" max="6924" width="4.375" style="29" customWidth="1"/>
    <col min="6925" max="6925" width="6.25" style="29" customWidth="1"/>
    <col min="6926" max="6926" width="4.5" style="29" customWidth="1"/>
    <col min="6927" max="6927" width="5.5" style="29" customWidth="1"/>
    <col min="6928" max="6928" width="4.5" style="29" customWidth="1"/>
    <col min="6929" max="6929" width="8.75" style="29"/>
    <col min="6930" max="6930" width="4.5" style="29" customWidth="1"/>
    <col min="6931" max="6931" width="3.75" style="29" customWidth="1"/>
    <col min="6932" max="6932" width="3.625" style="29" customWidth="1"/>
    <col min="6933" max="6933" width="4.625" style="29" customWidth="1"/>
    <col min="6934" max="6934" width="5" style="29" customWidth="1"/>
    <col min="6935" max="6935" width="5.5" style="29" customWidth="1"/>
    <col min="6936" max="6936" width="3.875" style="29" customWidth="1"/>
    <col min="6937" max="6937" width="5.25" style="29" customWidth="1"/>
    <col min="6938" max="6938" width="4.5" style="29" customWidth="1"/>
    <col min="6939" max="6939" width="4.125" style="29" customWidth="1"/>
    <col min="6940" max="6940" width="3.625" style="29" customWidth="1"/>
    <col min="6941" max="6941" width="4.375" style="29" customWidth="1"/>
    <col min="6942" max="7168" width="8.75" style="29"/>
    <col min="7169" max="7169" width="3.625" style="29" customWidth="1"/>
    <col min="7170" max="7170" width="5" style="29" customWidth="1"/>
    <col min="7171" max="7171" width="3.75" style="29" customWidth="1"/>
    <col min="7172" max="7172" width="4.5" style="29" customWidth="1"/>
    <col min="7173" max="7173" width="5" style="29" customWidth="1"/>
    <col min="7174" max="7174" width="4.375" style="29" customWidth="1"/>
    <col min="7175" max="7175" width="5.75" style="29" customWidth="1"/>
    <col min="7176" max="7176" width="5.5" style="29" customWidth="1"/>
    <col min="7177" max="7177" width="5" style="29" customWidth="1"/>
    <col min="7178" max="7178" width="4.125" style="29" customWidth="1"/>
    <col min="7179" max="7179" width="5.5" style="29" customWidth="1"/>
    <col min="7180" max="7180" width="4.375" style="29" customWidth="1"/>
    <col min="7181" max="7181" width="6.25" style="29" customWidth="1"/>
    <col min="7182" max="7182" width="4.5" style="29" customWidth="1"/>
    <col min="7183" max="7183" width="5.5" style="29" customWidth="1"/>
    <col min="7184" max="7184" width="4.5" style="29" customWidth="1"/>
    <col min="7185" max="7185" width="8.75" style="29"/>
    <col min="7186" max="7186" width="4.5" style="29" customWidth="1"/>
    <col min="7187" max="7187" width="3.75" style="29" customWidth="1"/>
    <col min="7188" max="7188" width="3.625" style="29" customWidth="1"/>
    <col min="7189" max="7189" width="4.625" style="29" customWidth="1"/>
    <col min="7190" max="7190" width="5" style="29" customWidth="1"/>
    <col min="7191" max="7191" width="5.5" style="29" customWidth="1"/>
    <col min="7192" max="7192" width="3.875" style="29" customWidth="1"/>
    <col min="7193" max="7193" width="5.25" style="29" customWidth="1"/>
    <col min="7194" max="7194" width="4.5" style="29" customWidth="1"/>
    <col min="7195" max="7195" width="4.125" style="29" customWidth="1"/>
    <col min="7196" max="7196" width="3.625" style="29" customWidth="1"/>
    <col min="7197" max="7197" width="4.375" style="29" customWidth="1"/>
    <col min="7198" max="7424" width="8.75" style="29"/>
    <col min="7425" max="7425" width="3.625" style="29" customWidth="1"/>
    <col min="7426" max="7426" width="5" style="29" customWidth="1"/>
    <col min="7427" max="7427" width="3.75" style="29" customWidth="1"/>
    <col min="7428" max="7428" width="4.5" style="29" customWidth="1"/>
    <col min="7429" max="7429" width="5" style="29" customWidth="1"/>
    <col min="7430" max="7430" width="4.375" style="29" customWidth="1"/>
    <col min="7431" max="7431" width="5.75" style="29" customWidth="1"/>
    <col min="7432" max="7432" width="5.5" style="29" customWidth="1"/>
    <col min="7433" max="7433" width="5" style="29" customWidth="1"/>
    <col min="7434" max="7434" width="4.125" style="29" customWidth="1"/>
    <col min="7435" max="7435" width="5.5" style="29" customWidth="1"/>
    <col min="7436" max="7436" width="4.375" style="29" customWidth="1"/>
    <col min="7437" max="7437" width="6.25" style="29" customWidth="1"/>
    <col min="7438" max="7438" width="4.5" style="29" customWidth="1"/>
    <col min="7439" max="7439" width="5.5" style="29" customWidth="1"/>
    <col min="7440" max="7440" width="4.5" style="29" customWidth="1"/>
    <col min="7441" max="7441" width="8.75" style="29"/>
    <col min="7442" max="7442" width="4.5" style="29" customWidth="1"/>
    <col min="7443" max="7443" width="3.75" style="29" customWidth="1"/>
    <col min="7444" max="7444" width="3.625" style="29" customWidth="1"/>
    <col min="7445" max="7445" width="4.625" style="29" customWidth="1"/>
    <col min="7446" max="7446" width="5" style="29" customWidth="1"/>
    <col min="7447" max="7447" width="5.5" style="29" customWidth="1"/>
    <col min="7448" max="7448" width="3.875" style="29" customWidth="1"/>
    <col min="7449" max="7449" width="5.25" style="29" customWidth="1"/>
    <col min="7450" max="7450" width="4.5" style="29" customWidth="1"/>
    <col min="7451" max="7451" width="4.125" style="29" customWidth="1"/>
    <col min="7452" max="7452" width="3.625" style="29" customWidth="1"/>
    <col min="7453" max="7453" width="4.375" style="29" customWidth="1"/>
    <col min="7454" max="7680" width="8.75" style="29"/>
    <col min="7681" max="7681" width="3.625" style="29" customWidth="1"/>
    <col min="7682" max="7682" width="5" style="29" customWidth="1"/>
    <col min="7683" max="7683" width="3.75" style="29" customWidth="1"/>
    <col min="7684" max="7684" width="4.5" style="29" customWidth="1"/>
    <col min="7685" max="7685" width="5" style="29" customWidth="1"/>
    <col min="7686" max="7686" width="4.375" style="29" customWidth="1"/>
    <col min="7687" max="7687" width="5.75" style="29" customWidth="1"/>
    <col min="7688" max="7688" width="5.5" style="29" customWidth="1"/>
    <col min="7689" max="7689" width="5" style="29" customWidth="1"/>
    <col min="7690" max="7690" width="4.125" style="29" customWidth="1"/>
    <col min="7691" max="7691" width="5.5" style="29" customWidth="1"/>
    <col min="7692" max="7692" width="4.375" style="29" customWidth="1"/>
    <col min="7693" max="7693" width="6.25" style="29" customWidth="1"/>
    <col min="7694" max="7694" width="4.5" style="29" customWidth="1"/>
    <col min="7695" max="7695" width="5.5" style="29" customWidth="1"/>
    <col min="7696" max="7696" width="4.5" style="29" customWidth="1"/>
    <col min="7697" max="7697" width="8.75" style="29"/>
    <col min="7698" max="7698" width="4.5" style="29" customWidth="1"/>
    <col min="7699" max="7699" width="3.75" style="29" customWidth="1"/>
    <col min="7700" max="7700" width="3.625" style="29" customWidth="1"/>
    <col min="7701" max="7701" width="4.625" style="29" customWidth="1"/>
    <col min="7702" max="7702" width="5" style="29" customWidth="1"/>
    <col min="7703" max="7703" width="5.5" style="29" customWidth="1"/>
    <col min="7704" max="7704" width="3.875" style="29" customWidth="1"/>
    <col min="7705" max="7705" width="5.25" style="29" customWidth="1"/>
    <col min="7706" max="7706" width="4.5" style="29" customWidth="1"/>
    <col min="7707" max="7707" width="4.125" style="29" customWidth="1"/>
    <col min="7708" max="7708" width="3.625" style="29" customWidth="1"/>
    <col min="7709" max="7709" width="4.375" style="29" customWidth="1"/>
    <col min="7710" max="7936" width="8.75" style="29"/>
    <col min="7937" max="7937" width="3.625" style="29" customWidth="1"/>
    <col min="7938" max="7938" width="5" style="29" customWidth="1"/>
    <col min="7939" max="7939" width="3.75" style="29" customWidth="1"/>
    <col min="7940" max="7940" width="4.5" style="29" customWidth="1"/>
    <col min="7941" max="7941" width="5" style="29" customWidth="1"/>
    <col min="7942" max="7942" width="4.375" style="29" customWidth="1"/>
    <col min="7943" max="7943" width="5.75" style="29" customWidth="1"/>
    <col min="7944" max="7944" width="5.5" style="29" customWidth="1"/>
    <col min="7945" max="7945" width="5" style="29" customWidth="1"/>
    <col min="7946" max="7946" width="4.125" style="29" customWidth="1"/>
    <col min="7947" max="7947" width="5.5" style="29" customWidth="1"/>
    <col min="7948" max="7948" width="4.375" style="29" customWidth="1"/>
    <col min="7949" max="7949" width="6.25" style="29" customWidth="1"/>
    <col min="7950" max="7950" width="4.5" style="29" customWidth="1"/>
    <col min="7951" max="7951" width="5.5" style="29" customWidth="1"/>
    <col min="7952" max="7952" width="4.5" style="29" customWidth="1"/>
    <col min="7953" max="7953" width="8.75" style="29"/>
    <col min="7954" max="7954" width="4.5" style="29" customWidth="1"/>
    <col min="7955" max="7955" width="3.75" style="29" customWidth="1"/>
    <col min="7956" max="7956" width="3.625" style="29" customWidth="1"/>
    <col min="7957" max="7957" width="4.625" style="29" customWidth="1"/>
    <col min="7958" max="7958" width="5" style="29" customWidth="1"/>
    <col min="7959" max="7959" width="5.5" style="29" customWidth="1"/>
    <col min="7960" max="7960" width="3.875" style="29" customWidth="1"/>
    <col min="7961" max="7961" width="5.25" style="29" customWidth="1"/>
    <col min="7962" max="7962" width="4.5" style="29" customWidth="1"/>
    <col min="7963" max="7963" width="4.125" style="29" customWidth="1"/>
    <col min="7964" max="7964" width="3.625" style="29" customWidth="1"/>
    <col min="7965" max="7965" width="4.375" style="29" customWidth="1"/>
    <col min="7966" max="8192" width="8.75" style="29"/>
    <col min="8193" max="8193" width="3.625" style="29" customWidth="1"/>
    <col min="8194" max="8194" width="5" style="29" customWidth="1"/>
    <col min="8195" max="8195" width="3.75" style="29" customWidth="1"/>
    <col min="8196" max="8196" width="4.5" style="29" customWidth="1"/>
    <col min="8197" max="8197" width="5" style="29" customWidth="1"/>
    <col min="8198" max="8198" width="4.375" style="29" customWidth="1"/>
    <col min="8199" max="8199" width="5.75" style="29" customWidth="1"/>
    <col min="8200" max="8200" width="5.5" style="29" customWidth="1"/>
    <col min="8201" max="8201" width="5" style="29" customWidth="1"/>
    <col min="8202" max="8202" width="4.125" style="29" customWidth="1"/>
    <col min="8203" max="8203" width="5.5" style="29" customWidth="1"/>
    <col min="8204" max="8204" width="4.375" style="29" customWidth="1"/>
    <col min="8205" max="8205" width="6.25" style="29" customWidth="1"/>
    <col min="8206" max="8206" width="4.5" style="29" customWidth="1"/>
    <col min="8207" max="8207" width="5.5" style="29" customWidth="1"/>
    <col min="8208" max="8208" width="4.5" style="29" customWidth="1"/>
    <col min="8209" max="8209" width="8.75" style="29"/>
    <col min="8210" max="8210" width="4.5" style="29" customWidth="1"/>
    <col min="8211" max="8211" width="3.75" style="29" customWidth="1"/>
    <col min="8212" max="8212" width="3.625" style="29" customWidth="1"/>
    <col min="8213" max="8213" width="4.625" style="29" customWidth="1"/>
    <col min="8214" max="8214" width="5" style="29" customWidth="1"/>
    <col min="8215" max="8215" width="5.5" style="29" customWidth="1"/>
    <col min="8216" max="8216" width="3.875" style="29" customWidth="1"/>
    <col min="8217" max="8217" width="5.25" style="29" customWidth="1"/>
    <col min="8218" max="8218" width="4.5" style="29" customWidth="1"/>
    <col min="8219" max="8219" width="4.125" style="29" customWidth="1"/>
    <col min="8220" max="8220" width="3.625" style="29" customWidth="1"/>
    <col min="8221" max="8221" width="4.375" style="29" customWidth="1"/>
    <col min="8222" max="8448" width="8.75" style="29"/>
    <col min="8449" max="8449" width="3.625" style="29" customWidth="1"/>
    <col min="8450" max="8450" width="5" style="29" customWidth="1"/>
    <col min="8451" max="8451" width="3.75" style="29" customWidth="1"/>
    <col min="8452" max="8452" width="4.5" style="29" customWidth="1"/>
    <col min="8453" max="8453" width="5" style="29" customWidth="1"/>
    <col min="8454" max="8454" width="4.375" style="29" customWidth="1"/>
    <col min="8455" max="8455" width="5.75" style="29" customWidth="1"/>
    <col min="8456" max="8456" width="5.5" style="29" customWidth="1"/>
    <col min="8457" max="8457" width="5" style="29" customWidth="1"/>
    <col min="8458" max="8458" width="4.125" style="29" customWidth="1"/>
    <col min="8459" max="8459" width="5.5" style="29" customWidth="1"/>
    <col min="8460" max="8460" width="4.375" style="29" customWidth="1"/>
    <col min="8461" max="8461" width="6.25" style="29" customWidth="1"/>
    <col min="8462" max="8462" width="4.5" style="29" customWidth="1"/>
    <col min="8463" max="8463" width="5.5" style="29" customWidth="1"/>
    <col min="8464" max="8464" width="4.5" style="29" customWidth="1"/>
    <col min="8465" max="8465" width="8.75" style="29"/>
    <col min="8466" max="8466" width="4.5" style="29" customWidth="1"/>
    <col min="8467" max="8467" width="3.75" style="29" customWidth="1"/>
    <col min="8468" max="8468" width="3.625" style="29" customWidth="1"/>
    <col min="8469" max="8469" width="4.625" style="29" customWidth="1"/>
    <col min="8470" max="8470" width="5" style="29" customWidth="1"/>
    <col min="8471" max="8471" width="5.5" style="29" customWidth="1"/>
    <col min="8472" max="8472" width="3.875" style="29" customWidth="1"/>
    <col min="8473" max="8473" width="5.25" style="29" customWidth="1"/>
    <col min="8474" max="8474" width="4.5" style="29" customWidth="1"/>
    <col min="8475" max="8475" width="4.125" style="29" customWidth="1"/>
    <col min="8476" max="8476" width="3.625" style="29" customWidth="1"/>
    <col min="8477" max="8477" width="4.375" style="29" customWidth="1"/>
    <col min="8478" max="8704" width="8.75" style="29"/>
    <col min="8705" max="8705" width="3.625" style="29" customWidth="1"/>
    <col min="8706" max="8706" width="5" style="29" customWidth="1"/>
    <col min="8707" max="8707" width="3.75" style="29" customWidth="1"/>
    <col min="8708" max="8708" width="4.5" style="29" customWidth="1"/>
    <col min="8709" max="8709" width="5" style="29" customWidth="1"/>
    <col min="8710" max="8710" width="4.375" style="29" customWidth="1"/>
    <col min="8711" max="8711" width="5.75" style="29" customWidth="1"/>
    <col min="8712" max="8712" width="5.5" style="29" customWidth="1"/>
    <col min="8713" max="8713" width="5" style="29" customWidth="1"/>
    <col min="8714" max="8714" width="4.125" style="29" customWidth="1"/>
    <col min="8715" max="8715" width="5.5" style="29" customWidth="1"/>
    <col min="8716" max="8716" width="4.375" style="29" customWidth="1"/>
    <col min="8717" max="8717" width="6.25" style="29" customWidth="1"/>
    <col min="8718" max="8718" width="4.5" style="29" customWidth="1"/>
    <col min="8719" max="8719" width="5.5" style="29" customWidth="1"/>
    <col min="8720" max="8720" width="4.5" style="29" customWidth="1"/>
    <col min="8721" max="8721" width="8.75" style="29"/>
    <col min="8722" max="8722" width="4.5" style="29" customWidth="1"/>
    <col min="8723" max="8723" width="3.75" style="29" customWidth="1"/>
    <col min="8724" max="8724" width="3.625" style="29" customWidth="1"/>
    <col min="8725" max="8725" width="4.625" style="29" customWidth="1"/>
    <col min="8726" max="8726" width="5" style="29" customWidth="1"/>
    <col min="8727" max="8727" width="5.5" style="29" customWidth="1"/>
    <col min="8728" max="8728" width="3.875" style="29" customWidth="1"/>
    <col min="8729" max="8729" width="5.25" style="29" customWidth="1"/>
    <col min="8730" max="8730" width="4.5" style="29" customWidth="1"/>
    <col min="8731" max="8731" width="4.125" style="29" customWidth="1"/>
    <col min="8732" max="8732" width="3.625" style="29" customWidth="1"/>
    <col min="8733" max="8733" width="4.375" style="29" customWidth="1"/>
    <col min="8734" max="8960" width="8.75" style="29"/>
    <col min="8961" max="8961" width="3.625" style="29" customWidth="1"/>
    <col min="8962" max="8962" width="5" style="29" customWidth="1"/>
    <col min="8963" max="8963" width="3.75" style="29" customWidth="1"/>
    <col min="8964" max="8964" width="4.5" style="29" customWidth="1"/>
    <col min="8965" max="8965" width="5" style="29" customWidth="1"/>
    <col min="8966" max="8966" width="4.375" style="29" customWidth="1"/>
    <col min="8967" max="8967" width="5.75" style="29" customWidth="1"/>
    <col min="8968" max="8968" width="5.5" style="29" customWidth="1"/>
    <col min="8969" max="8969" width="5" style="29" customWidth="1"/>
    <col min="8970" max="8970" width="4.125" style="29" customWidth="1"/>
    <col min="8971" max="8971" width="5.5" style="29" customWidth="1"/>
    <col min="8972" max="8972" width="4.375" style="29" customWidth="1"/>
    <col min="8973" max="8973" width="6.25" style="29" customWidth="1"/>
    <col min="8974" max="8974" width="4.5" style="29" customWidth="1"/>
    <col min="8975" max="8975" width="5.5" style="29" customWidth="1"/>
    <col min="8976" max="8976" width="4.5" style="29" customWidth="1"/>
    <col min="8977" max="8977" width="8.75" style="29"/>
    <col min="8978" max="8978" width="4.5" style="29" customWidth="1"/>
    <col min="8979" max="8979" width="3.75" style="29" customWidth="1"/>
    <col min="8980" max="8980" width="3.625" style="29" customWidth="1"/>
    <col min="8981" max="8981" width="4.625" style="29" customWidth="1"/>
    <col min="8982" max="8982" width="5" style="29" customWidth="1"/>
    <col min="8983" max="8983" width="5.5" style="29" customWidth="1"/>
    <col min="8984" max="8984" width="3.875" style="29" customWidth="1"/>
    <col min="8985" max="8985" width="5.25" style="29" customWidth="1"/>
    <col min="8986" max="8986" width="4.5" style="29" customWidth="1"/>
    <col min="8987" max="8987" width="4.125" style="29" customWidth="1"/>
    <col min="8988" max="8988" width="3.625" style="29" customWidth="1"/>
    <col min="8989" max="8989" width="4.375" style="29" customWidth="1"/>
    <col min="8990" max="9216" width="8.75" style="29"/>
    <col min="9217" max="9217" width="3.625" style="29" customWidth="1"/>
    <col min="9218" max="9218" width="5" style="29" customWidth="1"/>
    <col min="9219" max="9219" width="3.75" style="29" customWidth="1"/>
    <col min="9220" max="9220" width="4.5" style="29" customWidth="1"/>
    <col min="9221" max="9221" width="5" style="29" customWidth="1"/>
    <col min="9222" max="9222" width="4.375" style="29" customWidth="1"/>
    <col min="9223" max="9223" width="5.75" style="29" customWidth="1"/>
    <col min="9224" max="9224" width="5.5" style="29" customWidth="1"/>
    <col min="9225" max="9225" width="5" style="29" customWidth="1"/>
    <col min="9226" max="9226" width="4.125" style="29" customWidth="1"/>
    <col min="9227" max="9227" width="5.5" style="29" customWidth="1"/>
    <col min="9228" max="9228" width="4.375" style="29" customWidth="1"/>
    <col min="9229" max="9229" width="6.25" style="29" customWidth="1"/>
    <col min="9230" max="9230" width="4.5" style="29" customWidth="1"/>
    <col min="9231" max="9231" width="5.5" style="29" customWidth="1"/>
    <col min="9232" max="9232" width="4.5" style="29" customWidth="1"/>
    <col min="9233" max="9233" width="8.75" style="29"/>
    <col min="9234" max="9234" width="4.5" style="29" customWidth="1"/>
    <col min="9235" max="9235" width="3.75" style="29" customWidth="1"/>
    <col min="9236" max="9236" width="3.625" style="29" customWidth="1"/>
    <col min="9237" max="9237" width="4.625" style="29" customWidth="1"/>
    <col min="9238" max="9238" width="5" style="29" customWidth="1"/>
    <col min="9239" max="9239" width="5.5" style="29" customWidth="1"/>
    <col min="9240" max="9240" width="3.875" style="29" customWidth="1"/>
    <col min="9241" max="9241" width="5.25" style="29" customWidth="1"/>
    <col min="9242" max="9242" width="4.5" style="29" customWidth="1"/>
    <col min="9243" max="9243" width="4.125" style="29" customWidth="1"/>
    <col min="9244" max="9244" width="3.625" style="29" customWidth="1"/>
    <col min="9245" max="9245" width="4.375" style="29" customWidth="1"/>
    <col min="9246" max="9472" width="8.75" style="29"/>
    <col min="9473" max="9473" width="3.625" style="29" customWidth="1"/>
    <col min="9474" max="9474" width="5" style="29" customWidth="1"/>
    <col min="9475" max="9475" width="3.75" style="29" customWidth="1"/>
    <col min="9476" max="9476" width="4.5" style="29" customWidth="1"/>
    <col min="9477" max="9477" width="5" style="29" customWidth="1"/>
    <col min="9478" max="9478" width="4.375" style="29" customWidth="1"/>
    <col min="9479" max="9479" width="5.75" style="29" customWidth="1"/>
    <col min="9480" max="9480" width="5.5" style="29" customWidth="1"/>
    <col min="9481" max="9481" width="5" style="29" customWidth="1"/>
    <col min="9482" max="9482" width="4.125" style="29" customWidth="1"/>
    <col min="9483" max="9483" width="5.5" style="29" customWidth="1"/>
    <col min="9484" max="9484" width="4.375" style="29" customWidth="1"/>
    <col min="9485" max="9485" width="6.25" style="29" customWidth="1"/>
    <col min="9486" max="9486" width="4.5" style="29" customWidth="1"/>
    <col min="9487" max="9487" width="5.5" style="29" customWidth="1"/>
    <col min="9488" max="9488" width="4.5" style="29" customWidth="1"/>
    <col min="9489" max="9489" width="8.75" style="29"/>
    <col min="9490" max="9490" width="4.5" style="29" customWidth="1"/>
    <col min="9491" max="9491" width="3.75" style="29" customWidth="1"/>
    <col min="9492" max="9492" width="3.625" style="29" customWidth="1"/>
    <col min="9493" max="9493" width="4.625" style="29" customWidth="1"/>
    <col min="9494" max="9494" width="5" style="29" customWidth="1"/>
    <col min="9495" max="9495" width="5.5" style="29" customWidth="1"/>
    <col min="9496" max="9496" width="3.875" style="29" customWidth="1"/>
    <col min="9497" max="9497" width="5.25" style="29" customWidth="1"/>
    <col min="9498" max="9498" width="4.5" style="29" customWidth="1"/>
    <col min="9499" max="9499" width="4.125" style="29" customWidth="1"/>
    <col min="9500" max="9500" width="3.625" style="29" customWidth="1"/>
    <col min="9501" max="9501" width="4.375" style="29" customWidth="1"/>
    <col min="9502" max="9728" width="8.75" style="29"/>
    <col min="9729" max="9729" width="3.625" style="29" customWidth="1"/>
    <col min="9730" max="9730" width="5" style="29" customWidth="1"/>
    <col min="9731" max="9731" width="3.75" style="29" customWidth="1"/>
    <col min="9732" max="9732" width="4.5" style="29" customWidth="1"/>
    <col min="9733" max="9733" width="5" style="29" customWidth="1"/>
    <col min="9734" max="9734" width="4.375" style="29" customWidth="1"/>
    <col min="9735" max="9735" width="5.75" style="29" customWidth="1"/>
    <col min="9736" max="9736" width="5.5" style="29" customWidth="1"/>
    <col min="9737" max="9737" width="5" style="29" customWidth="1"/>
    <col min="9738" max="9738" width="4.125" style="29" customWidth="1"/>
    <col min="9739" max="9739" width="5.5" style="29" customWidth="1"/>
    <col min="9740" max="9740" width="4.375" style="29" customWidth="1"/>
    <col min="9741" max="9741" width="6.25" style="29" customWidth="1"/>
    <col min="9742" max="9742" width="4.5" style="29" customWidth="1"/>
    <col min="9743" max="9743" width="5.5" style="29" customWidth="1"/>
    <col min="9744" max="9744" width="4.5" style="29" customWidth="1"/>
    <col min="9745" max="9745" width="8.75" style="29"/>
    <col min="9746" max="9746" width="4.5" style="29" customWidth="1"/>
    <col min="9747" max="9747" width="3.75" style="29" customWidth="1"/>
    <col min="9748" max="9748" width="3.625" style="29" customWidth="1"/>
    <col min="9749" max="9749" width="4.625" style="29" customWidth="1"/>
    <col min="9750" max="9750" width="5" style="29" customWidth="1"/>
    <col min="9751" max="9751" width="5.5" style="29" customWidth="1"/>
    <col min="9752" max="9752" width="3.875" style="29" customWidth="1"/>
    <col min="9753" max="9753" width="5.25" style="29" customWidth="1"/>
    <col min="9754" max="9754" width="4.5" style="29" customWidth="1"/>
    <col min="9755" max="9755" width="4.125" style="29" customWidth="1"/>
    <col min="9756" max="9756" width="3.625" style="29" customWidth="1"/>
    <col min="9757" max="9757" width="4.375" style="29" customWidth="1"/>
    <col min="9758" max="9984" width="8.75" style="29"/>
    <col min="9985" max="9985" width="3.625" style="29" customWidth="1"/>
    <col min="9986" max="9986" width="5" style="29" customWidth="1"/>
    <col min="9987" max="9987" width="3.75" style="29" customWidth="1"/>
    <col min="9988" max="9988" width="4.5" style="29" customWidth="1"/>
    <col min="9989" max="9989" width="5" style="29" customWidth="1"/>
    <col min="9990" max="9990" width="4.375" style="29" customWidth="1"/>
    <col min="9991" max="9991" width="5.75" style="29" customWidth="1"/>
    <col min="9992" max="9992" width="5.5" style="29" customWidth="1"/>
    <col min="9993" max="9993" width="5" style="29" customWidth="1"/>
    <col min="9994" max="9994" width="4.125" style="29" customWidth="1"/>
    <col min="9995" max="9995" width="5.5" style="29" customWidth="1"/>
    <col min="9996" max="9996" width="4.375" style="29" customWidth="1"/>
    <col min="9997" max="9997" width="6.25" style="29" customWidth="1"/>
    <col min="9998" max="9998" width="4.5" style="29" customWidth="1"/>
    <col min="9999" max="9999" width="5.5" style="29" customWidth="1"/>
    <col min="10000" max="10000" width="4.5" style="29" customWidth="1"/>
    <col min="10001" max="10001" width="8.75" style="29"/>
    <col min="10002" max="10002" width="4.5" style="29" customWidth="1"/>
    <col min="10003" max="10003" width="3.75" style="29" customWidth="1"/>
    <col min="10004" max="10004" width="3.625" style="29" customWidth="1"/>
    <col min="10005" max="10005" width="4.625" style="29" customWidth="1"/>
    <col min="10006" max="10006" width="5" style="29" customWidth="1"/>
    <col min="10007" max="10007" width="5.5" style="29" customWidth="1"/>
    <col min="10008" max="10008" width="3.875" style="29" customWidth="1"/>
    <col min="10009" max="10009" width="5.25" style="29" customWidth="1"/>
    <col min="10010" max="10010" width="4.5" style="29" customWidth="1"/>
    <col min="10011" max="10011" width="4.125" style="29" customWidth="1"/>
    <col min="10012" max="10012" width="3.625" style="29" customWidth="1"/>
    <col min="10013" max="10013" width="4.375" style="29" customWidth="1"/>
    <col min="10014" max="10240" width="8.75" style="29"/>
    <col min="10241" max="10241" width="3.625" style="29" customWidth="1"/>
    <col min="10242" max="10242" width="5" style="29" customWidth="1"/>
    <col min="10243" max="10243" width="3.75" style="29" customWidth="1"/>
    <col min="10244" max="10244" width="4.5" style="29" customWidth="1"/>
    <col min="10245" max="10245" width="5" style="29" customWidth="1"/>
    <col min="10246" max="10246" width="4.375" style="29" customWidth="1"/>
    <col min="10247" max="10247" width="5.75" style="29" customWidth="1"/>
    <col min="10248" max="10248" width="5.5" style="29" customWidth="1"/>
    <col min="10249" max="10249" width="5" style="29" customWidth="1"/>
    <col min="10250" max="10250" width="4.125" style="29" customWidth="1"/>
    <col min="10251" max="10251" width="5.5" style="29" customWidth="1"/>
    <col min="10252" max="10252" width="4.375" style="29" customWidth="1"/>
    <col min="10253" max="10253" width="6.25" style="29" customWidth="1"/>
    <col min="10254" max="10254" width="4.5" style="29" customWidth="1"/>
    <col min="10255" max="10255" width="5.5" style="29" customWidth="1"/>
    <col min="10256" max="10256" width="4.5" style="29" customWidth="1"/>
    <col min="10257" max="10257" width="8.75" style="29"/>
    <col min="10258" max="10258" width="4.5" style="29" customWidth="1"/>
    <col min="10259" max="10259" width="3.75" style="29" customWidth="1"/>
    <col min="10260" max="10260" width="3.625" style="29" customWidth="1"/>
    <col min="10261" max="10261" width="4.625" style="29" customWidth="1"/>
    <col min="10262" max="10262" width="5" style="29" customWidth="1"/>
    <col min="10263" max="10263" width="5.5" style="29" customWidth="1"/>
    <col min="10264" max="10264" width="3.875" style="29" customWidth="1"/>
    <col min="10265" max="10265" width="5.25" style="29" customWidth="1"/>
    <col min="10266" max="10266" width="4.5" style="29" customWidth="1"/>
    <col min="10267" max="10267" width="4.125" style="29" customWidth="1"/>
    <col min="10268" max="10268" width="3.625" style="29" customWidth="1"/>
    <col min="10269" max="10269" width="4.375" style="29" customWidth="1"/>
    <col min="10270" max="10496" width="8.75" style="29"/>
    <col min="10497" max="10497" width="3.625" style="29" customWidth="1"/>
    <col min="10498" max="10498" width="5" style="29" customWidth="1"/>
    <col min="10499" max="10499" width="3.75" style="29" customWidth="1"/>
    <col min="10500" max="10500" width="4.5" style="29" customWidth="1"/>
    <col min="10501" max="10501" width="5" style="29" customWidth="1"/>
    <col min="10502" max="10502" width="4.375" style="29" customWidth="1"/>
    <col min="10503" max="10503" width="5.75" style="29" customWidth="1"/>
    <col min="10504" max="10504" width="5.5" style="29" customWidth="1"/>
    <col min="10505" max="10505" width="5" style="29" customWidth="1"/>
    <col min="10506" max="10506" width="4.125" style="29" customWidth="1"/>
    <col min="10507" max="10507" width="5.5" style="29" customWidth="1"/>
    <col min="10508" max="10508" width="4.375" style="29" customWidth="1"/>
    <col min="10509" max="10509" width="6.25" style="29" customWidth="1"/>
    <col min="10510" max="10510" width="4.5" style="29" customWidth="1"/>
    <col min="10511" max="10511" width="5.5" style="29" customWidth="1"/>
    <col min="10512" max="10512" width="4.5" style="29" customWidth="1"/>
    <col min="10513" max="10513" width="8.75" style="29"/>
    <col min="10514" max="10514" width="4.5" style="29" customWidth="1"/>
    <col min="10515" max="10515" width="3.75" style="29" customWidth="1"/>
    <col min="10516" max="10516" width="3.625" style="29" customWidth="1"/>
    <col min="10517" max="10517" width="4.625" style="29" customWidth="1"/>
    <col min="10518" max="10518" width="5" style="29" customWidth="1"/>
    <col min="10519" max="10519" width="5.5" style="29" customWidth="1"/>
    <col min="10520" max="10520" width="3.875" style="29" customWidth="1"/>
    <col min="10521" max="10521" width="5.25" style="29" customWidth="1"/>
    <col min="10522" max="10522" width="4.5" style="29" customWidth="1"/>
    <col min="10523" max="10523" width="4.125" style="29" customWidth="1"/>
    <col min="10524" max="10524" width="3.625" style="29" customWidth="1"/>
    <col min="10525" max="10525" width="4.375" style="29" customWidth="1"/>
    <col min="10526" max="10752" width="8.75" style="29"/>
    <col min="10753" max="10753" width="3.625" style="29" customWidth="1"/>
    <col min="10754" max="10754" width="5" style="29" customWidth="1"/>
    <col min="10755" max="10755" width="3.75" style="29" customWidth="1"/>
    <col min="10756" max="10756" width="4.5" style="29" customWidth="1"/>
    <col min="10757" max="10757" width="5" style="29" customWidth="1"/>
    <col min="10758" max="10758" width="4.375" style="29" customWidth="1"/>
    <col min="10759" max="10759" width="5.75" style="29" customWidth="1"/>
    <col min="10760" max="10760" width="5.5" style="29" customWidth="1"/>
    <col min="10761" max="10761" width="5" style="29" customWidth="1"/>
    <col min="10762" max="10762" width="4.125" style="29" customWidth="1"/>
    <col min="10763" max="10763" width="5.5" style="29" customWidth="1"/>
    <col min="10764" max="10764" width="4.375" style="29" customWidth="1"/>
    <col min="10765" max="10765" width="6.25" style="29" customWidth="1"/>
    <col min="10766" max="10766" width="4.5" style="29" customWidth="1"/>
    <col min="10767" max="10767" width="5.5" style="29" customWidth="1"/>
    <col min="10768" max="10768" width="4.5" style="29" customWidth="1"/>
    <col min="10769" max="10769" width="8.75" style="29"/>
    <col min="10770" max="10770" width="4.5" style="29" customWidth="1"/>
    <col min="10771" max="10771" width="3.75" style="29" customWidth="1"/>
    <col min="10772" max="10772" width="3.625" style="29" customWidth="1"/>
    <col min="10773" max="10773" width="4.625" style="29" customWidth="1"/>
    <col min="10774" max="10774" width="5" style="29" customWidth="1"/>
    <col min="10775" max="10775" width="5.5" style="29" customWidth="1"/>
    <col min="10776" max="10776" width="3.875" style="29" customWidth="1"/>
    <col min="10777" max="10777" width="5.25" style="29" customWidth="1"/>
    <col min="10778" max="10778" width="4.5" style="29" customWidth="1"/>
    <col min="10779" max="10779" width="4.125" style="29" customWidth="1"/>
    <col min="10780" max="10780" width="3.625" style="29" customWidth="1"/>
    <col min="10781" max="10781" width="4.375" style="29" customWidth="1"/>
    <col min="10782" max="11008" width="8.75" style="29"/>
    <col min="11009" max="11009" width="3.625" style="29" customWidth="1"/>
    <col min="11010" max="11010" width="5" style="29" customWidth="1"/>
    <col min="11011" max="11011" width="3.75" style="29" customWidth="1"/>
    <col min="11012" max="11012" width="4.5" style="29" customWidth="1"/>
    <col min="11013" max="11013" width="5" style="29" customWidth="1"/>
    <col min="11014" max="11014" width="4.375" style="29" customWidth="1"/>
    <col min="11015" max="11015" width="5.75" style="29" customWidth="1"/>
    <col min="11016" max="11016" width="5.5" style="29" customWidth="1"/>
    <col min="11017" max="11017" width="5" style="29" customWidth="1"/>
    <col min="11018" max="11018" width="4.125" style="29" customWidth="1"/>
    <col min="11019" max="11019" width="5.5" style="29" customWidth="1"/>
    <col min="11020" max="11020" width="4.375" style="29" customWidth="1"/>
    <col min="11021" max="11021" width="6.25" style="29" customWidth="1"/>
    <col min="11022" max="11022" width="4.5" style="29" customWidth="1"/>
    <col min="11023" max="11023" width="5.5" style="29" customWidth="1"/>
    <col min="11024" max="11024" width="4.5" style="29" customWidth="1"/>
    <col min="11025" max="11025" width="8.75" style="29"/>
    <col min="11026" max="11026" width="4.5" style="29" customWidth="1"/>
    <col min="11027" max="11027" width="3.75" style="29" customWidth="1"/>
    <col min="11028" max="11028" width="3.625" style="29" customWidth="1"/>
    <col min="11029" max="11029" width="4.625" style="29" customWidth="1"/>
    <col min="11030" max="11030" width="5" style="29" customWidth="1"/>
    <col min="11031" max="11031" width="5.5" style="29" customWidth="1"/>
    <col min="11032" max="11032" width="3.875" style="29" customWidth="1"/>
    <col min="11033" max="11033" width="5.25" style="29" customWidth="1"/>
    <col min="11034" max="11034" width="4.5" style="29" customWidth="1"/>
    <col min="11035" max="11035" width="4.125" style="29" customWidth="1"/>
    <col min="11036" max="11036" width="3.625" style="29" customWidth="1"/>
    <col min="11037" max="11037" width="4.375" style="29" customWidth="1"/>
    <col min="11038" max="11264" width="8.75" style="29"/>
    <col min="11265" max="11265" width="3.625" style="29" customWidth="1"/>
    <col min="11266" max="11266" width="5" style="29" customWidth="1"/>
    <col min="11267" max="11267" width="3.75" style="29" customWidth="1"/>
    <col min="11268" max="11268" width="4.5" style="29" customWidth="1"/>
    <col min="11269" max="11269" width="5" style="29" customWidth="1"/>
    <col min="11270" max="11270" width="4.375" style="29" customWidth="1"/>
    <col min="11271" max="11271" width="5.75" style="29" customWidth="1"/>
    <col min="11272" max="11272" width="5.5" style="29" customWidth="1"/>
    <col min="11273" max="11273" width="5" style="29" customWidth="1"/>
    <col min="11274" max="11274" width="4.125" style="29" customWidth="1"/>
    <col min="11275" max="11275" width="5.5" style="29" customWidth="1"/>
    <col min="11276" max="11276" width="4.375" style="29" customWidth="1"/>
    <col min="11277" max="11277" width="6.25" style="29" customWidth="1"/>
    <col min="11278" max="11278" width="4.5" style="29" customWidth="1"/>
    <col min="11279" max="11279" width="5.5" style="29" customWidth="1"/>
    <col min="11280" max="11280" width="4.5" style="29" customWidth="1"/>
    <col min="11281" max="11281" width="8.75" style="29"/>
    <col min="11282" max="11282" width="4.5" style="29" customWidth="1"/>
    <col min="11283" max="11283" width="3.75" style="29" customWidth="1"/>
    <col min="11284" max="11284" width="3.625" style="29" customWidth="1"/>
    <col min="11285" max="11285" width="4.625" style="29" customWidth="1"/>
    <col min="11286" max="11286" width="5" style="29" customWidth="1"/>
    <col min="11287" max="11287" width="5.5" style="29" customWidth="1"/>
    <col min="11288" max="11288" width="3.875" style="29" customWidth="1"/>
    <col min="11289" max="11289" width="5.25" style="29" customWidth="1"/>
    <col min="11290" max="11290" width="4.5" style="29" customWidth="1"/>
    <col min="11291" max="11291" width="4.125" style="29" customWidth="1"/>
    <col min="11292" max="11292" width="3.625" style="29" customWidth="1"/>
    <col min="11293" max="11293" width="4.375" style="29" customWidth="1"/>
    <col min="11294" max="11520" width="8.75" style="29"/>
    <col min="11521" max="11521" width="3.625" style="29" customWidth="1"/>
    <col min="11522" max="11522" width="5" style="29" customWidth="1"/>
    <col min="11523" max="11523" width="3.75" style="29" customWidth="1"/>
    <col min="11524" max="11524" width="4.5" style="29" customWidth="1"/>
    <col min="11525" max="11525" width="5" style="29" customWidth="1"/>
    <col min="11526" max="11526" width="4.375" style="29" customWidth="1"/>
    <col min="11527" max="11527" width="5.75" style="29" customWidth="1"/>
    <col min="11528" max="11528" width="5.5" style="29" customWidth="1"/>
    <col min="11529" max="11529" width="5" style="29" customWidth="1"/>
    <col min="11530" max="11530" width="4.125" style="29" customWidth="1"/>
    <col min="11531" max="11531" width="5.5" style="29" customWidth="1"/>
    <col min="11532" max="11532" width="4.375" style="29" customWidth="1"/>
    <col min="11533" max="11533" width="6.25" style="29" customWidth="1"/>
    <col min="11534" max="11534" width="4.5" style="29" customWidth="1"/>
    <col min="11535" max="11535" width="5.5" style="29" customWidth="1"/>
    <col min="11536" max="11536" width="4.5" style="29" customWidth="1"/>
    <col min="11537" max="11537" width="8.75" style="29"/>
    <col min="11538" max="11538" width="4.5" style="29" customWidth="1"/>
    <col min="11539" max="11539" width="3.75" style="29" customWidth="1"/>
    <col min="11540" max="11540" width="3.625" style="29" customWidth="1"/>
    <col min="11541" max="11541" width="4.625" style="29" customWidth="1"/>
    <col min="11542" max="11542" width="5" style="29" customWidth="1"/>
    <col min="11543" max="11543" width="5.5" style="29" customWidth="1"/>
    <col min="11544" max="11544" width="3.875" style="29" customWidth="1"/>
    <col min="11545" max="11545" width="5.25" style="29" customWidth="1"/>
    <col min="11546" max="11546" width="4.5" style="29" customWidth="1"/>
    <col min="11547" max="11547" width="4.125" style="29" customWidth="1"/>
    <col min="11548" max="11548" width="3.625" style="29" customWidth="1"/>
    <col min="11549" max="11549" width="4.375" style="29" customWidth="1"/>
    <col min="11550" max="11776" width="8.75" style="29"/>
    <col min="11777" max="11777" width="3.625" style="29" customWidth="1"/>
    <col min="11778" max="11778" width="5" style="29" customWidth="1"/>
    <col min="11779" max="11779" width="3.75" style="29" customWidth="1"/>
    <col min="11780" max="11780" width="4.5" style="29" customWidth="1"/>
    <col min="11781" max="11781" width="5" style="29" customWidth="1"/>
    <col min="11782" max="11782" width="4.375" style="29" customWidth="1"/>
    <col min="11783" max="11783" width="5.75" style="29" customWidth="1"/>
    <col min="11784" max="11784" width="5.5" style="29" customWidth="1"/>
    <col min="11785" max="11785" width="5" style="29" customWidth="1"/>
    <col min="11786" max="11786" width="4.125" style="29" customWidth="1"/>
    <col min="11787" max="11787" width="5.5" style="29" customWidth="1"/>
    <col min="11788" max="11788" width="4.375" style="29" customWidth="1"/>
    <col min="11789" max="11789" width="6.25" style="29" customWidth="1"/>
    <col min="11790" max="11790" width="4.5" style="29" customWidth="1"/>
    <col min="11791" max="11791" width="5.5" style="29" customWidth="1"/>
    <col min="11792" max="11792" width="4.5" style="29" customWidth="1"/>
    <col min="11793" max="11793" width="8.75" style="29"/>
    <col min="11794" max="11794" width="4.5" style="29" customWidth="1"/>
    <col min="11795" max="11795" width="3.75" style="29" customWidth="1"/>
    <col min="11796" max="11796" width="3.625" style="29" customWidth="1"/>
    <col min="11797" max="11797" width="4.625" style="29" customWidth="1"/>
    <col min="11798" max="11798" width="5" style="29" customWidth="1"/>
    <col min="11799" max="11799" width="5.5" style="29" customWidth="1"/>
    <col min="11800" max="11800" width="3.875" style="29" customWidth="1"/>
    <col min="11801" max="11801" width="5.25" style="29" customWidth="1"/>
    <col min="11802" max="11802" width="4.5" style="29" customWidth="1"/>
    <col min="11803" max="11803" width="4.125" style="29" customWidth="1"/>
    <col min="11804" max="11804" width="3.625" style="29" customWidth="1"/>
    <col min="11805" max="11805" width="4.375" style="29" customWidth="1"/>
    <col min="11806" max="12032" width="8.75" style="29"/>
    <col min="12033" max="12033" width="3.625" style="29" customWidth="1"/>
    <col min="12034" max="12034" width="5" style="29" customWidth="1"/>
    <col min="12035" max="12035" width="3.75" style="29" customWidth="1"/>
    <col min="12036" max="12036" width="4.5" style="29" customWidth="1"/>
    <col min="12037" max="12037" width="5" style="29" customWidth="1"/>
    <col min="12038" max="12038" width="4.375" style="29" customWidth="1"/>
    <col min="12039" max="12039" width="5.75" style="29" customWidth="1"/>
    <col min="12040" max="12040" width="5.5" style="29" customWidth="1"/>
    <col min="12041" max="12041" width="5" style="29" customWidth="1"/>
    <col min="12042" max="12042" width="4.125" style="29" customWidth="1"/>
    <col min="12043" max="12043" width="5.5" style="29" customWidth="1"/>
    <col min="12044" max="12044" width="4.375" style="29" customWidth="1"/>
    <col min="12045" max="12045" width="6.25" style="29" customWidth="1"/>
    <col min="12046" max="12046" width="4.5" style="29" customWidth="1"/>
    <col min="12047" max="12047" width="5.5" style="29" customWidth="1"/>
    <col min="12048" max="12048" width="4.5" style="29" customWidth="1"/>
    <col min="12049" max="12049" width="8.75" style="29"/>
    <col min="12050" max="12050" width="4.5" style="29" customWidth="1"/>
    <col min="12051" max="12051" width="3.75" style="29" customWidth="1"/>
    <col min="12052" max="12052" width="3.625" style="29" customWidth="1"/>
    <col min="12053" max="12053" width="4.625" style="29" customWidth="1"/>
    <col min="12054" max="12054" width="5" style="29" customWidth="1"/>
    <col min="12055" max="12055" width="5.5" style="29" customWidth="1"/>
    <col min="12056" max="12056" width="3.875" style="29" customWidth="1"/>
    <col min="12057" max="12057" width="5.25" style="29" customWidth="1"/>
    <col min="12058" max="12058" width="4.5" style="29" customWidth="1"/>
    <col min="12059" max="12059" width="4.125" style="29" customWidth="1"/>
    <col min="12060" max="12060" width="3.625" style="29" customWidth="1"/>
    <col min="12061" max="12061" width="4.375" style="29" customWidth="1"/>
    <col min="12062" max="12288" width="8.75" style="29"/>
    <col min="12289" max="12289" width="3.625" style="29" customWidth="1"/>
    <col min="12290" max="12290" width="5" style="29" customWidth="1"/>
    <col min="12291" max="12291" width="3.75" style="29" customWidth="1"/>
    <col min="12292" max="12292" width="4.5" style="29" customWidth="1"/>
    <col min="12293" max="12293" width="5" style="29" customWidth="1"/>
    <col min="12294" max="12294" width="4.375" style="29" customWidth="1"/>
    <col min="12295" max="12295" width="5.75" style="29" customWidth="1"/>
    <col min="12296" max="12296" width="5.5" style="29" customWidth="1"/>
    <col min="12297" max="12297" width="5" style="29" customWidth="1"/>
    <col min="12298" max="12298" width="4.125" style="29" customWidth="1"/>
    <col min="12299" max="12299" width="5.5" style="29" customWidth="1"/>
    <col min="12300" max="12300" width="4.375" style="29" customWidth="1"/>
    <col min="12301" max="12301" width="6.25" style="29" customWidth="1"/>
    <col min="12302" max="12302" width="4.5" style="29" customWidth="1"/>
    <col min="12303" max="12303" width="5.5" style="29" customWidth="1"/>
    <col min="12304" max="12304" width="4.5" style="29" customWidth="1"/>
    <col min="12305" max="12305" width="8.75" style="29"/>
    <col min="12306" max="12306" width="4.5" style="29" customWidth="1"/>
    <col min="12307" max="12307" width="3.75" style="29" customWidth="1"/>
    <col min="12308" max="12308" width="3.625" style="29" customWidth="1"/>
    <col min="12309" max="12309" width="4.625" style="29" customWidth="1"/>
    <col min="12310" max="12310" width="5" style="29" customWidth="1"/>
    <col min="12311" max="12311" width="5.5" style="29" customWidth="1"/>
    <col min="12312" max="12312" width="3.875" style="29" customWidth="1"/>
    <col min="12313" max="12313" width="5.25" style="29" customWidth="1"/>
    <col min="12314" max="12314" width="4.5" style="29" customWidth="1"/>
    <col min="12315" max="12315" width="4.125" style="29" customWidth="1"/>
    <col min="12316" max="12316" width="3.625" style="29" customWidth="1"/>
    <col min="12317" max="12317" width="4.375" style="29" customWidth="1"/>
    <col min="12318" max="12544" width="8.75" style="29"/>
    <col min="12545" max="12545" width="3.625" style="29" customWidth="1"/>
    <col min="12546" max="12546" width="5" style="29" customWidth="1"/>
    <col min="12547" max="12547" width="3.75" style="29" customWidth="1"/>
    <col min="12548" max="12548" width="4.5" style="29" customWidth="1"/>
    <col min="12549" max="12549" width="5" style="29" customWidth="1"/>
    <col min="12550" max="12550" width="4.375" style="29" customWidth="1"/>
    <col min="12551" max="12551" width="5.75" style="29" customWidth="1"/>
    <col min="12552" max="12552" width="5.5" style="29" customWidth="1"/>
    <col min="12553" max="12553" width="5" style="29" customWidth="1"/>
    <col min="12554" max="12554" width="4.125" style="29" customWidth="1"/>
    <col min="12555" max="12555" width="5.5" style="29" customWidth="1"/>
    <col min="12556" max="12556" width="4.375" style="29" customWidth="1"/>
    <col min="12557" max="12557" width="6.25" style="29" customWidth="1"/>
    <col min="12558" max="12558" width="4.5" style="29" customWidth="1"/>
    <col min="12559" max="12559" width="5.5" style="29" customWidth="1"/>
    <col min="12560" max="12560" width="4.5" style="29" customWidth="1"/>
    <col min="12561" max="12561" width="8.75" style="29"/>
    <col min="12562" max="12562" width="4.5" style="29" customWidth="1"/>
    <col min="12563" max="12563" width="3.75" style="29" customWidth="1"/>
    <col min="12564" max="12564" width="3.625" style="29" customWidth="1"/>
    <col min="12565" max="12565" width="4.625" style="29" customWidth="1"/>
    <col min="12566" max="12566" width="5" style="29" customWidth="1"/>
    <col min="12567" max="12567" width="5.5" style="29" customWidth="1"/>
    <col min="12568" max="12568" width="3.875" style="29" customWidth="1"/>
    <col min="12569" max="12569" width="5.25" style="29" customWidth="1"/>
    <col min="12570" max="12570" width="4.5" style="29" customWidth="1"/>
    <col min="12571" max="12571" width="4.125" style="29" customWidth="1"/>
    <col min="12572" max="12572" width="3.625" style="29" customWidth="1"/>
    <col min="12573" max="12573" width="4.375" style="29" customWidth="1"/>
    <col min="12574" max="12800" width="8.75" style="29"/>
    <col min="12801" max="12801" width="3.625" style="29" customWidth="1"/>
    <col min="12802" max="12802" width="5" style="29" customWidth="1"/>
    <col min="12803" max="12803" width="3.75" style="29" customWidth="1"/>
    <col min="12804" max="12804" width="4.5" style="29" customWidth="1"/>
    <col min="12805" max="12805" width="5" style="29" customWidth="1"/>
    <col min="12806" max="12806" width="4.375" style="29" customWidth="1"/>
    <col min="12807" max="12807" width="5.75" style="29" customWidth="1"/>
    <col min="12808" max="12808" width="5.5" style="29" customWidth="1"/>
    <col min="12809" max="12809" width="5" style="29" customWidth="1"/>
    <col min="12810" max="12810" width="4.125" style="29" customWidth="1"/>
    <col min="12811" max="12811" width="5.5" style="29" customWidth="1"/>
    <col min="12812" max="12812" width="4.375" style="29" customWidth="1"/>
    <col min="12813" max="12813" width="6.25" style="29" customWidth="1"/>
    <col min="12814" max="12814" width="4.5" style="29" customWidth="1"/>
    <col min="12815" max="12815" width="5.5" style="29" customWidth="1"/>
    <col min="12816" max="12816" width="4.5" style="29" customWidth="1"/>
    <col min="12817" max="12817" width="8.75" style="29"/>
    <col min="12818" max="12818" width="4.5" style="29" customWidth="1"/>
    <col min="12819" max="12819" width="3.75" style="29" customWidth="1"/>
    <col min="12820" max="12820" width="3.625" style="29" customWidth="1"/>
    <col min="12821" max="12821" width="4.625" style="29" customWidth="1"/>
    <col min="12822" max="12822" width="5" style="29" customWidth="1"/>
    <col min="12823" max="12823" width="5.5" style="29" customWidth="1"/>
    <col min="12824" max="12824" width="3.875" style="29" customWidth="1"/>
    <col min="12825" max="12825" width="5.25" style="29" customWidth="1"/>
    <col min="12826" max="12826" width="4.5" style="29" customWidth="1"/>
    <col min="12827" max="12827" width="4.125" style="29" customWidth="1"/>
    <col min="12828" max="12828" width="3.625" style="29" customWidth="1"/>
    <col min="12829" max="12829" width="4.375" style="29" customWidth="1"/>
    <col min="12830" max="13056" width="8.75" style="29"/>
    <col min="13057" max="13057" width="3.625" style="29" customWidth="1"/>
    <col min="13058" max="13058" width="5" style="29" customWidth="1"/>
    <col min="13059" max="13059" width="3.75" style="29" customWidth="1"/>
    <col min="13060" max="13060" width="4.5" style="29" customWidth="1"/>
    <col min="13061" max="13061" width="5" style="29" customWidth="1"/>
    <col min="13062" max="13062" width="4.375" style="29" customWidth="1"/>
    <col min="13063" max="13063" width="5.75" style="29" customWidth="1"/>
    <col min="13064" max="13064" width="5.5" style="29" customWidth="1"/>
    <col min="13065" max="13065" width="5" style="29" customWidth="1"/>
    <col min="13066" max="13066" width="4.125" style="29" customWidth="1"/>
    <col min="13067" max="13067" width="5.5" style="29" customWidth="1"/>
    <col min="13068" max="13068" width="4.375" style="29" customWidth="1"/>
    <col min="13069" max="13069" width="6.25" style="29" customWidth="1"/>
    <col min="13070" max="13070" width="4.5" style="29" customWidth="1"/>
    <col min="13071" max="13071" width="5.5" style="29" customWidth="1"/>
    <col min="13072" max="13072" width="4.5" style="29" customWidth="1"/>
    <col min="13073" max="13073" width="8.75" style="29"/>
    <col min="13074" max="13074" width="4.5" style="29" customWidth="1"/>
    <col min="13075" max="13075" width="3.75" style="29" customWidth="1"/>
    <col min="13076" max="13076" width="3.625" style="29" customWidth="1"/>
    <col min="13077" max="13077" width="4.625" style="29" customWidth="1"/>
    <col min="13078" max="13078" width="5" style="29" customWidth="1"/>
    <col min="13079" max="13079" width="5.5" style="29" customWidth="1"/>
    <col min="13080" max="13080" width="3.875" style="29" customWidth="1"/>
    <col min="13081" max="13081" width="5.25" style="29" customWidth="1"/>
    <col min="13082" max="13082" width="4.5" style="29" customWidth="1"/>
    <col min="13083" max="13083" width="4.125" style="29" customWidth="1"/>
    <col min="13084" max="13084" width="3.625" style="29" customWidth="1"/>
    <col min="13085" max="13085" width="4.375" style="29" customWidth="1"/>
    <col min="13086" max="13312" width="8.75" style="29"/>
    <col min="13313" max="13313" width="3.625" style="29" customWidth="1"/>
    <col min="13314" max="13314" width="5" style="29" customWidth="1"/>
    <col min="13315" max="13315" width="3.75" style="29" customWidth="1"/>
    <col min="13316" max="13316" width="4.5" style="29" customWidth="1"/>
    <col min="13317" max="13317" width="5" style="29" customWidth="1"/>
    <col min="13318" max="13318" width="4.375" style="29" customWidth="1"/>
    <col min="13319" max="13319" width="5.75" style="29" customWidth="1"/>
    <col min="13320" max="13320" width="5.5" style="29" customWidth="1"/>
    <col min="13321" max="13321" width="5" style="29" customWidth="1"/>
    <col min="13322" max="13322" width="4.125" style="29" customWidth="1"/>
    <col min="13323" max="13323" width="5.5" style="29" customWidth="1"/>
    <col min="13324" max="13324" width="4.375" style="29" customWidth="1"/>
    <col min="13325" max="13325" width="6.25" style="29" customWidth="1"/>
    <col min="13326" max="13326" width="4.5" style="29" customWidth="1"/>
    <col min="13327" max="13327" width="5.5" style="29" customWidth="1"/>
    <col min="13328" max="13328" width="4.5" style="29" customWidth="1"/>
    <col min="13329" max="13329" width="8.75" style="29"/>
    <col min="13330" max="13330" width="4.5" style="29" customWidth="1"/>
    <col min="13331" max="13331" width="3.75" style="29" customWidth="1"/>
    <col min="13332" max="13332" width="3.625" style="29" customWidth="1"/>
    <col min="13333" max="13333" width="4.625" style="29" customWidth="1"/>
    <col min="13334" max="13334" width="5" style="29" customWidth="1"/>
    <col min="13335" max="13335" width="5.5" style="29" customWidth="1"/>
    <col min="13336" max="13336" width="3.875" style="29" customWidth="1"/>
    <col min="13337" max="13337" width="5.25" style="29" customWidth="1"/>
    <col min="13338" max="13338" width="4.5" style="29" customWidth="1"/>
    <col min="13339" max="13339" width="4.125" style="29" customWidth="1"/>
    <col min="13340" max="13340" width="3.625" style="29" customWidth="1"/>
    <col min="13341" max="13341" width="4.375" style="29" customWidth="1"/>
    <col min="13342" max="13568" width="8.75" style="29"/>
    <col min="13569" max="13569" width="3.625" style="29" customWidth="1"/>
    <col min="13570" max="13570" width="5" style="29" customWidth="1"/>
    <col min="13571" max="13571" width="3.75" style="29" customWidth="1"/>
    <col min="13572" max="13572" width="4.5" style="29" customWidth="1"/>
    <col min="13573" max="13573" width="5" style="29" customWidth="1"/>
    <col min="13574" max="13574" width="4.375" style="29" customWidth="1"/>
    <col min="13575" max="13575" width="5.75" style="29" customWidth="1"/>
    <col min="13576" max="13576" width="5.5" style="29" customWidth="1"/>
    <col min="13577" max="13577" width="5" style="29" customWidth="1"/>
    <col min="13578" max="13578" width="4.125" style="29" customWidth="1"/>
    <col min="13579" max="13579" width="5.5" style="29" customWidth="1"/>
    <col min="13580" max="13580" width="4.375" style="29" customWidth="1"/>
    <col min="13581" max="13581" width="6.25" style="29" customWidth="1"/>
    <col min="13582" max="13582" width="4.5" style="29" customWidth="1"/>
    <col min="13583" max="13583" width="5.5" style="29" customWidth="1"/>
    <col min="13584" max="13584" width="4.5" style="29" customWidth="1"/>
    <col min="13585" max="13585" width="8.75" style="29"/>
    <col min="13586" max="13586" width="4.5" style="29" customWidth="1"/>
    <col min="13587" max="13587" width="3.75" style="29" customWidth="1"/>
    <col min="13588" max="13588" width="3.625" style="29" customWidth="1"/>
    <col min="13589" max="13589" width="4.625" style="29" customWidth="1"/>
    <col min="13590" max="13590" width="5" style="29" customWidth="1"/>
    <col min="13591" max="13591" width="5.5" style="29" customWidth="1"/>
    <col min="13592" max="13592" width="3.875" style="29" customWidth="1"/>
    <col min="13593" max="13593" width="5.25" style="29" customWidth="1"/>
    <col min="13594" max="13594" width="4.5" style="29" customWidth="1"/>
    <col min="13595" max="13595" width="4.125" style="29" customWidth="1"/>
    <col min="13596" max="13596" width="3.625" style="29" customWidth="1"/>
    <col min="13597" max="13597" width="4.375" style="29" customWidth="1"/>
    <col min="13598" max="13824" width="8.75" style="29"/>
    <col min="13825" max="13825" width="3.625" style="29" customWidth="1"/>
    <col min="13826" max="13826" width="5" style="29" customWidth="1"/>
    <col min="13827" max="13827" width="3.75" style="29" customWidth="1"/>
    <col min="13828" max="13828" width="4.5" style="29" customWidth="1"/>
    <col min="13829" max="13829" width="5" style="29" customWidth="1"/>
    <col min="13830" max="13830" width="4.375" style="29" customWidth="1"/>
    <col min="13831" max="13831" width="5.75" style="29" customWidth="1"/>
    <col min="13832" max="13832" width="5.5" style="29" customWidth="1"/>
    <col min="13833" max="13833" width="5" style="29" customWidth="1"/>
    <col min="13834" max="13834" width="4.125" style="29" customWidth="1"/>
    <col min="13835" max="13835" width="5.5" style="29" customWidth="1"/>
    <col min="13836" max="13836" width="4.375" style="29" customWidth="1"/>
    <col min="13837" max="13837" width="6.25" style="29" customWidth="1"/>
    <col min="13838" max="13838" width="4.5" style="29" customWidth="1"/>
    <col min="13839" max="13839" width="5.5" style="29" customWidth="1"/>
    <col min="13840" max="13840" width="4.5" style="29" customWidth="1"/>
    <col min="13841" max="13841" width="8.75" style="29"/>
    <col min="13842" max="13842" width="4.5" style="29" customWidth="1"/>
    <col min="13843" max="13843" width="3.75" style="29" customWidth="1"/>
    <col min="13844" max="13844" width="3.625" style="29" customWidth="1"/>
    <col min="13845" max="13845" width="4.625" style="29" customWidth="1"/>
    <col min="13846" max="13846" width="5" style="29" customWidth="1"/>
    <col min="13847" max="13847" width="5.5" style="29" customWidth="1"/>
    <col min="13848" max="13848" width="3.875" style="29" customWidth="1"/>
    <col min="13849" max="13849" width="5.25" style="29" customWidth="1"/>
    <col min="13850" max="13850" width="4.5" style="29" customWidth="1"/>
    <col min="13851" max="13851" width="4.125" style="29" customWidth="1"/>
    <col min="13852" max="13852" width="3.625" style="29" customWidth="1"/>
    <col min="13853" max="13853" width="4.375" style="29" customWidth="1"/>
    <col min="13854" max="14080" width="8.75" style="29"/>
    <col min="14081" max="14081" width="3.625" style="29" customWidth="1"/>
    <col min="14082" max="14082" width="5" style="29" customWidth="1"/>
    <col min="14083" max="14083" width="3.75" style="29" customWidth="1"/>
    <col min="14084" max="14084" width="4.5" style="29" customWidth="1"/>
    <col min="14085" max="14085" width="5" style="29" customWidth="1"/>
    <col min="14086" max="14086" width="4.375" style="29" customWidth="1"/>
    <col min="14087" max="14087" width="5.75" style="29" customWidth="1"/>
    <col min="14088" max="14088" width="5.5" style="29" customWidth="1"/>
    <col min="14089" max="14089" width="5" style="29" customWidth="1"/>
    <col min="14090" max="14090" width="4.125" style="29" customWidth="1"/>
    <col min="14091" max="14091" width="5.5" style="29" customWidth="1"/>
    <col min="14092" max="14092" width="4.375" style="29" customWidth="1"/>
    <col min="14093" max="14093" width="6.25" style="29" customWidth="1"/>
    <col min="14094" max="14094" width="4.5" style="29" customWidth="1"/>
    <col min="14095" max="14095" width="5.5" style="29" customWidth="1"/>
    <col min="14096" max="14096" width="4.5" style="29" customWidth="1"/>
    <col min="14097" max="14097" width="8.75" style="29"/>
    <col min="14098" max="14098" width="4.5" style="29" customWidth="1"/>
    <col min="14099" max="14099" width="3.75" style="29" customWidth="1"/>
    <col min="14100" max="14100" width="3.625" style="29" customWidth="1"/>
    <col min="14101" max="14101" width="4.625" style="29" customWidth="1"/>
    <col min="14102" max="14102" width="5" style="29" customWidth="1"/>
    <col min="14103" max="14103" width="5.5" style="29" customWidth="1"/>
    <col min="14104" max="14104" width="3.875" style="29" customWidth="1"/>
    <col min="14105" max="14105" width="5.25" style="29" customWidth="1"/>
    <col min="14106" max="14106" width="4.5" style="29" customWidth="1"/>
    <col min="14107" max="14107" width="4.125" style="29" customWidth="1"/>
    <col min="14108" max="14108" width="3.625" style="29" customWidth="1"/>
    <col min="14109" max="14109" width="4.375" style="29" customWidth="1"/>
    <col min="14110" max="14336" width="8.75" style="29"/>
    <col min="14337" max="14337" width="3.625" style="29" customWidth="1"/>
    <col min="14338" max="14338" width="5" style="29" customWidth="1"/>
    <col min="14339" max="14339" width="3.75" style="29" customWidth="1"/>
    <col min="14340" max="14340" width="4.5" style="29" customWidth="1"/>
    <col min="14341" max="14341" width="5" style="29" customWidth="1"/>
    <col min="14342" max="14342" width="4.375" style="29" customWidth="1"/>
    <col min="14343" max="14343" width="5.75" style="29" customWidth="1"/>
    <col min="14344" max="14344" width="5.5" style="29" customWidth="1"/>
    <col min="14345" max="14345" width="5" style="29" customWidth="1"/>
    <col min="14346" max="14346" width="4.125" style="29" customWidth="1"/>
    <col min="14347" max="14347" width="5.5" style="29" customWidth="1"/>
    <col min="14348" max="14348" width="4.375" style="29" customWidth="1"/>
    <col min="14349" max="14349" width="6.25" style="29" customWidth="1"/>
    <col min="14350" max="14350" width="4.5" style="29" customWidth="1"/>
    <col min="14351" max="14351" width="5.5" style="29" customWidth="1"/>
    <col min="14352" max="14352" width="4.5" style="29" customWidth="1"/>
    <col min="14353" max="14353" width="8.75" style="29"/>
    <col min="14354" max="14354" width="4.5" style="29" customWidth="1"/>
    <col min="14355" max="14355" width="3.75" style="29" customWidth="1"/>
    <col min="14356" max="14356" width="3.625" style="29" customWidth="1"/>
    <col min="14357" max="14357" width="4.625" style="29" customWidth="1"/>
    <col min="14358" max="14358" width="5" style="29" customWidth="1"/>
    <col min="14359" max="14359" width="5.5" style="29" customWidth="1"/>
    <col min="14360" max="14360" width="3.875" style="29" customWidth="1"/>
    <col min="14361" max="14361" width="5.25" style="29" customWidth="1"/>
    <col min="14362" max="14362" width="4.5" style="29" customWidth="1"/>
    <col min="14363" max="14363" width="4.125" style="29" customWidth="1"/>
    <col min="14364" max="14364" width="3.625" style="29" customWidth="1"/>
    <col min="14365" max="14365" width="4.375" style="29" customWidth="1"/>
    <col min="14366" max="14592" width="8.75" style="29"/>
    <col min="14593" max="14593" width="3.625" style="29" customWidth="1"/>
    <col min="14594" max="14594" width="5" style="29" customWidth="1"/>
    <col min="14595" max="14595" width="3.75" style="29" customWidth="1"/>
    <col min="14596" max="14596" width="4.5" style="29" customWidth="1"/>
    <col min="14597" max="14597" width="5" style="29" customWidth="1"/>
    <col min="14598" max="14598" width="4.375" style="29" customWidth="1"/>
    <col min="14599" max="14599" width="5.75" style="29" customWidth="1"/>
    <col min="14600" max="14600" width="5.5" style="29" customWidth="1"/>
    <col min="14601" max="14601" width="5" style="29" customWidth="1"/>
    <col min="14602" max="14602" width="4.125" style="29" customWidth="1"/>
    <col min="14603" max="14603" width="5.5" style="29" customWidth="1"/>
    <col min="14604" max="14604" width="4.375" style="29" customWidth="1"/>
    <col min="14605" max="14605" width="6.25" style="29" customWidth="1"/>
    <col min="14606" max="14606" width="4.5" style="29" customWidth="1"/>
    <col min="14607" max="14607" width="5.5" style="29" customWidth="1"/>
    <col min="14608" max="14608" width="4.5" style="29" customWidth="1"/>
    <col min="14609" max="14609" width="8.75" style="29"/>
    <col min="14610" max="14610" width="4.5" style="29" customWidth="1"/>
    <col min="14611" max="14611" width="3.75" style="29" customWidth="1"/>
    <col min="14612" max="14612" width="3.625" style="29" customWidth="1"/>
    <col min="14613" max="14613" width="4.625" style="29" customWidth="1"/>
    <col min="14614" max="14614" width="5" style="29" customWidth="1"/>
    <col min="14615" max="14615" width="5.5" style="29" customWidth="1"/>
    <col min="14616" max="14616" width="3.875" style="29" customWidth="1"/>
    <col min="14617" max="14617" width="5.25" style="29" customWidth="1"/>
    <col min="14618" max="14618" width="4.5" style="29" customWidth="1"/>
    <col min="14619" max="14619" width="4.125" style="29" customWidth="1"/>
    <col min="14620" max="14620" width="3.625" style="29" customWidth="1"/>
    <col min="14621" max="14621" width="4.375" style="29" customWidth="1"/>
    <col min="14622" max="14848" width="8.75" style="29"/>
    <col min="14849" max="14849" width="3.625" style="29" customWidth="1"/>
    <col min="14850" max="14850" width="5" style="29" customWidth="1"/>
    <col min="14851" max="14851" width="3.75" style="29" customWidth="1"/>
    <col min="14852" max="14852" width="4.5" style="29" customWidth="1"/>
    <col min="14853" max="14853" width="5" style="29" customWidth="1"/>
    <col min="14854" max="14854" width="4.375" style="29" customWidth="1"/>
    <col min="14855" max="14855" width="5.75" style="29" customWidth="1"/>
    <col min="14856" max="14856" width="5.5" style="29" customWidth="1"/>
    <col min="14857" max="14857" width="5" style="29" customWidth="1"/>
    <col min="14858" max="14858" width="4.125" style="29" customWidth="1"/>
    <col min="14859" max="14859" width="5.5" style="29" customWidth="1"/>
    <col min="14860" max="14860" width="4.375" style="29" customWidth="1"/>
    <col min="14861" max="14861" width="6.25" style="29" customWidth="1"/>
    <col min="14862" max="14862" width="4.5" style="29" customWidth="1"/>
    <col min="14863" max="14863" width="5.5" style="29" customWidth="1"/>
    <col min="14864" max="14864" width="4.5" style="29" customWidth="1"/>
    <col min="14865" max="14865" width="8.75" style="29"/>
    <col min="14866" max="14866" width="4.5" style="29" customWidth="1"/>
    <col min="14867" max="14867" width="3.75" style="29" customWidth="1"/>
    <col min="14868" max="14868" width="3.625" style="29" customWidth="1"/>
    <col min="14869" max="14869" width="4.625" style="29" customWidth="1"/>
    <col min="14870" max="14870" width="5" style="29" customWidth="1"/>
    <col min="14871" max="14871" width="5.5" style="29" customWidth="1"/>
    <col min="14872" max="14872" width="3.875" style="29" customWidth="1"/>
    <col min="14873" max="14873" width="5.25" style="29" customWidth="1"/>
    <col min="14874" max="14874" width="4.5" style="29" customWidth="1"/>
    <col min="14875" max="14875" width="4.125" style="29" customWidth="1"/>
    <col min="14876" max="14876" width="3.625" style="29" customWidth="1"/>
    <col min="14877" max="14877" width="4.375" style="29" customWidth="1"/>
    <col min="14878" max="15104" width="8.75" style="29"/>
    <col min="15105" max="15105" width="3.625" style="29" customWidth="1"/>
    <col min="15106" max="15106" width="5" style="29" customWidth="1"/>
    <col min="15107" max="15107" width="3.75" style="29" customWidth="1"/>
    <col min="15108" max="15108" width="4.5" style="29" customWidth="1"/>
    <col min="15109" max="15109" width="5" style="29" customWidth="1"/>
    <col min="15110" max="15110" width="4.375" style="29" customWidth="1"/>
    <col min="15111" max="15111" width="5.75" style="29" customWidth="1"/>
    <col min="15112" max="15112" width="5.5" style="29" customWidth="1"/>
    <col min="15113" max="15113" width="5" style="29" customWidth="1"/>
    <col min="15114" max="15114" width="4.125" style="29" customWidth="1"/>
    <col min="15115" max="15115" width="5.5" style="29" customWidth="1"/>
    <col min="15116" max="15116" width="4.375" style="29" customWidth="1"/>
    <col min="15117" max="15117" width="6.25" style="29" customWidth="1"/>
    <col min="15118" max="15118" width="4.5" style="29" customWidth="1"/>
    <col min="15119" max="15119" width="5.5" style="29" customWidth="1"/>
    <col min="15120" max="15120" width="4.5" style="29" customWidth="1"/>
    <col min="15121" max="15121" width="8.75" style="29"/>
    <col min="15122" max="15122" width="4.5" style="29" customWidth="1"/>
    <col min="15123" max="15123" width="3.75" style="29" customWidth="1"/>
    <col min="15124" max="15124" width="3.625" style="29" customWidth="1"/>
    <col min="15125" max="15125" width="4.625" style="29" customWidth="1"/>
    <col min="15126" max="15126" width="5" style="29" customWidth="1"/>
    <col min="15127" max="15127" width="5.5" style="29" customWidth="1"/>
    <col min="15128" max="15128" width="3.875" style="29" customWidth="1"/>
    <col min="15129" max="15129" width="5.25" style="29" customWidth="1"/>
    <col min="15130" max="15130" width="4.5" style="29" customWidth="1"/>
    <col min="15131" max="15131" width="4.125" style="29" customWidth="1"/>
    <col min="15132" max="15132" width="3.625" style="29" customWidth="1"/>
    <col min="15133" max="15133" width="4.375" style="29" customWidth="1"/>
    <col min="15134" max="15360" width="8.75" style="29"/>
    <col min="15361" max="15361" width="3.625" style="29" customWidth="1"/>
    <col min="15362" max="15362" width="5" style="29" customWidth="1"/>
    <col min="15363" max="15363" width="3.75" style="29" customWidth="1"/>
    <col min="15364" max="15364" width="4.5" style="29" customWidth="1"/>
    <col min="15365" max="15365" width="5" style="29" customWidth="1"/>
    <col min="15366" max="15366" width="4.375" style="29" customWidth="1"/>
    <col min="15367" max="15367" width="5.75" style="29" customWidth="1"/>
    <col min="15368" max="15368" width="5.5" style="29" customWidth="1"/>
    <col min="15369" max="15369" width="5" style="29" customWidth="1"/>
    <col min="15370" max="15370" width="4.125" style="29" customWidth="1"/>
    <col min="15371" max="15371" width="5.5" style="29" customWidth="1"/>
    <col min="15372" max="15372" width="4.375" style="29" customWidth="1"/>
    <col min="15373" max="15373" width="6.25" style="29" customWidth="1"/>
    <col min="15374" max="15374" width="4.5" style="29" customWidth="1"/>
    <col min="15375" max="15375" width="5.5" style="29" customWidth="1"/>
    <col min="15376" max="15376" width="4.5" style="29" customWidth="1"/>
    <col min="15377" max="15377" width="8.75" style="29"/>
    <col min="15378" max="15378" width="4.5" style="29" customWidth="1"/>
    <col min="15379" max="15379" width="3.75" style="29" customWidth="1"/>
    <col min="15380" max="15380" width="3.625" style="29" customWidth="1"/>
    <col min="15381" max="15381" width="4.625" style="29" customWidth="1"/>
    <col min="15382" max="15382" width="5" style="29" customWidth="1"/>
    <col min="15383" max="15383" width="5.5" style="29" customWidth="1"/>
    <col min="15384" max="15384" width="3.875" style="29" customWidth="1"/>
    <col min="15385" max="15385" width="5.25" style="29" customWidth="1"/>
    <col min="15386" max="15386" width="4.5" style="29" customWidth="1"/>
    <col min="15387" max="15387" width="4.125" style="29" customWidth="1"/>
    <col min="15388" max="15388" width="3.625" style="29" customWidth="1"/>
    <col min="15389" max="15389" width="4.375" style="29" customWidth="1"/>
    <col min="15390" max="15616" width="8.75" style="29"/>
    <col min="15617" max="15617" width="3.625" style="29" customWidth="1"/>
    <col min="15618" max="15618" width="5" style="29" customWidth="1"/>
    <col min="15619" max="15619" width="3.75" style="29" customWidth="1"/>
    <col min="15620" max="15620" width="4.5" style="29" customWidth="1"/>
    <col min="15621" max="15621" width="5" style="29" customWidth="1"/>
    <col min="15622" max="15622" width="4.375" style="29" customWidth="1"/>
    <col min="15623" max="15623" width="5.75" style="29" customWidth="1"/>
    <col min="15624" max="15624" width="5.5" style="29" customWidth="1"/>
    <col min="15625" max="15625" width="5" style="29" customWidth="1"/>
    <col min="15626" max="15626" width="4.125" style="29" customWidth="1"/>
    <col min="15627" max="15627" width="5.5" style="29" customWidth="1"/>
    <col min="15628" max="15628" width="4.375" style="29" customWidth="1"/>
    <col min="15629" max="15629" width="6.25" style="29" customWidth="1"/>
    <col min="15630" max="15630" width="4.5" style="29" customWidth="1"/>
    <col min="15631" max="15631" width="5.5" style="29" customWidth="1"/>
    <col min="15632" max="15632" width="4.5" style="29" customWidth="1"/>
    <col min="15633" max="15633" width="8.75" style="29"/>
    <col min="15634" max="15634" width="4.5" style="29" customWidth="1"/>
    <col min="15635" max="15635" width="3.75" style="29" customWidth="1"/>
    <col min="15636" max="15636" width="3.625" style="29" customWidth="1"/>
    <col min="15637" max="15637" width="4.625" style="29" customWidth="1"/>
    <col min="15638" max="15638" width="5" style="29" customWidth="1"/>
    <col min="15639" max="15639" width="5.5" style="29" customWidth="1"/>
    <col min="15640" max="15640" width="3.875" style="29" customWidth="1"/>
    <col min="15641" max="15641" width="5.25" style="29" customWidth="1"/>
    <col min="15642" max="15642" width="4.5" style="29" customWidth="1"/>
    <col min="15643" max="15643" width="4.125" style="29" customWidth="1"/>
    <col min="15644" max="15644" width="3.625" style="29" customWidth="1"/>
    <col min="15645" max="15645" width="4.375" style="29" customWidth="1"/>
    <col min="15646" max="15872" width="8.75" style="29"/>
    <col min="15873" max="15873" width="3.625" style="29" customWidth="1"/>
    <col min="15874" max="15874" width="5" style="29" customWidth="1"/>
    <col min="15875" max="15875" width="3.75" style="29" customWidth="1"/>
    <col min="15876" max="15876" width="4.5" style="29" customWidth="1"/>
    <col min="15877" max="15877" width="5" style="29" customWidth="1"/>
    <col min="15878" max="15878" width="4.375" style="29" customWidth="1"/>
    <col min="15879" max="15879" width="5.75" style="29" customWidth="1"/>
    <col min="15880" max="15880" width="5.5" style="29" customWidth="1"/>
    <col min="15881" max="15881" width="5" style="29" customWidth="1"/>
    <col min="15882" max="15882" width="4.125" style="29" customWidth="1"/>
    <col min="15883" max="15883" width="5.5" style="29" customWidth="1"/>
    <col min="15884" max="15884" width="4.375" style="29" customWidth="1"/>
    <col min="15885" max="15885" width="6.25" style="29" customWidth="1"/>
    <col min="15886" max="15886" width="4.5" style="29" customWidth="1"/>
    <col min="15887" max="15887" width="5.5" style="29" customWidth="1"/>
    <col min="15888" max="15888" width="4.5" style="29" customWidth="1"/>
    <col min="15889" max="15889" width="8.75" style="29"/>
    <col min="15890" max="15890" width="4.5" style="29" customWidth="1"/>
    <col min="15891" max="15891" width="3.75" style="29" customWidth="1"/>
    <col min="15892" max="15892" width="3.625" style="29" customWidth="1"/>
    <col min="15893" max="15893" width="4.625" style="29" customWidth="1"/>
    <col min="15894" max="15894" width="5" style="29" customWidth="1"/>
    <col min="15895" max="15895" width="5.5" style="29" customWidth="1"/>
    <col min="15896" max="15896" width="3.875" style="29" customWidth="1"/>
    <col min="15897" max="15897" width="5.25" style="29" customWidth="1"/>
    <col min="15898" max="15898" width="4.5" style="29" customWidth="1"/>
    <col min="15899" max="15899" width="4.125" style="29" customWidth="1"/>
    <col min="15900" max="15900" width="3.625" style="29" customWidth="1"/>
    <col min="15901" max="15901" width="4.375" style="29" customWidth="1"/>
    <col min="15902" max="16128" width="8.75" style="29"/>
    <col min="16129" max="16129" width="3.625" style="29" customWidth="1"/>
    <col min="16130" max="16130" width="5" style="29" customWidth="1"/>
    <col min="16131" max="16131" width="3.75" style="29" customWidth="1"/>
    <col min="16132" max="16132" width="4.5" style="29" customWidth="1"/>
    <col min="16133" max="16133" width="5" style="29" customWidth="1"/>
    <col min="16134" max="16134" width="4.375" style="29" customWidth="1"/>
    <col min="16135" max="16135" width="5.75" style="29" customWidth="1"/>
    <col min="16136" max="16136" width="5.5" style="29" customWidth="1"/>
    <col min="16137" max="16137" width="5" style="29" customWidth="1"/>
    <col min="16138" max="16138" width="4.125" style="29" customWidth="1"/>
    <col min="16139" max="16139" width="5.5" style="29" customWidth="1"/>
    <col min="16140" max="16140" width="4.375" style="29" customWidth="1"/>
    <col min="16141" max="16141" width="6.25" style="29" customWidth="1"/>
    <col min="16142" max="16142" width="4.5" style="29" customWidth="1"/>
    <col min="16143" max="16143" width="5.5" style="29" customWidth="1"/>
    <col min="16144" max="16144" width="4.5" style="29" customWidth="1"/>
    <col min="16145" max="16145" width="8.75" style="29"/>
    <col min="16146" max="16146" width="4.5" style="29" customWidth="1"/>
    <col min="16147" max="16147" width="3.75" style="29" customWidth="1"/>
    <col min="16148" max="16148" width="3.625" style="29" customWidth="1"/>
    <col min="16149" max="16149" width="4.625" style="29" customWidth="1"/>
    <col min="16150" max="16150" width="5" style="29" customWidth="1"/>
    <col min="16151" max="16151" width="5.5" style="29" customWidth="1"/>
    <col min="16152" max="16152" width="3.875" style="29" customWidth="1"/>
    <col min="16153" max="16153" width="5.25" style="29" customWidth="1"/>
    <col min="16154" max="16154" width="4.5" style="29" customWidth="1"/>
    <col min="16155" max="16155" width="4.125" style="29" customWidth="1"/>
    <col min="16156" max="16156" width="3.625" style="29" customWidth="1"/>
    <col min="16157" max="16157" width="4.375" style="29" customWidth="1"/>
    <col min="16158" max="16383" width="8.75" style="29"/>
    <col min="16384" max="16384" width="8.75" style="29" customWidth="1"/>
  </cols>
  <sheetData>
    <row r="1" spans="1:31" ht="53.45" customHeight="1">
      <c r="A1" s="848" t="s">
        <v>108</v>
      </c>
      <c r="B1" s="848"/>
      <c r="C1" s="848"/>
      <c r="D1" s="848"/>
      <c r="E1" s="848"/>
      <c r="F1" s="848"/>
      <c r="G1" s="848"/>
      <c r="H1" s="848"/>
      <c r="I1" s="848"/>
      <c r="J1" s="848"/>
      <c r="K1" s="848"/>
      <c r="L1" s="848"/>
      <c r="M1" s="848"/>
      <c r="N1" s="848"/>
      <c r="O1" s="848"/>
      <c r="P1" s="848"/>
      <c r="Q1" s="848"/>
      <c r="R1" s="848"/>
      <c r="S1" s="848"/>
      <c r="T1" s="848"/>
      <c r="U1" s="848"/>
      <c r="V1" s="848"/>
      <c r="W1" s="848"/>
      <c r="X1" s="848"/>
      <c r="Y1" s="848"/>
      <c r="Z1" s="848"/>
      <c r="AA1" s="848"/>
      <c r="AB1" s="848"/>
      <c r="AC1" s="848"/>
      <c r="AD1" s="848"/>
    </row>
    <row r="2" spans="1:31" ht="14.1" customHeight="1">
      <c r="A2" s="749"/>
      <c r="B2" s="750"/>
      <c r="C2" s="750"/>
      <c r="D2" s="750"/>
      <c r="E2" s="750"/>
      <c r="F2" s="750"/>
      <c r="G2" s="767" t="s">
        <v>302</v>
      </c>
      <c r="H2" s="768"/>
      <c r="I2" s="768"/>
      <c r="J2" s="768"/>
      <c r="K2" s="768"/>
      <c r="L2" s="768"/>
      <c r="M2" s="768"/>
      <c r="N2" s="768"/>
      <c r="O2" s="768"/>
      <c r="P2" s="768"/>
      <c r="Q2" s="768"/>
      <c r="R2" s="768"/>
      <c r="S2" s="768"/>
      <c r="T2" s="768"/>
      <c r="U2" s="768"/>
      <c r="V2" s="768"/>
      <c r="W2" s="768"/>
      <c r="X2" s="769"/>
      <c r="Y2" s="755" t="s">
        <v>294</v>
      </c>
      <c r="Z2" s="756"/>
      <c r="AA2" s="756"/>
      <c r="AB2" s="757" t="s">
        <v>295</v>
      </c>
      <c r="AC2" s="757"/>
      <c r="AD2" s="758"/>
    </row>
    <row r="3" spans="1:31" ht="14.1" customHeight="1">
      <c r="A3" s="751"/>
      <c r="B3" s="752"/>
      <c r="C3" s="752"/>
      <c r="D3" s="752"/>
      <c r="E3" s="752"/>
      <c r="F3" s="752"/>
      <c r="G3" s="770" t="s">
        <v>303</v>
      </c>
      <c r="H3" s="771"/>
      <c r="I3" s="771"/>
      <c r="J3" s="771"/>
      <c r="K3" s="771"/>
      <c r="L3" s="771"/>
      <c r="M3" s="771"/>
      <c r="N3" s="771"/>
      <c r="O3" s="771"/>
      <c r="P3" s="771"/>
      <c r="Q3" s="771"/>
      <c r="R3" s="771"/>
      <c r="S3" s="771"/>
      <c r="T3" s="771"/>
      <c r="U3" s="771"/>
      <c r="V3" s="771"/>
      <c r="W3" s="771"/>
      <c r="X3" s="772"/>
      <c r="Y3" s="759" t="s">
        <v>296</v>
      </c>
      <c r="Z3" s="760"/>
      <c r="AA3" s="760"/>
      <c r="AB3" s="761" t="s">
        <v>297</v>
      </c>
      <c r="AC3" s="762"/>
      <c r="AD3" s="763"/>
    </row>
    <row r="4" spans="1:31" ht="14.1" customHeight="1">
      <c r="A4" s="751"/>
      <c r="B4" s="752"/>
      <c r="C4" s="752"/>
      <c r="D4" s="752"/>
      <c r="E4" s="752"/>
      <c r="F4" s="752"/>
      <c r="G4" s="773" t="s">
        <v>304</v>
      </c>
      <c r="H4" s="774"/>
      <c r="I4" s="774"/>
      <c r="J4" s="774" t="s">
        <v>305</v>
      </c>
      <c r="K4" s="774"/>
      <c r="L4" s="774"/>
      <c r="M4" s="774"/>
      <c r="N4" s="774"/>
      <c r="O4" s="774"/>
      <c r="P4" s="774"/>
      <c r="Q4" s="774"/>
      <c r="R4" s="774"/>
      <c r="S4" s="774"/>
      <c r="T4" s="774"/>
      <c r="U4" s="774"/>
      <c r="V4" s="774"/>
      <c r="W4" s="774"/>
      <c r="X4" s="777"/>
      <c r="Y4" s="759" t="s">
        <v>298</v>
      </c>
      <c r="Z4" s="760"/>
      <c r="AA4" s="760"/>
      <c r="AB4" s="764" t="s">
        <v>299</v>
      </c>
      <c r="AC4" s="762"/>
      <c r="AD4" s="763"/>
    </row>
    <row r="5" spans="1:31" ht="14.1" customHeight="1">
      <c r="A5" s="753"/>
      <c r="B5" s="754"/>
      <c r="C5" s="754"/>
      <c r="D5" s="754"/>
      <c r="E5" s="754"/>
      <c r="F5" s="754"/>
      <c r="G5" s="775"/>
      <c r="H5" s="776"/>
      <c r="I5" s="776"/>
      <c r="J5" s="776"/>
      <c r="K5" s="776"/>
      <c r="L5" s="776"/>
      <c r="M5" s="776"/>
      <c r="N5" s="776"/>
      <c r="O5" s="776"/>
      <c r="P5" s="776"/>
      <c r="Q5" s="776"/>
      <c r="R5" s="776"/>
      <c r="S5" s="776"/>
      <c r="T5" s="776"/>
      <c r="U5" s="776"/>
      <c r="V5" s="776"/>
      <c r="W5" s="776"/>
      <c r="X5" s="778"/>
      <c r="Y5" s="765" t="s">
        <v>300</v>
      </c>
      <c r="Z5" s="766"/>
      <c r="AA5" s="766"/>
      <c r="AB5" s="729" t="s">
        <v>301</v>
      </c>
      <c r="AC5" s="730"/>
      <c r="AD5" s="731"/>
    </row>
    <row r="6" spans="1:31" ht="8.25" customHeight="1">
      <c r="A6" s="39"/>
      <c r="B6" s="39"/>
      <c r="C6" s="39"/>
      <c r="D6" s="39"/>
      <c r="E6" s="39"/>
      <c r="F6" s="39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40"/>
      <c r="AB6" s="40"/>
      <c r="AC6" s="35"/>
      <c r="AD6" s="40"/>
    </row>
    <row r="7" spans="1:31" ht="18">
      <c r="A7" s="732" t="s">
        <v>312</v>
      </c>
      <c r="B7" s="733"/>
      <c r="C7" s="733"/>
      <c r="D7" s="733"/>
      <c r="E7" s="733"/>
      <c r="F7" s="733"/>
      <c r="G7" s="733"/>
      <c r="H7" s="733"/>
      <c r="I7" s="733"/>
      <c r="J7" s="733"/>
      <c r="K7" s="733"/>
      <c r="L7" s="733"/>
      <c r="M7" s="733"/>
      <c r="N7" s="733"/>
      <c r="O7" s="733"/>
      <c r="P7" s="733"/>
      <c r="Q7" s="733"/>
      <c r="R7" s="733"/>
      <c r="S7" s="733"/>
      <c r="T7" s="733"/>
      <c r="U7" s="733"/>
      <c r="V7" s="733"/>
      <c r="W7" s="733"/>
      <c r="X7" s="733"/>
      <c r="Y7" s="733"/>
      <c r="Z7" s="733"/>
      <c r="AA7" s="733"/>
      <c r="AB7" s="733"/>
      <c r="AC7" s="733"/>
      <c r="AD7" s="734"/>
    </row>
    <row r="8" spans="1:31" s="30" customFormat="1" ht="13.15">
      <c r="A8" s="735" t="s">
        <v>21</v>
      </c>
      <c r="B8" s="736"/>
      <c r="C8" s="737" t="s">
        <v>156</v>
      </c>
      <c r="D8" s="738"/>
      <c r="E8" s="738"/>
      <c r="F8" s="739"/>
      <c r="G8" s="740" t="s">
        <v>22</v>
      </c>
      <c r="H8" s="741"/>
      <c r="I8" s="742" t="str">
        <f ca="1">MASTER!F21 &amp; "/" &amp; RIGHT(YEAR(TODAY()),2)</f>
        <v>23/25</v>
      </c>
      <c r="J8" s="743"/>
      <c r="K8" s="743"/>
      <c r="L8" s="743"/>
      <c r="M8" s="743"/>
      <c r="N8" s="743"/>
      <c r="O8" s="743"/>
      <c r="P8" s="743"/>
      <c r="Q8" s="743"/>
      <c r="R8" s="743"/>
      <c r="S8" s="743"/>
      <c r="T8" s="743"/>
      <c r="U8" s="743"/>
      <c r="V8" s="743"/>
      <c r="W8" s="743"/>
      <c r="X8" s="744"/>
      <c r="Y8" s="745" t="s">
        <v>23</v>
      </c>
      <c r="Z8" s="746"/>
      <c r="AA8" s="747">
        <f ca="1">MASTER!$F$22</f>
        <v>46009</v>
      </c>
      <c r="AB8" s="747"/>
      <c r="AC8" s="747"/>
      <c r="AD8" s="748"/>
    </row>
    <row r="9" spans="1:31" s="31" customFormat="1">
      <c r="A9" s="779" t="s">
        <v>24</v>
      </c>
      <c r="B9" s="780"/>
      <c r="C9" s="780"/>
      <c r="D9" s="780"/>
      <c r="E9" s="780"/>
      <c r="F9" s="728" t="s">
        <v>25</v>
      </c>
      <c r="G9" s="728"/>
      <c r="H9" s="728"/>
      <c r="I9" s="728"/>
      <c r="J9" s="728"/>
      <c r="K9" s="728" t="s">
        <v>107</v>
      </c>
      <c r="L9" s="728"/>
      <c r="M9" s="728"/>
      <c r="N9" s="728"/>
      <c r="O9" s="728"/>
      <c r="P9" s="728" t="s">
        <v>26</v>
      </c>
      <c r="Q9" s="728"/>
      <c r="R9" s="728"/>
      <c r="S9" s="728"/>
      <c r="T9" s="728"/>
      <c r="U9" s="728" t="s">
        <v>27</v>
      </c>
      <c r="V9" s="728"/>
      <c r="W9" s="728"/>
      <c r="X9" s="728"/>
      <c r="Y9" s="728"/>
      <c r="Z9" s="728" t="s">
        <v>28</v>
      </c>
      <c r="AA9" s="728"/>
      <c r="AB9" s="728"/>
      <c r="AC9" s="728"/>
      <c r="AD9" s="728"/>
    </row>
    <row r="10" spans="1:31">
      <c r="A10" s="793" t="str">
        <f>MASTER!$D$21</f>
        <v>ALIAGA</v>
      </c>
      <c r="B10" s="794"/>
      <c r="C10" s="794"/>
      <c r="D10" s="794"/>
      <c r="E10" s="795"/>
      <c r="F10" s="796" t="str">
        <f>MASTER!$D$22</f>
        <v>TUPRAS</v>
      </c>
      <c r="G10" s="796"/>
      <c r="H10" s="796"/>
      <c r="I10" s="796"/>
      <c r="J10" s="796"/>
      <c r="K10" s="797" t="str">
        <f>VLOOKUP(MASTER!B24,PARCELS,4)</f>
        <v>IKMAL-1 TUPRAS MERSIN BENZIN</v>
      </c>
      <c r="L10" s="797"/>
      <c r="M10" s="797"/>
      <c r="N10" s="797"/>
      <c r="O10" s="797"/>
      <c r="P10" s="796" t="str">
        <f>VLOOKUP(MASTER!B24,PARCELS,2)</f>
        <v>KB-95</v>
      </c>
      <c r="Q10" s="796"/>
      <c r="R10" s="796"/>
      <c r="S10" s="796"/>
      <c r="T10" s="796"/>
      <c r="U10" s="781">
        <f>MASTER!$AA$17</f>
        <v>8.6</v>
      </c>
      <c r="V10" s="781"/>
      <c r="W10" s="781"/>
      <c r="X10" s="781"/>
      <c r="Y10" s="781"/>
      <c r="Z10" s="781">
        <f>MASTER!$Y$17</f>
        <v>8.6</v>
      </c>
      <c r="AA10" s="781"/>
      <c r="AB10" s="781"/>
      <c r="AC10" s="781"/>
      <c r="AD10" s="781"/>
    </row>
    <row r="11" spans="1:31" ht="9" customHeight="1" thickBot="1">
      <c r="A11" s="786"/>
      <c r="B11" s="786"/>
      <c r="C11" s="786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</row>
    <row r="12" spans="1:31">
      <c r="A12" s="787" t="s">
        <v>29</v>
      </c>
      <c r="B12" s="788"/>
      <c r="C12" s="790" t="s">
        <v>164</v>
      </c>
      <c r="D12" s="791"/>
      <c r="E12" s="791"/>
      <c r="F12" s="788"/>
      <c r="G12" s="790" t="s">
        <v>31</v>
      </c>
      <c r="H12" s="788"/>
      <c r="I12" s="790" t="s">
        <v>32</v>
      </c>
      <c r="J12" s="791"/>
      <c r="K12" s="791"/>
      <c r="L12" s="788"/>
      <c r="M12" s="790" t="s">
        <v>3</v>
      </c>
      <c r="N12" s="788"/>
      <c r="O12" s="790" t="s">
        <v>33</v>
      </c>
      <c r="P12" s="788"/>
      <c r="Q12" s="790" t="s">
        <v>34</v>
      </c>
      <c r="R12" s="788"/>
      <c r="S12" s="790" t="s">
        <v>2</v>
      </c>
      <c r="T12" s="791"/>
      <c r="U12" s="791"/>
      <c r="V12" s="788"/>
      <c r="W12" s="790" t="s">
        <v>35</v>
      </c>
      <c r="X12" s="791"/>
      <c r="Y12" s="791"/>
      <c r="Z12" s="788"/>
      <c r="AA12" s="790" t="s">
        <v>36</v>
      </c>
      <c r="AB12" s="791"/>
      <c r="AC12" s="791"/>
      <c r="AD12" s="792"/>
    </row>
    <row r="13" spans="1:31" ht="14.65" thickBot="1">
      <c r="A13" s="789"/>
      <c r="B13" s="783"/>
      <c r="C13" s="782" t="s">
        <v>37</v>
      </c>
      <c r="D13" s="783"/>
      <c r="E13" s="782" t="s">
        <v>38</v>
      </c>
      <c r="F13" s="783"/>
      <c r="G13" s="784"/>
      <c r="H13" s="785"/>
      <c r="I13" s="782" t="s">
        <v>37</v>
      </c>
      <c r="J13" s="783"/>
      <c r="K13" s="782" t="s">
        <v>38</v>
      </c>
      <c r="L13" s="783"/>
      <c r="M13" s="782"/>
      <c r="N13" s="783"/>
      <c r="O13" s="782"/>
      <c r="P13" s="783"/>
      <c r="Q13" s="782"/>
      <c r="R13" s="783"/>
      <c r="S13" s="782"/>
      <c r="T13" s="806"/>
      <c r="U13" s="806"/>
      <c r="V13" s="783"/>
      <c r="W13" s="782" t="s">
        <v>40</v>
      </c>
      <c r="X13" s="806"/>
      <c r="Y13" s="806"/>
      <c r="Z13" s="783"/>
      <c r="AA13" s="782" t="s">
        <v>40</v>
      </c>
      <c r="AB13" s="806"/>
      <c r="AC13" s="806"/>
      <c r="AD13" s="807"/>
    </row>
    <row r="14" spans="1:31">
      <c r="A14" s="814" t="s">
        <v>41</v>
      </c>
      <c r="B14" s="815"/>
      <c r="C14" s="818">
        <f>MASTER!F3</f>
        <v>1050</v>
      </c>
      <c r="D14" s="819"/>
      <c r="E14" s="818">
        <f>MASTER!H3</f>
        <v>1050</v>
      </c>
      <c r="F14" s="819"/>
      <c r="G14" s="798">
        <f>MASTER!J3</f>
        <v>778.41399999999999</v>
      </c>
      <c r="H14" s="800"/>
      <c r="I14" s="804" t="s">
        <v>100</v>
      </c>
      <c r="J14" s="805"/>
      <c r="K14" s="804" t="s">
        <v>100</v>
      </c>
      <c r="L14" s="805"/>
      <c r="M14" s="798">
        <f>MASTER!L3</f>
        <v>778.41399999999999</v>
      </c>
      <c r="N14" s="800"/>
      <c r="O14" s="804">
        <f>MASTER!M3</f>
        <v>18</v>
      </c>
      <c r="P14" s="805"/>
      <c r="Q14" s="801">
        <f>MASTER!Q3</f>
        <v>0.99629999999999996</v>
      </c>
      <c r="R14" s="803"/>
      <c r="S14" s="798">
        <f>MASTER!R3</f>
        <v>775.53386819999992</v>
      </c>
      <c r="T14" s="799"/>
      <c r="U14" s="799"/>
      <c r="V14" s="800"/>
      <c r="W14" s="801">
        <f>MASTER!N3</f>
        <v>0.73770000000000002</v>
      </c>
      <c r="X14" s="802"/>
      <c r="Y14" s="802"/>
      <c r="Z14" s="803"/>
      <c r="AA14" s="798">
        <f>S14*W14</f>
        <v>572.11133457113999</v>
      </c>
      <c r="AB14" s="799"/>
      <c r="AC14" s="799"/>
      <c r="AD14" s="800"/>
      <c r="AE14" s="487">
        <f t="shared" ref="AE14:AE31" si="0">S14*(W14-0.0011)</f>
        <v>571.25824731611999</v>
      </c>
    </row>
    <row r="15" spans="1:31" s="487" customFormat="1" ht="12.95" customHeight="1">
      <c r="A15" s="814" t="s">
        <v>42</v>
      </c>
      <c r="B15" s="815"/>
      <c r="C15" s="818">
        <f>MASTER!F4</f>
        <v>1050</v>
      </c>
      <c r="D15" s="819"/>
      <c r="E15" s="818">
        <f>MASTER!H4</f>
        <v>1050</v>
      </c>
      <c r="F15" s="819"/>
      <c r="G15" s="798">
        <f>MASTER!J4</f>
        <v>773.16200000000003</v>
      </c>
      <c r="H15" s="800"/>
      <c r="I15" s="804" t="s">
        <v>100</v>
      </c>
      <c r="J15" s="805"/>
      <c r="K15" s="804" t="s">
        <v>100</v>
      </c>
      <c r="L15" s="805"/>
      <c r="M15" s="798">
        <f>MASTER!L4</f>
        <v>773.16200000000003</v>
      </c>
      <c r="N15" s="800"/>
      <c r="O15" s="804">
        <f>MASTER!M4</f>
        <v>18</v>
      </c>
      <c r="P15" s="805"/>
      <c r="Q15" s="801">
        <f>MASTER!Q4</f>
        <v>0.99629999999999996</v>
      </c>
      <c r="R15" s="803"/>
      <c r="S15" s="798">
        <f>MASTER!R4</f>
        <v>770.30130059999999</v>
      </c>
      <c r="T15" s="799"/>
      <c r="U15" s="799"/>
      <c r="V15" s="800"/>
      <c r="W15" s="801">
        <f>MASTER!N4</f>
        <v>0.73770000000000002</v>
      </c>
      <c r="X15" s="802"/>
      <c r="Y15" s="802"/>
      <c r="Z15" s="803"/>
      <c r="AA15" s="798">
        <f t="shared" ref="AA15:AA31" si="1">S15*W15</f>
        <v>568.25126945262002</v>
      </c>
      <c r="AB15" s="799"/>
      <c r="AC15" s="799"/>
      <c r="AD15" s="800"/>
      <c r="AE15" s="487">
        <f t="shared" si="0"/>
        <v>567.40393802196002</v>
      </c>
    </row>
    <row r="16" spans="1:31" s="487" customFormat="1" ht="12.95" customHeight="1">
      <c r="A16" s="814" t="s">
        <v>43</v>
      </c>
      <c r="B16" s="815"/>
      <c r="C16" s="816">
        <f>MASTER!F5</f>
        <v>1130</v>
      </c>
      <c r="D16" s="817"/>
      <c r="E16" s="818">
        <f>MASTER!H5</f>
        <v>1130</v>
      </c>
      <c r="F16" s="819"/>
      <c r="G16" s="798">
        <f>MASTER!J5</f>
        <v>1594.2239999999999</v>
      </c>
      <c r="H16" s="800"/>
      <c r="I16" s="804" t="s">
        <v>100</v>
      </c>
      <c r="J16" s="805"/>
      <c r="K16" s="804" t="s">
        <v>100</v>
      </c>
      <c r="L16" s="805"/>
      <c r="M16" s="808">
        <f>MASTER!L5</f>
        <v>1594.2239999999999</v>
      </c>
      <c r="N16" s="809"/>
      <c r="O16" s="804">
        <f>MASTER!M5</f>
        <v>18</v>
      </c>
      <c r="P16" s="805"/>
      <c r="Q16" s="810">
        <f>MASTER!Q5</f>
        <v>0.99739999999999995</v>
      </c>
      <c r="R16" s="811"/>
      <c r="S16" s="808">
        <f>MASTER!R5</f>
        <v>1590.0790175999998</v>
      </c>
      <c r="T16" s="812"/>
      <c r="U16" s="812"/>
      <c r="V16" s="809"/>
      <c r="W16" s="810">
        <f>MASTER!N5</f>
        <v>0.83260000000000001</v>
      </c>
      <c r="X16" s="813"/>
      <c r="Y16" s="813"/>
      <c r="Z16" s="811"/>
      <c r="AA16" s="798">
        <f t="shared" si="1"/>
        <v>1323.8997900537599</v>
      </c>
      <c r="AB16" s="799"/>
      <c r="AC16" s="799"/>
      <c r="AD16" s="800"/>
      <c r="AE16" s="487">
        <f t="shared" si="0"/>
        <v>1322.1507031343999</v>
      </c>
    </row>
    <row r="17" spans="1:31" s="487" customFormat="1" ht="12.95" customHeight="1">
      <c r="A17" s="814" t="s">
        <v>44</v>
      </c>
      <c r="B17" s="815"/>
      <c r="C17" s="816">
        <f>MASTER!F6</f>
        <v>1130</v>
      </c>
      <c r="D17" s="817"/>
      <c r="E17" s="818">
        <f>MASTER!H6</f>
        <v>1130</v>
      </c>
      <c r="F17" s="819"/>
      <c r="G17" s="798">
        <f>MASTER!J6</f>
        <v>1592.104</v>
      </c>
      <c r="H17" s="800"/>
      <c r="I17" s="804" t="s">
        <v>100</v>
      </c>
      <c r="J17" s="805"/>
      <c r="K17" s="804" t="s">
        <v>100</v>
      </c>
      <c r="L17" s="805"/>
      <c r="M17" s="808">
        <f>MASTER!L6</f>
        <v>1592.104</v>
      </c>
      <c r="N17" s="809"/>
      <c r="O17" s="804">
        <f>MASTER!M6</f>
        <v>18</v>
      </c>
      <c r="P17" s="805"/>
      <c r="Q17" s="810">
        <f>MASTER!Q6</f>
        <v>0.99629999999999996</v>
      </c>
      <c r="R17" s="811"/>
      <c r="S17" s="808">
        <f>MASTER!R6</f>
        <v>1586.2132151999999</v>
      </c>
      <c r="T17" s="812"/>
      <c r="U17" s="812"/>
      <c r="V17" s="809"/>
      <c r="W17" s="810">
        <f>MASTER!N6</f>
        <v>0.73770000000000002</v>
      </c>
      <c r="X17" s="813"/>
      <c r="Y17" s="813"/>
      <c r="Z17" s="811"/>
      <c r="AA17" s="798">
        <f t="shared" si="1"/>
        <v>1170.1494888530399</v>
      </c>
      <c r="AB17" s="799"/>
      <c r="AC17" s="799"/>
      <c r="AD17" s="800"/>
      <c r="AE17" s="487">
        <f t="shared" si="0"/>
        <v>1168.4046543163199</v>
      </c>
    </row>
    <row r="18" spans="1:31" s="487" customFormat="1" ht="12.95" customHeight="1">
      <c r="A18" s="814" t="s">
        <v>45</v>
      </c>
      <c r="B18" s="815"/>
      <c r="C18" s="816">
        <f>MASTER!F7</f>
        <v>1130</v>
      </c>
      <c r="D18" s="817"/>
      <c r="E18" s="818">
        <f>MASTER!H7</f>
        <v>1130</v>
      </c>
      <c r="F18" s="819"/>
      <c r="G18" s="798">
        <f>MASTER!J7</f>
        <v>1347.046</v>
      </c>
      <c r="H18" s="800"/>
      <c r="I18" s="804" t="s">
        <v>100</v>
      </c>
      <c r="J18" s="805"/>
      <c r="K18" s="804" t="s">
        <v>100</v>
      </c>
      <c r="L18" s="805"/>
      <c r="M18" s="808">
        <f>MASTER!L7</f>
        <v>1347.046</v>
      </c>
      <c r="N18" s="809"/>
      <c r="O18" s="804">
        <f>MASTER!M7</f>
        <v>18</v>
      </c>
      <c r="P18" s="805"/>
      <c r="Q18" s="810">
        <f>MASTER!Q7</f>
        <v>0.99629999999999996</v>
      </c>
      <c r="R18" s="811"/>
      <c r="S18" s="808">
        <f>MASTER!R7</f>
        <v>1342.0619297999999</v>
      </c>
      <c r="T18" s="812"/>
      <c r="U18" s="812"/>
      <c r="V18" s="809"/>
      <c r="W18" s="810">
        <f>MASTER!N7</f>
        <v>0.73770000000000002</v>
      </c>
      <c r="X18" s="813"/>
      <c r="Y18" s="813"/>
      <c r="Z18" s="811"/>
      <c r="AA18" s="798">
        <f t="shared" si="1"/>
        <v>990.03908561345997</v>
      </c>
      <c r="AB18" s="799"/>
      <c r="AC18" s="799"/>
      <c r="AD18" s="800"/>
      <c r="AE18" s="487">
        <f t="shared" si="0"/>
        <v>988.56281749068</v>
      </c>
    </row>
    <row r="19" spans="1:31" s="487" customFormat="1" ht="12.95" customHeight="1">
      <c r="A19" s="814" t="s">
        <v>46</v>
      </c>
      <c r="B19" s="815"/>
      <c r="C19" s="816">
        <f>MASTER!F8</f>
        <v>1130</v>
      </c>
      <c r="D19" s="817"/>
      <c r="E19" s="818">
        <f>MASTER!H8</f>
        <v>1130</v>
      </c>
      <c r="F19" s="819"/>
      <c r="G19" s="798">
        <f>MASTER!J8</f>
        <v>1346.7270000000001</v>
      </c>
      <c r="H19" s="800"/>
      <c r="I19" s="804" t="s">
        <v>100</v>
      </c>
      <c r="J19" s="805"/>
      <c r="K19" s="804" t="s">
        <v>100</v>
      </c>
      <c r="L19" s="805"/>
      <c r="M19" s="808">
        <f>MASTER!L8</f>
        <v>1346.7270000000001</v>
      </c>
      <c r="N19" s="809"/>
      <c r="O19" s="804">
        <f>MASTER!M8</f>
        <v>18</v>
      </c>
      <c r="P19" s="805"/>
      <c r="Q19" s="810">
        <f>MASTER!Q8</f>
        <v>0.99629999999999996</v>
      </c>
      <c r="R19" s="811"/>
      <c r="S19" s="808">
        <f>MASTER!R8</f>
        <v>1341.7441100999999</v>
      </c>
      <c r="T19" s="812"/>
      <c r="U19" s="812"/>
      <c r="V19" s="809"/>
      <c r="W19" s="810">
        <f>MASTER!N8</f>
        <v>0.73770000000000002</v>
      </c>
      <c r="X19" s="813"/>
      <c r="Y19" s="813"/>
      <c r="Z19" s="811"/>
      <c r="AA19" s="798">
        <f t="shared" si="1"/>
        <v>989.80463002076999</v>
      </c>
      <c r="AB19" s="799"/>
      <c r="AC19" s="799"/>
      <c r="AD19" s="800"/>
      <c r="AE19" s="487">
        <f t="shared" si="0"/>
        <v>988.32871149966002</v>
      </c>
    </row>
    <row r="20" spans="1:31" s="487" customFormat="1" ht="12.95" customHeight="1">
      <c r="A20" s="814" t="s">
        <v>47</v>
      </c>
      <c r="B20" s="815"/>
      <c r="C20" s="816">
        <f>MASTER!F9</f>
        <v>1130</v>
      </c>
      <c r="D20" s="817"/>
      <c r="E20" s="818">
        <f>MASTER!H9</f>
        <v>1130</v>
      </c>
      <c r="F20" s="819"/>
      <c r="G20" s="798">
        <f>MASTER!J9</f>
        <v>1346.7550000000001</v>
      </c>
      <c r="H20" s="800"/>
      <c r="I20" s="804" t="s">
        <v>100</v>
      </c>
      <c r="J20" s="805"/>
      <c r="K20" s="804" t="s">
        <v>100</v>
      </c>
      <c r="L20" s="805"/>
      <c r="M20" s="808">
        <f>MASTER!L9</f>
        <v>1346.7550000000001</v>
      </c>
      <c r="N20" s="809"/>
      <c r="O20" s="804">
        <f>MASTER!M9</f>
        <v>18</v>
      </c>
      <c r="P20" s="805"/>
      <c r="Q20" s="810">
        <f>MASTER!Q9</f>
        <v>0.99629999999999996</v>
      </c>
      <c r="R20" s="811"/>
      <c r="S20" s="808">
        <f>MASTER!R9</f>
        <v>1341.7720065000001</v>
      </c>
      <c r="T20" s="812"/>
      <c r="U20" s="812"/>
      <c r="V20" s="809"/>
      <c r="W20" s="810">
        <f>MASTER!N9</f>
        <v>0.73770000000000002</v>
      </c>
      <c r="X20" s="813"/>
      <c r="Y20" s="813"/>
      <c r="Z20" s="811"/>
      <c r="AA20" s="798">
        <f t="shared" si="1"/>
        <v>989.82520919505009</v>
      </c>
      <c r="AB20" s="799"/>
      <c r="AC20" s="799"/>
      <c r="AD20" s="800"/>
      <c r="AE20" s="487">
        <f t="shared" si="0"/>
        <v>988.34925998790015</v>
      </c>
    </row>
    <row r="21" spans="1:31" s="487" customFormat="1" ht="12.95" customHeight="1">
      <c r="A21" s="814" t="s">
        <v>48</v>
      </c>
      <c r="B21" s="815"/>
      <c r="C21" s="816">
        <f>MASTER!F10</f>
        <v>1130</v>
      </c>
      <c r="D21" s="817"/>
      <c r="E21" s="818">
        <f>MASTER!H10</f>
        <v>1130</v>
      </c>
      <c r="F21" s="819"/>
      <c r="G21" s="798">
        <f>MASTER!J10</f>
        <v>1345.4960000000001</v>
      </c>
      <c r="H21" s="800"/>
      <c r="I21" s="804" t="s">
        <v>100</v>
      </c>
      <c r="J21" s="805"/>
      <c r="K21" s="804" t="s">
        <v>100</v>
      </c>
      <c r="L21" s="805"/>
      <c r="M21" s="808">
        <f>MASTER!L10</f>
        <v>1345.4960000000001</v>
      </c>
      <c r="N21" s="809"/>
      <c r="O21" s="804">
        <f>MASTER!M10</f>
        <v>18</v>
      </c>
      <c r="P21" s="805"/>
      <c r="Q21" s="810">
        <f>MASTER!Q10</f>
        <v>0.99739999999999995</v>
      </c>
      <c r="R21" s="811"/>
      <c r="S21" s="808">
        <f>MASTER!R10</f>
        <v>1341.9977104</v>
      </c>
      <c r="T21" s="812"/>
      <c r="U21" s="812"/>
      <c r="V21" s="809"/>
      <c r="W21" s="810">
        <f>MASTER!N10</f>
        <v>0.83260000000000001</v>
      </c>
      <c r="X21" s="813"/>
      <c r="Y21" s="813"/>
      <c r="Z21" s="811"/>
      <c r="AA21" s="798">
        <f t="shared" si="1"/>
        <v>1117.3472936790399</v>
      </c>
      <c r="AB21" s="799"/>
      <c r="AC21" s="799"/>
      <c r="AD21" s="800"/>
      <c r="AE21" s="487">
        <f t="shared" si="0"/>
        <v>1115.8710961976001</v>
      </c>
    </row>
    <row r="22" spans="1:31" s="487" customFormat="1" ht="12.95" customHeight="1">
      <c r="A22" s="814" t="s">
        <v>49</v>
      </c>
      <c r="B22" s="815"/>
      <c r="C22" s="816">
        <f>MASTER!F11</f>
        <v>1130</v>
      </c>
      <c r="D22" s="817"/>
      <c r="E22" s="818">
        <f>MASTER!H11</f>
        <v>1130</v>
      </c>
      <c r="F22" s="819"/>
      <c r="G22" s="798">
        <f>MASTER!J11</f>
        <v>1347.3689999999999</v>
      </c>
      <c r="H22" s="800"/>
      <c r="I22" s="804" t="s">
        <v>100</v>
      </c>
      <c r="J22" s="805"/>
      <c r="K22" s="804" t="s">
        <v>100</v>
      </c>
      <c r="L22" s="805"/>
      <c r="M22" s="808">
        <f>MASTER!L11</f>
        <v>1347.3689999999999</v>
      </c>
      <c r="N22" s="809"/>
      <c r="O22" s="804">
        <f>MASTER!M11</f>
        <v>18</v>
      </c>
      <c r="P22" s="805"/>
      <c r="Q22" s="810">
        <f>MASTER!Q11</f>
        <v>0.99629999999999996</v>
      </c>
      <c r="R22" s="811"/>
      <c r="S22" s="808">
        <f>MASTER!R11</f>
        <v>1342.3837346999999</v>
      </c>
      <c r="T22" s="812"/>
      <c r="U22" s="812"/>
      <c r="V22" s="809"/>
      <c r="W22" s="810">
        <f>MASTER!N11</f>
        <v>0.73770000000000002</v>
      </c>
      <c r="X22" s="813"/>
      <c r="Y22" s="813"/>
      <c r="Z22" s="811"/>
      <c r="AA22" s="798">
        <f t="shared" si="1"/>
        <v>990.27648108818994</v>
      </c>
      <c r="AB22" s="799"/>
      <c r="AC22" s="799"/>
      <c r="AD22" s="800"/>
      <c r="AE22" s="487">
        <f t="shared" si="0"/>
        <v>988.79985898001996</v>
      </c>
    </row>
    <row r="23" spans="1:31" s="487" customFormat="1" ht="12.95" customHeight="1">
      <c r="A23" s="814" t="s">
        <v>50</v>
      </c>
      <c r="B23" s="815"/>
      <c r="C23" s="816">
        <f>MASTER!F12</f>
        <v>1130</v>
      </c>
      <c r="D23" s="817"/>
      <c r="E23" s="818">
        <f>MASTER!H12</f>
        <v>1130</v>
      </c>
      <c r="F23" s="819"/>
      <c r="G23" s="798">
        <f>MASTER!J12</f>
        <v>1347.654</v>
      </c>
      <c r="H23" s="800"/>
      <c r="I23" s="804" t="s">
        <v>100</v>
      </c>
      <c r="J23" s="805"/>
      <c r="K23" s="804" t="s">
        <v>100</v>
      </c>
      <c r="L23" s="805"/>
      <c r="M23" s="808">
        <f>MASTER!L12</f>
        <v>1347.654</v>
      </c>
      <c r="N23" s="809"/>
      <c r="O23" s="804">
        <f>MASTER!M12</f>
        <v>18</v>
      </c>
      <c r="P23" s="805"/>
      <c r="Q23" s="810">
        <f>MASTER!Q12</f>
        <v>0.99629999999999996</v>
      </c>
      <c r="R23" s="811"/>
      <c r="S23" s="808">
        <f>MASTER!R12</f>
        <v>1342.6676801999999</v>
      </c>
      <c r="T23" s="812"/>
      <c r="U23" s="812"/>
      <c r="V23" s="809"/>
      <c r="W23" s="810">
        <f>MASTER!N12</f>
        <v>0.73770000000000002</v>
      </c>
      <c r="X23" s="813"/>
      <c r="Y23" s="813"/>
      <c r="Z23" s="811"/>
      <c r="AA23" s="798">
        <f t="shared" si="1"/>
        <v>990.48594768353996</v>
      </c>
      <c r="AB23" s="799"/>
      <c r="AC23" s="799"/>
      <c r="AD23" s="800"/>
      <c r="AE23" s="487">
        <f t="shared" si="0"/>
        <v>989.00901323532003</v>
      </c>
    </row>
    <row r="24" spans="1:31" s="487" customFormat="1" ht="12.95" customHeight="1">
      <c r="A24" s="814" t="s">
        <v>51</v>
      </c>
      <c r="B24" s="815"/>
      <c r="C24" s="816">
        <f>MASTER!F13</f>
        <v>1130</v>
      </c>
      <c r="D24" s="817"/>
      <c r="E24" s="818">
        <f>MASTER!H13</f>
        <v>1130</v>
      </c>
      <c r="F24" s="819"/>
      <c r="G24" s="798">
        <f>MASTER!J13</f>
        <v>1344.36</v>
      </c>
      <c r="H24" s="800"/>
      <c r="I24" s="804">
        <v>0</v>
      </c>
      <c r="J24" s="805"/>
      <c r="K24" s="804" t="s">
        <v>100</v>
      </c>
      <c r="L24" s="805"/>
      <c r="M24" s="808">
        <f>MASTER!L13</f>
        <v>1344.36</v>
      </c>
      <c r="N24" s="809"/>
      <c r="O24" s="804">
        <f>MASTER!M13</f>
        <v>18</v>
      </c>
      <c r="P24" s="805"/>
      <c r="Q24" s="810">
        <f>MASTER!Q13</f>
        <v>0.99629999999999996</v>
      </c>
      <c r="R24" s="811"/>
      <c r="S24" s="808">
        <f>MASTER!R13</f>
        <v>1339.3858679999998</v>
      </c>
      <c r="T24" s="812"/>
      <c r="U24" s="812"/>
      <c r="V24" s="809"/>
      <c r="W24" s="810">
        <f>MASTER!N13</f>
        <v>0.73770000000000002</v>
      </c>
      <c r="X24" s="813"/>
      <c r="Y24" s="813"/>
      <c r="Z24" s="811"/>
      <c r="AA24" s="798">
        <f t="shared" si="1"/>
        <v>988.06495482359992</v>
      </c>
      <c r="AB24" s="799"/>
      <c r="AC24" s="799"/>
      <c r="AD24" s="800"/>
      <c r="AE24" s="487">
        <f t="shared" si="0"/>
        <v>986.59163036879988</v>
      </c>
    </row>
    <row r="25" spans="1:31" s="487" customFormat="1" ht="12.95" customHeight="1">
      <c r="A25" s="814" t="s">
        <v>52</v>
      </c>
      <c r="B25" s="815"/>
      <c r="C25" s="816">
        <f>MASTER!F14</f>
        <v>1130</v>
      </c>
      <c r="D25" s="817"/>
      <c r="E25" s="818">
        <f>MASTER!H14</f>
        <v>1130</v>
      </c>
      <c r="F25" s="819"/>
      <c r="G25" s="798">
        <f>MASTER!J14</f>
        <v>1345.6379999999999</v>
      </c>
      <c r="H25" s="800"/>
      <c r="I25" s="804" t="s">
        <v>100</v>
      </c>
      <c r="J25" s="805"/>
      <c r="K25" s="804" t="s">
        <v>100</v>
      </c>
      <c r="L25" s="805"/>
      <c r="M25" s="808">
        <f>MASTER!L14</f>
        <v>1345.6379999999999</v>
      </c>
      <c r="N25" s="809"/>
      <c r="O25" s="804">
        <f>MASTER!M14</f>
        <v>18</v>
      </c>
      <c r="P25" s="805"/>
      <c r="Q25" s="810">
        <f>MASTER!Q14</f>
        <v>0.99629999999999996</v>
      </c>
      <c r="R25" s="811"/>
      <c r="S25" s="808">
        <f>MASTER!R14</f>
        <v>1340.6591394</v>
      </c>
      <c r="T25" s="812"/>
      <c r="U25" s="812"/>
      <c r="V25" s="809"/>
      <c r="W25" s="810">
        <f>MASTER!N14</f>
        <v>0.73770000000000002</v>
      </c>
      <c r="X25" s="813"/>
      <c r="Y25" s="813"/>
      <c r="Z25" s="811"/>
      <c r="AA25" s="798">
        <f t="shared" si="1"/>
        <v>989.00424713537996</v>
      </c>
      <c r="AB25" s="799"/>
      <c r="AC25" s="799"/>
      <c r="AD25" s="800"/>
      <c r="AE25" s="487">
        <f t="shared" si="0"/>
        <v>987.52952208203999</v>
      </c>
    </row>
    <row r="26" spans="1:31" s="487" customFormat="1" ht="12.95" customHeight="1">
      <c r="A26" s="814" t="s">
        <v>53</v>
      </c>
      <c r="B26" s="815"/>
      <c r="C26" s="816">
        <f>MASTER!F15</f>
        <v>1130</v>
      </c>
      <c r="D26" s="817"/>
      <c r="E26" s="818">
        <f>MASTER!H15</f>
        <v>1130</v>
      </c>
      <c r="F26" s="819"/>
      <c r="G26" s="798">
        <f>MASTER!J15</f>
        <v>1344.4449999999999</v>
      </c>
      <c r="H26" s="800"/>
      <c r="I26" s="804" t="s">
        <v>100</v>
      </c>
      <c r="J26" s="805"/>
      <c r="K26" s="804" t="s">
        <v>100</v>
      </c>
      <c r="L26" s="805"/>
      <c r="M26" s="808">
        <f>MASTER!L15</f>
        <v>1344.4449999999999</v>
      </c>
      <c r="N26" s="809"/>
      <c r="O26" s="804">
        <f>MASTER!M15</f>
        <v>18</v>
      </c>
      <c r="P26" s="805"/>
      <c r="Q26" s="810">
        <f>MASTER!Q15</f>
        <v>0.99629999999999996</v>
      </c>
      <c r="R26" s="811"/>
      <c r="S26" s="808">
        <f>MASTER!R15</f>
        <v>1339.4705534999998</v>
      </c>
      <c r="T26" s="812"/>
      <c r="U26" s="812"/>
      <c r="V26" s="809"/>
      <c r="W26" s="810">
        <f>MASTER!N15</f>
        <v>0.73770000000000002</v>
      </c>
      <c r="X26" s="813"/>
      <c r="Y26" s="813"/>
      <c r="Z26" s="811"/>
      <c r="AA26" s="798">
        <f t="shared" si="1"/>
        <v>988.12742731694993</v>
      </c>
      <c r="AB26" s="799"/>
      <c r="AC26" s="799"/>
      <c r="AD26" s="800"/>
      <c r="AE26" s="487">
        <f t="shared" si="0"/>
        <v>986.65400970809992</v>
      </c>
    </row>
    <row r="27" spans="1:31" s="487" customFormat="1" ht="12.95" customHeight="1">
      <c r="A27" s="814" t="s">
        <v>54</v>
      </c>
      <c r="B27" s="815"/>
      <c r="C27" s="816">
        <f>MASTER!F16</f>
        <v>1130</v>
      </c>
      <c r="D27" s="817"/>
      <c r="E27" s="818">
        <f>MASTER!H16</f>
        <v>1130</v>
      </c>
      <c r="F27" s="819"/>
      <c r="G27" s="798">
        <f>MASTER!J16</f>
        <v>1343.5139999999999</v>
      </c>
      <c r="H27" s="800"/>
      <c r="I27" s="804" t="s">
        <v>100</v>
      </c>
      <c r="J27" s="805"/>
      <c r="K27" s="804" t="s">
        <v>100</v>
      </c>
      <c r="L27" s="805"/>
      <c r="M27" s="808">
        <f>MASTER!L16</f>
        <v>1343.5139999999999</v>
      </c>
      <c r="N27" s="809"/>
      <c r="O27" s="804">
        <f>MASTER!M16</f>
        <v>18</v>
      </c>
      <c r="P27" s="805"/>
      <c r="Q27" s="810">
        <f>MASTER!Q16</f>
        <v>0.99629999999999996</v>
      </c>
      <c r="R27" s="811"/>
      <c r="S27" s="808">
        <f>MASTER!R16</f>
        <v>1338.5429981999998</v>
      </c>
      <c r="T27" s="812"/>
      <c r="U27" s="812"/>
      <c r="V27" s="809"/>
      <c r="W27" s="810">
        <f>MASTER!N16</f>
        <v>0.73770000000000002</v>
      </c>
      <c r="X27" s="813"/>
      <c r="Y27" s="813"/>
      <c r="Z27" s="811"/>
      <c r="AA27" s="798">
        <f t="shared" si="1"/>
        <v>987.44316977213987</v>
      </c>
      <c r="AB27" s="799"/>
      <c r="AC27" s="799"/>
      <c r="AD27" s="800"/>
      <c r="AE27" s="487">
        <f t="shared" si="0"/>
        <v>985.97077247411994</v>
      </c>
    </row>
    <row r="28" spans="1:31" s="487" customFormat="1" ht="12.95" customHeight="1">
      <c r="A28" s="814" t="s">
        <v>55</v>
      </c>
      <c r="B28" s="815"/>
      <c r="C28" s="816">
        <f>MASTER!F17</f>
        <v>1130</v>
      </c>
      <c r="D28" s="817"/>
      <c r="E28" s="818">
        <f>MASTER!H17</f>
        <v>1130</v>
      </c>
      <c r="F28" s="819"/>
      <c r="G28" s="798">
        <f>MASTER!J17</f>
        <v>1266.973</v>
      </c>
      <c r="H28" s="800"/>
      <c r="I28" s="804" t="s">
        <v>100</v>
      </c>
      <c r="J28" s="805"/>
      <c r="K28" s="804" t="s">
        <v>100</v>
      </c>
      <c r="L28" s="805"/>
      <c r="M28" s="808">
        <f>MASTER!L17</f>
        <v>1266.973</v>
      </c>
      <c r="N28" s="809"/>
      <c r="O28" s="804">
        <f>MASTER!M17</f>
        <v>18</v>
      </c>
      <c r="P28" s="805"/>
      <c r="Q28" s="810">
        <f>MASTER!Q17</f>
        <v>0.99629999999999996</v>
      </c>
      <c r="R28" s="811"/>
      <c r="S28" s="808">
        <f>MASTER!R17</f>
        <v>1262.2851999</v>
      </c>
      <c r="T28" s="812"/>
      <c r="U28" s="812"/>
      <c r="V28" s="809"/>
      <c r="W28" s="810">
        <f>MASTER!N17</f>
        <v>0.73770000000000002</v>
      </c>
      <c r="X28" s="813"/>
      <c r="Y28" s="813"/>
      <c r="Z28" s="811"/>
      <c r="AA28" s="798">
        <f t="shared" si="1"/>
        <v>931.18779196622995</v>
      </c>
      <c r="AB28" s="799"/>
      <c r="AC28" s="799"/>
      <c r="AD28" s="800"/>
      <c r="AE28" s="487">
        <f t="shared" si="0"/>
        <v>929.79927824634001</v>
      </c>
    </row>
    <row r="29" spans="1:31" s="487" customFormat="1" ht="12.95" customHeight="1">
      <c r="A29" s="814" t="s">
        <v>56</v>
      </c>
      <c r="B29" s="815"/>
      <c r="C29" s="816">
        <f>MASTER!F18</f>
        <v>1130</v>
      </c>
      <c r="D29" s="817"/>
      <c r="E29" s="818">
        <f>MASTER!H18</f>
        <v>1130</v>
      </c>
      <c r="F29" s="819"/>
      <c r="G29" s="798">
        <f>MASTER!J18</f>
        <v>1268.9349999999999</v>
      </c>
      <c r="H29" s="800"/>
      <c r="I29" s="804" t="s">
        <v>100</v>
      </c>
      <c r="J29" s="805"/>
      <c r="K29" s="804" t="s">
        <v>100</v>
      </c>
      <c r="L29" s="805"/>
      <c r="M29" s="808">
        <f>MASTER!L18</f>
        <v>1268.9349999999999</v>
      </c>
      <c r="N29" s="809"/>
      <c r="O29" s="804">
        <f>MASTER!M18</f>
        <v>18</v>
      </c>
      <c r="P29" s="805"/>
      <c r="Q29" s="810">
        <f>MASTER!Q18</f>
        <v>0.99629999999999996</v>
      </c>
      <c r="R29" s="811"/>
      <c r="S29" s="808">
        <f>MASTER!R18</f>
        <v>1264.2399404999999</v>
      </c>
      <c r="T29" s="812"/>
      <c r="U29" s="812"/>
      <c r="V29" s="809"/>
      <c r="W29" s="810">
        <f>MASTER!N18</f>
        <v>0.73770000000000002</v>
      </c>
      <c r="X29" s="813"/>
      <c r="Y29" s="813"/>
      <c r="Z29" s="811"/>
      <c r="AA29" s="798">
        <f t="shared" si="1"/>
        <v>932.62980410684997</v>
      </c>
      <c r="AB29" s="799"/>
      <c r="AC29" s="799"/>
      <c r="AD29" s="800"/>
      <c r="AE29" s="487">
        <f t="shared" si="0"/>
        <v>931.23914017229993</v>
      </c>
    </row>
    <row r="30" spans="1:31" s="487" customFormat="1" ht="12.95" customHeight="1">
      <c r="A30" s="814" t="s">
        <v>57</v>
      </c>
      <c r="B30" s="815"/>
      <c r="C30" s="816">
        <f>MASTER!F19</f>
        <v>0</v>
      </c>
      <c r="D30" s="817"/>
      <c r="E30" s="818">
        <f>MASTER!H19</f>
        <v>0</v>
      </c>
      <c r="F30" s="819"/>
      <c r="G30" s="798">
        <f>MASTER!J19</f>
        <v>0</v>
      </c>
      <c r="H30" s="800"/>
      <c r="I30" s="804" t="s">
        <v>100</v>
      </c>
      <c r="J30" s="805"/>
      <c r="K30" s="804" t="s">
        <v>100</v>
      </c>
      <c r="L30" s="805"/>
      <c r="M30" s="808">
        <f>MASTER!L19</f>
        <v>0</v>
      </c>
      <c r="N30" s="809"/>
      <c r="O30" s="804">
        <f>MASTER!M19</f>
        <v>0</v>
      </c>
      <c r="P30" s="805"/>
      <c r="Q30" s="810">
        <f>MASTER!Q19</f>
        <v>1.0101</v>
      </c>
      <c r="R30" s="811"/>
      <c r="S30" s="808">
        <f>MASTER!R19</f>
        <v>0</v>
      </c>
      <c r="T30" s="812"/>
      <c r="U30" s="812"/>
      <c r="V30" s="809"/>
      <c r="W30" s="810">
        <f>MASTER!N19</f>
        <v>1</v>
      </c>
      <c r="X30" s="813"/>
      <c r="Y30" s="813"/>
      <c r="Z30" s="811"/>
      <c r="AA30" s="798">
        <f t="shared" si="1"/>
        <v>0</v>
      </c>
      <c r="AB30" s="799"/>
      <c r="AC30" s="799"/>
      <c r="AD30" s="800"/>
      <c r="AE30" s="487">
        <f t="shared" si="0"/>
        <v>0</v>
      </c>
    </row>
    <row r="31" spans="1:31" s="487" customFormat="1" ht="12.95" customHeight="1">
      <c r="A31" s="814" t="s">
        <v>193</v>
      </c>
      <c r="B31" s="815"/>
      <c r="C31" s="816">
        <f>MASTER!F20</f>
        <v>1780</v>
      </c>
      <c r="D31" s="817"/>
      <c r="E31" s="818">
        <f>MASTER!H20</f>
        <v>1780</v>
      </c>
      <c r="F31" s="819"/>
      <c r="G31" s="798">
        <f>MASTER!J20</f>
        <v>360.92700000000002</v>
      </c>
      <c r="H31" s="800"/>
      <c r="I31" s="804" t="s">
        <v>100</v>
      </c>
      <c r="J31" s="805"/>
      <c r="K31" s="804" t="s">
        <v>100</v>
      </c>
      <c r="L31" s="805"/>
      <c r="M31" s="808">
        <f>MASTER!L20</f>
        <v>360.92700000000002</v>
      </c>
      <c r="N31" s="809"/>
      <c r="O31" s="804">
        <f>MASTER!M20</f>
        <v>18</v>
      </c>
      <c r="P31" s="805"/>
      <c r="Q31" s="810">
        <f>MASTER!Q20</f>
        <v>0.99629999999999996</v>
      </c>
      <c r="R31" s="811"/>
      <c r="S31" s="808">
        <f>MASTER!R20</f>
        <v>359.59157010000001</v>
      </c>
      <c r="T31" s="812"/>
      <c r="U31" s="812"/>
      <c r="V31" s="809"/>
      <c r="W31" s="810">
        <f>MASTER!N20</f>
        <v>0.73770000000000002</v>
      </c>
      <c r="X31" s="813"/>
      <c r="Y31" s="813"/>
      <c r="Z31" s="811"/>
      <c r="AA31" s="798">
        <f t="shared" si="1"/>
        <v>265.27070126276999</v>
      </c>
      <c r="AB31" s="799"/>
      <c r="AC31" s="799"/>
      <c r="AD31" s="800"/>
      <c r="AE31" s="487">
        <f t="shared" si="0"/>
        <v>264.87515053566</v>
      </c>
    </row>
    <row r="32" spans="1:31" ht="21" customHeight="1">
      <c r="A32" s="854"/>
      <c r="B32" s="855"/>
      <c r="C32" s="843"/>
      <c r="D32" s="844"/>
      <c r="E32" s="843"/>
      <c r="F32" s="844"/>
      <c r="G32" s="845">
        <f>SUM(G14:G31)</f>
        <v>21093.743000000002</v>
      </c>
      <c r="H32" s="846"/>
      <c r="I32" s="843"/>
      <c r="J32" s="844"/>
      <c r="K32" s="843"/>
      <c r="L32" s="844"/>
      <c r="M32" s="845">
        <f>SUM(M14:M31)</f>
        <v>21093.743000000002</v>
      </c>
      <c r="N32" s="846"/>
      <c r="O32" s="37"/>
      <c r="P32" s="38"/>
      <c r="Q32" s="838"/>
      <c r="R32" s="839"/>
      <c r="S32" s="845">
        <f>SUM(S14:S31)</f>
        <v>21018.929842900001</v>
      </c>
      <c r="T32" s="850"/>
      <c r="U32" s="850"/>
      <c r="V32" s="846"/>
      <c r="W32" s="851"/>
      <c r="X32" s="852"/>
      <c r="Y32" s="852"/>
      <c r="Z32" s="853"/>
      <c r="AA32" s="845">
        <f>SUM(AA14:AA31)</f>
        <v>15783.918626594528</v>
      </c>
      <c r="AB32" s="850"/>
      <c r="AC32" s="850"/>
      <c r="AD32" s="846"/>
      <c r="AE32" s="29">
        <f>SUM(AE14:AE31)</f>
        <v>15760.79780376734</v>
      </c>
    </row>
    <row r="33" spans="1:30" ht="9.6" customHeight="1" thickBot="1">
      <c r="A33" s="849"/>
      <c r="B33" s="849"/>
      <c r="C33" s="849"/>
      <c r="D33" s="849"/>
      <c r="E33" s="849"/>
      <c r="F33" s="849"/>
      <c r="G33" s="849"/>
      <c r="H33" s="849"/>
      <c r="I33" s="849"/>
      <c r="J33" s="849"/>
      <c r="K33" s="849"/>
      <c r="L33" s="849"/>
      <c r="M33" s="849"/>
      <c r="N33" s="849"/>
      <c r="O33" s="849"/>
      <c r="P33" s="849"/>
      <c r="Q33" s="849"/>
      <c r="R33" s="849"/>
      <c r="S33" s="849"/>
      <c r="T33" s="849"/>
      <c r="U33" s="849"/>
      <c r="V33" s="849"/>
      <c r="W33" s="849"/>
      <c r="X33" s="849"/>
      <c r="Y33" s="849"/>
      <c r="Z33" s="849"/>
      <c r="AA33" s="849"/>
      <c r="AB33" s="849"/>
      <c r="AC33" s="849"/>
      <c r="AD33" s="849"/>
    </row>
    <row r="34" spans="1:30">
      <c r="A34" s="787" t="s">
        <v>58</v>
      </c>
      <c r="B34" s="791"/>
      <c r="C34" s="791"/>
      <c r="D34" s="790" t="s">
        <v>59</v>
      </c>
      <c r="E34" s="791"/>
      <c r="F34" s="788"/>
      <c r="G34" s="790" t="s">
        <v>256</v>
      </c>
      <c r="H34" s="788"/>
      <c r="I34" s="790" t="s">
        <v>31</v>
      </c>
      <c r="J34" s="788"/>
      <c r="K34" s="790" t="s">
        <v>1</v>
      </c>
      <c r="L34" s="791"/>
      <c r="M34" s="791"/>
      <c r="N34" s="788"/>
      <c r="O34" s="790" t="s">
        <v>3</v>
      </c>
      <c r="P34" s="788"/>
      <c r="Q34" s="847" t="s">
        <v>101</v>
      </c>
      <c r="R34" s="788"/>
      <c r="S34" s="790" t="s">
        <v>2</v>
      </c>
      <c r="T34" s="791"/>
      <c r="U34" s="791"/>
      <c r="V34" s="788"/>
      <c r="W34" s="790" t="s">
        <v>60</v>
      </c>
      <c r="X34" s="791"/>
      <c r="Y34" s="791"/>
      <c r="Z34" s="788"/>
      <c r="AA34" s="790" t="s">
        <v>60</v>
      </c>
      <c r="AB34" s="791"/>
      <c r="AC34" s="791"/>
      <c r="AD34" s="792"/>
    </row>
    <row r="35" spans="1:30" ht="14.65" thickBot="1">
      <c r="A35" s="789"/>
      <c r="B35" s="806"/>
      <c r="C35" s="806"/>
      <c r="D35" s="782"/>
      <c r="E35" s="806"/>
      <c r="F35" s="783"/>
      <c r="G35" s="782" t="s">
        <v>39</v>
      </c>
      <c r="H35" s="783"/>
      <c r="I35" s="782"/>
      <c r="J35" s="783"/>
      <c r="K35" s="782"/>
      <c r="L35" s="806"/>
      <c r="M35" s="806"/>
      <c r="N35" s="783"/>
      <c r="O35" s="782"/>
      <c r="P35" s="783"/>
      <c r="Q35" s="782"/>
      <c r="R35" s="783"/>
      <c r="S35" s="782"/>
      <c r="T35" s="806"/>
      <c r="U35" s="806"/>
      <c r="V35" s="783"/>
      <c r="W35" s="782" t="s">
        <v>40</v>
      </c>
      <c r="X35" s="806"/>
      <c r="Y35" s="806"/>
      <c r="Z35" s="783"/>
      <c r="AA35" s="782" t="s">
        <v>61</v>
      </c>
      <c r="AB35" s="806"/>
      <c r="AC35" s="806"/>
      <c r="AD35" s="807"/>
    </row>
    <row r="36" spans="1:30" ht="20.100000000000001" customHeight="1">
      <c r="A36" s="861" t="s">
        <v>306</v>
      </c>
      <c r="B36" s="862"/>
      <c r="C36" s="862"/>
      <c r="D36" s="863" t="str">
        <f>P10</f>
        <v>KB-95</v>
      </c>
      <c r="E36" s="864"/>
      <c r="F36" s="865"/>
      <c r="G36" s="838">
        <f>VLOOKUP(MASTER!B24,PARCELS,3)</f>
        <v>0.73770000000000002</v>
      </c>
      <c r="H36" s="839"/>
      <c r="I36" s="866">
        <f>$G$32</f>
        <v>21093.743000000002</v>
      </c>
      <c r="J36" s="867"/>
      <c r="K36" s="843">
        <f>I32</f>
        <v>0</v>
      </c>
      <c r="L36" s="844"/>
      <c r="M36" s="843">
        <f>K32</f>
        <v>0</v>
      </c>
      <c r="N36" s="844"/>
      <c r="O36" s="836">
        <f>$M$32</f>
        <v>21093.743000000002</v>
      </c>
      <c r="P36" s="837"/>
      <c r="Q36" s="838">
        <f>AVERAGE(Q15:R31)</f>
        <v>0.99724117647058819</v>
      </c>
      <c r="R36" s="839"/>
      <c r="S36" s="836">
        <f>$S$32</f>
        <v>21018.929842900001</v>
      </c>
      <c r="T36" s="840"/>
      <c r="U36" s="840"/>
      <c r="V36" s="837"/>
      <c r="W36" s="836">
        <f>AA32</f>
        <v>15783.918626594528</v>
      </c>
      <c r="X36" s="840"/>
      <c r="Y36" s="840"/>
      <c r="Z36" s="837"/>
      <c r="AA36" s="836">
        <f>$AE$32</f>
        <v>15760.79780376734</v>
      </c>
      <c r="AB36" s="840"/>
      <c r="AC36" s="840"/>
      <c r="AD36" s="837"/>
    </row>
    <row r="37" spans="1:30" ht="7.9" customHeight="1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</row>
    <row r="38" spans="1:30" ht="14.45" customHeight="1">
      <c r="A38" s="841" t="s">
        <v>102</v>
      </c>
      <c r="B38" s="842"/>
      <c r="C38" s="859" t="s">
        <v>309</v>
      </c>
      <c r="D38" s="859"/>
      <c r="E38" s="859"/>
      <c r="F38" s="859"/>
      <c r="G38" s="859"/>
      <c r="H38" s="859"/>
      <c r="I38" s="859"/>
      <c r="J38" s="859"/>
      <c r="K38" s="859"/>
      <c r="L38" s="859"/>
      <c r="M38" s="859"/>
      <c r="N38" s="859"/>
      <c r="O38" s="859"/>
      <c r="P38" s="859"/>
      <c r="Q38" s="859"/>
      <c r="R38" s="859"/>
      <c r="S38" s="859"/>
      <c r="T38" s="859"/>
      <c r="U38" s="859"/>
      <c r="V38" s="859"/>
      <c r="W38" s="859"/>
      <c r="X38" s="859"/>
      <c r="Y38" s="859"/>
      <c r="Z38" s="859"/>
      <c r="AA38" s="859"/>
      <c r="AB38" s="859"/>
      <c r="AC38" s="859"/>
      <c r="AD38" s="860"/>
    </row>
    <row r="39" spans="1:30" ht="14.45" customHeight="1">
      <c r="A39" s="856" t="s">
        <v>62</v>
      </c>
      <c r="B39" s="857"/>
      <c r="C39" s="857"/>
      <c r="D39" s="857"/>
      <c r="E39" s="857"/>
      <c r="F39" s="857"/>
      <c r="G39" s="857"/>
      <c r="H39" s="857"/>
      <c r="I39" s="857"/>
      <c r="J39" s="857"/>
      <c r="K39" s="857"/>
      <c r="L39" s="857"/>
      <c r="M39" s="857"/>
      <c r="N39" s="857"/>
      <c r="O39" s="857"/>
      <c r="P39" s="857"/>
      <c r="Q39" s="857"/>
      <c r="R39" s="857"/>
      <c r="S39" s="857"/>
      <c r="T39" s="857"/>
      <c r="U39" s="857"/>
      <c r="V39" s="857"/>
      <c r="W39" s="857"/>
      <c r="X39" s="857"/>
      <c r="Y39" s="857"/>
      <c r="Z39" s="857"/>
      <c r="AA39" s="857"/>
      <c r="AB39" s="857"/>
      <c r="AC39" s="857"/>
      <c r="AD39" s="858"/>
    </row>
    <row r="40" spans="1:30">
      <c r="A40" s="825" t="s">
        <v>63</v>
      </c>
      <c r="B40" s="826"/>
      <c r="C40" s="826"/>
      <c r="D40" s="826"/>
      <c r="E40" s="826"/>
      <c r="F40" s="826"/>
      <c r="G40" s="826"/>
      <c r="H40" s="826"/>
      <c r="I40" s="825" t="s">
        <v>64</v>
      </c>
      <c r="J40" s="826"/>
      <c r="K40" s="826"/>
      <c r="L40" s="826"/>
      <c r="M40" s="826"/>
      <c r="N40" s="826"/>
      <c r="O40" s="827"/>
      <c r="P40" s="825" t="s">
        <v>65</v>
      </c>
      <c r="Q40" s="826"/>
      <c r="R40" s="826"/>
      <c r="S40" s="826"/>
      <c r="T40" s="826"/>
      <c r="U40" s="826"/>
      <c r="V40" s="826"/>
      <c r="W40" s="827"/>
      <c r="X40" s="825" t="s">
        <v>64</v>
      </c>
      <c r="Y40" s="826"/>
      <c r="Z40" s="826"/>
      <c r="AA40" s="826"/>
      <c r="AB40" s="826"/>
      <c r="AC40" s="826"/>
      <c r="AD40" s="827"/>
    </row>
    <row r="41" spans="1:30">
      <c r="A41" s="828"/>
      <c r="B41" s="829"/>
      <c r="C41" s="829"/>
      <c r="D41" s="829"/>
      <c r="E41" s="829"/>
      <c r="F41" s="829"/>
      <c r="G41" s="829"/>
      <c r="H41" s="829"/>
      <c r="I41" s="830"/>
      <c r="J41" s="831"/>
      <c r="K41" s="831"/>
      <c r="L41" s="831"/>
      <c r="M41" s="831"/>
      <c r="N41" s="831"/>
      <c r="O41" s="832"/>
      <c r="P41" s="828"/>
      <c r="Q41" s="829"/>
      <c r="R41" s="829"/>
      <c r="S41" s="829"/>
      <c r="T41" s="829"/>
      <c r="U41" s="829"/>
      <c r="V41" s="829"/>
      <c r="W41" s="829"/>
      <c r="X41" s="833"/>
      <c r="Y41" s="834"/>
      <c r="Z41" s="834"/>
      <c r="AA41" s="834"/>
      <c r="AB41" s="834"/>
      <c r="AC41" s="834"/>
      <c r="AD41" s="835"/>
    </row>
    <row r="42" spans="1:30">
      <c r="A42" s="825" t="s">
        <v>66</v>
      </c>
      <c r="B42" s="826"/>
      <c r="C42" s="826"/>
      <c r="D42" s="826"/>
      <c r="E42" s="826"/>
      <c r="F42" s="826"/>
      <c r="G42" s="826"/>
      <c r="H42" s="826"/>
      <c r="I42" s="826"/>
      <c r="J42" s="826"/>
      <c r="K42" s="826"/>
      <c r="L42" s="826"/>
      <c r="M42" s="826"/>
      <c r="N42" s="826"/>
      <c r="O42" s="826"/>
      <c r="P42" s="826"/>
      <c r="Q42" s="826"/>
      <c r="R42" s="826"/>
      <c r="S42" s="826"/>
      <c r="T42" s="826"/>
      <c r="U42" s="826"/>
      <c r="V42" s="826"/>
      <c r="W42" s="826"/>
      <c r="X42" s="826"/>
      <c r="Y42" s="826"/>
      <c r="Z42" s="826"/>
      <c r="AA42" s="826"/>
      <c r="AB42" s="826"/>
      <c r="AC42" s="826"/>
      <c r="AD42" s="827"/>
    </row>
    <row r="43" spans="1:30">
      <c r="A43" s="820"/>
      <c r="B43" s="821"/>
      <c r="C43" s="821"/>
      <c r="D43" s="821"/>
      <c r="E43" s="821"/>
      <c r="F43" s="821"/>
      <c r="G43" s="821"/>
      <c r="H43" s="821"/>
      <c r="I43" s="821"/>
      <c r="J43" s="821"/>
      <c r="K43" s="821"/>
      <c r="L43" s="821"/>
      <c r="M43" s="821"/>
      <c r="N43" s="821"/>
      <c r="O43" s="821"/>
      <c r="P43" s="821"/>
      <c r="Q43" s="821"/>
      <c r="R43" s="821"/>
      <c r="S43" s="821"/>
      <c r="T43" s="821"/>
      <c r="U43" s="821"/>
      <c r="V43" s="821"/>
      <c r="W43" s="821"/>
      <c r="X43" s="821"/>
      <c r="Y43" s="821"/>
      <c r="Z43" s="821"/>
      <c r="AA43" s="821"/>
      <c r="AB43" s="821"/>
      <c r="AC43" s="821"/>
      <c r="AD43" s="822"/>
    </row>
    <row r="44" spans="1:30" ht="3" customHeight="1">
      <c r="A44" s="32"/>
    </row>
    <row r="45" spans="1:30">
      <c r="A45" s="823" t="s">
        <v>67</v>
      </c>
      <c r="B45" s="823"/>
      <c r="C45" s="823"/>
      <c r="D45" s="823"/>
      <c r="E45" s="823"/>
      <c r="F45" s="82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824"/>
      <c r="AD45" s="824"/>
    </row>
  </sheetData>
  <sheetProtection selectLockedCells="1"/>
  <mergeCells count="322">
    <mergeCell ref="A14:B14"/>
    <mergeCell ref="C14:D14"/>
    <mergeCell ref="E14:F14"/>
    <mergeCell ref="G14:H14"/>
    <mergeCell ref="I14:J14"/>
    <mergeCell ref="K14:L14"/>
    <mergeCell ref="M14:N14"/>
    <mergeCell ref="O14:P14"/>
    <mergeCell ref="C16:D16"/>
    <mergeCell ref="A16:B16"/>
    <mergeCell ref="A15:B15"/>
    <mergeCell ref="C15:D15"/>
    <mergeCell ref="E15:F15"/>
    <mergeCell ref="G15:H15"/>
    <mergeCell ref="I15:J15"/>
    <mergeCell ref="W17:Z17"/>
    <mergeCell ref="S17:V17"/>
    <mergeCell ref="Q17:R17"/>
    <mergeCell ref="M17:N17"/>
    <mergeCell ref="AA18:AD18"/>
    <mergeCell ref="W18:Z18"/>
    <mergeCell ref="S18:V18"/>
    <mergeCell ref="Q18:R18"/>
    <mergeCell ref="M18:N18"/>
    <mergeCell ref="AA17:AD17"/>
    <mergeCell ref="K18:L18"/>
    <mergeCell ref="I17:J17"/>
    <mergeCell ref="G17:H17"/>
    <mergeCell ref="E17:F17"/>
    <mergeCell ref="C17:D17"/>
    <mergeCell ref="A17:B17"/>
    <mergeCell ref="I18:J18"/>
    <mergeCell ref="G18:H18"/>
    <mergeCell ref="E18:F18"/>
    <mergeCell ref="C18:D18"/>
    <mergeCell ref="A18:B18"/>
    <mergeCell ref="K17:L17"/>
    <mergeCell ref="AA16:AD16"/>
    <mergeCell ref="W16:Z16"/>
    <mergeCell ref="S16:V16"/>
    <mergeCell ref="Q16:R16"/>
    <mergeCell ref="M16:N16"/>
    <mergeCell ref="K16:L16"/>
    <mergeCell ref="I16:J16"/>
    <mergeCell ref="G16:H16"/>
    <mergeCell ref="E16:F16"/>
    <mergeCell ref="A39:B39"/>
    <mergeCell ref="C39:AD39"/>
    <mergeCell ref="C38:AD38"/>
    <mergeCell ref="A36:C36"/>
    <mergeCell ref="D36:F36"/>
    <mergeCell ref="G36:H36"/>
    <mergeCell ref="I36:J36"/>
    <mergeCell ref="K36:L36"/>
    <mergeCell ref="M36:N36"/>
    <mergeCell ref="Q34:R35"/>
    <mergeCell ref="W34:Z34"/>
    <mergeCell ref="AA34:AD34"/>
    <mergeCell ref="G35:H35"/>
    <mergeCell ref="W35:Z35"/>
    <mergeCell ref="AA35:AD35"/>
    <mergeCell ref="A34:C35"/>
    <mergeCell ref="D34:F35"/>
    <mergeCell ref="A1:AD1"/>
    <mergeCell ref="A33:AD33"/>
    <mergeCell ref="O21:P21"/>
    <mergeCell ref="O22:P22"/>
    <mergeCell ref="O23:P23"/>
    <mergeCell ref="O24:P24"/>
    <mergeCell ref="O25:P25"/>
    <mergeCell ref="O26:P26"/>
    <mergeCell ref="K32:L32"/>
    <mergeCell ref="M32:N32"/>
    <mergeCell ref="Q32:R32"/>
    <mergeCell ref="S32:V32"/>
    <mergeCell ref="W32:Z32"/>
    <mergeCell ref="AA32:AD32"/>
    <mergeCell ref="A32:B32"/>
    <mergeCell ref="C32:D32"/>
    <mergeCell ref="E32:F32"/>
    <mergeCell ref="G32:H32"/>
    <mergeCell ref="I32:J32"/>
    <mergeCell ref="M31:N31"/>
    <mergeCell ref="K30:L30"/>
    <mergeCell ref="M30:N30"/>
    <mergeCell ref="Q30:R30"/>
    <mergeCell ref="S30:V30"/>
    <mergeCell ref="A42:AD42"/>
    <mergeCell ref="K34:N35"/>
    <mergeCell ref="AA31:AD31"/>
    <mergeCell ref="A31:B31"/>
    <mergeCell ref="C31:D31"/>
    <mergeCell ref="E31:F31"/>
    <mergeCell ref="G31:H31"/>
    <mergeCell ref="I31:J31"/>
    <mergeCell ref="K31:L31"/>
    <mergeCell ref="O31:P31"/>
    <mergeCell ref="I34:J35"/>
    <mergeCell ref="O34:P35"/>
    <mergeCell ref="S34:V35"/>
    <mergeCell ref="W30:Z30"/>
    <mergeCell ref="AA30:AD30"/>
    <mergeCell ref="W31:Z31"/>
    <mergeCell ref="A43:AD43"/>
    <mergeCell ref="A45:F45"/>
    <mergeCell ref="AC45:AD45"/>
    <mergeCell ref="O15:P15"/>
    <mergeCell ref="O16:P16"/>
    <mergeCell ref="O17:P17"/>
    <mergeCell ref="O18:P18"/>
    <mergeCell ref="O19:P19"/>
    <mergeCell ref="O20:P20"/>
    <mergeCell ref="A40:H40"/>
    <mergeCell ref="I40:O40"/>
    <mergeCell ref="P40:W40"/>
    <mergeCell ref="X40:AD40"/>
    <mergeCell ref="A41:H41"/>
    <mergeCell ref="I41:O41"/>
    <mergeCell ref="P41:W41"/>
    <mergeCell ref="X41:AD41"/>
    <mergeCell ref="O36:P36"/>
    <mergeCell ref="Q36:R36"/>
    <mergeCell ref="S36:V36"/>
    <mergeCell ref="W36:Z36"/>
    <mergeCell ref="AA36:AD36"/>
    <mergeCell ref="A38:B38"/>
    <mergeCell ref="G34:H34"/>
    <mergeCell ref="S31:V31"/>
    <mergeCell ref="Q31:R31"/>
    <mergeCell ref="M29:N29"/>
    <mergeCell ref="Q29:R29"/>
    <mergeCell ref="S29:V29"/>
    <mergeCell ref="W29:Z29"/>
    <mergeCell ref="AA29:AD29"/>
    <mergeCell ref="K29:L29"/>
    <mergeCell ref="O29:P29"/>
    <mergeCell ref="O30:P30"/>
    <mergeCell ref="A30:B30"/>
    <mergeCell ref="C30:D30"/>
    <mergeCell ref="E30:F30"/>
    <mergeCell ref="G30:H30"/>
    <mergeCell ref="I30:J30"/>
    <mergeCell ref="A29:B29"/>
    <mergeCell ref="C29:D29"/>
    <mergeCell ref="E29:F29"/>
    <mergeCell ref="G29:H29"/>
    <mergeCell ref="I29:J29"/>
    <mergeCell ref="K28:L28"/>
    <mergeCell ref="M28:N28"/>
    <mergeCell ref="Q28:R28"/>
    <mergeCell ref="S28:V28"/>
    <mergeCell ref="W28:Z28"/>
    <mergeCell ref="AA28:AD28"/>
    <mergeCell ref="M27:N27"/>
    <mergeCell ref="Q27:R27"/>
    <mergeCell ref="S27:V27"/>
    <mergeCell ref="W27:Z27"/>
    <mergeCell ref="AA27:AD27"/>
    <mergeCell ref="K27:L27"/>
    <mergeCell ref="O27:P27"/>
    <mergeCell ref="O28:P28"/>
    <mergeCell ref="A28:B28"/>
    <mergeCell ref="C28:D28"/>
    <mergeCell ref="E28:F28"/>
    <mergeCell ref="G28:H28"/>
    <mergeCell ref="I28:J28"/>
    <mergeCell ref="A27:B27"/>
    <mergeCell ref="C27:D27"/>
    <mergeCell ref="E27:F27"/>
    <mergeCell ref="G27:H27"/>
    <mergeCell ref="I27:J27"/>
    <mergeCell ref="K26:L26"/>
    <mergeCell ref="M26:N26"/>
    <mergeCell ref="Q26:R26"/>
    <mergeCell ref="S26:V26"/>
    <mergeCell ref="W26:Z26"/>
    <mergeCell ref="AA26:AD26"/>
    <mergeCell ref="M25:N25"/>
    <mergeCell ref="Q25:R25"/>
    <mergeCell ref="S25:V25"/>
    <mergeCell ref="W25:Z25"/>
    <mergeCell ref="AA25:AD25"/>
    <mergeCell ref="K25:L25"/>
    <mergeCell ref="A26:B26"/>
    <mergeCell ref="C26:D26"/>
    <mergeCell ref="E26:F26"/>
    <mergeCell ref="G26:H26"/>
    <mergeCell ref="I26:J26"/>
    <mergeCell ref="A25:B25"/>
    <mergeCell ref="C25:D25"/>
    <mergeCell ref="E25:F25"/>
    <mergeCell ref="G25:H25"/>
    <mergeCell ref="I25:J25"/>
    <mergeCell ref="K24:L24"/>
    <mergeCell ref="M24:N24"/>
    <mergeCell ref="Q24:R24"/>
    <mergeCell ref="S24:V24"/>
    <mergeCell ref="W24:Z24"/>
    <mergeCell ref="AA24:AD24"/>
    <mergeCell ref="M23:N23"/>
    <mergeCell ref="Q23:R23"/>
    <mergeCell ref="S23:V23"/>
    <mergeCell ref="W23:Z23"/>
    <mergeCell ref="AA23:AD23"/>
    <mergeCell ref="K23:L23"/>
    <mergeCell ref="A24:B24"/>
    <mergeCell ref="C24:D24"/>
    <mergeCell ref="E24:F24"/>
    <mergeCell ref="G24:H24"/>
    <mergeCell ref="I24:J24"/>
    <mergeCell ref="A23:B23"/>
    <mergeCell ref="C23:D23"/>
    <mergeCell ref="E23:F23"/>
    <mergeCell ref="G23:H23"/>
    <mergeCell ref="I23:J23"/>
    <mergeCell ref="K22:L22"/>
    <mergeCell ref="M22:N22"/>
    <mergeCell ref="Q22:R22"/>
    <mergeCell ref="S22:V22"/>
    <mergeCell ref="W22:Z22"/>
    <mergeCell ref="AA22:AD22"/>
    <mergeCell ref="M21:N21"/>
    <mergeCell ref="Q21:R21"/>
    <mergeCell ref="S21:V21"/>
    <mergeCell ref="W21:Z21"/>
    <mergeCell ref="AA21:AD21"/>
    <mergeCell ref="K21:L21"/>
    <mergeCell ref="A22:B22"/>
    <mergeCell ref="C22:D22"/>
    <mergeCell ref="E22:F22"/>
    <mergeCell ref="G22:H22"/>
    <mergeCell ref="I22:J22"/>
    <mergeCell ref="A21:B21"/>
    <mergeCell ref="C21:D21"/>
    <mergeCell ref="E21:F21"/>
    <mergeCell ref="G21:H21"/>
    <mergeCell ref="I21:J21"/>
    <mergeCell ref="A20:B20"/>
    <mergeCell ref="C20:D20"/>
    <mergeCell ref="E20:F20"/>
    <mergeCell ref="G20:H20"/>
    <mergeCell ref="I20:J20"/>
    <mergeCell ref="A19:B19"/>
    <mergeCell ref="C19:D19"/>
    <mergeCell ref="E19:F19"/>
    <mergeCell ref="G19:H19"/>
    <mergeCell ref="I19:J19"/>
    <mergeCell ref="K20:L20"/>
    <mergeCell ref="M20:N20"/>
    <mergeCell ref="Q20:R20"/>
    <mergeCell ref="S20:V20"/>
    <mergeCell ref="W20:Z20"/>
    <mergeCell ref="AA20:AD20"/>
    <mergeCell ref="M19:N19"/>
    <mergeCell ref="Q19:R19"/>
    <mergeCell ref="S19:V19"/>
    <mergeCell ref="W19:Z19"/>
    <mergeCell ref="AA19:AD19"/>
    <mergeCell ref="K19:L19"/>
    <mergeCell ref="S15:V15"/>
    <mergeCell ref="W15:Z15"/>
    <mergeCell ref="AA15:AD15"/>
    <mergeCell ref="K15:L15"/>
    <mergeCell ref="W14:Z14"/>
    <mergeCell ref="AA14:AD14"/>
    <mergeCell ref="O13:P13"/>
    <mergeCell ref="S13:V13"/>
    <mergeCell ref="W13:Z13"/>
    <mergeCell ref="AA13:AD13"/>
    <mergeCell ref="Q14:R14"/>
    <mergeCell ref="S14:V14"/>
    <mergeCell ref="M15:N15"/>
    <mergeCell ref="Q15:R15"/>
    <mergeCell ref="M13:N13"/>
    <mergeCell ref="J4:X5"/>
    <mergeCell ref="A9:E9"/>
    <mergeCell ref="Z10:AD10"/>
    <mergeCell ref="C13:D13"/>
    <mergeCell ref="E13:F13"/>
    <mergeCell ref="G13:H13"/>
    <mergeCell ref="I13:J13"/>
    <mergeCell ref="K13:L13"/>
    <mergeCell ref="A11:C11"/>
    <mergeCell ref="A12:B13"/>
    <mergeCell ref="C12:F12"/>
    <mergeCell ref="G12:H12"/>
    <mergeCell ref="I12:L12"/>
    <mergeCell ref="W12:Z12"/>
    <mergeCell ref="AA12:AD12"/>
    <mergeCell ref="M12:N12"/>
    <mergeCell ref="A10:E10"/>
    <mergeCell ref="F10:J10"/>
    <mergeCell ref="K10:O10"/>
    <mergeCell ref="P10:T10"/>
    <mergeCell ref="O12:P12"/>
    <mergeCell ref="Q12:R13"/>
    <mergeCell ref="S12:V12"/>
    <mergeCell ref="U10:Y10"/>
    <mergeCell ref="F9:J9"/>
    <mergeCell ref="K9:O9"/>
    <mergeCell ref="P9:T9"/>
    <mergeCell ref="U9:Y9"/>
    <mergeCell ref="Z9:AD9"/>
    <mergeCell ref="AB5:AD5"/>
    <mergeCell ref="A7:AD7"/>
    <mergeCell ref="A8:B8"/>
    <mergeCell ref="C8:F8"/>
    <mergeCell ref="G8:H8"/>
    <mergeCell ref="I8:X8"/>
    <mergeCell ref="Y8:Z8"/>
    <mergeCell ref="AA8:AD8"/>
    <mergeCell ref="A2:F5"/>
    <mergeCell ref="Y2:AA2"/>
    <mergeCell ref="AB2:AD2"/>
    <mergeCell ref="Y3:AA3"/>
    <mergeCell ref="AB3:AD3"/>
    <mergeCell ref="Y4:AA4"/>
    <mergeCell ref="AB4:AD4"/>
    <mergeCell ref="Y5:AA5"/>
    <mergeCell ref="G2:X2"/>
    <mergeCell ref="G3:X3"/>
    <mergeCell ref="G4:I5"/>
  </mergeCells>
  <phoneticPr fontId="59" type="noConversion"/>
  <pageMargins left="0.39370078740157483" right="0.39370078740157483" top="0.39370078740157483" bottom="0.19685039370078741" header="0" footer="0"/>
  <pageSetup paperSize="9" scale="85" orientation="landscape" r:id="rId1"/>
  <ignoredErrors>
    <ignoredError sqref="I15:L31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M73"/>
  <sheetViews>
    <sheetView view="pageBreakPreview" topLeftCell="A31" zoomScale="85" zoomScaleNormal="100" zoomScaleSheetLayoutView="85" workbookViewId="0">
      <selection activeCell="N12" sqref="N12"/>
    </sheetView>
  </sheetViews>
  <sheetFormatPr defaultColWidth="9" defaultRowHeight="13.5"/>
  <cols>
    <col min="1" max="1" width="3.25" style="1" customWidth="1"/>
    <col min="2" max="2" width="11.375" style="1" customWidth="1"/>
    <col min="3" max="3" width="10.125" style="1" customWidth="1"/>
    <col min="4" max="4" width="7.75" style="1" customWidth="1"/>
    <col min="5" max="5" width="6.625" style="1" customWidth="1"/>
    <col min="6" max="20" width="5.75" style="1" customWidth="1"/>
    <col min="21" max="21" width="6.75" style="1" customWidth="1"/>
    <col min="22" max="22" width="5.75" style="1" customWidth="1"/>
    <col min="23" max="23" width="6" style="1" customWidth="1"/>
    <col min="24" max="24" width="7.625" style="1" customWidth="1"/>
    <col min="25" max="25" width="3.875" style="4" customWidth="1"/>
    <col min="26" max="39" width="9" style="4"/>
    <col min="40" max="16384" width="9" style="1"/>
  </cols>
  <sheetData>
    <row r="1" spans="1:39" ht="50.45" customHeight="1">
      <c r="A1" s="974" t="s">
        <v>106</v>
      </c>
      <c r="B1" s="974"/>
      <c r="C1" s="974"/>
      <c r="D1" s="974"/>
      <c r="E1" s="974"/>
      <c r="F1" s="974"/>
      <c r="G1" s="974"/>
      <c r="H1" s="974"/>
      <c r="I1" s="974"/>
      <c r="J1" s="974"/>
      <c r="K1" s="974"/>
      <c r="L1" s="974"/>
      <c r="M1" s="974"/>
      <c r="N1" s="974"/>
      <c r="O1" s="974"/>
      <c r="P1" s="974"/>
      <c r="Q1" s="974"/>
      <c r="R1" s="974"/>
      <c r="S1" s="974"/>
      <c r="T1" s="974"/>
      <c r="U1" s="974"/>
      <c r="V1" s="974"/>
      <c r="W1" s="974"/>
      <c r="X1" s="974"/>
      <c r="Y1" s="974"/>
    </row>
    <row r="2" spans="1:39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 s="3"/>
    </row>
    <row r="3" spans="1:39" ht="13.9" customHeight="1">
      <c r="A3"/>
      <c r="B3"/>
      <c r="C3"/>
      <c r="D3"/>
      <c r="E3"/>
      <c r="F3" s="884" t="s">
        <v>313</v>
      </c>
      <c r="G3" s="884"/>
      <c r="H3" s="884"/>
      <c r="I3" s="884"/>
      <c r="J3" s="884"/>
      <c r="K3" s="884"/>
      <c r="L3" s="884"/>
      <c r="M3" s="884"/>
      <c r="N3" s="884"/>
      <c r="O3" s="884"/>
      <c r="P3" s="884"/>
      <c r="Q3" s="884"/>
      <c r="R3" s="884"/>
      <c r="S3"/>
      <c r="T3"/>
      <c r="U3"/>
      <c r="V3"/>
      <c r="W3"/>
      <c r="X3"/>
      <c r="Y3" s="3"/>
    </row>
    <row r="4" spans="1:39" s="5" customFormat="1" ht="21.75" customHeight="1">
      <c r="A4" s="26"/>
      <c r="B4" s="27"/>
      <c r="C4" s="27"/>
      <c r="D4" s="25"/>
      <c r="E4" s="28"/>
      <c r="F4" s="884"/>
      <c r="G4" s="884"/>
      <c r="H4" s="884"/>
      <c r="I4" s="884"/>
      <c r="J4" s="884"/>
      <c r="K4" s="884"/>
      <c r="L4" s="884"/>
      <c r="M4" s="884"/>
      <c r="N4" s="884"/>
      <c r="O4" s="884"/>
      <c r="P4" s="884"/>
      <c r="Q4" s="884"/>
      <c r="R4" s="884"/>
      <c r="S4" s="26"/>
      <c r="T4" s="26"/>
      <c r="U4" s="26"/>
      <c r="V4" s="26"/>
      <c r="W4" s="26"/>
      <c r="X4" s="26"/>
      <c r="Y4" s="26"/>
    </row>
    <row r="5" spans="1:39" s="101" customFormat="1" ht="10.9" customHeight="1">
      <c r="A5" s="100"/>
      <c r="B5" s="1013" t="s">
        <v>139</v>
      </c>
      <c r="C5" s="1013"/>
      <c r="D5" s="103" t="str">
        <f ca="1">MASTER!$F$21 &amp; "/" &amp; RIGHT(YEAR(TODAY()),2)</f>
        <v>23/25</v>
      </c>
      <c r="E5" s="104"/>
      <c r="F5" s="105"/>
      <c r="G5" s="106"/>
      <c r="H5" s="107"/>
      <c r="I5" s="106"/>
      <c r="J5" s="107"/>
      <c r="K5" s="106"/>
      <c r="L5" s="107"/>
      <c r="M5" s="106"/>
      <c r="N5" s="106"/>
      <c r="O5" s="106"/>
      <c r="P5" s="106"/>
      <c r="Q5" s="106"/>
      <c r="R5" s="106"/>
      <c r="S5" s="106"/>
      <c r="T5" s="1014"/>
      <c r="U5" s="1014"/>
      <c r="V5" s="1010"/>
      <c r="W5" s="1010"/>
      <c r="X5" s="100"/>
      <c r="Y5" s="100"/>
    </row>
    <row r="6" spans="1:39" s="102" customFormat="1" ht="10.9" customHeight="1">
      <c r="A6" s="99"/>
      <c r="B6" s="108" t="s">
        <v>138</v>
      </c>
      <c r="C6" s="108"/>
      <c r="D6" s="109" t="s">
        <v>307</v>
      </c>
      <c r="E6" s="109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/>
      <c r="X6" s="100"/>
      <c r="Y6" s="100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</row>
    <row r="7" spans="1:39" s="102" customFormat="1" ht="10.9" customHeight="1">
      <c r="A7" s="99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</row>
    <row r="8" spans="1:39" s="102" customFormat="1" ht="10.9" customHeight="1" thickBot="1">
      <c r="A8" s="99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</row>
    <row r="9" spans="1:39" s="102" customFormat="1" ht="10.9" customHeight="1">
      <c r="A9" s="99"/>
      <c r="B9" s="1008" t="s">
        <v>92</v>
      </c>
      <c r="C9" s="1009"/>
      <c r="D9" s="1015" t="s">
        <v>86</v>
      </c>
      <c r="E9" s="1009"/>
      <c r="F9" s="948" t="s">
        <v>89</v>
      </c>
      <c r="G9" s="949"/>
      <c r="H9" s="948" t="s">
        <v>93</v>
      </c>
      <c r="I9" s="949"/>
      <c r="J9" s="950" t="s">
        <v>94</v>
      </c>
      <c r="K9" s="951"/>
      <c r="L9" s="952"/>
      <c r="M9" s="100"/>
      <c r="N9" s="100"/>
      <c r="O9" s="562"/>
      <c r="P9" s="559" t="s">
        <v>97</v>
      </c>
      <c r="Q9" s="559"/>
      <c r="R9" s="560" t="s">
        <v>98</v>
      </c>
      <c r="S9" s="100"/>
      <c r="T9" s="100"/>
      <c r="U9" s="100"/>
      <c r="V9" s="100"/>
      <c r="W9"/>
      <c r="X9" s="100"/>
      <c r="Y9" s="100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</row>
    <row r="10" spans="1:39" s="102" customFormat="1" ht="10.9" customHeight="1">
      <c r="B10" s="1029" t="str">
        <f>IF(MASTER!$AA3="","",MASTER!$AA3)</f>
        <v>IKMAL-1 TUPRAS MERSIN BENZIN</v>
      </c>
      <c r="C10" s="1030"/>
      <c r="D10" s="924" t="str">
        <f>IF(MASTER!$Y3="","",MASTER!$Y3)</f>
        <v>KB-95</v>
      </c>
      <c r="E10" s="926"/>
      <c r="F10" s="1016">
        <f>IF(MASTER!$Z3="","",MASTER!$Z3)</f>
        <v>0.73770000000000002</v>
      </c>
      <c r="G10" s="1017"/>
      <c r="H10" s="1025">
        <v>24</v>
      </c>
      <c r="I10" s="1026"/>
      <c r="J10" s="924">
        <f>IF(MASTER!$AH3="","",MASTER!$AH3)</f>
        <v>2545.37939976696</v>
      </c>
      <c r="K10" s="925"/>
      <c r="L10" s="926"/>
      <c r="M10" s="101"/>
      <c r="N10" s="101"/>
      <c r="O10" s="101"/>
      <c r="P10" s="975" t="s">
        <v>95</v>
      </c>
      <c r="Q10" s="976"/>
      <c r="R10" s="554">
        <f>MASTER!$AA$17</f>
        <v>8.6</v>
      </c>
      <c r="S10" s="101"/>
      <c r="T10" s="101"/>
      <c r="U10" s="101"/>
      <c r="V10" s="101"/>
      <c r="W10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</row>
    <row r="11" spans="1:39" s="102" customFormat="1" ht="10.9" customHeight="1" thickBot="1">
      <c r="B11" s="1011" t="str">
        <f>IF(MASTER!$AA4="","",MASTER!$AA4)</f>
        <v>DAP-1 OPET MERSIN BENZIN</v>
      </c>
      <c r="C11" s="1012"/>
      <c r="D11" s="995" t="str">
        <f>IF(MASTER!$Y4="","",MASTER!$Y4)</f>
        <v>KB-95</v>
      </c>
      <c r="E11" s="997"/>
      <c r="F11" s="1006">
        <f>IF(MASTER!$Z4="","",MASTER!$Z4)</f>
        <v>0.73770000000000002</v>
      </c>
      <c r="G11" s="1007"/>
      <c r="H11" s="932">
        <v>24</v>
      </c>
      <c r="I11" s="933"/>
      <c r="J11" s="995">
        <f>IF(MASTER!$AH4="","",MASTER!$AH4)</f>
        <v>2545.2128102372999</v>
      </c>
      <c r="K11" s="996"/>
      <c r="L11" s="997"/>
      <c r="M11" s="101"/>
      <c r="N11" s="101"/>
      <c r="O11" s="101"/>
      <c r="P11" s="557" t="s">
        <v>96</v>
      </c>
      <c r="Q11" s="558"/>
      <c r="R11" s="555">
        <f>MASTER!$Y$17</f>
        <v>8.6</v>
      </c>
      <c r="S11" s="101"/>
      <c r="T11" s="101"/>
      <c r="U11" s="101"/>
      <c r="V11" s="101"/>
      <c r="W1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</row>
    <row r="12" spans="1:39" s="102" customFormat="1" ht="10.9" customHeight="1">
      <c r="B12" s="1037" t="str">
        <f>IF(MASTER!$AA5="","",MASTER!$AA5)</f>
        <v>DAP-2 SHELL MERSIN BENZIN</v>
      </c>
      <c r="C12" s="1038"/>
      <c r="D12" s="1000" t="str">
        <f>IF(MASTER!$Y5="","",MASTER!$Y5)</f>
        <v>KB-95</v>
      </c>
      <c r="E12" s="1002"/>
      <c r="F12" s="1018">
        <f>IF(MASTER!$Z5="","",MASTER!$Z5)</f>
        <v>0.73770000000000002</v>
      </c>
      <c r="G12" s="1019"/>
      <c r="H12" s="930">
        <v>24</v>
      </c>
      <c r="I12" s="931"/>
      <c r="J12" s="1000">
        <f>IF(MASTER!$AH5="","",MASTER!$AH5)</f>
        <v>3949.5163111725597</v>
      </c>
      <c r="K12" s="1001"/>
      <c r="L12" s="1002"/>
      <c r="M12" s="101"/>
      <c r="N12" s="101"/>
      <c r="O12" s="101"/>
      <c r="P12" s="975"/>
      <c r="Q12" s="976"/>
      <c r="R12" s="553"/>
      <c r="S12" s="101"/>
      <c r="T12" s="101"/>
      <c r="U12" s="101"/>
      <c r="V12" s="101"/>
      <c r="W12"/>
      <c r="X12" s="99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1"/>
      <c r="AL12" s="101"/>
      <c r="AM12" s="101"/>
    </row>
    <row r="13" spans="1:39" s="102" customFormat="1" ht="10.9" customHeight="1">
      <c r="B13" s="998" t="str">
        <f>IF(MASTER!$AA6="","",MASTER!$AA6)</f>
        <v>DAP-3 POAS MERSIN BENZIN</v>
      </c>
      <c r="C13" s="999"/>
      <c r="D13" s="1003" t="str">
        <f>IF(MASTER!$Y6="","",MASTER!$Y6)</f>
        <v>KB-95</v>
      </c>
      <c r="E13" s="1005"/>
      <c r="F13" s="1020">
        <f>IF(MASTER!$Z6="","",MASTER!$Z6)</f>
        <v>0.73770000000000002</v>
      </c>
      <c r="G13" s="1021"/>
      <c r="H13" s="1022">
        <v>24</v>
      </c>
      <c r="I13" s="1023"/>
      <c r="J13" s="1003">
        <f>IF(MASTER!$AH6="","",MASTER!$AH6)</f>
        <v>931.23914017229993</v>
      </c>
      <c r="K13" s="1004"/>
      <c r="L13" s="1005"/>
      <c r="M13" s="101"/>
      <c r="N13" s="101"/>
      <c r="O13" s="101"/>
      <c r="P13" s="975"/>
      <c r="Q13" s="976"/>
      <c r="R13" s="554"/>
      <c r="S13" s="101"/>
      <c r="T13" s="101"/>
      <c r="U13" s="101"/>
      <c r="V13" s="101"/>
      <c r="W13"/>
      <c r="X13" s="99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</row>
    <row r="14" spans="1:39" s="102" customFormat="1" ht="10.9" customHeight="1" thickBot="1">
      <c r="B14" s="989" t="str">
        <f>IF(MASTER!$AA7="","",MASTER!$AA7)</f>
        <v>DAP-4 OPET ANTALYA BENZIN</v>
      </c>
      <c r="C14" s="990"/>
      <c r="D14" s="927" t="str">
        <f>IF(MASTER!$Y7="","",MASTER!$Y7)</f>
        <v>KB-95</v>
      </c>
      <c r="E14" s="929"/>
      <c r="F14" s="991">
        <f>IF(MASTER!$Z7="","",MASTER!$Z7)</f>
        <v>0.73770000000000002</v>
      </c>
      <c r="G14" s="992"/>
      <c r="H14" s="993">
        <v>24</v>
      </c>
      <c r="I14" s="994"/>
      <c r="J14" s="927">
        <f>IF(MASTER!$AH7="","",MASTER!$AH7)</f>
        <v>988.34925998790015</v>
      </c>
      <c r="K14" s="928"/>
      <c r="L14" s="929"/>
      <c r="M14" s="101"/>
      <c r="N14" s="101"/>
      <c r="O14" s="101"/>
      <c r="P14" s="557"/>
      <c r="Q14" s="558"/>
      <c r="R14" s="555"/>
      <c r="S14" s="101"/>
      <c r="T14" s="101"/>
      <c r="U14" s="101"/>
      <c r="V14" s="101"/>
      <c r="W14"/>
      <c r="X14" s="99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1"/>
      <c r="AL14" s="101"/>
      <c r="AM14" s="101"/>
    </row>
    <row r="15" spans="1:39" s="102" customFormat="1" ht="10.9" customHeight="1">
      <c r="B15" s="983" t="str">
        <f>IF(MASTER!$AA8="","",MASTER!$AA8)</f>
        <v>DAP-5 SHELL ANTALYA BENZIN</v>
      </c>
      <c r="C15" s="984"/>
      <c r="D15" s="915" t="str">
        <f>IF(MASTER!$Y8="","",MASTER!$Y8)</f>
        <v>KB-95</v>
      </c>
      <c r="E15" s="917"/>
      <c r="F15" s="985">
        <f>IF(MASTER!$Z8="","",MASTER!$Z8)</f>
        <v>0.73770000000000002</v>
      </c>
      <c r="G15" s="986"/>
      <c r="H15" s="987">
        <v>24</v>
      </c>
      <c r="I15" s="988"/>
      <c r="J15" s="915">
        <f>IF(MASTER!$AH8="","",MASTER!$AH8)</f>
        <v>1194.6744287819999</v>
      </c>
      <c r="K15" s="916"/>
      <c r="L15" s="917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1"/>
      <c r="AL15" s="101"/>
      <c r="AM15" s="101"/>
    </row>
    <row r="16" spans="1:39" s="102" customFormat="1" ht="10.9" customHeight="1">
      <c r="B16" s="977" t="str">
        <f>IF(MASTER!$AA9="","",MASTER!$AA9)</f>
        <v>DAP-6 POAS ANTALYA BENZIN</v>
      </c>
      <c r="C16" s="978"/>
      <c r="D16" s="918" t="str">
        <f>IF(MASTER!$Y9="","",MASTER!$Y9)</f>
        <v>KB-95</v>
      </c>
      <c r="E16" s="920"/>
      <c r="F16" s="979">
        <f>IF(MASTER!$Z9="","",MASTER!$Z9)</f>
        <v>0.73770000000000002</v>
      </c>
      <c r="G16" s="980"/>
      <c r="H16" s="981">
        <v>24</v>
      </c>
      <c r="I16" s="982"/>
      <c r="J16" s="918">
        <f>IF(MASTER!$AH9="","",MASTER!$AH9)</f>
        <v>1168.4046543163199</v>
      </c>
      <c r="K16" s="919"/>
      <c r="L16" s="920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101"/>
      <c r="Z16" s="101"/>
      <c r="AA16" s="101"/>
      <c r="AB16" s="101"/>
      <c r="AC16" s="101"/>
      <c r="AD16" s="101"/>
      <c r="AE16" s="101"/>
      <c r="AF16" s="101"/>
      <c r="AG16" s="101"/>
      <c r="AH16" s="101"/>
      <c r="AI16" s="101"/>
      <c r="AJ16" s="101"/>
      <c r="AK16" s="101"/>
      <c r="AL16" s="101"/>
      <c r="AM16" s="101"/>
    </row>
    <row r="17" spans="1:39" s="102" customFormat="1" ht="10.9" customHeight="1">
      <c r="B17" s="1033" t="str">
        <f>IF(MASTER!$AA10="","",MASTER!$AA10)</f>
        <v>DAP-7 OPET ANTALYA MOTORIN</v>
      </c>
      <c r="C17" s="1034"/>
      <c r="D17" s="921" t="str">
        <f>IF(MASTER!$Y10="","",MASTER!$Y10)</f>
        <v>MOTORIN</v>
      </c>
      <c r="E17" s="923"/>
      <c r="F17" s="934">
        <f>IF(MASTER!$Z10="","",MASTER!$Z10)</f>
        <v>0.83260000000000001</v>
      </c>
      <c r="G17" s="935"/>
      <c r="H17" s="953">
        <v>24</v>
      </c>
      <c r="I17" s="954"/>
      <c r="J17" s="921">
        <f>IF(MASTER!$AH10="","",MASTER!$AH10)</f>
        <v>2438.0217993320002</v>
      </c>
      <c r="K17" s="922"/>
      <c r="L17" s="923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101"/>
      <c r="Z17" s="101"/>
      <c r="AA17" s="101"/>
      <c r="AB17" s="101"/>
      <c r="AC17" s="101"/>
      <c r="AD17" s="101"/>
      <c r="AE17" s="101"/>
      <c r="AF17" s="101"/>
      <c r="AG17" s="101"/>
      <c r="AH17" s="101"/>
      <c r="AI17" s="101"/>
      <c r="AJ17" s="101"/>
      <c r="AK17" s="101"/>
      <c r="AL17" s="101"/>
      <c r="AM17" s="101"/>
    </row>
    <row r="18" spans="1:39" s="102" customFormat="1" ht="10.9" hidden="1" customHeight="1">
      <c r="B18" s="1035" t="str">
        <f>IF(MASTER!$AA11="","",MASTER!$AA11)</f>
        <v>ANNEX I WASHING WATER</v>
      </c>
      <c r="C18" s="1036"/>
      <c r="D18" s="913" t="str">
        <f>IF(MASTER!$Y11="","",MASTER!$Y11)</f>
        <v>SLOP</v>
      </c>
      <c r="E18" s="914"/>
      <c r="F18" s="936">
        <f>IF(MASTER!$Z11="","",MASTER!$Z11)</f>
        <v>1</v>
      </c>
      <c r="G18" s="937"/>
      <c r="H18" s="955">
        <v>25</v>
      </c>
      <c r="I18" s="956"/>
      <c r="J18" s="913">
        <f>IF(MASTER!$AH11="","",MASTER!$AH11)</f>
        <v>0</v>
      </c>
      <c r="K18" s="1024"/>
      <c r="L18" s="914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X18" s="99"/>
      <c r="Y18" s="101"/>
      <c r="Z18" s="101"/>
      <c r="AA18" s="101"/>
      <c r="AB18" s="101"/>
      <c r="AC18" s="101"/>
      <c r="AD18" s="101"/>
      <c r="AE18" s="101"/>
      <c r="AF18" s="101"/>
      <c r="AG18" s="101"/>
      <c r="AH18" s="101"/>
      <c r="AI18" s="101"/>
      <c r="AJ18" s="101"/>
      <c r="AK18" s="101"/>
      <c r="AL18" s="101"/>
      <c r="AM18" s="101"/>
    </row>
    <row r="19" spans="1:39" ht="10.9" customHeight="1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39" ht="10.9" customHeight="1" thickBot="1">
      <c r="A20"/>
      <c r="B20"/>
      <c r="C20"/>
      <c r="D20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/>
      <c r="X20"/>
    </row>
    <row r="21" spans="1:39" s="18" customFormat="1" ht="13.15" customHeight="1" thickTop="1" thickBot="1">
      <c r="A21" s="16"/>
      <c r="B21" s="16"/>
      <c r="C21" s="878" t="s">
        <v>157</v>
      </c>
      <c r="D21" s="879"/>
      <c r="E21" s="1039" t="s">
        <v>77</v>
      </c>
      <c r="F21" s="1040"/>
      <c r="G21" s="938" t="s">
        <v>18</v>
      </c>
      <c r="H21" s="939"/>
      <c r="I21" s="940" t="s">
        <v>16</v>
      </c>
      <c r="J21" s="941"/>
      <c r="K21" s="942" t="s">
        <v>14</v>
      </c>
      <c r="L21" s="943"/>
      <c r="M21" s="946" t="s">
        <v>12</v>
      </c>
      <c r="N21" s="947"/>
      <c r="O21" s="944" t="s">
        <v>10</v>
      </c>
      <c r="P21" s="945"/>
      <c r="Q21" s="940" t="s">
        <v>8</v>
      </c>
      <c r="R21" s="941"/>
      <c r="S21" s="1027" t="s">
        <v>6</v>
      </c>
      <c r="T21" s="1028"/>
      <c r="U21" s="1031" t="s">
        <v>4</v>
      </c>
      <c r="V21" s="1032"/>
      <c r="W21" s="16"/>
      <c r="X21" s="16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18" customFormat="1" ht="31.5" customHeight="1" thickBot="1">
      <c r="A22" s="16"/>
      <c r="B22" s="16"/>
      <c r="C22" s="880"/>
      <c r="D22" s="881"/>
      <c r="E22" s="969" t="s">
        <v>292</v>
      </c>
      <c r="F22" s="970"/>
      <c r="G22" s="967" t="str">
        <f>MASTER!$D$17</f>
        <v>DAP-5 SHELL ANTALYA BENZIN</v>
      </c>
      <c r="H22" s="968"/>
      <c r="I22" s="891" t="str">
        <f>MASTER!$D$15</f>
        <v>DAP-2 SHELL MERSIN BENZIN</v>
      </c>
      <c r="J22" s="892"/>
      <c r="K22" s="1051" t="str">
        <f>MASTER!$D$13</f>
        <v>IKMAL-1 TUPRAS MERSIN BENZIN</v>
      </c>
      <c r="L22" s="1052"/>
      <c r="M22" s="959" t="str">
        <f>MASTER!$D$11</f>
        <v>DAP-1 OPET MERSIN BENZIN</v>
      </c>
      <c r="N22" s="960"/>
      <c r="O22" s="1043" t="str">
        <f>MASTER!$D$9</f>
        <v>DAP-4 OPET ANTALYA BENZIN</v>
      </c>
      <c r="P22" s="1044"/>
      <c r="Q22" s="891" t="str">
        <f>MASTER!$D$7</f>
        <v>DAP-2 SHELL MERSIN BENZIN</v>
      </c>
      <c r="R22" s="892"/>
      <c r="S22" s="1045" t="str">
        <f>MASTER!$D$5</f>
        <v>DAP-7 OPET ANTALYA MOTORIN</v>
      </c>
      <c r="T22" s="1046"/>
      <c r="U22" s="1047" t="str">
        <f>MASTER!$D$3</f>
        <v>IKMAL-1 TUPRAS MERSIN BENZIN</v>
      </c>
      <c r="V22" s="1048"/>
      <c r="W22" s="16"/>
      <c r="X22" s="16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18" customFormat="1" ht="13.15" customHeight="1">
      <c r="A23" s="16"/>
      <c r="B23" s="16"/>
      <c r="C23" s="880"/>
      <c r="D23" s="881"/>
      <c r="E23" s="567" t="s">
        <v>78</v>
      </c>
      <c r="F23" s="568"/>
      <c r="G23" s="622" t="s">
        <v>78</v>
      </c>
      <c r="H23" s="623">
        <f>MASTER!$F$17</f>
        <v>1130</v>
      </c>
      <c r="I23" s="604" t="s">
        <v>78</v>
      </c>
      <c r="J23" s="605">
        <f>MASTER!$F$15</f>
        <v>1130</v>
      </c>
      <c r="K23" s="578" t="s">
        <v>78</v>
      </c>
      <c r="L23" s="579">
        <f>MASTER!$F$13</f>
        <v>1130</v>
      </c>
      <c r="M23" s="586" t="s">
        <v>78</v>
      </c>
      <c r="N23" s="587">
        <f>MASTER!$F$11</f>
        <v>1130</v>
      </c>
      <c r="O23" s="612" t="s">
        <v>78</v>
      </c>
      <c r="P23" s="613">
        <f>MASTER!$F$9</f>
        <v>1130</v>
      </c>
      <c r="Q23" s="604" t="s">
        <v>78</v>
      </c>
      <c r="R23" s="605">
        <f>MASTER!$F$7</f>
        <v>1130</v>
      </c>
      <c r="S23" s="630" t="s">
        <v>78</v>
      </c>
      <c r="T23" s="633">
        <f>MASTER!$F$5</f>
        <v>1130</v>
      </c>
      <c r="U23" s="573" t="s">
        <v>78</v>
      </c>
      <c r="V23" s="574">
        <f>MASTER!$F$3</f>
        <v>1050</v>
      </c>
      <c r="W23" s="16"/>
      <c r="X23" s="16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18" customFormat="1" ht="13.15" customHeight="1">
      <c r="A24" s="16"/>
      <c r="B24" s="16"/>
      <c r="C24" s="880"/>
      <c r="D24" s="881"/>
      <c r="E24" s="567" t="s">
        <v>76</v>
      </c>
      <c r="F24" s="569"/>
      <c r="G24" s="622" t="s">
        <v>76</v>
      </c>
      <c r="H24" s="624">
        <f>MASTER!$T$17</f>
        <v>929.79927824634001</v>
      </c>
      <c r="I24" s="604" t="s">
        <v>76</v>
      </c>
      <c r="J24" s="606">
        <f>MASTER!$T$15</f>
        <v>986.65400970809992</v>
      </c>
      <c r="K24" s="578" t="s">
        <v>76</v>
      </c>
      <c r="L24" s="580">
        <f>MASTER!$T$13</f>
        <v>986.59163036879988</v>
      </c>
      <c r="M24" s="586" t="s">
        <v>76</v>
      </c>
      <c r="N24" s="588">
        <f>MASTER!$T$11</f>
        <v>988.79985898001996</v>
      </c>
      <c r="O24" s="612" t="s">
        <v>76</v>
      </c>
      <c r="P24" s="614">
        <f>MASTER!U9</f>
        <v>988.34925998790015</v>
      </c>
      <c r="Q24" s="604" t="s">
        <v>76</v>
      </c>
      <c r="R24" s="606">
        <f>MASTER!$T$7</f>
        <v>988.56281749068</v>
      </c>
      <c r="S24" s="630" t="s">
        <v>76</v>
      </c>
      <c r="T24" s="631">
        <f>MASTER!$T$5</f>
        <v>1322.1507031343999</v>
      </c>
      <c r="U24" s="573" t="s">
        <v>76</v>
      </c>
      <c r="V24" s="575">
        <f>MASTER!$T$3</f>
        <v>571.25824731611999</v>
      </c>
      <c r="W24" s="16"/>
      <c r="X24" s="16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18" customFormat="1" ht="13.15" customHeight="1">
      <c r="A25" s="16"/>
      <c r="B25" s="16"/>
      <c r="C25" s="880"/>
      <c r="D25" s="881"/>
      <c r="E25" s="567" t="s">
        <v>81</v>
      </c>
      <c r="F25" s="570"/>
      <c r="G25" s="622" t="s">
        <v>81</v>
      </c>
      <c r="H25" s="624">
        <f>MASTER!$J$17</f>
        <v>1266.973</v>
      </c>
      <c r="I25" s="604" t="s">
        <v>81</v>
      </c>
      <c r="J25" s="606">
        <f>MASTER!$J$15</f>
        <v>1344.4449999999999</v>
      </c>
      <c r="K25" s="578" t="s">
        <v>81</v>
      </c>
      <c r="L25" s="580">
        <f>MASTER!$J$13</f>
        <v>1344.36</v>
      </c>
      <c r="M25" s="586" t="s">
        <v>81</v>
      </c>
      <c r="N25" s="588">
        <f>MASTER!$J$11</f>
        <v>1347.3689999999999</v>
      </c>
      <c r="O25" s="612" t="s">
        <v>81</v>
      </c>
      <c r="P25" s="614">
        <f>MASTER!$J$9</f>
        <v>1346.7550000000001</v>
      </c>
      <c r="Q25" s="604" t="s">
        <v>81</v>
      </c>
      <c r="R25" s="606">
        <f>MASTER!$J$7</f>
        <v>1347.046</v>
      </c>
      <c r="S25" s="630" t="s">
        <v>81</v>
      </c>
      <c r="T25" s="631">
        <f>MASTER!$J$5</f>
        <v>1594.2239999999999</v>
      </c>
      <c r="U25" s="573" t="s">
        <v>81</v>
      </c>
      <c r="V25" s="575">
        <f>MASTER!$J$3</f>
        <v>778.41399999999999</v>
      </c>
      <c r="W25" s="16"/>
      <c r="X25" s="16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18" customFormat="1" ht="13.15" customHeight="1" thickBot="1">
      <c r="A26" s="16"/>
      <c r="B26" s="16"/>
      <c r="C26" s="880"/>
      <c r="D26" s="881"/>
      <c r="E26" s="571" t="s">
        <v>79</v>
      </c>
      <c r="F26" s="572"/>
      <c r="G26" s="626" t="s">
        <v>79</v>
      </c>
      <c r="H26" s="627">
        <v>97.8</v>
      </c>
      <c r="I26" s="607" t="s">
        <v>79</v>
      </c>
      <c r="J26" s="608">
        <v>97.8</v>
      </c>
      <c r="K26" s="581" t="s">
        <v>79</v>
      </c>
      <c r="L26" s="582">
        <v>97.8</v>
      </c>
      <c r="M26" s="589" t="s">
        <v>79</v>
      </c>
      <c r="N26" s="590">
        <v>97.8</v>
      </c>
      <c r="O26" s="615" t="s">
        <v>79</v>
      </c>
      <c r="P26" s="616">
        <v>97.8</v>
      </c>
      <c r="Q26" s="607" t="s">
        <v>79</v>
      </c>
      <c r="R26" s="608">
        <v>97.8</v>
      </c>
      <c r="S26" s="634" t="s">
        <v>79</v>
      </c>
      <c r="T26" s="632">
        <v>97.8</v>
      </c>
      <c r="U26" s="576" t="s">
        <v>79</v>
      </c>
      <c r="V26" s="577">
        <v>97.8</v>
      </c>
      <c r="W26" s="16"/>
      <c r="X26" s="16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23" customFormat="1" ht="13.15" customHeight="1" thickBot="1">
      <c r="A27" s="21"/>
      <c r="B27" s="21"/>
      <c r="C27" s="880"/>
      <c r="D27" s="881"/>
      <c r="E27" s="874" t="s">
        <v>77</v>
      </c>
      <c r="F27" s="875"/>
      <c r="G27" s="1049" t="str">
        <f>MASTER!$C$17</f>
        <v>KB-95</v>
      </c>
      <c r="H27" s="1050"/>
      <c r="I27" s="905" t="str">
        <f>MASTER!$C$15</f>
        <v>KB-95</v>
      </c>
      <c r="J27" s="906"/>
      <c r="K27" s="971" t="str">
        <f>MASTER!$C$13</f>
        <v>KB-95</v>
      </c>
      <c r="L27" s="972"/>
      <c r="M27" s="911" t="str">
        <f>MASTER!$C$11</f>
        <v>KB-95</v>
      </c>
      <c r="N27" s="973"/>
      <c r="O27" s="1053" t="str">
        <f>MASTER!$C$9</f>
        <v>KB-95</v>
      </c>
      <c r="P27" s="1054"/>
      <c r="Q27" s="905" t="str">
        <f>MASTER!$C$7</f>
        <v>KB-95</v>
      </c>
      <c r="R27" s="906"/>
      <c r="S27" s="909" t="str">
        <f>MASTER!$C$5</f>
        <v>MOTORIN</v>
      </c>
      <c r="T27" s="910"/>
      <c r="U27" s="1041" t="str">
        <f>MASTER!$C$3</f>
        <v>KB-95</v>
      </c>
      <c r="V27" s="1042"/>
      <c r="W27" s="21"/>
      <c r="X27" s="2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</row>
    <row r="28" spans="1:39" s="18" customFormat="1" ht="4.9000000000000004" customHeight="1">
      <c r="A28" s="16"/>
      <c r="B28" s="16"/>
      <c r="C28" s="880"/>
      <c r="D28" s="881"/>
      <c r="E28" s="567"/>
      <c r="F28" s="563"/>
      <c r="G28" s="563"/>
      <c r="H28" s="563"/>
      <c r="I28" s="563"/>
      <c r="J28" s="563"/>
      <c r="K28" s="563"/>
      <c r="L28" s="563"/>
      <c r="M28" s="563"/>
      <c r="N28" s="563"/>
      <c r="O28" s="563"/>
      <c r="P28" s="563"/>
      <c r="Q28" s="563"/>
      <c r="R28" s="563"/>
      <c r="S28" s="563"/>
      <c r="T28" s="563"/>
      <c r="U28" s="563"/>
      <c r="V28" s="564"/>
      <c r="W28" s="16"/>
      <c r="X28" s="16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18" customFormat="1" ht="4.9000000000000004" customHeight="1">
      <c r="A29" s="16"/>
      <c r="B29" s="16"/>
      <c r="C29" s="880"/>
      <c r="D29" s="881"/>
      <c r="E29" s="567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4"/>
      <c r="W29" s="16"/>
      <c r="X29" s="16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18" customFormat="1" ht="4.9000000000000004" customHeight="1">
      <c r="A30" s="16"/>
      <c r="B30" s="16"/>
      <c r="C30" s="880"/>
      <c r="D30" s="881"/>
      <c r="E30" s="567"/>
      <c r="F30" s="563"/>
      <c r="G30" s="563"/>
      <c r="H30" s="563"/>
      <c r="I30" s="563"/>
      <c r="J30" s="563"/>
      <c r="K30" s="563"/>
      <c r="L30" s="563"/>
      <c r="M30" s="563"/>
      <c r="N30" s="563"/>
      <c r="O30" s="563"/>
      <c r="P30" s="563"/>
      <c r="Q30" s="563"/>
      <c r="R30" s="563"/>
      <c r="S30" s="563"/>
      <c r="T30" s="563"/>
      <c r="U30" s="563"/>
      <c r="V30" s="564"/>
      <c r="W30" s="16"/>
      <c r="X30" s="16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18" customFormat="1" ht="4.9000000000000004" customHeight="1">
      <c r="A31" s="16"/>
      <c r="B31" s="16"/>
      <c r="C31" s="880"/>
      <c r="D31" s="881"/>
      <c r="E31" s="567"/>
      <c r="F31" s="563"/>
      <c r="G31" s="563"/>
      <c r="H31" s="563"/>
      <c r="I31" s="563"/>
      <c r="J31" s="563"/>
      <c r="K31" s="563"/>
      <c r="L31" s="563"/>
      <c r="M31" s="563"/>
      <c r="N31" s="563"/>
      <c r="O31" s="563"/>
      <c r="P31" s="563"/>
      <c r="Q31" s="563"/>
      <c r="R31" s="563"/>
      <c r="S31" s="563"/>
      <c r="T31" s="563"/>
      <c r="U31" s="563"/>
      <c r="V31" s="564"/>
      <c r="W31" s="16"/>
      <c r="X31" s="16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18" customFormat="1" ht="4.9000000000000004" customHeight="1" thickBot="1">
      <c r="A32" s="16"/>
      <c r="B32" s="16"/>
      <c r="C32" s="880"/>
      <c r="D32" s="881"/>
      <c r="E32" s="571"/>
      <c r="F32" s="565"/>
      <c r="G32" s="565"/>
      <c r="H32" s="565"/>
      <c r="I32" s="565"/>
      <c r="J32" s="565"/>
      <c r="K32" s="565"/>
      <c r="L32" s="565"/>
      <c r="M32" s="565"/>
      <c r="N32" s="565"/>
      <c r="O32" s="565"/>
      <c r="P32" s="565"/>
      <c r="Q32" s="565"/>
      <c r="R32" s="565"/>
      <c r="S32" s="565"/>
      <c r="T32" s="565"/>
      <c r="U32" s="565"/>
      <c r="V32" s="566"/>
      <c r="W32" s="16"/>
      <c r="X32" s="16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23" customFormat="1" ht="13.15" customHeight="1" thickBot="1">
      <c r="A33" s="21"/>
      <c r="B33" s="21"/>
      <c r="C33" s="880"/>
      <c r="D33" s="881"/>
      <c r="E33" s="872" t="str">
        <f>MASTER!$C$20</f>
        <v>KB-95</v>
      </c>
      <c r="F33" s="873"/>
      <c r="G33" s="876" t="str">
        <f>MASTER!$C$18</f>
        <v>KB-95</v>
      </c>
      <c r="H33" s="877"/>
      <c r="I33" s="905" t="str">
        <f>MASTER!$C$16</f>
        <v>KB-95</v>
      </c>
      <c r="J33" s="906"/>
      <c r="K33" s="971" t="str">
        <f>MASTER!$C$14</f>
        <v>KB-95</v>
      </c>
      <c r="L33" s="972"/>
      <c r="M33" s="911" t="str">
        <f>MASTER!$C$12</f>
        <v>KB-95</v>
      </c>
      <c r="N33" s="973"/>
      <c r="O33" s="909" t="str">
        <f>MASTER!$C$10</f>
        <v>MOTORIN</v>
      </c>
      <c r="P33" s="910"/>
      <c r="Q33" s="905" t="str">
        <f>MASTER!$C$8</f>
        <v>KB-95</v>
      </c>
      <c r="R33" s="906"/>
      <c r="S33" s="907" t="str">
        <f>MASTER!$C$6</f>
        <v>KB-95</v>
      </c>
      <c r="T33" s="908"/>
      <c r="U33" s="911" t="str">
        <f>MASTER!$C$4</f>
        <v>KB-95</v>
      </c>
      <c r="V33" s="912"/>
      <c r="W33" s="21"/>
      <c r="X33" s="21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</row>
    <row r="34" spans="1:39" s="18" customFormat="1" ht="31.5" customHeight="1" thickBot="1">
      <c r="A34" s="16"/>
      <c r="B34" s="16"/>
      <c r="C34" s="880"/>
      <c r="D34" s="881"/>
      <c r="E34" s="965" t="str">
        <f>MASTER!$D$20</f>
        <v>DAP-5 SHELL ANTALYA BENZIN</v>
      </c>
      <c r="F34" s="966"/>
      <c r="G34" s="963" t="str">
        <f>MASTER!$D$18</f>
        <v>DAP-3 POAS MERSIN BENZIN</v>
      </c>
      <c r="H34" s="964"/>
      <c r="I34" s="889" t="str">
        <f>MASTER!$D$16</f>
        <v>DAP-2 SHELL MERSIN BENZIN</v>
      </c>
      <c r="J34" s="890"/>
      <c r="K34" s="961" t="str">
        <f>MASTER!$D$14</f>
        <v>IKMAL-1 TUPRAS MERSIN BENZIN</v>
      </c>
      <c r="L34" s="962"/>
      <c r="M34" s="959" t="str">
        <f>MASTER!$D$12</f>
        <v>DAP-1 OPET MERSIN BENZIN</v>
      </c>
      <c r="N34" s="960"/>
      <c r="O34" s="957" t="str">
        <f>MASTER!$D$10</f>
        <v>DAP-7 OPET ANTALYA MOTORIN</v>
      </c>
      <c r="P34" s="958"/>
      <c r="Q34" s="889" t="str">
        <f>MASTER!$D$8</f>
        <v>DAP-2 SHELL MERSIN BENZIN</v>
      </c>
      <c r="R34" s="890"/>
      <c r="S34" s="887" t="str">
        <f>MASTER!$D$6</f>
        <v>DAP-6 POAS ANTALYA BENZIN</v>
      </c>
      <c r="T34" s="888"/>
      <c r="U34" s="885" t="str">
        <f>MASTER!$D$4</f>
        <v>DAP-1 OPET MERSIN BENZIN</v>
      </c>
      <c r="V34" s="886"/>
      <c r="W34" s="16"/>
      <c r="X34" s="16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18" customFormat="1" ht="13.15" customHeight="1">
      <c r="A35" s="16"/>
      <c r="B35" s="16"/>
      <c r="C35" s="880"/>
      <c r="D35" s="881"/>
      <c r="E35" s="622" t="s">
        <v>78</v>
      </c>
      <c r="F35" s="623">
        <f>MASTER!$F$20</f>
        <v>1780</v>
      </c>
      <c r="G35" s="599" t="s">
        <v>78</v>
      </c>
      <c r="H35" s="600">
        <f>MASTER!$F$18</f>
        <v>1130</v>
      </c>
      <c r="I35" s="609" t="s">
        <v>78</v>
      </c>
      <c r="J35" s="610">
        <f>MASTER!$F$16</f>
        <v>1130</v>
      </c>
      <c r="K35" s="583" t="s">
        <v>78</v>
      </c>
      <c r="L35" s="584">
        <f>MASTER!$F$14</f>
        <v>1130</v>
      </c>
      <c r="M35" s="591" t="s">
        <v>78</v>
      </c>
      <c r="N35" s="592">
        <f>MASTER!$F$12</f>
        <v>1130</v>
      </c>
      <c r="O35" s="628" t="s">
        <v>78</v>
      </c>
      <c r="P35" s="629">
        <f>MASTER!$F$10</f>
        <v>1130</v>
      </c>
      <c r="Q35" s="609" t="s">
        <v>78</v>
      </c>
      <c r="R35" s="610">
        <f>MASTER!$F$8</f>
        <v>1130</v>
      </c>
      <c r="S35" s="617" t="s">
        <v>78</v>
      </c>
      <c r="T35" s="618">
        <f>MASTER!$F$6</f>
        <v>1130</v>
      </c>
      <c r="U35" s="594" t="s">
        <v>78</v>
      </c>
      <c r="V35" s="595">
        <f>MASTER!$F$4</f>
        <v>1050</v>
      </c>
      <c r="W35" s="16"/>
      <c r="X35" s="16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18" customFormat="1" ht="13.15" customHeight="1">
      <c r="A36" s="16"/>
      <c r="B36" s="16"/>
      <c r="C36" s="880"/>
      <c r="D36" s="881"/>
      <c r="E36" s="622" t="s">
        <v>76</v>
      </c>
      <c r="F36" s="624">
        <f>MASTER!$T$20</f>
        <v>264.87515053566</v>
      </c>
      <c r="G36" s="601" t="s">
        <v>76</v>
      </c>
      <c r="H36" s="602">
        <f>MASTER!U18</f>
        <v>931.23914017229993</v>
      </c>
      <c r="I36" s="604" t="s">
        <v>76</v>
      </c>
      <c r="J36" s="606">
        <f>MASTER!$T$16</f>
        <v>985.97077247411994</v>
      </c>
      <c r="K36" s="578" t="s">
        <v>76</v>
      </c>
      <c r="L36" s="580">
        <f>MASTER!$T$14</f>
        <v>987.52952208203999</v>
      </c>
      <c r="M36" s="586" t="s">
        <v>76</v>
      </c>
      <c r="N36" s="588">
        <f>MASTER!$T$12</f>
        <v>989.00901323532003</v>
      </c>
      <c r="O36" s="630" t="s">
        <v>76</v>
      </c>
      <c r="P36" s="631">
        <f>MASTER!$T$10</f>
        <v>1115.8710961976001</v>
      </c>
      <c r="Q36" s="604" t="s">
        <v>76</v>
      </c>
      <c r="R36" s="606">
        <f>MASTER!$T$8</f>
        <v>988.32871149966002</v>
      </c>
      <c r="S36" s="619" t="s">
        <v>76</v>
      </c>
      <c r="T36" s="620">
        <f>MASTER!$T$6</f>
        <v>1168.4046543163199</v>
      </c>
      <c r="U36" s="596" t="s">
        <v>76</v>
      </c>
      <c r="V36" s="597">
        <f>MASTER!$T$4</f>
        <v>567.40393802196002</v>
      </c>
      <c r="W36" s="16"/>
      <c r="X36" s="16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18" customFormat="1" ht="13.15" customHeight="1">
      <c r="A37" s="16"/>
      <c r="B37" s="16"/>
      <c r="C37" s="880"/>
      <c r="D37" s="881"/>
      <c r="E37" s="622" t="s">
        <v>81</v>
      </c>
      <c r="F37" s="625">
        <f>MASTER!$J$20</f>
        <v>360.92700000000002</v>
      </c>
      <c r="G37" s="601" t="s">
        <v>81</v>
      </c>
      <c r="H37" s="602">
        <f>MASTER!$J$18</f>
        <v>1268.9349999999999</v>
      </c>
      <c r="I37" s="604" t="s">
        <v>81</v>
      </c>
      <c r="J37" s="606">
        <f>MASTER!$J$16</f>
        <v>1343.5139999999999</v>
      </c>
      <c r="K37" s="578" t="s">
        <v>81</v>
      </c>
      <c r="L37" s="580">
        <f>MASTER!$J$14</f>
        <v>1345.6379999999999</v>
      </c>
      <c r="M37" s="586" t="s">
        <v>81</v>
      </c>
      <c r="N37" s="588">
        <f>MASTER!$J$12</f>
        <v>1347.654</v>
      </c>
      <c r="O37" s="630" t="s">
        <v>81</v>
      </c>
      <c r="P37" s="631">
        <f>MASTER!$J$10</f>
        <v>1345.4960000000001</v>
      </c>
      <c r="Q37" s="604" t="s">
        <v>81</v>
      </c>
      <c r="R37" s="606">
        <f>MASTER!$J$8</f>
        <v>1346.7270000000001</v>
      </c>
      <c r="S37" s="619" t="s">
        <v>81</v>
      </c>
      <c r="T37" s="620">
        <f>MASTER!$J$6</f>
        <v>1592.104</v>
      </c>
      <c r="U37" s="596" t="s">
        <v>81</v>
      </c>
      <c r="V37" s="597">
        <f>MASTER!$J$4</f>
        <v>773.16200000000003</v>
      </c>
      <c r="W37" s="16"/>
      <c r="X37" s="16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18" customFormat="1" ht="13.15" customHeight="1" thickBot="1">
      <c r="A38" s="16"/>
      <c r="B38" s="16"/>
      <c r="C38" s="880"/>
      <c r="D38" s="881"/>
      <c r="E38" s="622" t="s">
        <v>79</v>
      </c>
      <c r="F38" s="625">
        <f>MASTER!I20</f>
        <v>90.550487716763016</v>
      </c>
      <c r="G38" s="601" t="s">
        <v>79</v>
      </c>
      <c r="H38" s="603">
        <v>97.8</v>
      </c>
      <c r="I38" s="604" t="s">
        <v>79</v>
      </c>
      <c r="J38" s="611">
        <v>97.8</v>
      </c>
      <c r="K38" s="578" t="s">
        <v>79</v>
      </c>
      <c r="L38" s="585">
        <v>97.8</v>
      </c>
      <c r="M38" s="586" t="s">
        <v>79</v>
      </c>
      <c r="N38" s="593">
        <v>97.8</v>
      </c>
      <c r="O38" s="630" t="s">
        <v>79</v>
      </c>
      <c r="P38" s="632">
        <v>97.8</v>
      </c>
      <c r="Q38" s="604" t="s">
        <v>79</v>
      </c>
      <c r="R38" s="611">
        <v>97.8</v>
      </c>
      <c r="S38" s="619" t="s">
        <v>79</v>
      </c>
      <c r="T38" s="621">
        <v>97.8</v>
      </c>
      <c r="U38" s="596" t="s">
        <v>79</v>
      </c>
      <c r="V38" s="598">
        <v>97.8</v>
      </c>
      <c r="W38" s="16"/>
      <c r="X38" s="16"/>
    </row>
    <row r="39" spans="1:39" s="20" customFormat="1" ht="13.15" customHeight="1" thickBot="1">
      <c r="A39" s="19"/>
      <c r="B39" s="19"/>
      <c r="C39" s="882"/>
      <c r="D39" s="883"/>
      <c r="E39" s="870" t="s">
        <v>80</v>
      </c>
      <c r="F39" s="871"/>
      <c r="G39" s="868" t="s">
        <v>19</v>
      </c>
      <c r="H39" s="869"/>
      <c r="I39" s="895" t="s">
        <v>17</v>
      </c>
      <c r="J39" s="896"/>
      <c r="K39" s="893" t="s">
        <v>15</v>
      </c>
      <c r="L39" s="894"/>
      <c r="M39" s="903" t="s">
        <v>13</v>
      </c>
      <c r="N39" s="904"/>
      <c r="O39" s="901" t="s">
        <v>11</v>
      </c>
      <c r="P39" s="902"/>
      <c r="Q39" s="895" t="s">
        <v>9</v>
      </c>
      <c r="R39" s="896"/>
      <c r="S39" s="899" t="s">
        <v>7</v>
      </c>
      <c r="T39" s="900"/>
      <c r="U39" s="897" t="s">
        <v>5</v>
      </c>
      <c r="V39" s="898"/>
      <c r="W39" s="24"/>
      <c r="X39" s="19"/>
    </row>
    <row r="40" spans="1:39" ht="14.45" customHeight="1" thickTop="1">
      <c r="A40"/>
      <c r="B40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4"/>
      <c r="P40" s="14"/>
      <c r="Q40" s="11"/>
      <c r="R40" s="11"/>
      <c r="S40" s="11"/>
      <c r="T40" s="11"/>
      <c r="U40" s="15"/>
      <c r="V40" s="15"/>
      <c r="W40"/>
      <c r="X40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s="2" customFormat="1" ht="10.15">
      <c r="C41" s="7"/>
      <c r="D41" s="6"/>
      <c r="E41" s="10"/>
      <c r="F41" s="9"/>
      <c r="G41" s="8"/>
      <c r="H41" s="9"/>
      <c r="I41" s="8"/>
      <c r="J41" s="9"/>
      <c r="K41" s="8"/>
      <c r="L41" s="9"/>
      <c r="P41" s="6"/>
      <c r="R41" s="6"/>
    </row>
    <row r="42" spans="1:39" s="2" customFormat="1" ht="10.15">
      <c r="B42" s="6"/>
      <c r="D42" s="6"/>
      <c r="E42" s="6"/>
      <c r="G42" s="6"/>
      <c r="I42" s="6"/>
      <c r="K42" s="6"/>
      <c r="P42" s="6"/>
      <c r="R42" s="6"/>
    </row>
    <row r="43" spans="1:39" s="2" customFormat="1" ht="10.15">
      <c r="C43" s="7"/>
      <c r="D43" s="6"/>
      <c r="E43" s="10"/>
      <c r="F43" s="9"/>
      <c r="G43" s="8"/>
      <c r="H43" s="9"/>
      <c r="I43" s="8"/>
      <c r="J43" s="9"/>
      <c r="K43" s="8"/>
      <c r="L43" s="9"/>
      <c r="M43" s="6"/>
      <c r="N43" s="9"/>
      <c r="O43" s="9"/>
      <c r="S43" s="6"/>
      <c r="T43" s="9"/>
    </row>
    <row r="44" spans="1:39" s="2" customFormat="1" ht="10.15"/>
    <row r="45" spans="1:39" s="2" customFormat="1" ht="10.15"/>
    <row r="46" spans="1:39" s="2" customFormat="1" ht="10.15"/>
    <row r="47" spans="1:39" s="2" customFormat="1" ht="10.15"/>
    <row r="48" spans="1:39" s="2" customFormat="1" ht="10.15">
      <c r="S48" s="9"/>
      <c r="T48" s="9"/>
      <c r="U48" s="9"/>
    </row>
    <row r="49" s="2" customFormat="1" ht="10.15"/>
    <row r="50" s="2" customFormat="1" ht="10.15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</sheetData>
  <sheetProtection selectLockedCells="1"/>
  <mergeCells count="113">
    <mergeCell ref="U27:V27"/>
    <mergeCell ref="M22:N22"/>
    <mergeCell ref="O22:P22"/>
    <mergeCell ref="Q22:R22"/>
    <mergeCell ref="S22:T22"/>
    <mergeCell ref="U22:V22"/>
    <mergeCell ref="G27:H27"/>
    <mergeCell ref="K22:L22"/>
    <mergeCell ref="O27:P27"/>
    <mergeCell ref="Q21:R21"/>
    <mergeCell ref="B5:C5"/>
    <mergeCell ref="T5:U5"/>
    <mergeCell ref="P13:Q13"/>
    <mergeCell ref="D9:E9"/>
    <mergeCell ref="F9:G9"/>
    <mergeCell ref="D10:E10"/>
    <mergeCell ref="F10:G10"/>
    <mergeCell ref="D12:E12"/>
    <mergeCell ref="F12:G12"/>
    <mergeCell ref="D13:E13"/>
    <mergeCell ref="F13:G13"/>
    <mergeCell ref="H13:I13"/>
    <mergeCell ref="J18:L18"/>
    <mergeCell ref="H10:I10"/>
    <mergeCell ref="D11:E11"/>
    <mergeCell ref="S21:T21"/>
    <mergeCell ref="B10:C10"/>
    <mergeCell ref="U21:V21"/>
    <mergeCell ref="B17:C17"/>
    <mergeCell ref="B18:C18"/>
    <mergeCell ref="D17:E17"/>
    <mergeCell ref="B12:C12"/>
    <mergeCell ref="E21:F21"/>
    <mergeCell ref="A1:Y1"/>
    <mergeCell ref="P10:Q10"/>
    <mergeCell ref="P12:Q12"/>
    <mergeCell ref="B16:C16"/>
    <mergeCell ref="D16:E16"/>
    <mergeCell ref="F16:G16"/>
    <mergeCell ref="H16:I16"/>
    <mergeCell ref="B15:C15"/>
    <mergeCell ref="D15:E15"/>
    <mergeCell ref="F15:G15"/>
    <mergeCell ref="H15:I15"/>
    <mergeCell ref="B14:C14"/>
    <mergeCell ref="D14:E14"/>
    <mergeCell ref="F14:G14"/>
    <mergeCell ref="H14:I14"/>
    <mergeCell ref="J11:L11"/>
    <mergeCell ref="B13:C13"/>
    <mergeCell ref="J12:L12"/>
    <mergeCell ref="J13:L13"/>
    <mergeCell ref="F11:G11"/>
    <mergeCell ref="B9:C9"/>
    <mergeCell ref="V5:W5"/>
    <mergeCell ref="B11:C11"/>
    <mergeCell ref="O34:P34"/>
    <mergeCell ref="M34:N34"/>
    <mergeCell ref="K34:L34"/>
    <mergeCell ref="I34:J34"/>
    <mergeCell ref="G34:H34"/>
    <mergeCell ref="E34:F34"/>
    <mergeCell ref="G22:H22"/>
    <mergeCell ref="E22:F22"/>
    <mergeCell ref="I33:J33"/>
    <mergeCell ref="I27:J27"/>
    <mergeCell ref="K27:L27"/>
    <mergeCell ref="K33:L33"/>
    <mergeCell ref="M33:N33"/>
    <mergeCell ref="M27:N27"/>
    <mergeCell ref="G21:H21"/>
    <mergeCell ref="I21:J21"/>
    <mergeCell ref="K21:L21"/>
    <mergeCell ref="O21:P21"/>
    <mergeCell ref="M21:N21"/>
    <mergeCell ref="H9:I9"/>
    <mergeCell ref="J9:L9"/>
    <mergeCell ref="H17:I17"/>
    <mergeCell ref="H18:I18"/>
    <mergeCell ref="D18:E18"/>
    <mergeCell ref="J15:L15"/>
    <mergeCell ref="J16:L16"/>
    <mergeCell ref="J17:L17"/>
    <mergeCell ref="J10:L10"/>
    <mergeCell ref="J14:L14"/>
    <mergeCell ref="H12:I12"/>
    <mergeCell ref="H11:I11"/>
    <mergeCell ref="F17:G17"/>
    <mergeCell ref="F18:G18"/>
    <mergeCell ref="G39:H39"/>
    <mergeCell ref="E39:F39"/>
    <mergeCell ref="E33:F33"/>
    <mergeCell ref="E27:F27"/>
    <mergeCell ref="G33:H33"/>
    <mergeCell ref="C21:D39"/>
    <mergeCell ref="F3:R4"/>
    <mergeCell ref="U34:V34"/>
    <mergeCell ref="S34:T34"/>
    <mergeCell ref="Q34:R34"/>
    <mergeCell ref="I22:J22"/>
    <mergeCell ref="K39:L39"/>
    <mergeCell ref="I39:J39"/>
    <mergeCell ref="U39:V39"/>
    <mergeCell ref="S39:T39"/>
    <mergeCell ref="Q39:R39"/>
    <mergeCell ref="O39:P39"/>
    <mergeCell ref="M39:N39"/>
    <mergeCell ref="Q33:R33"/>
    <mergeCell ref="Q27:R27"/>
    <mergeCell ref="S33:T33"/>
    <mergeCell ref="S27:T27"/>
    <mergeCell ref="U33:V33"/>
    <mergeCell ref="O33:P33"/>
  </mergeCells>
  <pageMargins left="0.59055118110236227" right="0" top="0.74803149606299213" bottom="0.74803149606299213" header="0.31496062992125984" footer="0.31496062992125984"/>
  <pageSetup paperSize="9" scale="8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K26"/>
  <sheetViews>
    <sheetView workbookViewId="0">
      <selection activeCell="B3" sqref="A1:B9"/>
    </sheetView>
  </sheetViews>
  <sheetFormatPr defaultColWidth="8.75" defaultRowHeight="13.5"/>
  <cols>
    <col min="1" max="2" width="25.625" customWidth="1"/>
    <col min="3" max="3" width="2.375" customWidth="1"/>
    <col min="4" max="5" width="25.625" customWidth="1"/>
    <col min="6" max="6" width="2.125" customWidth="1"/>
    <col min="7" max="8" width="25.625" customWidth="1"/>
    <col min="9" max="9" width="2.375" customWidth="1"/>
    <col min="10" max="11" width="25.625" customWidth="1"/>
  </cols>
  <sheetData>
    <row r="1" spans="1:11">
      <c r="A1" s="1056" t="str">
        <f>MASTER!AA3 &amp; " " &amp; MASTER!Y3</f>
        <v>IKMAL-1 TUPRAS MERSIN BENZIN KB-95</v>
      </c>
      <c r="B1" s="1057"/>
      <c r="D1" s="1056" t="str">
        <f>MASTER!AA4 &amp; " " &amp; MASTER!Y4</f>
        <v>DAP-1 OPET MERSIN BENZIN KB-95</v>
      </c>
      <c r="E1" s="1057"/>
      <c r="G1" s="1056" t="str">
        <f>MASTER!AA5 &amp; " " &amp; MASTER!Y5</f>
        <v>DAP-2 SHELL MERSIN BENZIN KB-95</v>
      </c>
      <c r="H1" s="1057"/>
      <c r="J1" s="1056" t="str">
        <f>MASTER!AA6 &amp; " " &amp; MASTER!Y6</f>
        <v>DAP-3 POAS MERSIN BENZIN KB-95</v>
      </c>
      <c r="K1" s="1057"/>
    </row>
    <row r="2" spans="1:11">
      <c r="A2" s="480" t="s">
        <v>166</v>
      </c>
      <c r="B2" s="481" t="s">
        <v>167</v>
      </c>
      <c r="D2" s="480" t="s">
        <v>166</v>
      </c>
      <c r="E2" s="481" t="s">
        <v>167</v>
      </c>
      <c r="G2" s="480" t="s">
        <v>166</v>
      </c>
      <c r="H2" s="481" t="s">
        <v>167</v>
      </c>
      <c r="J2" s="480" t="s">
        <v>166</v>
      </c>
      <c r="K2" s="481" t="s">
        <v>167</v>
      </c>
    </row>
    <row r="3" spans="1:11" ht="13.9">
      <c r="A3" s="482" t="s">
        <v>168</v>
      </c>
      <c r="B3" s="514"/>
      <c r="D3" s="482" t="s">
        <v>168</v>
      </c>
      <c r="E3" s="514"/>
      <c r="G3" s="482" t="s">
        <v>168</v>
      </c>
      <c r="H3" s="514"/>
      <c r="J3" s="482" t="s">
        <v>168</v>
      </c>
      <c r="K3" s="514"/>
    </row>
    <row r="4" spans="1:11" ht="13.9">
      <c r="A4" s="482" t="s">
        <v>169</v>
      </c>
      <c r="B4" s="479">
        <f>MASTER!$AH$3</f>
        <v>2545.37939976696</v>
      </c>
      <c r="D4" s="482" t="s">
        <v>169</v>
      </c>
      <c r="E4" s="479">
        <f>MASTER!AH4</f>
        <v>2545.2128102372999</v>
      </c>
      <c r="G4" s="482" t="s">
        <v>169</v>
      </c>
      <c r="H4" s="479">
        <f>MASTER!AH5</f>
        <v>3949.5163111725597</v>
      </c>
      <c r="J4" s="482" t="s">
        <v>169</v>
      </c>
      <c r="K4" s="479">
        <f>MASTER!AH6</f>
        <v>931.23914017229993</v>
      </c>
    </row>
    <row r="5" spans="1:11" ht="13.9">
      <c r="A5" s="482" t="s">
        <v>170</v>
      </c>
      <c r="B5" s="483">
        <f>B4-B3</f>
        <v>2545.37939976696</v>
      </c>
      <c r="D5" s="482" t="s">
        <v>170</v>
      </c>
      <c r="E5" s="483">
        <f>E4-E3</f>
        <v>2545.2128102372999</v>
      </c>
      <c r="G5" s="482" t="s">
        <v>170</v>
      </c>
      <c r="H5" s="483">
        <f>H4-H3</f>
        <v>3949.5163111725597</v>
      </c>
      <c r="J5" s="482" t="s">
        <v>170</v>
      </c>
      <c r="K5" s="483">
        <f>K4-K3</f>
        <v>931.23914017229993</v>
      </c>
    </row>
    <row r="6" spans="1:11">
      <c r="A6" s="484" t="s">
        <v>171</v>
      </c>
      <c r="B6" s="479" t="e">
        <f>B5/B3*1000</f>
        <v>#DIV/0!</v>
      </c>
      <c r="D6" s="484" t="s">
        <v>171</v>
      </c>
      <c r="E6" s="479" t="e">
        <f>E5/E3*1000</f>
        <v>#DIV/0!</v>
      </c>
      <c r="G6" s="484" t="s">
        <v>171</v>
      </c>
      <c r="H6" s="479" t="e">
        <f>H5/H3*1000</f>
        <v>#DIV/0!</v>
      </c>
      <c r="J6" s="484" t="s">
        <v>171</v>
      </c>
      <c r="K6" s="479" t="e">
        <f>K5/K3*1000</f>
        <v>#DIV/0!</v>
      </c>
    </row>
    <row r="7" spans="1:11" ht="14.25">
      <c r="A7" s="482" t="s">
        <v>172</v>
      </c>
      <c r="B7" s="485">
        <f>B4/MASTER!P22</f>
        <v>2547.4173336338672</v>
      </c>
      <c r="D7" s="482" t="s">
        <v>172</v>
      </c>
      <c r="E7" s="485">
        <f>E4/MASTER!P22</f>
        <v>2547.2506107258805</v>
      </c>
      <c r="G7" s="482" t="s">
        <v>172</v>
      </c>
      <c r="H7" s="485">
        <f>H4/MASTER!P22</f>
        <v>3952.6784539357081</v>
      </c>
      <c r="J7" s="482" t="s">
        <v>172</v>
      </c>
      <c r="K7" s="485">
        <f>K4/MASTER!P22</f>
        <v>931.98472795466364</v>
      </c>
    </row>
    <row r="8" spans="1:11" ht="13.9">
      <c r="A8" s="482" t="s">
        <v>173</v>
      </c>
      <c r="B8" s="483">
        <f>B7-B3</f>
        <v>2547.4173336338672</v>
      </c>
      <c r="D8" s="482" t="s">
        <v>173</v>
      </c>
      <c r="E8" s="483">
        <f>E7-E3</f>
        <v>2547.2506107258805</v>
      </c>
      <c r="G8" s="482" t="s">
        <v>173</v>
      </c>
      <c r="H8" s="483">
        <f>H7-H3</f>
        <v>3952.6784539357081</v>
      </c>
      <c r="J8" s="482" t="s">
        <v>173</v>
      </c>
      <c r="K8" s="483">
        <f>K7-K3</f>
        <v>931.98472795466364</v>
      </c>
    </row>
    <row r="9" spans="1:11">
      <c r="A9" s="484" t="s">
        <v>174</v>
      </c>
      <c r="B9" s="479" t="e">
        <f>B8/B3*1000</f>
        <v>#DIV/0!</v>
      </c>
      <c r="D9" s="484" t="s">
        <v>174</v>
      </c>
      <c r="E9" s="479" t="e">
        <f>E8/E3*1000</f>
        <v>#DIV/0!</v>
      </c>
      <c r="G9" s="484" t="s">
        <v>174</v>
      </c>
      <c r="H9" s="479" t="e">
        <f>H8/H3*1000</f>
        <v>#DIV/0!</v>
      </c>
      <c r="J9" s="484" t="s">
        <v>174</v>
      </c>
      <c r="K9" s="479" t="e">
        <f>K8/K3*1000</f>
        <v>#DIV/0!</v>
      </c>
    </row>
    <row r="12" spans="1:11">
      <c r="A12" s="1056" t="str">
        <f>MASTER!AA7 &amp; " " &amp; MASTER!Y7</f>
        <v>DAP-4 OPET ANTALYA BENZIN KB-95</v>
      </c>
      <c r="B12" s="1057"/>
      <c r="D12" s="1056" t="str">
        <f>MASTER!AA8 &amp; " " &amp; MASTER!Y8</f>
        <v>DAP-5 SHELL ANTALYA BENZIN KB-95</v>
      </c>
      <c r="E12" s="1057"/>
      <c r="G12" s="1056" t="str">
        <f>MASTER!AA9 &amp; " " &amp; MASTER!Y9</f>
        <v>DAP-6 POAS ANTALYA BENZIN KB-95</v>
      </c>
      <c r="H12" s="1057"/>
    </row>
    <row r="13" spans="1:11">
      <c r="A13" s="480" t="s">
        <v>166</v>
      </c>
      <c r="B13" s="481" t="s">
        <v>167</v>
      </c>
      <c r="D13" s="480" t="s">
        <v>166</v>
      </c>
      <c r="E13" s="481" t="s">
        <v>167</v>
      </c>
      <c r="G13" s="480" t="s">
        <v>166</v>
      </c>
      <c r="H13" s="481" t="s">
        <v>167</v>
      </c>
    </row>
    <row r="14" spans="1:11" ht="13.9">
      <c r="A14" s="482" t="s">
        <v>168</v>
      </c>
      <c r="B14" s="514"/>
      <c r="D14" s="482" t="s">
        <v>168</v>
      </c>
      <c r="E14" s="514">
        <v>1096.271</v>
      </c>
      <c r="G14" s="482" t="s">
        <v>168</v>
      </c>
      <c r="H14" s="514">
        <v>3209.527</v>
      </c>
    </row>
    <row r="15" spans="1:11" ht="13.9">
      <c r="A15" s="482" t="s">
        <v>169</v>
      </c>
      <c r="B15" s="479">
        <f>MASTER!AH7</f>
        <v>988.34925998790015</v>
      </c>
      <c r="D15" s="482" t="s">
        <v>169</v>
      </c>
      <c r="E15" s="479">
        <f>MASTER!AH8</f>
        <v>1194.6744287819999</v>
      </c>
      <c r="G15" s="482" t="s">
        <v>169</v>
      </c>
      <c r="H15" s="479">
        <f>MASTER!AH9</f>
        <v>1168.4046543163199</v>
      </c>
    </row>
    <row r="16" spans="1:11" ht="13.9">
      <c r="A16" s="482" t="s">
        <v>170</v>
      </c>
      <c r="B16" s="483">
        <f>B15-B14</f>
        <v>988.34925998790015</v>
      </c>
      <c r="D16" s="482" t="s">
        <v>170</v>
      </c>
      <c r="E16" s="483">
        <f>E15-E14</f>
        <v>98.403428781999992</v>
      </c>
      <c r="G16" s="482" t="s">
        <v>170</v>
      </c>
      <c r="H16" s="483">
        <f>H15-H14</f>
        <v>-2041.1223456836801</v>
      </c>
    </row>
    <row r="17" spans="1:11">
      <c r="A17" s="484" t="s">
        <v>171</v>
      </c>
      <c r="B17" s="479" t="e">
        <f>B16/B14*1000</f>
        <v>#DIV/0!</v>
      </c>
      <c r="D17" s="484" t="s">
        <v>171</v>
      </c>
      <c r="E17" s="479">
        <f>E16/E14*1000</f>
        <v>89.761955558433996</v>
      </c>
      <c r="G17" s="484" t="s">
        <v>171</v>
      </c>
      <c r="H17" s="479">
        <f>H16/H14*1000</f>
        <v>-635.9573686975308</v>
      </c>
    </row>
    <row r="18" spans="1:11" ht="14.25">
      <c r="A18" s="482" t="s">
        <v>172</v>
      </c>
      <c r="B18" s="485">
        <f>B15/MASTER!P22</f>
        <v>989.14057244585683</v>
      </c>
      <c r="D18" s="482" t="s">
        <v>172</v>
      </c>
      <c r="E18" s="485">
        <f>E15/MASTER!P22</f>
        <v>1195.6309335288231</v>
      </c>
      <c r="G18" s="482" t="s">
        <v>172</v>
      </c>
      <c r="H18" s="485">
        <f>H15/MASTER!P22</f>
        <v>1169.3401264174538</v>
      </c>
    </row>
    <row r="19" spans="1:11" ht="13.9">
      <c r="A19" s="482" t="s">
        <v>173</v>
      </c>
      <c r="B19" s="483">
        <f>B18-B14</f>
        <v>989.14057244585683</v>
      </c>
      <c r="D19" s="482" t="s">
        <v>173</v>
      </c>
      <c r="E19" s="483">
        <f>E18-E14</f>
        <v>99.359933528823149</v>
      </c>
      <c r="G19" s="482" t="s">
        <v>173</v>
      </c>
      <c r="H19" s="483">
        <f>H18-H14</f>
        <v>-2040.1868735825462</v>
      </c>
    </row>
    <row r="20" spans="1:11">
      <c r="A20" s="484" t="s">
        <v>174</v>
      </c>
      <c r="B20" s="479" t="e">
        <f>B19/B14*1000</f>
        <v>#DIV/0!</v>
      </c>
      <c r="D20" s="484" t="s">
        <v>174</v>
      </c>
      <c r="E20" s="479">
        <f>E19/E14*1000</f>
        <v>90.634463128937227</v>
      </c>
      <c r="G20" s="484" t="s">
        <v>174</v>
      </c>
      <c r="H20" s="479">
        <f>H19/H14*1000</f>
        <v>-635.66590141866584</v>
      </c>
    </row>
    <row r="23" spans="1:11">
      <c r="A23" s="1055" t="s">
        <v>258</v>
      </c>
      <c r="B23" s="1055"/>
      <c r="C23" s="1055"/>
      <c r="D23" s="1055"/>
      <c r="E23" s="1055"/>
      <c r="F23" s="1055"/>
      <c r="G23" s="1055"/>
      <c r="H23" s="1055"/>
      <c r="I23" s="1055"/>
      <c r="J23" s="1055"/>
      <c r="K23" s="1055"/>
    </row>
    <row r="24" spans="1:11">
      <c r="A24" s="1055"/>
      <c r="B24" s="1055"/>
      <c r="C24" s="1055"/>
      <c r="D24" s="1055"/>
      <c r="E24" s="1055"/>
      <c r="F24" s="1055"/>
      <c r="G24" s="1055"/>
      <c r="H24" s="1055"/>
      <c r="I24" s="1055"/>
      <c r="J24" s="1055"/>
      <c r="K24" s="1055"/>
    </row>
    <row r="25" spans="1:11">
      <c r="A25" s="1055"/>
      <c r="B25" s="1055"/>
      <c r="C25" s="1055"/>
      <c r="D25" s="1055"/>
      <c r="E25" s="1055"/>
      <c r="F25" s="1055"/>
      <c r="G25" s="1055"/>
      <c r="H25" s="1055"/>
      <c r="I25" s="1055"/>
      <c r="J25" s="1055"/>
      <c r="K25" s="1055"/>
    </row>
    <row r="26" spans="1:11">
      <c r="A26" s="1055"/>
      <c r="B26" s="1055"/>
      <c r="C26" s="1055"/>
      <c r="D26" s="1055"/>
      <c r="E26" s="1055"/>
      <c r="F26" s="1055"/>
      <c r="G26" s="1055"/>
      <c r="H26" s="1055"/>
      <c r="I26" s="1055"/>
      <c r="J26" s="1055"/>
      <c r="K26" s="1055"/>
    </row>
  </sheetData>
  <sheetProtection algorithmName="SHA-512" hashValue="145vDZUEWxADFqFJK425VhxNZ6G7BlV/VtodJeuKtahdJEQnEkhasN71Ye3iASzIN47p8KngzfjFxjCRjVer5w==" saltValue="xy/uvSK+klDTkr1XWZEPwg==" spinCount="100000" sheet="1" objects="1" scenarios="1"/>
  <mergeCells count="8">
    <mergeCell ref="A23:K26"/>
    <mergeCell ref="A1:B1"/>
    <mergeCell ref="D1:E1"/>
    <mergeCell ref="G1:H1"/>
    <mergeCell ref="J1:K1"/>
    <mergeCell ref="A12:B12"/>
    <mergeCell ref="D12:E12"/>
    <mergeCell ref="G12:H12"/>
  </mergeCells>
  <pageMargins left="0.7" right="0.7" top="0.75" bottom="0.75" header="0.3" footer="0.3"/>
  <pageSetup paperSize="9" scale="56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4"/>
  <dimension ref="A1:Q21"/>
  <sheetViews>
    <sheetView zoomScale="130" zoomScaleNormal="130" workbookViewId="0">
      <selection activeCell="D29" sqref="D29"/>
    </sheetView>
  </sheetViews>
  <sheetFormatPr defaultColWidth="9" defaultRowHeight="14.25"/>
  <cols>
    <col min="1" max="1" width="9" style="233"/>
    <col min="2" max="2" width="3.25" style="233" customWidth="1"/>
    <col min="3" max="3" width="5.25" style="233" customWidth="1"/>
    <col min="4" max="4" width="5" style="233" customWidth="1"/>
    <col min="5" max="5" width="6.25" style="233" customWidth="1"/>
    <col min="6" max="6" width="9" style="233"/>
    <col min="7" max="7" width="3.125" style="233" customWidth="1"/>
    <col min="8" max="8" width="5.375" style="233" customWidth="1"/>
    <col min="9" max="9" width="5" style="233" customWidth="1"/>
    <col min="10" max="10" width="6" style="233" customWidth="1"/>
    <col min="11" max="11" width="9" style="233"/>
    <col min="12" max="12" width="2.75" style="233" customWidth="1"/>
    <col min="13" max="13" width="5" style="233" customWidth="1"/>
    <col min="14" max="14" width="5.875" style="233" customWidth="1"/>
    <col min="15" max="15" width="3.625" style="233" customWidth="1"/>
    <col min="16" max="16" width="8" style="233" customWidth="1"/>
    <col min="17" max="17" width="2.875" style="233" hidden="1" customWidth="1"/>
    <col min="18" max="16384" width="9" style="233"/>
  </cols>
  <sheetData>
    <row r="1" spans="1:17">
      <c r="Q1" s="542"/>
    </row>
    <row r="2" spans="1:17">
      <c r="B2" s="1064" t="s">
        <v>104</v>
      </c>
      <c r="C2" s="1065"/>
      <c r="D2" s="1066"/>
      <c r="E2" s="541" t="s">
        <v>86</v>
      </c>
      <c r="G2" s="1064" t="s">
        <v>104</v>
      </c>
      <c r="H2" s="1065"/>
      <c r="I2" s="1066"/>
      <c r="J2" s="541" t="s">
        <v>86</v>
      </c>
      <c r="L2" s="1063"/>
      <c r="M2" s="1063"/>
      <c r="N2" s="1063"/>
      <c r="O2" s="540"/>
      <c r="Q2" s="542" t="s">
        <v>271</v>
      </c>
    </row>
    <row r="3" spans="1:17">
      <c r="B3" s="1067" t="s">
        <v>286</v>
      </c>
      <c r="C3" s="1067"/>
      <c r="D3" s="1067"/>
      <c r="E3" s="539" t="str">
        <f>IF(Q4=1,"ULSD","JET-A1")</f>
        <v>JET-A1</v>
      </c>
      <c r="G3" s="1067" t="s">
        <v>287</v>
      </c>
      <c r="H3" s="1067"/>
      <c r="I3" s="1067"/>
      <c r="J3" s="539" t="str">
        <f>IF(Q5=1,"ULSD","JET-A1")</f>
        <v>JET-A1</v>
      </c>
      <c r="L3" s="1058" t="s">
        <v>284</v>
      </c>
      <c r="M3" s="1058"/>
      <c r="N3" s="1058"/>
      <c r="O3" s="1058"/>
      <c r="Q3" s="542" t="s">
        <v>283</v>
      </c>
    </row>
    <row r="4" spans="1:17">
      <c r="A4" s="543"/>
      <c r="B4" s="538" t="s">
        <v>280</v>
      </c>
      <c r="C4" s="1068">
        <v>5214.7820000000002</v>
      </c>
      <c r="D4" s="1068"/>
      <c r="E4" s="535" t="s">
        <v>76</v>
      </c>
      <c r="G4" s="538" t="s">
        <v>280</v>
      </c>
      <c r="H4" s="1068">
        <v>6781</v>
      </c>
      <c r="I4" s="1068"/>
      <c r="J4" s="535" t="s">
        <v>76</v>
      </c>
      <c r="L4" s="536" t="s">
        <v>280</v>
      </c>
      <c r="M4" s="1059">
        <f>IF(E3="JET-A1",C4,"0")+IF(J3="JET-A1",H4,"0")+IF(E11="JET-A1",C12,"0")+IF(J11="JET-A1",H12,"0")</f>
        <v>21224.792999999998</v>
      </c>
      <c r="N4" s="1059"/>
      <c r="O4" s="535" t="s">
        <v>76</v>
      </c>
      <c r="Q4" s="542">
        <v>2</v>
      </c>
    </row>
    <row r="5" spans="1:17">
      <c r="A5" s="543"/>
      <c r="B5" s="537" t="s">
        <v>279</v>
      </c>
      <c r="C5" s="1069">
        <v>5201.3370000000004</v>
      </c>
      <c r="D5" s="1069"/>
      <c r="E5" s="531" t="s">
        <v>76</v>
      </c>
      <c r="G5" s="537" t="s">
        <v>279</v>
      </c>
      <c r="H5" s="1069">
        <v>6800</v>
      </c>
      <c r="I5" s="1069"/>
      <c r="J5" s="531" t="s">
        <v>76</v>
      </c>
      <c r="L5" s="534" t="s">
        <v>279</v>
      </c>
      <c r="M5" s="1060">
        <f>IF(E3="JET-A1",C5,"0")+IF(J3="JET-A1",H5,"0")+IF(E11="JET-A1",C13,"0")+IF(J11="JET-A1",H13,"0")</f>
        <v>21206.074000000001</v>
      </c>
      <c r="N5" s="1060"/>
      <c r="O5" s="531" t="s">
        <v>76</v>
      </c>
      <c r="Q5" s="542">
        <v>2</v>
      </c>
    </row>
    <row r="6" spans="1:17">
      <c r="A6" s="543"/>
      <c r="B6" s="534" t="s">
        <v>278</v>
      </c>
      <c r="C6" s="1061">
        <f>(C5-C4)</f>
        <v>-13.444999999999709</v>
      </c>
      <c r="D6" s="1062"/>
      <c r="E6" s="531" t="s">
        <v>76</v>
      </c>
      <c r="G6" s="534" t="s">
        <v>278</v>
      </c>
      <c r="H6" s="1061">
        <f>(H5-H4)</f>
        <v>19</v>
      </c>
      <c r="I6" s="1062"/>
      <c r="J6" s="531" t="s">
        <v>76</v>
      </c>
      <c r="L6" s="534" t="s">
        <v>278</v>
      </c>
      <c r="M6" s="1061">
        <f>(M5-M4)</f>
        <v>-18.718999999997322</v>
      </c>
      <c r="N6" s="1062"/>
      <c r="O6" s="531" t="s">
        <v>76</v>
      </c>
      <c r="Q6" s="542">
        <v>2</v>
      </c>
    </row>
    <row r="7" spans="1:17">
      <c r="A7" s="543"/>
      <c r="B7" s="534" t="s">
        <v>277</v>
      </c>
      <c r="C7" s="533" t="s">
        <v>276</v>
      </c>
      <c r="D7" s="532">
        <f>(C6/C4)*1000</f>
        <v>-2.5782477580078531</v>
      </c>
      <c r="E7" s="531" t="s">
        <v>76</v>
      </c>
      <c r="G7" s="534" t="s">
        <v>277</v>
      </c>
      <c r="H7" s="533" t="s">
        <v>276</v>
      </c>
      <c r="I7" s="532">
        <f>(H6/H4)*1000</f>
        <v>2.8019466155434301</v>
      </c>
      <c r="J7" s="531" t="s">
        <v>76</v>
      </c>
      <c r="L7" s="534" t="s">
        <v>277</v>
      </c>
      <c r="M7" s="533" t="s">
        <v>276</v>
      </c>
      <c r="N7" s="532">
        <f>(M6/M4)*1000</f>
        <v>-0.88194028558946724</v>
      </c>
      <c r="O7" s="531" t="s">
        <v>76</v>
      </c>
      <c r="Q7" s="542">
        <v>1</v>
      </c>
    </row>
    <row r="10" spans="1:17">
      <c r="B10" s="1064" t="s">
        <v>104</v>
      </c>
      <c r="C10" s="1065"/>
      <c r="D10" s="1066"/>
      <c r="E10" s="541" t="s">
        <v>86</v>
      </c>
      <c r="G10" s="1064" t="s">
        <v>104</v>
      </c>
      <c r="H10" s="1065"/>
      <c r="I10" s="1066"/>
      <c r="J10" s="541" t="s">
        <v>86</v>
      </c>
      <c r="L10" s="1063"/>
      <c r="M10" s="1063"/>
      <c r="N10" s="1063"/>
      <c r="O10" s="540"/>
    </row>
    <row r="11" spans="1:17">
      <c r="B11" s="1067" t="s">
        <v>288</v>
      </c>
      <c r="C11" s="1067"/>
      <c r="D11" s="1067"/>
      <c r="E11" s="539" t="str">
        <f>IF(Q6=1,"ULSD","JET-A1")</f>
        <v>JET-A1</v>
      </c>
      <c r="G11" s="1067" t="s">
        <v>285</v>
      </c>
      <c r="H11" s="1067"/>
      <c r="I11" s="1067"/>
      <c r="J11" s="539" t="str">
        <f>IF(Q7=1,"ULSD","JET-A1")</f>
        <v>ULSD</v>
      </c>
      <c r="L11" s="1058" t="s">
        <v>282</v>
      </c>
      <c r="M11" s="1058"/>
      <c r="N11" s="1058"/>
      <c r="O11" s="1058"/>
    </row>
    <row r="12" spans="1:17">
      <c r="B12" s="538" t="s">
        <v>280</v>
      </c>
      <c r="C12" s="1068">
        <v>9229.0110000000004</v>
      </c>
      <c r="D12" s="1068"/>
      <c r="E12" s="535" t="s">
        <v>76</v>
      </c>
      <c r="G12" s="538" t="s">
        <v>280</v>
      </c>
      <c r="H12" s="1068">
        <v>4492.6350000000002</v>
      </c>
      <c r="I12" s="1068"/>
      <c r="J12" s="535" t="s">
        <v>76</v>
      </c>
      <c r="L12" s="536" t="s">
        <v>280</v>
      </c>
      <c r="M12" s="1059">
        <f>IF(E3="ULSD",C4,"0")+IF(J3="ULSD",H4,"0")+IF(E11="ULSD",C12,"0")+IF(J11="ULSD",H12,"0")</f>
        <v>4492.6350000000002</v>
      </c>
      <c r="N12" s="1059"/>
      <c r="O12" s="535" t="s">
        <v>76</v>
      </c>
    </row>
    <row r="13" spans="1:17">
      <c r="B13" s="537" t="s">
        <v>279</v>
      </c>
      <c r="C13" s="1069">
        <v>9204.7369999999992</v>
      </c>
      <c r="D13" s="1069"/>
      <c r="E13" s="531" t="s">
        <v>76</v>
      </c>
      <c r="G13" s="537" t="s">
        <v>279</v>
      </c>
      <c r="H13" s="1069">
        <v>4484.701</v>
      </c>
      <c r="I13" s="1069"/>
      <c r="J13" s="531" t="s">
        <v>76</v>
      </c>
      <c r="L13" s="534" t="s">
        <v>279</v>
      </c>
      <c r="M13" s="1060">
        <f>IF(E3="ULSD",C5,"0")+IF(J3="ULSD",H5,"0")+IF(E11="ULSD",C13,"0")+IF(J11="ULSD",H13,"0")</f>
        <v>4484.701</v>
      </c>
      <c r="N13" s="1060"/>
      <c r="O13" s="531" t="s">
        <v>76</v>
      </c>
    </row>
    <row r="14" spans="1:17">
      <c r="B14" s="534" t="s">
        <v>278</v>
      </c>
      <c r="C14" s="1061">
        <f>(C13-C12)</f>
        <v>-24.274000000001251</v>
      </c>
      <c r="D14" s="1062"/>
      <c r="E14" s="531" t="s">
        <v>76</v>
      </c>
      <c r="G14" s="534" t="s">
        <v>278</v>
      </c>
      <c r="H14" s="1061">
        <f>(H13-H12)</f>
        <v>-7.9340000000001965</v>
      </c>
      <c r="I14" s="1062"/>
      <c r="J14" s="531" t="s">
        <v>76</v>
      </c>
      <c r="L14" s="534" t="s">
        <v>278</v>
      </c>
      <c r="M14" s="1061">
        <f>(M13-M12)</f>
        <v>-7.9340000000001965</v>
      </c>
      <c r="N14" s="1062"/>
      <c r="O14" s="531" t="s">
        <v>76</v>
      </c>
    </row>
    <row r="15" spans="1:17">
      <c r="B15" s="534" t="s">
        <v>277</v>
      </c>
      <c r="C15" s="533" t="s">
        <v>276</v>
      </c>
      <c r="D15" s="532">
        <f>(C14/C12)*1000</f>
        <v>-2.6301843176913811</v>
      </c>
      <c r="E15" s="531" t="s">
        <v>76</v>
      </c>
      <c r="G15" s="534" t="s">
        <v>277</v>
      </c>
      <c r="H15" s="533" t="s">
        <v>276</v>
      </c>
      <c r="I15" s="532">
        <f>(H14/H12)*1000</f>
        <v>-1.7660014668452246</v>
      </c>
      <c r="J15" s="531" t="s">
        <v>76</v>
      </c>
      <c r="L15" s="534" t="s">
        <v>277</v>
      </c>
      <c r="M15" s="533" t="s">
        <v>276</v>
      </c>
      <c r="N15" s="532">
        <f>(M14/M12)*1000</f>
        <v>-1.7660014668452246</v>
      </c>
      <c r="O15" s="531" t="s">
        <v>76</v>
      </c>
    </row>
    <row r="17" spans="12:15">
      <c r="L17" s="1058" t="s">
        <v>281</v>
      </c>
      <c r="M17" s="1058"/>
      <c r="N17" s="1058"/>
      <c r="O17" s="1058"/>
    </row>
    <row r="18" spans="12:15">
      <c r="L18" s="536" t="s">
        <v>280</v>
      </c>
      <c r="M18" s="1059">
        <f>C4+H4+C12+H12</f>
        <v>25717.428</v>
      </c>
      <c r="N18" s="1059"/>
      <c r="O18" s="535" t="s">
        <v>76</v>
      </c>
    </row>
    <row r="19" spans="12:15">
      <c r="L19" s="534" t="s">
        <v>279</v>
      </c>
      <c r="M19" s="1060">
        <f>C5+H5+C13+H13</f>
        <v>25690.775000000001</v>
      </c>
      <c r="N19" s="1060"/>
      <c r="O19" s="531" t="s">
        <v>76</v>
      </c>
    </row>
    <row r="20" spans="12:15">
      <c r="L20" s="534" t="s">
        <v>278</v>
      </c>
      <c r="M20" s="1061">
        <f>(M19-M18)</f>
        <v>-26.652999999998428</v>
      </c>
      <c r="N20" s="1062"/>
      <c r="O20" s="531" t="s">
        <v>76</v>
      </c>
    </row>
    <row r="21" spans="12:15">
      <c r="L21" s="534" t="s">
        <v>277</v>
      </c>
      <c r="M21" s="533" t="s">
        <v>276</v>
      </c>
      <c r="N21" s="532">
        <f>(M20/M18)*1000</f>
        <v>-1.0363789100526859</v>
      </c>
      <c r="O21" s="531" t="s">
        <v>76</v>
      </c>
    </row>
  </sheetData>
  <sheetProtection algorithmName="SHA-512" hashValue="bfOYxeYzZ6+CofqG/lwDUqqgSCIelvmqnjuMHWUEoJNp0pzXSCzqsELUVLTEeA0GjWm51sNURhotlm6PR509pg==" saltValue="q3o3mNxCefXeGZekF4un6Q==" spinCount="100000" sheet="1" formatCells="0" insertHyperlinks="0" autoFilter="0" pivotTables="0"/>
  <mergeCells count="34">
    <mergeCell ref="C4:D4"/>
    <mergeCell ref="C5:D5"/>
    <mergeCell ref="C6:D6"/>
    <mergeCell ref="B3:D3"/>
    <mergeCell ref="B2:D2"/>
    <mergeCell ref="G2:I2"/>
    <mergeCell ref="G3:I3"/>
    <mergeCell ref="H4:I4"/>
    <mergeCell ref="H5:I5"/>
    <mergeCell ref="H6:I6"/>
    <mergeCell ref="B10:D10"/>
    <mergeCell ref="B11:D11"/>
    <mergeCell ref="C12:D12"/>
    <mergeCell ref="C13:D13"/>
    <mergeCell ref="C14:D14"/>
    <mergeCell ref="G10:I10"/>
    <mergeCell ref="G11:I11"/>
    <mergeCell ref="H12:I12"/>
    <mergeCell ref="H13:I13"/>
    <mergeCell ref="H14:I14"/>
    <mergeCell ref="L3:O3"/>
    <mergeCell ref="L11:O11"/>
    <mergeCell ref="L2:N2"/>
    <mergeCell ref="M4:N4"/>
    <mergeCell ref="M5:N5"/>
    <mergeCell ref="M6:N6"/>
    <mergeCell ref="L10:N10"/>
    <mergeCell ref="L17:O17"/>
    <mergeCell ref="M18:N18"/>
    <mergeCell ref="M19:N19"/>
    <mergeCell ref="M20:N20"/>
    <mergeCell ref="M12:N12"/>
    <mergeCell ref="M13:N13"/>
    <mergeCell ref="M14:N14"/>
  </mergeCells>
  <dataValidations count="1">
    <dataValidation allowBlank="1" showInputMessage="1" showErrorMessage="1" promptTitle="GRADE" sqref="K3" xr:uid="{00000000-0002-0000-0700-000000000000}"/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Drop Down 1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Drop Down 2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10</xdr:row>
                    <xdr:rowOff>0</xdr:rowOff>
                  </from>
                  <to>
                    <xdr:col>5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Drop Down 3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10</xdr:row>
                    <xdr:rowOff>0</xdr:rowOff>
                  </from>
                  <to>
                    <xdr:col>10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Drop Down 4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10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B3:D104"/>
  <sheetViews>
    <sheetView workbookViewId="0">
      <selection activeCell="C23" sqref="C23:D23"/>
    </sheetView>
  </sheetViews>
  <sheetFormatPr defaultColWidth="8.75" defaultRowHeight="13.5"/>
  <sheetData>
    <row r="3" spans="2:4" ht="13.9">
      <c r="B3" s="157" t="s">
        <v>161</v>
      </c>
      <c r="C3" s="675" t="s">
        <v>162</v>
      </c>
      <c r="D3" s="676"/>
    </row>
    <row r="4" spans="2:4">
      <c r="B4" s="158">
        <v>0</v>
      </c>
      <c r="C4" s="1070">
        <v>0.99934000000000001</v>
      </c>
      <c r="D4" s="1070"/>
    </row>
    <row r="5" spans="2:4">
      <c r="B5" s="158">
        <v>1</v>
      </c>
      <c r="C5" s="1070">
        <v>0.99937299999999996</v>
      </c>
      <c r="D5" s="1070"/>
    </row>
    <row r="6" spans="2:4">
      <c r="B6" s="158">
        <v>2</v>
      </c>
      <c r="C6" s="1070">
        <v>0.99940600000000002</v>
      </c>
      <c r="D6" s="1070"/>
    </row>
    <row r="7" spans="2:4">
      <c r="B7" s="158">
        <v>3</v>
      </c>
      <c r="C7" s="1070">
        <v>0.99943899999999997</v>
      </c>
      <c r="D7" s="1070"/>
    </row>
    <row r="8" spans="2:4">
      <c r="B8" s="158">
        <v>4</v>
      </c>
      <c r="C8" s="1070">
        <v>0.99947200000000003</v>
      </c>
      <c r="D8" s="1070"/>
    </row>
    <row r="9" spans="2:4">
      <c r="B9" s="158">
        <v>5</v>
      </c>
      <c r="C9" s="1070">
        <v>0.99950499999999998</v>
      </c>
      <c r="D9" s="1070"/>
    </row>
    <row r="10" spans="2:4">
      <c r="B10" s="158">
        <v>6</v>
      </c>
      <c r="C10" s="1070">
        <v>0.99953800000000004</v>
      </c>
      <c r="D10" s="1070"/>
    </row>
    <row r="11" spans="2:4">
      <c r="B11" s="158">
        <v>7</v>
      </c>
      <c r="C11" s="1070">
        <v>0.99957099999999999</v>
      </c>
      <c r="D11" s="1070"/>
    </row>
    <row r="12" spans="2:4">
      <c r="B12" s="158">
        <v>8</v>
      </c>
      <c r="C12" s="1070">
        <v>0.99960400000000005</v>
      </c>
      <c r="D12" s="1070"/>
    </row>
    <row r="13" spans="2:4">
      <c r="B13" s="158">
        <v>9</v>
      </c>
      <c r="C13" s="1070">
        <v>0.999637</v>
      </c>
      <c r="D13" s="1070"/>
    </row>
    <row r="14" spans="2:4">
      <c r="B14" s="158">
        <v>10</v>
      </c>
      <c r="C14" s="1070">
        <v>0.99966999999999995</v>
      </c>
      <c r="D14" s="1070"/>
    </row>
    <row r="15" spans="2:4">
      <c r="B15" s="158">
        <v>11</v>
      </c>
      <c r="C15" s="1070">
        <v>0.99970300000000001</v>
      </c>
      <c r="D15" s="1070"/>
    </row>
    <row r="16" spans="2:4">
      <c r="B16" s="158">
        <v>12</v>
      </c>
      <c r="C16" s="1070">
        <v>0.99973599999999996</v>
      </c>
      <c r="D16" s="1070"/>
    </row>
    <row r="17" spans="2:4">
      <c r="B17" s="158">
        <v>13</v>
      </c>
      <c r="C17" s="1070">
        <v>0.99976900000000002</v>
      </c>
      <c r="D17" s="1070"/>
    </row>
    <row r="18" spans="2:4">
      <c r="B18" s="158">
        <v>14</v>
      </c>
      <c r="C18" s="1070" t="s">
        <v>163</v>
      </c>
      <c r="D18" s="1070"/>
    </row>
    <row r="19" spans="2:4">
      <c r="B19" s="158">
        <v>15</v>
      </c>
      <c r="C19" s="1070">
        <v>0.99983500000000003</v>
      </c>
      <c r="D19" s="1070"/>
    </row>
    <row r="20" spans="2:4">
      <c r="B20" s="158">
        <v>16</v>
      </c>
      <c r="C20" s="1070">
        <v>0.99986799999999998</v>
      </c>
      <c r="D20" s="1070"/>
    </row>
    <row r="21" spans="2:4">
      <c r="B21" s="158">
        <v>17</v>
      </c>
      <c r="C21" s="1070">
        <v>0.99990100000000004</v>
      </c>
      <c r="D21" s="1070"/>
    </row>
    <row r="22" spans="2:4">
      <c r="B22" s="158">
        <v>18</v>
      </c>
      <c r="C22" s="1070">
        <v>0.99993399999999999</v>
      </c>
      <c r="D22" s="1070"/>
    </row>
    <row r="23" spans="2:4">
      <c r="B23" s="158">
        <v>19</v>
      </c>
      <c r="C23" s="1070">
        <v>0.99996700000000005</v>
      </c>
      <c r="D23" s="1070"/>
    </row>
    <row r="24" spans="2:4">
      <c r="B24" s="158">
        <v>20</v>
      </c>
      <c r="C24" s="1070">
        <v>1</v>
      </c>
      <c r="D24" s="1070"/>
    </row>
    <row r="25" spans="2:4">
      <c r="B25" s="158">
        <v>21</v>
      </c>
      <c r="C25" s="1070">
        <v>1.0000329999999999</v>
      </c>
      <c r="D25" s="1070"/>
    </row>
    <row r="26" spans="2:4">
      <c r="B26" s="158">
        <v>22</v>
      </c>
      <c r="C26" s="1070">
        <v>1.0000659999999999</v>
      </c>
      <c r="D26" s="1070"/>
    </row>
    <row r="27" spans="2:4">
      <c r="B27" s="158">
        <v>23</v>
      </c>
      <c r="C27" s="1070">
        <v>1.0000990000000001</v>
      </c>
      <c r="D27" s="1070"/>
    </row>
    <row r="28" spans="2:4">
      <c r="B28" s="158">
        <v>24</v>
      </c>
      <c r="C28" s="1070">
        <v>1.000132</v>
      </c>
      <c r="D28" s="1070"/>
    </row>
    <row r="29" spans="2:4">
      <c r="B29" s="158">
        <v>25</v>
      </c>
      <c r="C29" s="1070">
        <v>1.000165</v>
      </c>
      <c r="D29" s="1070"/>
    </row>
    <row r="30" spans="2:4">
      <c r="B30" s="158">
        <v>26</v>
      </c>
      <c r="C30" s="1070">
        <v>1.0001979999999999</v>
      </c>
      <c r="D30" s="1070"/>
    </row>
    <row r="31" spans="2:4">
      <c r="B31" s="158">
        <v>27</v>
      </c>
      <c r="C31" s="1070">
        <v>1.0002310000000001</v>
      </c>
      <c r="D31" s="1070"/>
    </row>
    <row r="32" spans="2:4">
      <c r="B32" s="158">
        <v>28</v>
      </c>
      <c r="C32" s="1070">
        <v>1.000264</v>
      </c>
      <c r="D32" s="1070"/>
    </row>
    <row r="33" spans="2:4">
      <c r="B33" s="158">
        <v>29</v>
      </c>
      <c r="C33" s="1070">
        <v>1.000297</v>
      </c>
      <c r="D33" s="1070"/>
    </row>
    <row r="34" spans="2:4">
      <c r="B34" s="158">
        <v>30</v>
      </c>
      <c r="C34" s="1070">
        <v>1.0003299999999999</v>
      </c>
      <c r="D34" s="1070"/>
    </row>
    <row r="35" spans="2:4">
      <c r="B35" s="158">
        <v>31</v>
      </c>
      <c r="C35" s="1070">
        <v>1.0003629999999999</v>
      </c>
      <c r="D35" s="1070"/>
    </row>
    <row r="36" spans="2:4">
      <c r="B36" s="158">
        <v>32</v>
      </c>
      <c r="C36" s="1070">
        <v>1.0003960000000001</v>
      </c>
      <c r="D36" s="1070"/>
    </row>
    <row r="37" spans="2:4">
      <c r="B37" s="158">
        <v>33</v>
      </c>
      <c r="C37" s="1070">
        <v>1.000429</v>
      </c>
      <c r="D37" s="1070"/>
    </row>
    <row r="38" spans="2:4">
      <c r="B38" s="158">
        <v>34</v>
      </c>
      <c r="C38" s="1070">
        <v>1.000462</v>
      </c>
      <c r="D38" s="1070"/>
    </row>
    <row r="39" spans="2:4">
      <c r="B39" s="158">
        <v>35</v>
      </c>
      <c r="C39" s="1070">
        <v>1.0004949999999999</v>
      </c>
      <c r="D39" s="1070"/>
    </row>
    <row r="40" spans="2:4">
      <c r="B40" s="158">
        <v>36</v>
      </c>
      <c r="C40" s="1070">
        <v>1.0005280000000001</v>
      </c>
      <c r="D40" s="1070"/>
    </row>
    <row r="41" spans="2:4">
      <c r="B41" s="158">
        <v>37</v>
      </c>
      <c r="C41" s="1070">
        <v>1.000561</v>
      </c>
      <c r="D41" s="1070"/>
    </row>
    <row r="42" spans="2:4">
      <c r="B42" s="158">
        <v>38</v>
      </c>
      <c r="C42" s="1070">
        <v>1.000594</v>
      </c>
      <c r="D42" s="1070"/>
    </row>
    <row r="43" spans="2:4">
      <c r="B43" s="158">
        <v>39</v>
      </c>
      <c r="C43" s="1070">
        <v>1.0006269999999999</v>
      </c>
      <c r="D43" s="1070"/>
    </row>
    <row r="44" spans="2:4">
      <c r="B44" s="158">
        <v>40</v>
      </c>
      <c r="C44" s="1070">
        <v>1.0006600000000001</v>
      </c>
      <c r="D44" s="1070"/>
    </row>
    <row r="45" spans="2:4">
      <c r="B45" s="158">
        <v>41</v>
      </c>
      <c r="C45" s="1070">
        <v>1.0006930000000001</v>
      </c>
      <c r="D45" s="1070"/>
    </row>
    <row r="46" spans="2:4">
      <c r="B46" s="158">
        <v>42</v>
      </c>
      <c r="C46" s="1070">
        <v>1.000726</v>
      </c>
      <c r="D46" s="1070"/>
    </row>
    <row r="47" spans="2:4">
      <c r="B47" s="158">
        <v>43</v>
      </c>
      <c r="C47" s="1070">
        <v>1.000759</v>
      </c>
      <c r="D47" s="1070"/>
    </row>
    <row r="48" spans="2:4">
      <c r="B48" s="158">
        <v>44</v>
      </c>
      <c r="C48" s="1070">
        <v>1.0007919999999999</v>
      </c>
      <c r="D48" s="1070"/>
    </row>
    <row r="49" spans="2:4">
      <c r="B49" s="158">
        <v>45</v>
      </c>
      <c r="C49" s="1070">
        <v>1.0008250000000001</v>
      </c>
      <c r="D49" s="1070"/>
    </row>
    <row r="50" spans="2:4">
      <c r="B50" s="158">
        <v>46</v>
      </c>
      <c r="C50" s="1070">
        <v>1.000858</v>
      </c>
      <c r="D50" s="1070"/>
    </row>
    <row r="51" spans="2:4">
      <c r="B51" s="158">
        <v>47</v>
      </c>
      <c r="C51" s="1070">
        <v>1.000891</v>
      </c>
      <c r="D51" s="1070"/>
    </row>
    <row r="52" spans="2:4">
      <c r="B52" s="158">
        <v>48</v>
      </c>
      <c r="C52" s="1070">
        <v>1.0009239999999999</v>
      </c>
      <c r="D52" s="1070"/>
    </row>
    <row r="53" spans="2:4">
      <c r="B53" s="158">
        <v>49</v>
      </c>
      <c r="C53" s="1070">
        <v>1.0009570000000001</v>
      </c>
      <c r="D53" s="1070"/>
    </row>
    <row r="54" spans="2:4">
      <c r="B54" s="158">
        <v>50</v>
      </c>
      <c r="C54" s="1070">
        <v>1.00099</v>
      </c>
      <c r="D54" s="1070"/>
    </row>
    <row r="55" spans="2:4">
      <c r="B55" s="158">
        <v>51</v>
      </c>
      <c r="C55" s="1070">
        <v>1.001023</v>
      </c>
      <c r="D55" s="1070"/>
    </row>
    <row r="56" spans="2:4">
      <c r="B56" s="158">
        <v>52</v>
      </c>
      <c r="C56" s="1070">
        <v>1.0010559999999999</v>
      </c>
      <c r="D56" s="1070"/>
    </row>
    <row r="57" spans="2:4">
      <c r="B57" s="158">
        <v>53</v>
      </c>
      <c r="C57" s="1070">
        <v>1.0010889999999999</v>
      </c>
      <c r="D57" s="1070"/>
    </row>
    <row r="58" spans="2:4">
      <c r="B58" s="158">
        <v>54</v>
      </c>
      <c r="C58" s="1070">
        <v>1.0011220000000001</v>
      </c>
      <c r="D58" s="1070"/>
    </row>
    <row r="59" spans="2:4">
      <c r="B59" s="158">
        <v>55</v>
      </c>
      <c r="C59" s="1070">
        <v>1.001155</v>
      </c>
      <c r="D59" s="1070"/>
    </row>
    <row r="60" spans="2:4">
      <c r="B60" s="158">
        <v>56</v>
      </c>
      <c r="C60" s="1070">
        <v>1.001188</v>
      </c>
      <c r="D60" s="1070"/>
    </row>
    <row r="61" spans="2:4">
      <c r="B61" s="158">
        <v>57</v>
      </c>
      <c r="C61" s="1070">
        <v>1.0012209999999999</v>
      </c>
      <c r="D61" s="1070"/>
    </row>
    <row r="62" spans="2:4">
      <c r="B62" s="158">
        <v>58</v>
      </c>
      <c r="C62" s="1070">
        <v>1.001255</v>
      </c>
      <c r="D62" s="1070"/>
    </row>
    <row r="63" spans="2:4">
      <c r="B63" s="158">
        <v>59</v>
      </c>
      <c r="C63" s="1070">
        <v>1.001288</v>
      </c>
      <c r="D63" s="1070"/>
    </row>
    <row r="64" spans="2:4">
      <c r="B64" s="158">
        <v>60</v>
      </c>
      <c r="C64" s="1070">
        <v>1.0013209999999999</v>
      </c>
      <c r="D64" s="1070"/>
    </row>
    <row r="65" spans="2:4">
      <c r="B65" s="158">
        <v>61</v>
      </c>
      <c r="C65" s="1070">
        <v>1.0013540000000001</v>
      </c>
      <c r="D65" s="1070"/>
    </row>
    <row r="66" spans="2:4">
      <c r="B66" s="158">
        <v>62</v>
      </c>
      <c r="C66" s="1070">
        <v>1.001387</v>
      </c>
      <c r="D66" s="1070"/>
    </row>
    <row r="67" spans="2:4">
      <c r="B67" s="158">
        <v>63</v>
      </c>
      <c r="C67" s="1070">
        <v>1.00142</v>
      </c>
      <c r="D67" s="1070"/>
    </row>
    <row r="68" spans="2:4">
      <c r="B68" s="158">
        <v>64</v>
      </c>
      <c r="C68" s="1070">
        <v>1.0014529999999999</v>
      </c>
      <c r="D68" s="1070"/>
    </row>
    <row r="69" spans="2:4">
      <c r="B69" s="158">
        <v>65</v>
      </c>
      <c r="C69" s="1070">
        <v>1.0014860000000001</v>
      </c>
      <c r="D69" s="1070"/>
    </row>
    <row r="70" spans="2:4">
      <c r="B70" s="158">
        <v>66</v>
      </c>
      <c r="C70" s="1070">
        <v>1.001519</v>
      </c>
      <c r="D70" s="1070"/>
    </row>
    <row r="71" spans="2:4">
      <c r="B71" s="158">
        <v>67</v>
      </c>
      <c r="C71" s="1070">
        <v>1.001552</v>
      </c>
      <c r="D71" s="1070"/>
    </row>
    <row r="72" spans="2:4">
      <c r="B72" s="158">
        <v>68</v>
      </c>
      <c r="C72" s="1070">
        <v>1.0015849999999999</v>
      </c>
      <c r="D72" s="1070"/>
    </row>
    <row r="73" spans="2:4">
      <c r="B73" s="158">
        <v>69</v>
      </c>
      <c r="C73" s="1070">
        <v>1.0016179999999999</v>
      </c>
      <c r="D73" s="1070"/>
    </row>
    <row r="74" spans="2:4">
      <c r="B74" s="158">
        <v>70</v>
      </c>
      <c r="C74" s="1070">
        <v>1.0016510000000001</v>
      </c>
      <c r="D74" s="1070"/>
    </row>
    <row r="75" spans="2:4">
      <c r="B75" s="158">
        <v>71</v>
      </c>
      <c r="C75" s="1070">
        <v>1.001684</v>
      </c>
      <c r="D75" s="1070"/>
    </row>
    <row r="76" spans="2:4">
      <c r="B76" s="158">
        <v>72</v>
      </c>
      <c r="C76" s="1070">
        <v>1.001717</v>
      </c>
      <c r="D76" s="1070"/>
    </row>
    <row r="77" spans="2:4">
      <c r="B77" s="158">
        <v>73</v>
      </c>
      <c r="C77" s="1070">
        <v>1.0017499999999999</v>
      </c>
      <c r="D77" s="1070"/>
    </row>
    <row r="78" spans="2:4">
      <c r="B78" s="158">
        <v>74</v>
      </c>
      <c r="C78" s="1070">
        <v>1.0017830000000001</v>
      </c>
      <c r="D78" s="1070"/>
    </row>
    <row r="79" spans="2:4">
      <c r="B79" s="158">
        <v>75</v>
      </c>
      <c r="C79" s="1070">
        <v>1.001816</v>
      </c>
      <c r="D79" s="1070"/>
    </row>
    <row r="80" spans="2:4">
      <c r="B80" s="158">
        <v>76</v>
      </c>
      <c r="C80" s="1070">
        <v>1.001849</v>
      </c>
      <c r="D80" s="1070"/>
    </row>
    <row r="81" spans="2:4">
      <c r="B81" s="158">
        <v>77</v>
      </c>
      <c r="C81" s="1070">
        <v>1.0018819999999999</v>
      </c>
      <c r="D81" s="1070"/>
    </row>
    <row r="82" spans="2:4">
      <c r="B82" s="158">
        <v>78</v>
      </c>
      <c r="C82" s="1070">
        <v>1.0019149999999999</v>
      </c>
      <c r="D82" s="1070"/>
    </row>
    <row r="83" spans="2:4">
      <c r="B83" s="158">
        <v>79</v>
      </c>
      <c r="C83" s="1070">
        <v>1.0019480000000001</v>
      </c>
      <c r="D83" s="1070"/>
    </row>
    <row r="84" spans="2:4">
      <c r="B84" s="158">
        <v>80</v>
      </c>
      <c r="C84" s="1070">
        <v>1.001981</v>
      </c>
      <c r="D84" s="1070"/>
    </row>
    <row r="85" spans="2:4">
      <c r="B85" s="158">
        <v>81</v>
      </c>
      <c r="C85" s="1070">
        <v>1.002014</v>
      </c>
      <c r="D85" s="1070"/>
    </row>
    <row r="86" spans="2:4">
      <c r="B86" s="158">
        <v>82</v>
      </c>
      <c r="C86" s="1070">
        <v>1.0020469999999999</v>
      </c>
      <c r="D86" s="1070"/>
    </row>
    <row r="87" spans="2:4">
      <c r="B87" s="158">
        <v>83</v>
      </c>
      <c r="C87" s="1070">
        <v>1.0020800000000001</v>
      </c>
      <c r="D87" s="1070"/>
    </row>
    <row r="88" spans="2:4">
      <c r="B88" s="158">
        <v>84</v>
      </c>
      <c r="C88" s="1070">
        <v>1.002113</v>
      </c>
      <c r="D88" s="1070"/>
    </row>
    <row r="89" spans="2:4">
      <c r="B89" s="158">
        <v>85</v>
      </c>
      <c r="C89" s="1070">
        <v>1.0021469999999999</v>
      </c>
      <c r="D89" s="1070"/>
    </row>
    <row r="90" spans="2:4">
      <c r="B90" s="158">
        <v>86</v>
      </c>
      <c r="C90" s="1070">
        <v>1.0021800000000001</v>
      </c>
      <c r="D90" s="1070"/>
    </row>
    <row r="91" spans="2:4">
      <c r="B91" s="158">
        <v>87</v>
      </c>
      <c r="C91" s="1070">
        <v>1.002213</v>
      </c>
      <c r="D91" s="1070"/>
    </row>
    <row r="92" spans="2:4">
      <c r="B92" s="158">
        <v>88</v>
      </c>
      <c r="C92" s="1070">
        <v>1.002246</v>
      </c>
      <c r="D92" s="1070"/>
    </row>
    <row r="93" spans="2:4">
      <c r="B93" s="158">
        <v>89</v>
      </c>
      <c r="C93" s="1070">
        <v>1.0022789999999999</v>
      </c>
      <c r="D93" s="1070"/>
    </row>
    <row r="94" spans="2:4">
      <c r="B94" s="158">
        <v>90</v>
      </c>
      <c r="C94" s="1070">
        <v>1.0023120000000001</v>
      </c>
      <c r="D94" s="1070"/>
    </row>
    <row r="95" spans="2:4">
      <c r="B95" s="158">
        <v>91</v>
      </c>
      <c r="C95" s="1070">
        <v>1.002345</v>
      </c>
      <c r="D95" s="1070"/>
    </row>
    <row r="96" spans="2:4">
      <c r="B96" s="158">
        <v>92</v>
      </c>
      <c r="C96" s="1070">
        <v>1.002378</v>
      </c>
      <c r="D96" s="1070"/>
    </row>
    <row r="97" spans="2:4">
      <c r="B97" s="158">
        <v>93</v>
      </c>
      <c r="C97" s="1070">
        <v>1.0024109999999999</v>
      </c>
      <c r="D97" s="1070"/>
    </row>
    <row r="98" spans="2:4">
      <c r="B98" s="158">
        <v>94</v>
      </c>
      <c r="C98" s="1070">
        <v>1.0024439999999999</v>
      </c>
      <c r="D98" s="1070"/>
    </row>
    <row r="99" spans="2:4">
      <c r="B99" s="158">
        <v>95</v>
      </c>
      <c r="C99" s="1070">
        <v>1.0024770000000001</v>
      </c>
      <c r="D99" s="1070"/>
    </row>
    <row r="100" spans="2:4">
      <c r="B100" s="158">
        <v>96</v>
      </c>
      <c r="C100" s="1070">
        <v>1.00251</v>
      </c>
      <c r="D100" s="1070"/>
    </row>
    <row r="101" spans="2:4">
      <c r="B101" s="158">
        <v>97</v>
      </c>
      <c r="C101" s="1070">
        <v>1.002543</v>
      </c>
      <c r="D101" s="1070"/>
    </row>
    <row r="102" spans="2:4">
      <c r="B102" s="158">
        <v>98</v>
      </c>
      <c r="C102" s="1070">
        <v>1.0025759999999999</v>
      </c>
      <c r="D102" s="1070"/>
    </row>
    <row r="103" spans="2:4">
      <c r="B103" s="158">
        <v>99</v>
      </c>
      <c r="C103" s="1070">
        <v>1.0026090000000001</v>
      </c>
      <c r="D103" s="1070"/>
    </row>
    <row r="104" spans="2:4">
      <c r="B104" s="158">
        <v>100</v>
      </c>
      <c r="C104" s="1070">
        <v>1.002642</v>
      </c>
      <c r="D104" s="1070"/>
    </row>
  </sheetData>
  <sheetProtection algorithmName="SHA-512" hashValue="gierBOQV58tSwjmhtdWLFhFoEmaid4AyTbkGG5lnkm9yMWDv1qVMGSZTL932dNNSAebcd1OS32hWSJD2PcHQjg==" saltValue="JFEXmxaYrzF/wXP/Ip83JA==" spinCount="100000" sheet="1" objects="1" scenarios="1" selectLockedCells="1"/>
  <mergeCells count="102">
    <mergeCell ref="C3:D3"/>
    <mergeCell ref="C4:D4"/>
    <mergeCell ref="C5:D5"/>
    <mergeCell ref="C6:D6"/>
    <mergeCell ref="C7:D7"/>
    <mergeCell ref="C8:D8"/>
    <mergeCell ref="C15:D15"/>
    <mergeCell ref="C16:D16"/>
    <mergeCell ref="C17:D17"/>
    <mergeCell ref="C18:D18"/>
    <mergeCell ref="C19:D19"/>
    <mergeCell ref="C20:D20"/>
    <mergeCell ref="C9:D9"/>
    <mergeCell ref="C10:D10"/>
    <mergeCell ref="C11:D11"/>
    <mergeCell ref="C12:D12"/>
    <mergeCell ref="C13:D13"/>
    <mergeCell ref="C14:D14"/>
    <mergeCell ref="C27:D27"/>
    <mergeCell ref="C28:D28"/>
    <mergeCell ref="C29:D29"/>
    <mergeCell ref="C30:D30"/>
    <mergeCell ref="C31:D31"/>
    <mergeCell ref="C32:D32"/>
    <mergeCell ref="C21:D21"/>
    <mergeCell ref="C22:D22"/>
    <mergeCell ref="C23:D23"/>
    <mergeCell ref="C24:D24"/>
    <mergeCell ref="C25:D25"/>
    <mergeCell ref="C26:D26"/>
    <mergeCell ref="C39:D39"/>
    <mergeCell ref="C40:D40"/>
    <mergeCell ref="C41:D41"/>
    <mergeCell ref="C42:D42"/>
    <mergeCell ref="C43:D43"/>
    <mergeCell ref="C44:D44"/>
    <mergeCell ref="C33:D33"/>
    <mergeCell ref="C34:D34"/>
    <mergeCell ref="C35:D35"/>
    <mergeCell ref="C36:D36"/>
    <mergeCell ref="C37:D37"/>
    <mergeCell ref="C38:D38"/>
    <mergeCell ref="C51:D51"/>
    <mergeCell ref="C52:D52"/>
    <mergeCell ref="C53:D53"/>
    <mergeCell ref="C54:D54"/>
    <mergeCell ref="C55:D55"/>
    <mergeCell ref="C56:D56"/>
    <mergeCell ref="C45:D45"/>
    <mergeCell ref="C46:D46"/>
    <mergeCell ref="C47:D47"/>
    <mergeCell ref="C48:D48"/>
    <mergeCell ref="C49:D49"/>
    <mergeCell ref="C50:D50"/>
    <mergeCell ref="C63:D63"/>
    <mergeCell ref="C64:D64"/>
    <mergeCell ref="C65:D65"/>
    <mergeCell ref="C66:D66"/>
    <mergeCell ref="C67:D67"/>
    <mergeCell ref="C68:D68"/>
    <mergeCell ref="C57:D57"/>
    <mergeCell ref="C58:D58"/>
    <mergeCell ref="C59:D59"/>
    <mergeCell ref="C60:D60"/>
    <mergeCell ref="C61:D61"/>
    <mergeCell ref="C62:D62"/>
    <mergeCell ref="C75:D75"/>
    <mergeCell ref="C76:D76"/>
    <mergeCell ref="C77:D77"/>
    <mergeCell ref="C78:D78"/>
    <mergeCell ref="C79:D79"/>
    <mergeCell ref="C80:D80"/>
    <mergeCell ref="C69:D69"/>
    <mergeCell ref="C70:D70"/>
    <mergeCell ref="C71:D71"/>
    <mergeCell ref="C72:D72"/>
    <mergeCell ref="C73:D73"/>
    <mergeCell ref="C74:D74"/>
    <mergeCell ref="C87:D87"/>
    <mergeCell ref="C88:D88"/>
    <mergeCell ref="C89:D89"/>
    <mergeCell ref="C90:D90"/>
    <mergeCell ref="C91:D91"/>
    <mergeCell ref="C92:D92"/>
    <mergeCell ref="C81:D81"/>
    <mergeCell ref="C82:D82"/>
    <mergeCell ref="C83:D83"/>
    <mergeCell ref="C84:D84"/>
    <mergeCell ref="C85:D85"/>
    <mergeCell ref="C86:D86"/>
    <mergeCell ref="C99:D99"/>
    <mergeCell ref="C100:D100"/>
    <mergeCell ref="C101:D101"/>
    <mergeCell ref="C102:D102"/>
    <mergeCell ref="C103:D103"/>
    <mergeCell ref="C104:D104"/>
    <mergeCell ref="C93:D93"/>
    <mergeCell ref="C94:D94"/>
    <mergeCell ref="C95:D95"/>
    <mergeCell ref="C96:D96"/>
    <mergeCell ref="C97:D97"/>
    <mergeCell ref="C98:D98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J1172"/>
  <sheetViews>
    <sheetView zoomScale="115" zoomScaleNormal="115" workbookViewId="0">
      <selection activeCell="I5" sqref="I5:J5"/>
    </sheetView>
  </sheetViews>
  <sheetFormatPr defaultRowHeight="13.5"/>
  <cols>
    <col min="1" max="1" width="6.875" bestFit="1" customWidth="1"/>
    <col min="3" max="3" width="6.875" bestFit="1" customWidth="1"/>
    <col min="5" max="5" width="5.875" bestFit="1" customWidth="1"/>
    <col min="6" max="6" width="9.75" bestFit="1" customWidth="1"/>
    <col min="7" max="7" width="6.875" bestFit="1" customWidth="1"/>
    <col min="8" max="8" width="9.75" bestFit="1" customWidth="1"/>
    <col min="9" max="9" width="6.875" bestFit="1" customWidth="1"/>
    <col min="10" max="10" width="9.75" bestFit="1" customWidth="1"/>
    <col min="11" max="11" width="6.875" bestFit="1" customWidth="1"/>
    <col min="12" max="12" width="9.75" bestFit="1" customWidth="1"/>
    <col min="13" max="13" width="7.5" bestFit="1" customWidth="1"/>
    <col min="14" max="14" width="9.75" bestFit="1" customWidth="1"/>
    <col min="15" max="15" width="6.875" bestFit="1" customWidth="1"/>
    <col min="16" max="16" width="9.75" bestFit="1" customWidth="1"/>
    <col min="17" max="17" width="6.875" bestFit="1" customWidth="1"/>
    <col min="18" max="18" width="9.75" bestFit="1" customWidth="1"/>
    <col min="19" max="19" width="6.875" bestFit="1" customWidth="1"/>
    <col min="20" max="20" width="9.75" bestFit="1" customWidth="1"/>
    <col min="21" max="21" width="6.875" bestFit="1" customWidth="1"/>
    <col min="22" max="22" width="9.75" bestFit="1" customWidth="1"/>
    <col min="23" max="23" width="6.875" bestFit="1" customWidth="1"/>
    <col min="24" max="24" width="9.75" bestFit="1" customWidth="1"/>
    <col min="25" max="25" width="6.875" bestFit="1" customWidth="1"/>
    <col min="26" max="26" width="9.75" bestFit="1" customWidth="1"/>
    <col min="27" max="27" width="6.875" bestFit="1" customWidth="1"/>
    <col min="28" max="28" width="9.75" bestFit="1" customWidth="1"/>
    <col min="29" max="29" width="6.875" bestFit="1" customWidth="1"/>
    <col min="30" max="30" width="9.75" bestFit="1" customWidth="1"/>
    <col min="31" max="31" width="6.875" bestFit="1" customWidth="1"/>
    <col min="32" max="32" width="9.75" bestFit="1" customWidth="1"/>
    <col min="33" max="33" width="6.875" bestFit="1" customWidth="1"/>
    <col min="34" max="34" width="8.875" bestFit="1" customWidth="1"/>
    <col min="35" max="35" width="6.875" bestFit="1" customWidth="1"/>
    <col min="36" max="36" width="8.875" bestFit="1" customWidth="1"/>
  </cols>
  <sheetData>
    <row r="1" spans="1:36" ht="14.65">
      <c r="A1" s="114" t="s">
        <v>30</v>
      </c>
      <c r="B1" s="115" t="s">
        <v>140</v>
      </c>
      <c r="C1" s="114" t="s">
        <v>30</v>
      </c>
      <c r="D1" s="116" t="s">
        <v>140</v>
      </c>
      <c r="E1" s="117" t="s">
        <v>30</v>
      </c>
      <c r="F1" s="114" t="s">
        <v>140</v>
      </c>
      <c r="G1" s="114" t="s">
        <v>30</v>
      </c>
      <c r="H1" s="114" t="s">
        <v>140</v>
      </c>
      <c r="I1" s="114" t="s">
        <v>30</v>
      </c>
      <c r="J1" s="114" t="s">
        <v>140</v>
      </c>
      <c r="K1" s="114" t="s">
        <v>30</v>
      </c>
      <c r="L1" s="114" t="s">
        <v>140</v>
      </c>
      <c r="M1" s="116" t="s">
        <v>30</v>
      </c>
      <c r="N1" s="116" t="s">
        <v>140</v>
      </c>
      <c r="O1" s="114" t="s">
        <v>30</v>
      </c>
      <c r="P1" s="114" t="s">
        <v>140</v>
      </c>
      <c r="Q1" s="114" t="s">
        <v>30</v>
      </c>
      <c r="R1" s="114" t="s">
        <v>140</v>
      </c>
      <c r="S1" s="114" t="s">
        <v>30</v>
      </c>
      <c r="T1" s="115" t="s">
        <v>140</v>
      </c>
      <c r="U1" s="114" t="s">
        <v>30</v>
      </c>
      <c r="V1" s="114" t="s">
        <v>140</v>
      </c>
      <c r="W1" s="114" t="s">
        <v>30</v>
      </c>
      <c r="X1" s="114" t="s">
        <v>140</v>
      </c>
      <c r="Y1" s="114" t="s">
        <v>30</v>
      </c>
      <c r="Z1" s="114" t="s">
        <v>140</v>
      </c>
      <c r="AA1" s="114" t="s">
        <v>30</v>
      </c>
      <c r="AB1" s="114" t="s">
        <v>140</v>
      </c>
      <c r="AC1" s="114" t="s">
        <v>30</v>
      </c>
      <c r="AD1" s="114" t="s">
        <v>140</v>
      </c>
      <c r="AE1" s="114" t="s">
        <v>30</v>
      </c>
      <c r="AF1" s="114" t="s">
        <v>140</v>
      </c>
      <c r="AG1" s="114" t="s">
        <v>30</v>
      </c>
      <c r="AH1" s="114" t="s">
        <v>140</v>
      </c>
      <c r="AI1" s="114" t="s">
        <v>30</v>
      </c>
      <c r="AJ1" s="114" t="s">
        <v>140</v>
      </c>
    </row>
    <row r="2" spans="1:36" ht="14.65">
      <c r="A2" s="118" t="s">
        <v>141</v>
      </c>
      <c r="B2" s="119" t="s">
        <v>142</v>
      </c>
      <c r="C2" s="118" t="s">
        <v>141</v>
      </c>
      <c r="D2" s="120" t="s">
        <v>142</v>
      </c>
      <c r="E2" s="121" t="s">
        <v>141</v>
      </c>
      <c r="F2" s="118" t="s">
        <v>142</v>
      </c>
      <c r="G2" s="118" t="s">
        <v>141</v>
      </c>
      <c r="H2" s="118" t="s">
        <v>142</v>
      </c>
      <c r="I2" s="118" t="s">
        <v>141</v>
      </c>
      <c r="J2" s="118" t="s">
        <v>142</v>
      </c>
      <c r="K2" s="118" t="s">
        <v>141</v>
      </c>
      <c r="L2" s="118" t="s">
        <v>142</v>
      </c>
      <c r="M2" s="120" t="s">
        <v>141</v>
      </c>
      <c r="N2" s="120" t="s">
        <v>142</v>
      </c>
      <c r="O2" s="118" t="s">
        <v>141</v>
      </c>
      <c r="P2" s="118" t="s">
        <v>142</v>
      </c>
      <c r="Q2" s="118" t="s">
        <v>141</v>
      </c>
      <c r="R2" s="118" t="s">
        <v>142</v>
      </c>
      <c r="S2" s="118" t="s">
        <v>141</v>
      </c>
      <c r="T2" s="119" t="s">
        <v>142</v>
      </c>
      <c r="U2" s="118" t="s">
        <v>141</v>
      </c>
      <c r="V2" s="118" t="s">
        <v>142</v>
      </c>
      <c r="W2" s="118" t="s">
        <v>141</v>
      </c>
      <c r="X2" s="118" t="s">
        <v>142</v>
      </c>
      <c r="Y2" s="118" t="s">
        <v>141</v>
      </c>
      <c r="Z2" s="118" t="s">
        <v>142</v>
      </c>
      <c r="AA2" s="118" t="s">
        <v>141</v>
      </c>
      <c r="AB2" s="118" t="s">
        <v>142</v>
      </c>
      <c r="AC2" s="118" t="s">
        <v>141</v>
      </c>
      <c r="AD2" s="118" t="s">
        <v>142</v>
      </c>
      <c r="AE2" s="118" t="s">
        <v>141</v>
      </c>
      <c r="AF2" s="118" t="s">
        <v>142</v>
      </c>
      <c r="AG2" s="118" t="s">
        <v>141</v>
      </c>
      <c r="AH2" s="118" t="s">
        <v>142</v>
      </c>
      <c r="AI2" s="118" t="s">
        <v>141</v>
      </c>
      <c r="AJ2" s="118" t="s">
        <v>142</v>
      </c>
    </row>
    <row r="3" spans="1:36" ht="14.65">
      <c r="A3" s="1071" t="s">
        <v>68</v>
      </c>
      <c r="B3" s="1072"/>
      <c r="C3" s="1071" t="s">
        <v>143</v>
      </c>
      <c r="D3" s="1072"/>
      <c r="E3" s="1071" t="s">
        <v>69</v>
      </c>
      <c r="F3" s="1072"/>
      <c r="G3" s="1071" t="s">
        <v>144</v>
      </c>
      <c r="H3" s="1072"/>
      <c r="I3" s="1071" t="s">
        <v>154</v>
      </c>
      <c r="J3" s="1072"/>
      <c r="K3" s="1071" t="s">
        <v>145</v>
      </c>
      <c r="L3" s="1072"/>
      <c r="M3" s="1075" t="s">
        <v>70</v>
      </c>
      <c r="N3" s="1076"/>
      <c r="O3" s="1071" t="s">
        <v>146</v>
      </c>
      <c r="P3" s="1072"/>
      <c r="Q3" s="1071" t="s">
        <v>71</v>
      </c>
      <c r="R3" s="1072"/>
      <c r="S3" s="1071" t="s">
        <v>147</v>
      </c>
      <c r="T3" s="1072"/>
      <c r="U3" s="1071" t="s">
        <v>72</v>
      </c>
      <c r="V3" s="1072"/>
      <c r="W3" s="1071" t="s">
        <v>148</v>
      </c>
      <c r="X3" s="1072"/>
      <c r="Y3" s="1071" t="s">
        <v>73</v>
      </c>
      <c r="Z3" s="1072"/>
      <c r="AA3" s="1071" t="s">
        <v>149</v>
      </c>
      <c r="AB3" s="1072"/>
      <c r="AC3" s="1071" t="s">
        <v>74</v>
      </c>
      <c r="AD3" s="1072"/>
      <c r="AE3" s="1071" t="s">
        <v>150</v>
      </c>
      <c r="AF3" s="1072"/>
      <c r="AG3" s="1073" t="s">
        <v>151</v>
      </c>
      <c r="AH3" s="1074"/>
      <c r="AI3" s="1073" t="s">
        <v>152</v>
      </c>
      <c r="AJ3" s="1074"/>
    </row>
    <row r="4" spans="1:36" ht="14.25">
      <c r="A4" s="122">
        <v>0</v>
      </c>
      <c r="B4" s="124">
        <v>0</v>
      </c>
      <c r="C4" s="122">
        <v>0</v>
      </c>
      <c r="D4" s="124">
        <v>0</v>
      </c>
      <c r="E4" s="122">
        <v>0</v>
      </c>
      <c r="F4" s="124">
        <v>0</v>
      </c>
      <c r="G4" s="122">
        <v>0</v>
      </c>
      <c r="H4" s="124">
        <v>0</v>
      </c>
      <c r="I4" s="122">
        <v>0</v>
      </c>
      <c r="J4" s="124">
        <v>0</v>
      </c>
      <c r="K4" s="122">
        <v>0</v>
      </c>
      <c r="L4" s="124">
        <v>0</v>
      </c>
      <c r="M4" s="122">
        <v>0</v>
      </c>
      <c r="N4" s="124">
        <v>0</v>
      </c>
      <c r="O4" s="122">
        <v>0</v>
      </c>
      <c r="P4" s="124">
        <v>0</v>
      </c>
      <c r="Q4" s="122">
        <v>0</v>
      </c>
      <c r="R4" s="124">
        <v>0</v>
      </c>
      <c r="S4" s="122">
        <v>0</v>
      </c>
      <c r="T4" s="124">
        <v>0</v>
      </c>
      <c r="U4" s="122">
        <v>0</v>
      </c>
      <c r="V4" s="124">
        <v>0</v>
      </c>
      <c r="W4" s="122">
        <v>0</v>
      </c>
      <c r="X4" s="124">
        <v>0</v>
      </c>
      <c r="Y4" s="122">
        <v>0</v>
      </c>
      <c r="Z4" s="124">
        <v>0</v>
      </c>
      <c r="AA4" s="122">
        <v>0</v>
      </c>
      <c r="AB4" s="124">
        <v>0</v>
      </c>
      <c r="AC4" s="122">
        <v>0</v>
      </c>
      <c r="AD4" s="124">
        <v>0</v>
      </c>
      <c r="AE4" s="122">
        <v>0</v>
      </c>
      <c r="AF4" s="124">
        <v>0</v>
      </c>
      <c r="AG4" s="122">
        <v>0</v>
      </c>
      <c r="AH4" s="124">
        <v>0</v>
      </c>
      <c r="AI4" s="122">
        <v>0</v>
      </c>
      <c r="AJ4" s="124">
        <v>0</v>
      </c>
    </row>
    <row r="5" spans="1:36" ht="14.25">
      <c r="A5" s="123">
        <v>669</v>
      </c>
      <c r="B5" s="124">
        <v>798.25</v>
      </c>
      <c r="C5" s="123">
        <v>674</v>
      </c>
      <c r="D5" s="125">
        <v>792.41600000000005</v>
      </c>
      <c r="E5" s="126">
        <v>663</v>
      </c>
      <c r="F5" s="125">
        <v>1635.7249999999999</v>
      </c>
      <c r="G5" s="127">
        <v>665</v>
      </c>
      <c r="H5" s="125">
        <v>1635.1179999999999</v>
      </c>
      <c r="I5" s="127">
        <v>667</v>
      </c>
      <c r="J5" s="125">
        <v>1381.511</v>
      </c>
      <c r="K5" s="127">
        <v>665</v>
      </c>
      <c r="L5" s="125">
        <v>1382.3910000000001</v>
      </c>
      <c r="M5" s="127">
        <v>664</v>
      </c>
      <c r="N5" s="125">
        <v>1382.008</v>
      </c>
      <c r="O5" s="127">
        <v>643</v>
      </c>
      <c r="P5" s="125">
        <v>1382.3109999999999</v>
      </c>
      <c r="Q5" s="127">
        <v>661</v>
      </c>
      <c r="R5" s="125">
        <v>1382.123</v>
      </c>
      <c r="S5" s="127">
        <v>665</v>
      </c>
      <c r="T5" s="125">
        <v>1382.028</v>
      </c>
      <c r="U5" s="127">
        <v>657</v>
      </c>
      <c r="V5" s="125">
        <v>1379.8209999999999</v>
      </c>
      <c r="W5" s="127">
        <v>660</v>
      </c>
      <c r="X5" s="125">
        <v>1380.4939999999999</v>
      </c>
      <c r="Y5" s="127">
        <v>660</v>
      </c>
      <c r="Z5" s="125">
        <v>1378.598</v>
      </c>
      <c r="AA5" s="127">
        <v>667</v>
      </c>
      <c r="AB5" s="125">
        <v>1377.4590000000001</v>
      </c>
      <c r="AC5" s="127">
        <v>653</v>
      </c>
      <c r="AD5" s="125">
        <v>1302.566</v>
      </c>
      <c r="AE5" s="127">
        <v>668</v>
      </c>
      <c r="AF5" s="125">
        <v>1302.5160000000001</v>
      </c>
      <c r="AG5" s="127">
        <v>641</v>
      </c>
      <c r="AH5" s="125">
        <v>382.14299999999997</v>
      </c>
      <c r="AI5" s="127">
        <v>641</v>
      </c>
      <c r="AJ5" s="125">
        <v>398.59199999999998</v>
      </c>
    </row>
    <row r="6" spans="1:36" ht="14.25">
      <c r="A6" s="128">
        <v>670</v>
      </c>
      <c r="B6" s="124">
        <v>798.23500000000001</v>
      </c>
      <c r="C6" s="128">
        <v>680</v>
      </c>
      <c r="D6" s="125">
        <v>792.34799999999996</v>
      </c>
      <c r="E6" s="126">
        <v>670</v>
      </c>
      <c r="F6" s="125">
        <v>1635.6969999999999</v>
      </c>
      <c r="G6" s="127">
        <v>670</v>
      </c>
      <c r="H6" s="125">
        <v>1635.0930000000001</v>
      </c>
      <c r="I6" s="127">
        <v>670</v>
      </c>
      <c r="J6" s="125">
        <v>1381.498</v>
      </c>
      <c r="K6" s="127">
        <v>670</v>
      </c>
      <c r="L6" s="125">
        <v>1382.2929999999999</v>
      </c>
      <c r="M6" s="127">
        <v>670</v>
      </c>
      <c r="N6" s="125">
        <v>1381.8969999999999</v>
      </c>
      <c r="O6" s="127">
        <v>650</v>
      </c>
      <c r="P6" s="125">
        <v>1382.3050000000001</v>
      </c>
      <c r="Q6" s="127">
        <v>670</v>
      </c>
      <c r="R6" s="125">
        <v>1382.056</v>
      </c>
      <c r="S6" s="127">
        <v>670</v>
      </c>
      <c r="T6" s="125">
        <v>1382.018</v>
      </c>
      <c r="U6" s="127">
        <v>660</v>
      </c>
      <c r="V6" s="125">
        <v>1379.8130000000001</v>
      </c>
      <c r="W6" s="127">
        <v>670</v>
      </c>
      <c r="X6" s="125">
        <v>1380.443</v>
      </c>
      <c r="Y6" s="127">
        <v>670</v>
      </c>
      <c r="Z6" s="125">
        <v>1378.5319999999999</v>
      </c>
      <c r="AA6" s="127">
        <v>670</v>
      </c>
      <c r="AB6" s="125">
        <v>1377.4459999999999</v>
      </c>
      <c r="AC6" s="127">
        <v>660</v>
      </c>
      <c r="AD6" s="125">
        <v>1302.4580000000001</v>
      </c>
      <c r="AE6" s="127">
        <v>670</v>
      </c>
      <c r="AF6" s="125">
        <v>1302.5050000000001</v>
      </c>
      <c r="AG6" s="127">
        <v>650</v>
      </c>
      <c r="AH6" s="125">
        <v>382.13</v>
      </c>
      <c r="AI6" s="127">
        <v>650</v>
      </c>
      <c r="AJ6" s="125">
        <v>398.56099999999998</v>
      </c>
    </row>
    <row r="7" spans="1:36" ht="14.25">
      <c r="A7" s="128">
        <v>680</v>
      </c>
      <c r="B7" s="124">
        <v>798.08799999999997</v>
      </c>
      <c r="C7" s="128">
        <v>690</v>
      </c>
      <c r="D7" s="125">
        <v>792.19200000000001</v>
      </c>
      <c r="E7" s="126">
        <v>680</v>
      </c>
      <c r="F7" s="125">
        <v>1635.4880000000001</v>
      </c>
      <c r="G7" s="127">
        <v>680</v>
      </c>
      <c r="H7" s="125">
        <v>1634.9159999999999</v>
      </c>
      <c r="I7" s="127">
        <v>680</v>
      </c>
      <c r="J7" s="125">
        <v>1381.393</v>
      </c>
      <c r="K7" s="127">
        <v>680</v>
      </c>
      <c r="L7" s="125">
        <v>1382.0709999999999</v>
      </c>
      <c r="M7" s="127">
        <v>680</v>
      </c>
      <c r="N7" s="125">
        <v>1381.6769999999999</v>
      </c>
      <c r="O7" s="127">
        <v>660</v>
      </c>
      <c r="P7" s="125">
        <v>1382.1130000000001</v>
      </c>
      <c r="Q7" s="127">
        <v>680</v>
      </c>
      <c r="R7" s="125">
        <v>1381.84</v>
      </c>
      <c r="S7" s="127">
        <v>680</v>
      </c>
      <c r="T7" s="125">
        <v>1381.8879999999999</v>
      </c>
      <c r="U7" s="127">
        <v>670</v>
      </c>
      <c r="V7" s="125">
        <v>1379.72</v>
      </c>
      <c r="W7" s="127">
        <v>680</v>
      </c>
      <c r="X7" s="125">
        <v>1380.2159999999999</v>
      </c>
      <c r="Y7" s="127">
        <v>680</v>
      </c>
      <c r="Z7" s="125">
        <v>1378.3019999999999</v>
      </c>
      <c r="AA7" s="127">
        <v>680</v>
      </c>
      <c r="AB7" s="125">
        <v>1377.3389999999999</v>
      </c>
      <c r="AC7" s="127">
        <v>670</v>
      </c>
      <c r="AD7" s="125">
        <v>1302.249</v>
      </c>
      <c r="AE7" s="127">
        <v>680</v>
      </c>
      <c r="AF7" s="125">
        <v>1302.4169999999999</v>
      </c>
      <c r="AG7" s="127">
        <v>660</v>
      </c>
      <c r="AH7" s="125">
        <v>382.05399999999997</v>
      </c>
      <c r="AI7" s="127">
        <v>660</v>
      </c>
      <c r="AJ7" s="125">
        <v>398.47500000000002</v>
      </c>
    </row>
    <row r="8" spans="1:36" ht="14.25">
      <c r="A8" s="128">
        <v>690</v>
      </c>
      <c r="B8" s="124">
        <v>797.89</v>
      </c>
      <c r="C8" s="128">
        <v>700</v>
      </c>
      <c r="D8" s="125">
        <v>791.99699999999996</v>
      </c>
      <c r="E8" s="126">
        <v>690</v>
      </c>
      <c r="F8" s="125">
        <v>1635.211</v>
      </c>
      <c r="G8" s="127">
        <v>690</v>
      </c>
      <c r="H8" s="125">
        <v>1634.63</v>
      </c>
      <c r="I8" s="127">
        <v>690</v>
      </c>
      <c r="J8" s="125">
        <v>1381.146</v>
      </c>
      <c r="K8" s="127">
        <v>690</v>
      </c>
      <c r="L8" s="125">
        <v>1381.8150000000001</v>
      </c>
      <c r="M8" s="127">
        <v>690</v>
      </c>
      <c r="N8" s="125">
        <v>1381.42</v>
      </c>
      <c r="O8" s="127">
        <v>670</v>
      </c>
      <c r="P8" s="125">
        <v>1381.856</v>
      </c>
      <c r="Q8" s="127">
        <v>690</v>
      </c>
      <c r="R8" s="125">
        <v>1381.588</v>
      </c>
      <c r="S8" s="127">
        <v>690</v>
      </c>
      <c r="T8" s="125">
        <v>1381.6410000000001</v>
      </c>
      <c r="U8" s="127">
        <v>680</v>
      </c>
      <c r="V8" s="125">
        <v>1379.491</v>
      </c>
      <c r="W8" s="127">
        <v>690</v>
      </c>
      <c r="X8" s="125">
        <v>1379.9649999999999</v>
      </c>
      <c r="Y8" s="127">
        <v>690</v>
      </c>
      <c r="Z8" s="125">
        <v>1378.05</v>
      </c>
      <c r="AA8" s="127">
        <v>690</v>
      </c>
      <c r="AB8" s="125">
        <v>1377.1</v>
      </c>
      <c r="AC8" s="127">
        <v>680</v>
      </c>
      <c r="AD8" s="125">
        <v>1302.002</v>
      </c>
      <c r="AE8" s="127">
        <v>690</v>
      </c>
      <c r="AF8" s="125">
        <v>1302.1959999999999</v>
      </c>
      <c r="AG8" s="127">
        <v>670</v>
      </c>
      <c r="AH8" s="125">
        <v>381.97199999999998</v>
      </c>
      <c r="AI8" s="127">
        <v>670</v>
      </c>
      <c r="AJ8" s="125">
        <v>398.37799999999999</v>
      </c>
    </row>
    <row r="9" spans="1:36" ht="14.25">
      <c r="A9" s="128">
        <v>700</v>
      </c>
      <c r="B9" s="124">
        <v>797.67</v>
      </c>
      <c r="C9" s="128">
        <v>710</v>
      </c>
      <c r="D9" s="125">
        <v>791.78</v>
      </c>
      <c r="E9" s="126">
        <v>700</v>
      </c>
      <c r="F9" s="125">
        <v>1634.904</v>
      </c>
      <c r="G9" s="127">
        <v>700</v>
      </c>
      <c r="H9" s="125">
        <v>1634.3130000000001</v>
      </c>
      <c r="I9" s="127">
        <v>700</v>
      </c>
      <c r="J9" s="125">
        <v>1380.876</v>
      </c>
      <c r="K9" s="127">
        <v>700</v>
      </c>
      <c r="L9" s="125">
        <v>1381.5340000000001</v>
      </c>
      <c r="M9" s="127">
        <v>700</v>
      </c>
      <c r="N9" s="125">
        <v>1381.1379999999999</v>
      </c>
      <c r="O9" s="127">
        <v>680</v>
      </c>
      <c r="P9" s="125">
        <v>1381.576</v>
      </c>
      <c r="Q9" s="127">
        <v>700</v>
      </c>
      <c r="R9" s="125">
        <v>1381.3130000000001</v>
      </c>
      <c r="S9" s="127">
        <v>700</v>
      </c>
      <c r="T9" s="125">
        <v>1381.3689999999999</v>
      </c>
      <c r="U9" s="127">
        <v>690</v>
      </c>
      <c r="V9" s="125">
        <v>1379.2370000000001</v>
      </c>
      <c r="W9" s="127">
        <v>700</v>
      </c>
      <c r="X9" s="125">
        <v>1379.69</v>
      </c>
      <c r="Y9" s="127">
        <v>700</v>
      </c>
      <c r="Z9" s="125">
        <v>1377.7739999999999</v>
      </c>
      <c r="AA9" s="127">
        <v>700</v>
      </c>
      <c r="AB9" s="125">
        <v>1376.837</v>
      </c>
      <c r="AC9" s="127">
        <v>690</v>
      </c>
      <c r="AD9" s="125">
        <v>1301.732</v>
      </c>
      <c r="AE9" s="127">
        <v>700</v>
      </c>
      <c r="AF9" s="125">
        <v>1301.951</v>
      </c>
      <c r="AG9" s="127">
        <v>680</v>
      </c>
      <c r="AH9" s="125">
        <v>381.88400000000001</v>
      </c>
      <c r="AI9" s="127">
        <v>680</v>
      </c>
      <c r="AJ9" s="125">
        <v>398.27499999999998</v>
      </c>
    </row>
    <row r="10" spans="1:36" ht="14.25">
      <c r="A10" s="128">
        <v>710</v>
      </c>
      <c r="B10" s="124">
        <v>797.428</v>
      </c>
      <c r="C10" s="128">
        <v>720</v>
      </c>
      <c r="D10" s="125">
        <v>791.54</v>
      </c>
      <c r="E10" s="126">
        <v>710</v>
      </c>
      <c r="F10" s="125">
        <v>1634.567</v>
      </c>
      <c r="G10" s="127">
        <v>710</v>
      </c>
      <c r="H10" s="125">
        <v>1633.9649999999999</v>
      </c>
      <c r="I10" s="127">
        <v>710</v>
      </c>
      <c r="J10" s="125">
        <v>1380.5820000000001</v>
      </c>
      <c r="K10" s="127">
        <v>710</v>
      </c>
      <c r="L10" s="125">
        <v>1381.2280000000001</v>
      </c>
      <c r="M10" s="127">
        <v>710</v>
      </c>
      <c r="N10" s="125">
        <v>1380.8320000000001</v>
      </c>
      <c r="O10" s="127">
        <v>690</v>
      </c>
      <c r="P10" s="125">
        <v>1381.2719999999999</v>
      </c>
      <c r="Q10" s="127">
        <v>710</v>
      </c>
      <c r="R10" s="125">
        <v>1381.0129999999999</v>
      </c>
      <c r="S10" s="127">
        <v>710</v>
      </c>
      <c r="T10" s="125">
        <v>1381.0740000000001</v>
      </c>
      <c r="U10" s="127">
        <v>700</v>
      </c>
      <c r="V10" s="125">
        <v>1378.9580000000001</v>
      </c>
      <c r="W10" s="127">
        <v>710</v>
      </c>
      <c r="X10" s="125">
        <v>1379.39</v>
      </c>
      <c r="Y10" s="127">
        <v>710</v>
      </c>
      <c r="Z10" s="125">
        <v>1377.4760000000001</v>
      </c>
      <c r="AA10" s="127">
        <v>710</v>
      </c>
      <c r="AB10" s="125">
        <v>1376.55</v>
      </c>
      <c r="AC10" s="127">
        <v>700</v>
      </c>
      <c r="AD10" s="125">
        <v>1301.4380000000001</v>
      </c>
      <c r="AE10" s="127">
        <v>710</v>
      </c>
      <c r="AF10" s="125">
        <v>1301.682</v>
      </c>
      <c r="AG10" s="127">
        <v>690</v>
      </c>
      <c r="AH10" s="125">
        <v>381.78899999999999</v>
      </c>
      <c r="AI10" s="127">
        <v>690</v>
      </c>
      <c r="AJ10" s="125">
        <v>398.166</v>
      </c>
    </row>
    <row r="11" spans="1:36" ht="14.25">
      <c r="A11" s="128">
        <v>720</v>
      </c>
      <c r="B11" s="124">
        <v>797.16499999999996</v>
      </c>
      <c r="C11" s="128">
        <v>730</v>
      </c>
      <c r="D11" s="125">
        <v>791.27800000000002</v>
      </c>
      <c r="E11" s="126">
        <v>720</v>
      </c>
      <c r="F11" s="125">
        <v>1634.201</v>
      </c>
      <c r="G11" s="127">
        <v>720</v>
      </c>
      <c r="H11" s="125">
        <v>1633.585</v>
      </c>
      <c r="I11" s="127">
        <v>720</v>
      </c>
      <c r="J11" s="125">
        <v>1380.2629999999999</v>
      </c>
      <c r="K11" s="127">
        <v>720</v>
      </c>
      <c r="L11" s="125">
        <v>1380.8969999999999</v>
      </c>
      <c r="M11" s="127">
        <v>720</v>
      </c>
      <c r="N11" s="125">
        <v>1380.502</v>
      </c>
      <c r="O11" s="127">
        <v>700</v>
      </c>
      <c r="P11" s="125">
        <v>1380.944</v>
      </c>
      <c r="Q11" s="127">
        <v>720</v>
      </c>
      <c r="R11" s="125">
        <v>1380.6890000000001</v>
      </c>
      <c r="S11" s="127">
        <v>720</v>
      </c>
      <c r="T11" s="125">
        <v>1380.7539999999999</v>
      </c>
      <c r="U11" s="127">
        <v>710</v>
      </c>
      <c r="V11" s="125">
        <v>1378.655</v>
      </c>
      <c r="W11" s="127">
        <v>720</v>
      </c>
      <c r="X11" s="125">
        <v>1379.066</v>
      </c>
      <c r="Y11" s="127">
        <v>720</v>
      </c>
      <c r="Z11" s="125">
        <v>1377.154</v>
      </c>
      <c r="AA11" s="127">
        <v>720</v>
      </c>
      <c r="AB11" s="125">
        <v>1376.239</v>
      </c>
      <c r="AC11" s="127">
        <v>710</v>
      </c>
      <c r="AD11" s="125">
        <v>1301.1189999999999</v>
      </c>
      <c r="AE11" s="127">
        <v>720</v>
      </c>
      <c r="AF11" s="125">
        <v>1301.3879999999999</v>
      </c>
      <c r="AG11" s="127">
        <v>700</v>
      </c>
      <c r="AH11" s="125">
        <v>381.68700000000001</v>
      </c>
      <c r="AI11" s="127">
        <v>700</v>
      </c>
      <c r="AJ11" s="125">
        <v>398.04899999999998</v>
      </c>
    </row>
    <row r="12" spans="1:36" ht="14.25">
      <c r="A12" s="128">
        <v>730</v>
      </c>
      <c r="B12" s="124">
        <v>796.88099999999997</v>
      </c>
      <c r="C12" s="128">
        <v>740</v>
      </c>
      <c r="D12" s="125">
        <v>790.99300000000005</v>
      </c>
      <c r="E12" s="126">
        <v>730</v>
      </c>
      <c r="F12" s="125">
        <v>1633.8050000000001</v>
      </c>
      <c r="G12" s="127">
        <v>730</v>
      </c>
      <c r="H12" s="125">
        <v>1633.173</v>
      </c>
      <c r="I12" s="127">
        <v>730</v>
      </c>
      <c r="J12" s="125">
        <v>1379.92</v>
      </c>
      <c r="K12" s="127">
        <v>730</v>
      </c>
      <c r="L12" s="125">
        <v>1380.54</v>
      </c>
      <c r="M12" s="127">
        <v>730</v>
      </c>
      <c r="N12" s="125">
        <v>1380.1469999999999</v>
      </c>
      <c r="O12" s="127">
        <v>710</v>
      </c>
      <c r="P12" s="125">
        <v>1380.5930000000001</v>
      </c>
      <c r="Q12" s="127">
        <v>730</v>
      </c>
      <c r="R12" s="125">
        <v>1380.3409999999999</v>
      </c>
      <c r="S12" s="127">
        <v>730</v>
      </c>
      <c r="T12" s="125">
        <v>1380.4110000000001</v>
      </c>
      <c r="U12" s="127">
        <v>720</v>
      </c>
      <c r="V12" s="125">
        <v>1378.327</v>
      </c>
      <c r="W12" s="127">
        <v>730</v>
      </c>
      <c r="X12" s="125">
        <v>1378.7180000000001</v>
      </c>
      <c r="Y12" s="127">
        <v>730</v>
      </c>
      <c r="Z12" s="125">
        <v>1376.809</v>
      </c>
      <c r="AA12" s="127">
        <v>730</v>
      </c>
      <c r="AB12" s="125">
        <v>1375.905</v>
      </c>
      <c r="AC12" s="127">
        <v>720</v>
      </c>
      <c r="AD12" s="125">
        <v>1300.777</v>
      </c>
      <c r="AE12" s="127">
        <v>730</v>
      </c>
      <c r="AF12" s="125">
        <v>1301.07</v>
      </c>
      <c r="AG12" s="127">
        <v>710</v>
      </c>
      <c r="AH12" s="125">
        <v>381.57799999999997</v>
      </c>
      <c r="AI12" s="127">
        <v>710</v>
      </c>
      <c r="AJ12" s="125">
        <v>397.92599999999999</v>
      </c>
    </row>
    <row r="13" spans="1:36" ht="14.25">
      <c r="A13" s="128">
        <v>740</v>
      </c>
      <c r="B13" s="124">
        <v>796.57500000000005</v>
      </c>
      <c r="C13" s="128">
        <v>750</v>
      </c>
      <c r="D13" s="125">
        <v>790.68499999999995</v>
      </c>
      <c r="E13" s="126">
        <v>740</v>
      </c>
      <c r="F13" s="125">
        <v>1633.3789999999999</v>
      </c>
      <c r="G13" s="127">
        <v>740</v>
      </c>
      <c r="H13" s="125">
        <v>1632.731</v>
      </c>
      <c r="I13" s="127">
        <v>740</v>
      </c>
      <c r="J13" s="125">
        <v>1379.5530000000001</v>
      </c>
      <c r="K13" s="127">
        <v>740</v>
      </c>
      <c r="L13" s="125">
        <v>1380.1579999999999</v>
      </c>
      <c r="M13" s="127">
        <v>740</v>
      </c>
      <c r="N13" s="125">
        <v>1379.7670000000001</v>
      </c>
      <c r="O13" s="127">
        <v>720</v>
      </c>
      <c r="P13" s="125">
        <v>1380.2190000000001</v>
      </c>
      <c r="Q13" s="127">
        <v>740</v>
      </c>
      <c r="R13" s="125">
        <v>1379.97</v>
      </c>
      <c r="S13" s="127">
        <v>740</v>
      </c>
      <c r="T13" s="125">
        <v>1380.0440000000001</v>
      </c>
      <c r="U13" s="127">
        <v>730</v>
      </c>
      <c r="V13" s="125">
        <v>1377.9739999999999</v>
      </c>
      <c r="W13" s="127">
        <v>740</v>
      </c>
      <c r="X13" s="125">
        <v>1378.346</v>
      </c>
      <c r="Y13" s="127">
        <v>740</v>
      </c>
      <c r="Z13" s="125">
        <v>1376.44</v>
      </c>
      <c r="AA13" s="127">
        <v>740</v>
      </c>
      <c r="AB13" s="125">
        <v>1375.546</v>
      </c>
      <c r="AC13" s="127">
        <v>730</v>
      </c>
      <c r="AD13" s="125">
        <v>1300.4110000000001</v>
      </c>
      <c r="AE13" s="127">
        <v>740</v>
      </c>
      <c r="AF13" s="125">
        <v>1300.7270000000001</v>
      </c>
      <c r="AG13" s="127">
        <v>720</v>
      </c>
      <c r="AH13" s="125">
        <v>381.46199999999999</v>
      </c>
      <c r="AI13" s="127">
        <v>720</v>
      </c>
      <c r="AJ13" s="125">
        <v>397.79500000000002</v>
      </c>
    </row>
    <row r="14" spans="1:36" ht="14.25">
      <c r="A14" s="128">
        <v>750</v>
      </c>
      <c r="B14" s="124">
        <v>796.24800000000005</v>
      </c>
      <c r="C14" s="128">
        <v>760</v>
      </c>
      <c r="D14" s="125">
        <v>790.35699999999997</v>
      </c>
      <c r="E14" s="126">
        <v>750</v>
      </c>
      <c r="F14" s="125">
        <v>1632.925</v>
      </c>
      <c r="G14" s="127">
        <v>750</v>
      </c>
      <c r="H14" s="125">
        <v>1632.2570000000001</v>
      </c>
      <c r="I14" s="127">
        <v>750</v>
      </c>
      <c r="J14" s="125">
        <v>1379.162</v>
      </c>
      <c r="K14" s="127">
        <v>750</v>
      </c>
      <c r="L14" s="125">
        <v>1379.751</v>
      </c>
      <c r="M14" s="127">
        <v>750</v>
      </c>
      <c r="N14" s="125">
        <v>1379.3630000000001</v>
      </c>
      <c r="O14" s="127">
        <v>730</v>
      </c>
      <c r="P14" s="125">
        <v>1379.82</v>
      </c>
      <c r="Q14" s="127">
        <v>750</v>
      </c>
      <c r="R14" s="125">
        <v>1379.5740000000001</v>
      </c>
      <c r="S14" s="127">
        <v>750</v>
      </c>
      <c r="T14" s="125">
        <v>1379.653</v>
      </c>
      <c r="U14" s="127">
        <v>740</v>
      </c>
      <c r="V14" s="125">
        <v>1377.597</v>
      </c>
      <c r="W14" s="127">
        <v>750</v>
      </c>
      <c r="X14" s="125">
        <v>1377.9490000000001</v>
      </c>
      <c r="Y14" s="127">
        <v>750</v>
      </c>
      <c r="Z14" s="125">
        <v>1376.049</v>
      </c>
      <c r="AA14" s="127">
        <v>750</v>
      </c>
      <c r="AB14" s="125">
        <v>1375.164</v>
      </c>
      <c r="AC14" s="127">
        <v>740</v>
      </c>
      <c r="AD14" s="125">
        <v>1300.021</v>
      </c>
      <c r="AE14" s="127">
        <v>750</v>
      </c>
      <c r="AF14" s="125">
        <v>1300.3610000000001</v>
      </c>
      <c r="AG14" s="127">
        <v>730</v>
      </c>
      <c r="AH14" s="125">
        <v>381.33699999999999</v>
      </c>
      <c r="AI14" s="127">
        <v>730</v>
      </c>
      <c r="AJ14" s="125">
        <v>397.65600000000001</v>
      </c>
    </row>
    <row r="15" spans="1:36" ht="14.25">
      <c r="A15" s="128">
        <v>760</v>
      </c>
      <c r="B15" s="124">
        <v>795.90099999999995</v>
      </c>
      <c r="C15" s="128">
        <v>770</v>
      </c>
      <c r="D15" s="125">
        <v>790.00800000000004</v>
      </c>
      <c r="E15" s="126">
        <v>760</v>
      </c>
      <c r="F15" s="125">
        <v>1632.44</v>
      </c>
      <c r="G15" s="127">
        <v>760</v>
      </c>
      <c r="H15" s="125">
        <v>1631.752</v>
      </c>
      <c r="I15" s="127">
        <v>760</v>
      </c>
      <c r="J15" s="125">
        <v>1378.7470000000001</v>
      </c>
      <c r="K15" s="127">
        <v>760</v>
      </c>
      <c r="L15" s="125">
        <v>1379.319</v>
      </c>
      <c r="M15" s="127">
        <v>760</v>
      </c>
      <c r="N15" s="125">
        <v>1378.9349999999999</v>
      </c>
      <c r="O15" s="127">
        <v>740</v>
      </c>
      <c r="P15" s="125">
        <v>1379.3989999999999</v>
      </c>
      <c r="Q15" s="127">
        <v>760</v>
      </c>
      <c r="R15" s="125">
        <v>1379.153</v>
      </c>
      <c r="S15" s="127">
        <v>760</v>
      </c>
      <c r="T15" s="125">
        <v>1379.2370000000001</v>
      </c>
      <c r="U15" s="127">
        <v>750</v>
      </c>
      <c r="V15" s="125">
        <v>1377.1949999999999</v>
      </c>
      <c r="W15" s="127">
        <v>760</v>
      </c>
      <c r="X15" s="125">
        <v>1377.528</v>
      </c>
      <c r="Y15" s="127">
        <v>760</v>
      </c>
      <c r="Z15" s="125">
        <v>1375.634</v>
      </c>
      <c r="AA15" s="127">
        <v>760</v>
      </c>
      <c r="AB15" s="125">
        <v>1374.758</v>
      </c>
      <c r="AC15" s="127">
        <v>750</v>
      </c>
      <c r="AD15" s="125">
        <v>1299.607</v>
      </c>
      <c r="AE15" s="127">
        <v>760</v>
      </c>
      <c r="AF15" s="125">
        <v>1299.97</v>
      </c>
      <c r="AG15" s="127">
        <v>740</v>
      </c>
      <c r="AH15" s="125">
        <v>381.20299999999997</v>
      </c>
      <c r="AI15" s="127">
        <v>740</v>
      </c>
      <c r="AJ15" s="125">
        <v>397.50799999999998</v>
      </c>
    </row>
    <row r="16" spans="1:36" ht="14.25">
      <c r="A16" s="128">
        <v>770</v>
      </c>
      <c r="B16" s="124">
        <v>795.53499999999997</v>
      </c>
      <c r="C16" s="128">
        <v>780</v>
      </c>
      <c r="D16" s="125">
        <v>789.63800000000003</v>
      </c>
      <c r="E16" s="126">
        <v>770</v>
      </c>
      <c r="F16" s="125">
        <v>1631.9259999999999</v>
      </c>
      <c r="G16" s="127">
        <v>770</v>
      </c>
      <c r="H16" s="125">
        <v>1631.2149999999999</v>
      </c>
      <c r="I16" s="127">
        <v>770</v>
      </c>
      <c r="J16" s="125">
        <v>1378.307</v>
      </c>
      <c r="K16" s="127">
        <v>770</v>
      </c>
      <c r="L16" s="125">
        <v>1378.8620000000001</v>
      </c>
      <c r="M16" s="127">
        <v>770</v>
      </c>
      <c r="N16" s="125">
        <v>1378.482</v>
      </c>
      <c r="O16" s="127">
        <v>750</v>
      </c>
      <c r="P16" s="125">
        <v>1378.953</v>
      </c>
      <c r="Q16" s="127">
        <v>770</v>
      </c>
      <c r="R16" s="125">
        <v>1378.7090000000001</v>
      </c>
      <c r="S16" s="127">
        <v>770</v>
      </c>
      <c r="T16" s="125">
        <v>1378.798</v>
      </c>
      <c r="U16" s="127">
        <v>760</v>
      </c>
      <c r="V16" s="125">
        <v>1376.768</v>
      </c>
      <c r="W16" s="127">
        <v>770</v>
      </c>
      <c r="X16" s="125">
        <v>1377.0830000000001</v>
      </c>
      <c r="Y16" s="127">
        <v>770</v>
      </c>
      <c r="Z16" s="125">
        <v>1375.1969999999999</v>
      </c>
      <c r="AA16" s="127">
        <v>770</v>
      </c>
      <c r="AB16" s="125">
        <v>1374.328</v>
      </c>
      <c r="AC16" s="127">
        <v>760</v>
      </c>
      <c r="AD16" s="125">
        <v>1299.1690000000001</v>
      </c>
      <c r="AE16" s="127">
        <v>770</v>
      </c>
      <c r="AF16" s="125">
        <v>1299.5540000000001</v>
      </c>
      <c r="AG16" s="127">
        <v>750</v>
      </c>
      <c r="AH16" s="125">
        <v>381.06</v>
      </c>
      <c r="AI16" s="127">
        <v>750</v>
      </c>
      <c r="AJ16" s="125">
        <v>397.35199999999998</v>
      </c>
    </row>
    <row r="17" spans="1:36" ht="14.25">
      <c r="A17" s="128">
        <v>780</v>
      </c>
      <c r="B17" s="124">
        <v>795.15</v>
      </c>
      <c r="C17" s="128">
        <v>790</v>
      </c>
      <c r="D17" s="125">
        <v>789.24800000000005</v>
      </c>
      <c r="E17" s="126">
        <v>780</v>
      </c>
      <c r="F17" s="125">
        <v>1631.3820000000001</v>
      </c>
      <c r="G17" s="127">
        <v>780</v>
      </c>
      <c r="H17" s="125">
        <v>1630.6469999999999</v>
      </c>
      <c r="I17" s="127">
        <v>780</v>
      </c>
      <c r="J17" s="125">
        <v>1377.8430000000001</v>
      </c>
      <c r="K17" s="127">
        <v>780</v>
      </c>
      <c r="L17" s="125">
        <v>1378.3789999999999</v>
      </c>
      <c r="M17" s="127">
        <v>780</v>
      </c>
      <c r="N17" s="125">
        <v>1378.0039999999999</v>
      </c>
      <c r="O17" s="127">
        <v>760</v>
      </c>
      <c r="P17" s="125">
        <v>1378.4839999999999</v>
      </c>
      <c r="Q17" s="127">
        <v>780</v>
      </c>
      <c r="R17" s="125">
        <v>1378.241</v>
      </c>
      <c r="S17" s="127">
        <v>780</v>
      </c>
      <c r="T17" s="125">
        <v>1378.335</v>
      </c>
      <c r="U17" s="127">
        <v>770</v>
      </c>
      <c r="V17" s="125">
        <v>1376.317</v>
      </c>
      <c r="W17" s="127">
        <v>780</v>
      </c>
      <c r="X17" s="125">
        <v>1376.614</v>
      </c>
      <c r="Y17" s="127">
        <v>780</v>
      </c>
      <c r="Z17" s="125">
        <v>1374.7360000000001</v>
      </c>
      <c r="AA17" s="127">
        <v>780</v>
      </c>
      <c r="AB17" s="125">
        <v>1373.874</v>
      </c>
      <c r="AC17" s="127">
        <v>770</v>
      </c>
      <c r="AD17" s="125">
        <v>1298.7070000000001</v>
      </c>
      <c r="AE17" s="127">
        <v>780</v>
      </c>
      <c r="AF17" s="125">
        <v>1299.114</v>
      </c>
      <c r="AG17" s="127">
        <v>760</v>
      </c>
      <c r="AH17" s="125">
        <v>380.90800000000002</v>
      </c>
      <c r="AI17" s="127">
        <v>760</v>
      </c>
      <c r="AJ17" s="125">
        <v>397.18700000000001</v>
      </c>
    </row>
    <row r="18" spans="1:36" ht="14.25">
      <c r="A18" s="128">
        <v>790</v>
      </c>
      <c r="B18" s="124">
        <v>794.745</v>
      </c>
      <c r="C18" s="128">
        <v>800</v>
      </c>
      <c r="D18" s="125">
        <v>788.83799999999997</v>
      </c>
      <c r="E18" s="126">
        <v>790</v>
      </c>
      <c r="F18" s="125">
        <v>1630.809</v>
      </c>
      <c r="G18" s="127">
        <v>790</v>
      </c>
      <c r="H18" s="125">
        <v>1630.047</v>
      </c>
      <c r="I18" s="127">
        <v>790</v>
      </c>
      <c r="J18" s="125">
        <v>1377.355</v>
      </c>
      <c r="K18" s="127">
        <v>790</v>
      </c>
      <c r="L18" s="125">
        <v>1377.8710000000001</v>
      </c>
      <c r="M18" s="127">
        <v>790</v>
      </c>
      <c r="N18" s="125">
        <v>1377.502</v>
      </c>
      <c r="O18" s="127">
        <v>770</v>
      </c>
      <c r="P18" s="125">
        <v>1377.992</v>
      </c>
      <c r="Q18" s="127">
        <v>790</v>
      </c>
      <c r="R18" s="125">
        <v>1377.748</v>
      </c>
      <c r="S18" s="127">
        <v>790</v>
      </c>
      <c r="T18" s="125">
        <v>1377.848</v>
      </c>
      <c r="U18" s="127">
        <v>780</v>
      </c>
      <c r="V18" s="125">
        <v>1375.8409999999999</v>
      </c>
      <c r="W18" s="127">
        <v>790</v>
      </c>
      <c r="X18" s="125">
        <v>1376.12</v>
      </c>
      <c r="Y18" s="127">
        <v>790</v>
      </c>
      <c r="Z18" s="125">
        <v>1374.251</v>
      </c>
      <c r="AA18" s="127">
        <v>790</v>
      </c>
      <c r="AB18" s="129">
        <v>1373.396</v>
      </c>
      <c r="AC18" s="127">
        <v>780</v>
      </c>
      <c r="AD18" s="125">
        <v>1298.221</v>
      </c>
      <c r="AE18" s="127">
        <v>790</v>
      </c>
      <c r="AF18" s="125">
        <v>1298.6500000000001</v>
      </c>
      <c r="AG18" s="127">
        <v>770</v>
      </c>
      <c r="AH18" s="125">
        <v>380.74799999999999</v>
      </c>
      <c r="AI18" s="127">
        <v>770</v>
      </c>
      <c r="AJ18" s="125">
        <v>397.01299999999998</v>
      </c>
    </row>
    <row r="19" spans="1:36" ht="14.25">
      <c r="A19" s="128">
        <v>800</v>
      </c>
      <c r="B19" s="124">
        <v>794.32100000000003</v>
      </c>
      <c r="C19" s="128">
        <v>810</v>
      </c>
      <c r="D19" s="125">
        <v>788.40800000000002</v>
      </c>
      <c r="E19" s="126">
        <v>800</v>
      </c>
      <c r="F19" s="125">
        <v>1630.2059999999999</v>
      </c>
      <c r="G19" s="127">
        <v>800</v>
      </c>
      <c r="H19" s="125">
        <v>1629.4159999999999</v>
      </c>
      <c r="I19" s="127">
        <v>800</v>
      </c>
      <c r="J19" s="125">
        <v>1376.8430000000001</v>
      </c>
      <c r="K19" s="127">
        <v>800</v>
      </c>
      <c r="L19" s="125">
        <v>1377.338</v>
      </c>
      <c r="M19" s="127">
        <v>800</v>
      </c>
      <c r="N19" s="125">
        <v>1376.9760000000001</v>
      </c>
      <c r="O19" s="127">
        <v>780</v>
      </c>
      <c r="P19" s="125">
        <v>1377.4749999999999</v>
      </c>
      <c r="Q19" s="127">
        <v>800</v>
      </c>
      <c r="R19" s="125">
        <v>1377.231</v>
      </c>
      <c r="S19" s="127">
        <v>800</v>
      </c>
      <c r="T19" s="125">
        <v>1377.337</v>
      </c>
      <c r="U19" s="127">
        <v>790</v>
      </c>
      <c r="V19" s="125">
        <v>1375.34</v>
      </c>
      <c r="W19" s="127">
        <v>800</v>
      </c>
      <c r="X19" s="125">
        <v>1375.6020000000001</v>
      </c>
      <c r="Y19" s="127">
        <v>800</v>
      </c>
      <c r="Z19" s="125">
        <v>1373.7439999999999</v>
      </c>
      <c r="AA19" s="127">
        <v>800</v>
      </c>
      <c r="AB19" s="129">
        <v>1372.894</v>
      </c>
      <c r="AC19" s="127">
        <v>790</v>
      </c>
      <c r="AD19" s="125">
        <v>1297.711</v>
      </c>
      <c r="AE19" s="127">
        <v>800</v>
      </c>
      <c r="AF19" s="125">
        <v>1298.162</v>
      </c>
      <c r="AG19" s="127">
        <v>780</v>
      </c>
      <c r="AH19" s="125">
        <v>380.57900000000001</v>
      </c>
      <c r="AI19" s="127">
        <v>780</v>
      </c>
      <c r="AJ19" s="125">
        <v>396.83</v>
      </c>
    </row>
    <row r="20" spans="1:36" ht="14.25">
      <c r="A20" s="128">
        <v>810</v>
      </c>
      <c r="B20" s="124">
        <v>793.87699999999995</v>
      </c>
      <c r="C20" s="128">
        <v>820</v>
      </c>
      <c r="D20" s="125">
        <v>787.95699999999999</v>
      </c>
      <c r="E20" s="126">
        <v>810</v>
      </c>
      <c r="F20" s="125">
        <v>1629.5730000000001</v>
      </c>
      <c r="G20" s="127">
        <v>810</v>
      </c>
      <c r="H20" s="125">
        <v>1628.7529999999999</v>
      </c>
      <c r="I20" s="127">
        <v>810</v>
      </c>
      <c r="J20" s="125">
        <v>1376.307</v>
      </c>
      <c r="K20" s="127">
        <v>810</v>
      </c>
      <c r="L20" s="125">
        <v>1376.78</v>
      </c>
      <c r="M20" s="127">
        <v>810</v>
      </c>
      <c r="N20" s="125">
        <v>1376.425</v>
      </c>
      <c r="O20" s="127">
        <v>790</v>
      </c>
      <c r="P20" s="125">
        <v>1376.9349999999999</v>
      </c>
      <c r="Q20" s="127">
        <v>810</v>
      </c>
      <c r="R20" s="125">
        <v>1376.691</v>
      </c>
      <c r="S20" s="127">
        <v>810</v>
      </c>
      <c r="T20" s="125">
        <v>1376.8019999999999</v>
      </c>
      <c r="U20" s="127">
        <v>800</v>
      </c>
      <c r="V20" s="125">
        <v>1374.8150000000001</v>
      </c>
      <c r="W20" s="127">
        <v>810</v>
      </c>
      <c r="X20" s="125">
        <v>1375.059</v>
      </c>
      <c r="Y20" s="127">
        <v>810</v>
      </c>
      <c r="Z20" s="125">
        <v>1373.213</v>
      </c>
      <c r="AA20" s="127">
        <v>810</v>
      </c>
      <c r="AB20" s="125">
        <v>1372.3689999999999</v>
      </c>
      <c r="AC20" s="127">
        <v>800</v>
      </c>
      <c r="AD20" s="125">
        <v>1297.1780000000001</v>
      </c>
      <c r="AE20" s="127">
        <v>810</v>
      </c>
      <c r="AF20" s="125">
        <v>1297.6489999999999</v>
      </c>
      <c r="AG20" s="127">
        <v>790</v>
      </c>
      <c r="AH20" s="125">
        <v>380.40100000000001</v>
      </c>
      <c r="AI20" s="127">
        <v>790</v>
      </c>
      <c r="AJ20" s="125">
        <v>396.63900000000001</v>
      </c>
    </row>
    <row r="21" spans="1:36" ht="14.25">
      <c r="A21" s="128">
        <v>820</v>
      </c>
      <c r="B21" s="124">
        <v>793.41300000000001</v>
      </c>
      <c r="C21" s="128">
        <v>830</v>
      </c>
      <c r="D21" s="125">
        <v>787.48500000000001</v>
      </c>
      <c r="E21" s="126">
        <v>820</v>
      </c>
      <c r="F21" s="125">
        <v>1628.9110000000001</v>
      </c>
      <c r="G21" s="127">
        <v>820</v>
      </c>
      <c r="H21" s="125">
        <v>1628.059</v>
      </c>
      <c r="I21" s="127">
        <v>820</v>
      </c>
      <c r="J21" s="125">
        <v>1375.7460000000001</v>
      </c>
      <c r="K21" s="127">
        <v>820</v>
      </c>
      <c r="L21" s="125">
        <v>1376.1969999999999</v>
      </c>
      <c r="M21" s="127">
        <v>820</v>
      </c>
      <c r="N21" s="125">
        <v>1375.8510000000001</v>
      </c>
      <c r="O21" s="127">
        <v>800</v>
      </c>
      <c r="P21" s="125">
        <v>1376.3720000000001</v>
      </c>
      <c r="Q21" s="127">
        <v>820</v>
      </c>
      <c r="R21" s="129">
        <v>1376.126</v>
      </c>
      <c r="S21" s="127">
        <v>820</v>
      </c>
      <c r="T21" s="125">
        <v>1376.2429999999999</v>
      </c>
      <c r="U21" s="127">
        <v>810</v>
      </c>
      <c r="V21" s="125">
        <v>1374.2639999999999</v>
      </c>
      <c r="W21" s="127">
        <v>820</v>
      </c>
      <c r="X21" s="125">
        <v>1374.492</v>
      </c>
      <c r="Y21" s="127">
        <v>820</v>
      </c>
      <c r="Z21" s="125">
        <v>1372.6590000000001</v>
      </c>
      <c r="AA21" s="127">
        <v>820</v>
      </c>
      <c r="AB21" s="125">
        <v>1371.819</v>
      </c>
      <c r="AC21" s="127">
        <v>810</v>
      </c>
      <c r="AD21" s="125">
        <v>1296.6210000000001</v>
      </c>
      <c r="AE21" s="127">
        <v>820</v>
      </c>
      <c r="AF21" s="125">
        <v>1297.1110000000001</v>
      </c>
      <c r="AG21" s="127">
        <v>800</v>
      </c>
      <c r="AH21" s="125">
        <v>380.21600000000001</v>
      </c>
      <c r="AI21" s="127">
        <v>800</v>
      </c>
      <c r="AJ21" s="125">
        <v>396.44099999999997</v>
      </c>
    </row>
    <row r="22" spans="1:36" ht="14.25">
      <c r="A22" s="128">
        <v>830</v>
      </c>
      <c r="B22" s="124">
        <v>792.92899999999997</v>
      </c>
      <c r="C22" s="128">
        <v>840</v>
      </c>
      <c r="D22" s="125">
        <v>786.99099999999999</v>
      </c>
      <c r="E22" s="126">
        <v>830</v>
      </c>
      <c r="F22" s="125">
        <v>1628.2190000000001</v>
      </c>
      <c r="G22" s="127">
        <v>830</v>
      </c>
      <c r="H22" s="125">
        <v>1627.3330000000001</v>
      </c>
      <c r="I22" s="127">
        <v>830</v>
      </c>
      <c r="J22" s="125">
        <v>1375.162</v>
      </c>
      <c r="K22" s="127">
        <v>830</v>
      </c>
      <c r="L22" s="125">
        <v>1375.588</v>
      </c>
      <c r="M22" s="127">
        <v>830</v>
      </c>
      <c r="N22" s="125">
        <v>1375.252</v>
      </c>
      <c r="O22" s="127">
        <v>810</v>
      </c>
      <c r="P22" s="125">
        <v>1375.7840000000001</v>
      </c>
      <c r="Q22" s="127">
        <v>830</v>
      </c>
      <c r="R22" s="129">
        <v>1375.538</v>
      </c>
      <c r="S22" s="127">
        <v>830</v>
      </c>
      <c r="T22" s="125">
        <v>1375.66</v>
      </c>
      <c r="U22" s="127">
        <v>820</v>
      </c>
      <c r="V22" s="125">
        <v>1373.69</v>
      </c>
      <c r="W22" s="127">
        <v>830</v>
      </c>
      <c r="X22" s="125">
        <v>1373.9</v>
      </c>
      <c r="Y22" s="127">
        <v>830</v>
      </c>
      <c r="Z22" s="125">
        <v>1372.0820000000001</v>
      </c>
      <c r="AA22" s="127">
        <v>830</v>
      </c>
      <c r="AB22" s="125">
        <v>1371.2460000000001</v>
      </c>
      <c r="AC22" s="127">
        <v>820</v>
      </c>
      <c r="AD22" s="125">
        <v>1296.04</v>
      </c>
      <c r="AE22" s="127">
        <v>830</v>
      </c>
      <c r="AF22" s="125">
        <v>1296.549</v>
      </c>
      <c r="AG22" s="127">
        <v>810</v>
      </c>
      <c r="AH22" s="125">
        <v>380.024</v>
      </c>
      <c r="AI22" s="127">
        <v>810</v>
      </c>
      <c r="AJ22" s="125">
        <v>396.23599999999999</v>
      </c>
    </row>
    <row r="23" spans="1:36" ht="14.25">
      <c r="A23" s="128">
        <v>840</v>
      </c>
      <c r="B23" s="124">
        <v>792.423</v>
      </c>
      <c r="C23" s="128">
        <v>850</v>
      </c>
      <c r="D23" s="125">
        <v>786.47500000000002</v>
      </c>
      <c r="E23" s="126">
        <v>840</v>
      </c>
      <c r="F23" s="125">
        <v>1627.498</v>
      </c>
      <c r="G23" s="127">
        <v>840</v>
      </c>
      <c r="H23" s="125">
        <v>1626.576</v>
      </c>
      <c r="I23" s="127">
        <v>840</v>
      </c>
      <c r="J23" s="125">
        <v>1374.5530000000001</v>
      </c>
      <c r="K23" s="127">
        <v>840</v>
      </c>
      <c r="L23" s="125">
        <v>1374.9549999999999</v>
      </c>
      <c r="M23" s="127">
        <v>840</v>
      </c>
      <c r="N23" s="125">
        <v>1374.6279999999999</v>
      </c>
      <c r="O23" s="127">
        <v>820</v>
      </c>
      <c r="P23" s="125">
        <v>1375.174</v>
      </c>
      <c r="Q23" s="127">
        <v>840</v>
      </c>
      <c r="R23" s="125">
        <v>1374.925</v>
      </c>
      <c r="S23" s="127">
        <v>840</v>
      </c>
      <c r="T23" s="125">
        <v>1375.0519999999999</v>
      </c>
      <c r="U23" s="127">
        <v>830</v>
      </c>
      <c r="V23" s="125">
        <v>1373.09</v>
      </c>
      <c r="W23" s="127">
        <v>840</v>
      </c>
      <c r="X23" s="125">
        <v>1373.2840000000001</v>
      </c>
      <c r="Y23" s="127">
        <v>840</v>
      </c>
      <c r="Z23" s="125">
        <v>1371.482</v>
      </c>
      <c r="AA23" s="127">
        <v>840</v>
      </c>
      <c r="AB23" s="125">
        <v>1370.6489999999999</v>
      </c>
      <c r="AC23" s="127">
        <v>830</v>
      </c>
      <c r="AD23" s="125">
        <v>1295.4349999999999</v>
      </c>
      <c r="AE23" s="127">
        <v>840</v>
      </c>
      <c r="AF23" s="125">
        <v>1295.963</v>
      </c>
      <c r="AG23" s="127">
        <v>820</v>
      </c>
      <c r="AH23" s="125">
        <v>379.82600000000002</v>
      </c>
      <c r="AI23" s="127">
        <v>820</v>
      </c>
      <c r="AJ23" s="125">
        <v>396.024</v>
      </c>
    </row>
    <row r="24" spans="1:36" ht="14.25">
      <c r="A24" s="128">
        <v>850</v>
      </c>
      <c r="B24" s="124">
        <v>791.89499999999998</v>
      </c>
      <c r="C24" s="128">
        <v>860</v>
      </c>
      <c r="D24" s="125">
        <v>785.93700000000001</v>
      </c>
      <c r="E24" s="126">
        <v>850</v>
      </c>
      <c r="F24" s="125">
        <v>1626.7470000000001</v>
      </c>
      <c r="G24" s="127">
        <v>850</v>
      </c>
      <c r="H24" s="125">
        <v>1625.787</v>
      </c>
      <c r="I24" s="127">
        <v>850</v>
      </c>
      <c r="J24" s="125">
        <v>1373.9190000000001</v>
      </c>
      <c r="K24" s="127">
        <v>850</v>
      </c>
      <c r="L24" s="125">
        <v>1374.296</v>
      </c>
      <c r="M24" s="127">
        <v>850</v>
      </c>
      <c r="N24" s="125">
        <v>1373.98</v>
      </c>
      <c r="O24" s="127">
        <v>830</v>
      </c>
      <c r="P24" s="125">
        <v>1374.539</v>
      </c>
      <c r="Q24" s="127">
        <v>850</v>
      </c>
      <c r="R24" s="125">
        <v>1374.289</v>
      </c>
      <c r="S24" s="127">
        <v>850</v>
      </c>
      <c r="T24" s="125">
        <v>1374.421</v>
      </c>
      <c r="U24" s="127">
        <v>840</v>
      </c>
      <c r="V24" s="125">
        <v>1372.4659999999999</v>
      </c>
      <c r="W24" s="127">
        <v>850</v>
      </c>
      <c r="X24" s="125">
        <v>1372.644</v>
      </c>
      <c r="Y24" s="127">
        <v>850</v>
      </c>
      <c r="Z24" s="125">
        <v>1370.8589999999999</v>
      </c>
      <c r="AA24" s="127">
        <v>850</v>
      </c>
      <c r="AB24" s="125">
        <v>1370.027</v>
      </c>
      <c r="AC24" s="127">
        <v>840</v>
      </c>
      <c r="AD24" s="125">
        <v>1294.807</v>
      </c>
      <c r="AE24" s="127">
        <v>850</v>
      </c>
      <c r="AF24" s="125">
        <v>1295.3520000000001</v>
      </c>
      <c r="AG24" s="127">
        <v>830</v>
      </c>
      <c r="AH24" s="125">
        <v>379.62099999999998</v>
      </c>
      <c r="AI24" s="127">
        <v>830</v>
      </c>
      <c r="AJ24" s="125">
        <v>395.80500000000001</v>
      </c>
    </row>
    <row r="25" spans="1:36" ht="14.25">
      <c r="A25" s="128">
        <v>860</v>
      </c>
      <c r="B25" s="124">
        <v>791.34699999999998</v>
      </c>
      <c r="C25" s="128">
        <v>870</v>
      </c>
      <c r="D25" s="125">
        <v>785.37800000000004</v>
      </c>
      <c r="E25" s="126">
        <v>860</v>
      </c>
      <c r="F25" s="125">
        <v>1625.9659999999999</v>
      </c>
      <c r="G25" s="127">
        <v>860</v>
      </c>
      <c r="H25" s="125">
        <v>1624.9659999999999</v>
      </c>
      <c r="I25" s="127">
        <v>860</v>
      </c>
      <c r="J25" s="125">
        <v>1373.2619999999999</v>
      </c>
      <c r="K25" s="127">
        <v>860</v>
      </c>
      <c r="L25" s="125">
        <v>1373.6120000000001</v>
      </c>
      <c r="M25" s="127">
        <v>860</v>
      </c>
      <c r="N25" s="125">
        <v>1373.308</v>
      </c>
      <c r="O25" s="127">
        <v>840</v>
      </c>
      <c r="P25" s="125">
        <v>1373.8810000000001</v>
      </c>
      <c r="Q25" s="127">
        <v>860</v>
      </c>
      <c r="R25" s="125">
        <v>1373.6279999999999</v>
      </c>
      <c r="S25" s="127">
        <v>860</v>
      </c>
      <c r="T25" s="125">
        <v>1373.7650000000001</v>
      </c>
      <c r="U25" s="127">
        <v>850</v>
      </c>
      <c r="V25" s="125">
        <v>1371.817</v>
      </c>
      <c r="W25" s="127">
        <v>860</v>
      </c>
      <c r="X25" s="125">
        <v>1371.979</v>
      </c>
      <c r="Y25" s="127">
        <v>860</v>
      </c>
      <c r="Z25" s="125">
        <v>1370.213</v>
      </c>
      <c r="AA25" s="127">
        <v>860</v>
      </c>
      <c r="AB25" s="125">
        <v>1369.3820000000001</v>
      </c>
      <c r="AC25" s="127">
        <v>850</v>
      </c>
      <c r="AD25" s="125">
        <v>1294.155</v>
      </c>
      <c r="AE25" s="127">
        <v>860</v>
      </c>
      <c r="AF25" s="125">
        <v>1294.7159999999999</v>
      </c>
      <c r="AG25" s="127">
        <v>840</v>
      </c>
      <c r="AH25" s="125">
        <v>379.40899999999999</v>
      </c>
      <c r="AI25" s="127">
        <v>840</v>
      </c>
      <c r="AJ25" s="125">
        <v>395.58</v>
      </c>
    </row>
    <row r="26" spans="1:36" ht="14.25">
      <c r="A26" s="128">
        <v>870</v>
      </c>
      <c r="B26" s="124">
        <v>790.77800000000002</v>
      </c>
      <c r="C26" s="128">
        <v>880</v>
      </c>
      <c r="D26" s="125">
        <v>784.8</v>
      </c>
      <c r="E26" s="126">
        <v>870</v>
      </c>
      <c r="F26" s="125">
        <v>1625.1559999999999</v>
      </c>
      <c r="G26" s="127">
        <v>870</v>
      </c>
      <c r="H26" s="125">
        <v>1624.115</v>
      </c>
      <c r="I26" s="127">
        <v>870</v>
      </c>
      <c r="J26" s="125">
        <v>1372.5809999999999</v>
      </c>
      <c r="K26" s="127">
        <v>870</v>
      </c>
      <c r="L26" s="125">
        <v>1372.902</v>
      </c>
      <c r="M26" s="127">
        <v>870</v>
      </c>
      <c r="N26" s="125">
        <v>1372.6110000000001</v>
      </c>
      <c r="O26" s="127">
        <v>850</v>
      </c>
      <c r="P26" s="125">
        <v>1373.1990000000001</v>
      </c>
      <c r="Q26" s="127">
        <v>870</v>
      </c>
      <c r="R26" s="125">
        <v>1372.943</v>
      </c>
      <c r="S26" s="127">
        <v>870</v>
      </c>
      <c r="T26" s="125">
        <v>1373.086</v>
      </c>
      <c r="U26" s="127">
        <v>860</v>
      </c>
      <c r="V26" s="125">
        <v>1371.143</v>
      </c>
      <c r="W26" s="127">
        <v>870</v>
      </c>
      <c r="X26" s="125">
        <v>1371.29</v>
      </c>
      <c r="Y26" s="127">
        <v>870</v>
      </c>
      <c r="Z26" s="125">
        <v>1369.5429999999999</v>
      </c>
      <c r="AA26" s="127">
        <v>870</v>
      </c>
      <c r="AB26" s="125">
        <v>1368.713</v>
      </c>
      <c r="AC26" s="127">
        <v>860</v>
      </c>
      <c r="AD26" s="125">
        <v>1293.4780000000001</v>
      </c>
      <c r="AE26" s="127">
        <v>870</v>
      </c>
      <c r="AF26" s="125">
        <v>1294.057</v>
      </c>
      <c r="AG26" s="127">
        <v>850</v>
      </c>
      <c r="AH26" s="125">
        <v>379.19099999999997</v>
      </c>
      <c r="AI26" s="127">
        <v>850</v>
      </c>
      <c r="AJ26" s="125">
        <v>395.34899999999999</v>
      </c>
    </row>
    <row r="27" spans="1:36" ht="14.25">
      <c r="A27" s="128">
        <v>880</v>
      </c>
      <c r="B27" s="124">
        <v>790.19</v>
      </c>
      <c r="C27" s="128">
        <v>890</v>
      </c>
      <c r="D27" s="125">
        <v>784.20299999999997</v>
      </c>
      <c r="E27" s="126">
        <v>880</v>
      </c>
      <c r="F27" s="125">
        <v>1624.316</v>
      </c>
      <c r="G27" s="127">
        <v>880</v>
      </c>
      <c r="H27" s="125">
        <v>1623.231</v>
      </c>
      <c r="I27" s="127">
        <v>880</v>
      </c>
      <c r="J27" s="125">
        <v>1371.875</v>
      </c>
      <c r="K27" s="127">
        <v>880</v>
      </c>
      <c r="L27" s="125">
        <v>1372.1669999999999</v>
      </c>
      <c r="M27" s="127">
        <v>880</v>
      </c>
      <c r="N27" s="125">
        <v>1371.8889999999999</v>
      </c>
      <c r="O27" s="127">
        <v>860</v>
      </c>
      <c r="P27" s="125">
        <v>1372.4939999999999</v>
      </c>
      <c r="Q27" s="127">
        <v>880</v>
      </c>
      <c r="R27" s="125">
        <v>1372.2339999999999</v>
      </c>
      <c r="S27" s="127">
        <v>880</v>
      </c>
      <c r="T27" s="125">
        <v>1372.383</v>
      </c>
      <c r="U27" s="127">
        <v>870</v>
      </c>
      <c r="V27" s="125">
        <v>1370.4449999999999</v>
      </c>
      <c r="W27" s="127">
        <v>880</v>
      </c>
      <c r="X27" s="125">
        <v>1370.577</v>
      </c>
      <c r="Y27" s="127">
        <v>880</v>
      </c>
      <c r="Z27" s="125">
        <v>1368.85</v>
      </c>
      <c r="AA27" s="127">
        <v>880</v>
      </c>
      <c r="AB27" s="125">
        <v>1368.02</v>
      </c>
      <c r="AC27" s="127">
        <v>870</v>
      </c>
      <c r="AD27" s="125">
        <v>1292.778</v>
      </c>
      <c r="AE27" s="127">
        <v>880</v>
      </c>
      <c r="AF27" s="125">
        <v>1293.3720000000001</v>
      </c>
      <c r="AG27" s="127">
        <v>860</v>
      </c>
      <c r="AH27" s="125">
        <v>378.96600000000001</v>
      </c>
      <c r="AI27" s="127">
        <v>860</v>
      </c>
      <c r="AJ27" s="125">
        <v>395.11099999999999</v>
      </c>
    </row>
    <row r="28" spans="1:36" ht="14.25">
      <c r="A28" s="128">
        <v>890</v>
      </c>
      <c r="B28" s="124">
        <v>789.58399999999995</v>
      </c>
      <c r="C28" s="128">
        <v>900</v>
      </c>
      <c r="D28" s="125">
        <v>783.59</v>
      </c>
      <c r="E28" s="126">
        <v>890</v>
      </c>
      <c r="F28" s="125">
        <v>1623.4459999999999</v>
      </c>
      <c r="G28" s="127">
        <v>890</v>
      </c>
      <c r="H28" s="125">
        <v>1622.317</v>
      </c>
      <c r="I28" s="127">
        <v>890</v>
      </c>
      <c r="J28" s="125">
        <v>1371.145</v>
      </c>
      <c r="K28" s="127">
        <v>890</v>
      </c>
      <c r="L28" s="125">
        <v>1371.4069999999999</v>
      </c>
      <c r="M28" s="127">
        <v>890</v>
      </c>
      <c r="N28" s="125">
        <v>1371.143</v>
      </c>
      <c r="O28" s="127">
        <v>870</v>
      </c>
      <c r="P28" s="125">
        <v>1371.7650000000001</v>
      </c>
      <c r="Q28" s="127">
        <v>890</v>
      </c>
      <c r="R28" s="125">
        <v>1371.501</v>
      </c>
      <c r="S28" s="127">
        <v>890</v>
      </c>
      <c r="T28" s="125">
        <v>1371.6559999999999</v>
      </c>
      <c r="U28" s="127">
        <v>880</v>
      </c>
      <c r="V28" s="125">
        <v>1369.722</v>
      </c>
      <c r="W28" s="127">
        <v>890</v>
      </c>
      <c r="X28" s="125">
        <v>1369.84</v>
      </c>
      <c r="Y28" s="127">
        <v>890</v>
      </c>
      <c r="Z28" s="125">
        <v>1368.134</v>
      </c>
      <c r="AA28" s="127">
        <v>890</v>
      </c>
      <c r="AB28" s="125">
        <v>1367.3040000000001</v>
      </c>
      <c r="AC28" s="127">
        <v>880</v>
      </c>
      <c r="AD28" s="125">
        <v>1292.0530000000001</v>
      </c>
      <c r="AE28" s="127">
        <v>890</v>
      </c>
      <c r="AF28" s="125">
        <v>1292.664</v>
      </c>
      <c r="AG28" s="127">
        <v>870</v>
      </c>
      <c r="AH28" s="125">
        <v>378.73399999999998</v>
      </c>
      <c r="AI28" s="127">
        <v>870</v>
      </c>
      <c r="AJ28" s="125">
        <v>394.86599999999999</v>
      </c>
    </row>
    <row r="29" spans="1:36" ht="14.25">
      <c r="A29" s="128">
        <v>900</v>
      </c>
      <c r="B29" s="124">
        <v>788.96199999999999</v>
      </c>
      <c r="C29" s="128">
        <v>910</v>
      </c>
      <c r="D29" s="125">
        <v>782.96100000000001</v>
      </c>
      <c r="E29" s="126">
        <v>900</v>
      </c>
      <c r="F29" s="125">
        <v>1622.547</v>
      </c>
      <c r="G29" s="127">
        <v>900</v>
      </c>
      <c r="H29" s="125">
        <v>1621.37</v>
      </c>
      <c r="I29" s="127">
        <v>900</v>
      </c>
      <c r="J29" s="125">
        <v>1370.3910000000001</v>
      </c>
      <c r="K29" s="127">
        <v>900</v>
      </c>
      <c r="L29" s="125">
        <v>1370.6220000000001</v>
      </c>
      <c r="M29" s="127">
        <v>900</v>
      </c>
      <c r="N29" s="125">
        <v>1370.3710000000001</v>
      </c>
      <c r="O29" s="127">
        <v>880</v>
      </c>
      <c r="P29" s="125">
        <v>1371.0129999999999</v>
      </c>
      <c r="Q29" s="127">
        <v>900</v>
      </c>
      <c r="R29" s="125">
        <v>1370.7429999999999</v>
      </c>
      <c r="S29" s="127">
        <v>900</v>
      </c>
      <c r="T29" s="125">
        <v>1370.905</v>
      </c>
      <c r="U29" s="127">
        <v>890</v>
      </c>
      <c r="V29" s="125">
        <v>1368.9739999999999</v>
      </c>
      <c r="W29" s="127">
        <v>900</v>
      </c>
      <c r="X29" s="125">
        <v>1369.079</v>
      </c>
      <c r="Y29" s="127">
        <v>900</v>
      </c>
      <c r="Z29" s="125">
        <v>1367.395</v>
      </c>
      <c r="AA29" s="127">
        <v>900</v>
      </c>
      <c r="AB29" s="125">
        <v>1366.5630000000001</v>
      </c>
      <c r="AC29" s="127">
        <v>890</v>
      </c>
      <c r="AD29" s="125">
        <v>1291.3040000000001</v>
      </c>
      <c r="AE29" s="127">
        <v>900</v>
      </c>
      <c r="AF29" s="125">
        <v>1291.931</v>
      </c>
      <c r="AG29" s="127">
        <v>880</v>
      </c>
      <c r="AH29" s="125">
        <v>378.49299999999999</v>
      </c>
      <c r="AI29" s="127">
        <v>880</v>
      </c>
      <c r="AJ29" s="125">
        <v>394.613</v>
      </c>
    </row>
    <row r="30" spans="1:36" ht="14.25">
      <c r="A30" s="128">
        <v>910</v>
      </c>
      <c r="B30" s="124">
        <v>788.32500000000005</v>
      </c>
      <c r="C30" s="128">
        <v>920</v>
      </c>
      <c r="D30" s="125">
        <v>782.32</v>
      </c>
      <c r="E30" s="126">
        <v>910</v>
      </c>
      <c r="F30" s="125">
        <v>1621.6189999999999</v>
      </c>
      <c r="G30" s="127">
        <v>910</v>
      </c>
      <c r="H30" s="125">
        <v>1620.393</v>
      </c>
      <c r="I30" s="127">
        <v>910</v>
      </c>
      <c r="J30" s="125">
        <v>1369.6120000000001</v>
      </c>
      <c r="K30" s="127">
        <v>910</v>
      </c>
      <c r="L30" s="125">
        <v>1369.8119999999999</v>
      </c>
      <c r="M30" s="127">
        <v>910</v>
      </c>
      <c r="N30" s="125">
        <v>1369.576</v>
      </c>
      <c r="O30" s="127">
        <v>890</v>
      </c>
      <c r="P30" s="125">
        <v>1370.2370000000001</v>
      </c>
      <c r="Q30" s="127">
        <v>910</v>
      </c>
      <c r="R30" s="125">
        <v>1369.961</v>
      </c>
      <c r="S30" s="127">
        <v>910</v>
      </c>
      <c r="T30" s="125">
        <v>1370.13</v>
      </c>
      <c r="U30" s="127">
        <v>900</v>
      </c>
      <c r="V30" s="125">
        <v>1368.201</v>
      </c>
      <c r="W30" s="127">
        <v>910</v>
      </c>
      <c r="X30" s="125">
        <v>1368.2940000000001</v>
      </c>
      <c r="Y30" s="127">
        <v>910</v>
      </c>
      <c r="Z30" s="125">
        <v>1366.6320000000001</v>
      </c>
      <c r="AA30" s="127">
        <v>910</v>
      </c>
      <c r="AB30" s="125">
        <v>1365.798</v>
      </c>
      <c r="AC30" s="127">
        <v>900</v>
      </c>
      <c r="AD30" s="125">
        <v>1290.5309999999999</v>
      </c>
      <c r="AE30" s="127">
        <v>910</v>
      </c>
      <c r="AF30" s="125">
        <v>1291.174</v>
      </c>
      <c r="AG30" s="127">
        <v>890</v>
      </c>
      <c r="AH30" s="125">
        <v>378.24400000000003</v>
      </c>
      <c r="AI30" s="127">
        <v>890</v>
      </c>
      <c r="AJ30" s="125">
        <v>394.35199999999998</v>
      </c>
    </row>
    <row r="31" spans="1:36" ht="14.25">
      <c r="A31" s="128">
        <v>920</v>
      </c>
      <c r="B31" s="124">
        <v>787.67600000000004</v>
      </c>
      <c r="C31" s="128">
        <v>930</v>
      </c>
      <c r="D31" s="125">
        <v>781.66600000000005</v>
      </c>
      <c r="E31" s="126">
        <v>920</v>
      </c>
      <c r="F31" s="125">
        <v>1620.66</v>
      </c>
      <c r="G31" s="127">
        <v>920</v>
      </c>
      <c r="H31" s="125">
        <v>1619.383</v>
      </c>
      <c r="I31" s="127">
        <v>920</v>
      </c>
      <c r="J31" s="125">
        <v>1368.81</v>
      </c>
      <c r="K31" s="127">
        <v>920</v>
      </c>
      <c r="L31" s="125">
        <v>1368.9760000000001</v>
      </c>
      <c r="M31" s="127">
        <v>920</v>
      </c>
      <c r="N31" s="125">
        <v>1368.7560000000001</v>
      </c>
      <c r="O31" s="127">
        <v>900</v>
      </c>
      <c r="P31" s="125">
        <v>1369.4369999999999</v>
      </c>
      <c r="Q31" s="127">
        <v>920</v>
      </c>
      <c r="R31" s="125">
        <v>1369.155</v>
      </c>
      <c r="S31" s="127">
        <v>920</v>
      </c>
      <c r="T31" s="125">
        <v>1369.3320000000001</v>
      </c>
      <c r="U31" s="127">
        <v>910</v>
      </c>
      <c r="V31" s="125">
        <v>1367.404</v>
      </c>
      <c r="W31" s="127">
        <v>920</v>
      </c>
      <c r="X31" s="125">
        <v>1367.4839999999999</v>
      </c>
      <c r="Y31" s="127">
        <v>920</v>
      </c>
      <c r="Z31" s="125">
        <v>1365.846</v>
      </c>
      <c r="AA31" s="127">
        <v>920</v>
      </c>
      <c r="AB31" s="125">
        <v>1365.01</v>
      </c>
      <c r="AC31" s="127">
        <v>910</v>
      </c>
      <c r="AD31" s="125">
        <v>1289.7339999999999</v>
      </c>
      <c r="AE31" s="127">
        <v>920</v>
      </c>
      <c r="AF31" s="125">
        <v>1290.393</v>
      </c>
      <c r="AG31" s="127">
        <v>900</v>
      </c>
      <c r="AH31" s="125">
        <v>377.98599999999999</v>
      </c>
      <c r="AI31" s="127">
        <v>900</v>
      </c>
      <c r="AJ31" s="125">
        <v>394.08199999999999</v>
      </c>
    </row>
    <row r="32" spans="1:36" ht="14.25">
      <c r="A32" s="128">
        <v>930</v>
      </c>
      <c r="B32" s="124">
        <v>787.01400000000001</v>
      </c>
      <c r="C32" s="128">
        <v>940</v>
      </c>
      <c r="D32" s="125">
        <v>781</v>
      </c>
      <c r="E32" s="126">
        <v>930</v>
      </c>
      <c r="F32" s="125">
        <v>1619.673</v>
      </c>
      <c r="G32" s="127">
        <v>930</v>
      </c>
      <c r="H32" s="125">
        <v>1618.3430000000001</v>
      </c>
      <c r="I32" s="127">
        <v>930</v>
      </c>
      <c r="J32" s="125">
        <v>1367.9829999999999</v>
      </c>
      <c r="K32" s="127">
        <v>930</v>
      </c>
      <c r="L32" s="125">
        <v>1368.115</v>
      </c>
      <c r="M32" s="127">
        <v>930</v>
      </c>
      <c r="N32" s="125">
        <v>1367.9110000000001</v>
      </c>
      <c r="O32" s="127">
        <v>910</v>
      </c>
      <c r="P32" s="125">
        <v>1368.614</v>
      </c>
      <c r="Q32" s="127">
        <v>930</v>
      </c>
      <c r="R32" s="125">
        <v>1368.3240000000001</v>
      </c>
      <c r="S32" s="127">
        <v>930</v>
      </c>
      <c r="T32" s="125">
        <v>1368.509</v>
      </c>
      <c r="U32" s="127">
        <v>920</v>
      </c>
      <c r="V32" s="125">
        <v>1366.5820000000001</v>
      </c>
      <c r="W32" s="127">
        <v>930</v>
      </c>
      <c r="X32" s="125">
        <v>1366.65</v>
      </c>
      <c r="Y32" s="127">
        <v>930</v>
      </c>
      <c r="Z32" s="125">
        <v>1365.037</v>
      </c>
      <c r="AA32" s="127">
        <v>930</v>
      </c>
      <c r="AB32" s="125">
        <v>1364.1969999999999</v>
      </c>
      <c r="AC32" s="127">
        <v>920</v>
      </c>
      <c r="AD32" s="125">
        <v>1288.913</v>
      </c>
      <c r="AE32" s="127">
        <v>930</v>
      </c>
      <c r="AF32" s="125">
        <v>1289.587</v>
      </c>
      <c r="AG32" s="127">
        <v>910</v>
      </c>
      <c r="AH32" s="125">
        <v>377.71899999999999</v>
      </c>
      <c r="AI32" s="127">
        <v>910</v>
      </c>
      <c r="AJ32" s="125">
        <v>393.803</v>
      </c>
    </row>
    <row r="33" spans="1:36" ht="14.25">
      <c r="A33" s="128">
        <v>940</v>
      </c>
      <c r="B33" s="124">
        <v>786.34199999999998</v>
      </c>
      <c r="C33" s="128">
        <v>950</v>
      </c>
      <c r="D33" s="125">
        <v>780.32500000000005</v>
      </c>
      <c r="E33" s="126">
        <v>940</v>
      </c>
      <c r="F33" s="125">
        <v>1618.655</v>
      </c>
      <c r="G33" s="127">
        <v>940</v>
      </c>
      <c r="H33" s="125">
        <v>1617.27</v>
      </c>
      <c r="I33" s="127">
        <v>940</v>
      </c>
      <c r="J33" s="125">
        <v>1367.1320000000001</v>
      </c>
      <c r="K33" s="127">
        <v>940</v>
      </c>
      <c r="L33" s="125">
        <v>1367.229</v>
      </c>
      <c r="M33" s="127">
        <v>940</v>
      </c>
      <c r="N33" s="125">
        <v>1367.0419999999999</v>
      </c>
      <c r="O33" s="127">
        <v>920</v>
      </c>
      <c r="P33" s="125">
        <v>1367.7670000000001</v>
      </c>
      <c r="Q33" s="127">
        <v>940</v>
      </c>
      <c r="R33" s="125">
        <v>1367.47</v>
      </c>
      <c r="S33" s="127">
        <v>940</v>
      </c>
      <c r="T33" s="125">
        <v>1367.662</v>
      </c>
      <c r="U33" s="127">
        <v>930</v>
      </c>
      <c r="V33" s="125">
        <v>1365.7349999999999</v>
      </c>
      <c r="W33" s="127">
        <v>940</v>
      </c>
      <c r="X33" s="125">
        <v>1365.7919999999999</v>
      </c>
      <c r="Y33" s="127">
        <v>940</v>
      </c>
      <c r="Z33" s="125">
        <v>1364.2049999999999</v>
      </c>
      <c r="AA33" s="127">
        <v>940</v>
      </c>
      <c r="AB33" s="125">
        <v>1363.3610000000001</v>
      </c>
      <c r="AC33" s="127">
        <v>930</v>
      </c>
      <c r="AD33" s="125">
        <v>1288.068</v>
      </c>
      <c r="AE33" s="127">
        <v>940</v>
      </c>
      <c r="AF33" s="125">
        <v>1288.7570000000001</v>
      </c>
      <c r="AG33" s="127">
        <v>920</v>
      </c>
      <c r="AH33" s="125">
        <v>377.44299999999998</v>
      </c>
      <c r="AI33" s="127">
        <v>920</v>
      </c>
      <c r="AJ33" s="125">
        <v>393.51600000000002</v>
      </c>
    </row>
    <row r="34" spans="1:36" ht="14.25">
      <c r="A34" s="128">
        <v>950</v>
      </c>
      <c r="B34" s="124">
        <v>785.65899999999999</v>
      </c>
      <c r="C34" s="128">
        <v>960</v>
      </c>
      <c r="D34" s="125">
        <v>779.64</v>
      </c>
      <c r="E34" s="126">
        <v>950</v>
      </c>
      <c r="F34" s="125">
        <v>1617.6079999999999</v>
      </c>
      <c r="G34" s="127">
        <v>950</v>
      </c>
      <c r="H34" s="125">
        <v>1616.1669999999999</v>
      </c>
      <c r="I34" s="127">
        <v>950</v>
      </c>
      <c r="J34" s="125">
        <v>1366.2570000000001</v>
      </c>
      <c r="K34" s="127">
        <v>950</v>
      </c>
      <c r="L34" s="125">
        <v>1366.318</v>
      </c>
      <c r="M34" s="127">
        <v>950</v>
      </c>
      <c r="N34" s="125">
        <v>1366.1489999999999</v>
      </c>
      <c r="O34" s="127">
        <v>930</v>
      </c>
      <c r="P34" s="125">
        <v>1366.8969999999999</v>
      </c>
      <c r="Q34" s="127">
        <v>950</v>
      </c>
      <c r="R34" s="125">
        <v>1366.5909999999999</v>
      </c>
      <c r="S34" s="127">
        <v>950</v>
      </c>
      <c r="T34" s="125">
        <v>1366.7919999999999</v>
      </c>
      <c r="U34" s="127">
        <v>940</v>
      </c>
      <c r="V34" s="125">
        <v>1364.8630000000001</v>
      </c>
      <c r="W34" s="127">
        <v>950</v>
      </c>
      <c r="X34" s="125">
        <v>1364.9090000000001</v>
      </c>
      <c r="Y34" s="127">
        <v>950</v>
      </c>
      <c r="Z34" s="125">
        <v>1363.3489999999999</v>
      </c>
      <c r="AA34" s="127">
        <v>950</v>
      </c>
      <c r="AB34" s="125">
        <v>1362.501</v>
      </c>
      <c r="AC34" s="127">
        <v>940</v>
      </c>
      <c r="AD34" s="125">
        <v>1287.2</v>
      </c>
      <c r="AE34" s="127">
        <v>950</v>
      </c>
      <c r="AF34" s="125">
        <v>1287.902</v>
      </c>
      <c r="AG34" s="127">
        <v>930</v>
      </c>
      <c r="AH34" s="125">
        <v>377.15899999999999</v>
      </c>
      <c r="AI34" s="127">
        <v>930</v>
      </c>
      <c r="AJ34" s="125">
        <v>393.22</v>
      </c>
    </row>
    <row r="35" spans="1:36" ht="14.25">
      <c r="A35" s="128">
        <v>960</v>
      </c>
      <c r="B35" s="124">
        <v>784.96699999999998</v>
      </c>
      <c r="C35" s="128">
        <v>970</v>
      </c>
      <c r="D35" s="125">
        <v>778.947</v>
      </c>
      <c r="E35" s="126">
        <v>960</v>
      </c>
      <c r="F35" s="125">
        <v>1616.5309999999999</v>
      </c>
      <c r="G35" s="127">
        <v>960</v>
      </c>
      <c r="H35" s="125">
        <v>1615.0319999999999</v>
      </c>
      <c r="I35" s="127">
        <v>960</v>
      </c>
      <c r="J35" s="125">
        <v>1365.357</v>
      </c>
      <c r="K35" s="127">
        <v>960</v>
      </c>
      <c r="L35" s="125">
        <v>1365.3820000000001</v>
      </c>
      <c r="M35" s="127">
        <v>960</v>
      </c>
      <c r="N35" s="125">
        <v>1365.232</v>
      </c>
      <c r="O35" s="127">
        <v>940</v>
      </c>
      <c r="P35" s="125">
        <v>1366.0029999999999</v>
      </c>
      <c r="Q35" s="127">
        <v>960</v>
      </c>
      <c r="R35" s="125">
        <v>1365.6890000000001</v>
      </c>
      <c r="S35" s="127">
        <v>960</v>
      </c>
      <c r="T35" s="125">
        <v>1365.8969999999999</v>
      </c>
      <c r="U35" s="127">
        <v>950</v>
      </c>
      <c r="V35" s="125">
        <v>1363.9670000000001</v>
      </c>
      <c r="W35" s="127">
        <v>960</v>
      </c>
      <c r="X35" s="125">
        <v>1364.001</v>
      </c>
      <c r="Y35" s="127">
        <v>960</v>
      </c>
      <c r="Z35" s="125">
        <v>1362.471</v>
      </c>
      <c r="AA35" s="127">
        <v>960</v>
      </c>
      <c r="AB35" s="125">
        <v>1361.617</v>
      </c>
      <c r="AC35" s="127">
        <v>950</v>
      </c>
      <c r="AD35" s="125">
        <v>1286.307</v>
      </c>
      <c r="AE35" s="127">
        <v>960</v>
      </c>
      <c r="AF35" s="125">
        <v>1287.0229999999999</v>
      </c>
      <c r="AG35" s="127">
        <v>940</v>
      </c>
      <c r="AH35" s="125">
        <v>376.86599999999999</v>
      </c>
      <c r="AI35" s="127">
        <v>940</v>
      </c>
      <c r="AJ35" s="125">
        <v>392.916</v>
      </c>
    </row>
    <row r="36" spans="1:36" ht="14.25">
      <c r="A36" s="128">
        <v>970</v>
      </c>
      <c r="B36" s="124">
        <v>784.26599999999996</v>
      </c>
      <c r="C36" s="128">
        <v>980</v>
      </c>
      <c r="D36" s="125">
        <v>778.24599999999998</v>
      </c>
      <c r="E36" s="126">
        <v>970</v>
      </c>
      <c r="F36" s="125">
        <v>1615.425</v>
      </c>
      <c r="G36" s="127">
        <v>970</v>
      </c>
      <c r="H36" s="125">
        <v>1613.865</v>
      </c>
      <c r="I36" s="127">
        <v>970</v>
      </c>
      <c r="J36" s="125">
        <v>1364.434</v>
      </c>
      <c r="K36" s="127">
        <v>970</v>
      </c>
      <c r="L36" s="125">
        <v>1364.421</v>
      </c>
      <c r="M36" s="127">
        <v>970</v>
      </c>
      <c r="N36" s="125">
        <v>1364.2909999999999</v>
      </c>
      <c r="O36" s="127">
        <v>950</v>
      </c>
      <c r="P36" s="125">
        <v>1365.085</v>
      </c>
      <c r="Q36" s="127">
        <v>970</v>
      </c>
      <c r="R36" s="125">
        <v>1364.7639999999999</v>
      </c>
      <c r="S36" s="127">
        <v>970</v>
      </c>
      <c r="T36" s="125">
        <v>1364.9780000000001</v>
      </c>
      <c r="U36" s="127">
        <v>960</v>
      </c>
      <c r="V36" s="125">
        <v>1363.046</v>
      </c>
      <c r="W36" s="127">
        <v>970</v>
      </c>
      <c r="X36" s="125">
        <v>1363.069</v>
      </c>
      <c r="Y36" s="127">
        <v>970</v>
      </c>
      <c r="Z36" s="125">
        <v>1361.569</v>
      </c>
      <c r="AA36" s="127">
        <v>970</v>
      </c>
      <c r="AB36" s="125">
        <v>1360.7090000000001</v>
      </c>
      <c r="AC36" s="127">
        <v>960</v>
      </c>
      <c r="AD36" s="125">
        <v>1285.3920000000001</v>
      </c>
      <c r="AE36" s="127">
        <v>970</v>
      </c>
      <c r="AF36" s="125">
        <v>1286.1189999999999</v>
      </c>
      <c r="AG36" s="127">
        <v>950</v>
      </c>
      <c r="AH36" s="125">
        <v>376.565</v>
      </c>
      <c r="AI36" s="127">
        <v>950</v>
      </c>
      <c r="AJ36" s="125">
        <v>392.60300000000001</v>
      </c>
    </row>
    <row r="37" spans="1:36" ht="14.25">
      <c r="A37" s="128">
        <v>980</v>
      </c>
      <c r="B37" s="124">
        <v>783.55600000000004</v>
      </c>
      <c r="C37" s="128">
        <v>990</v>
      </c>
      <c r="D37" s="125">
        <v>777.53599999999994</v>
      </c>
      <c r="E37" s="126">
        <v>980</v>
      </c>
      <c r="F37" s="125">
        <v>1614.289</v>
      </c>
      <c r="G37" s="127">
        <v>980</v>
      </c>
      <c r="H37" s="125">
        <v>1612.6679999999999</v>
      </c>
      <c r="I37" s="127">
        <v>980</v>
      </c>
      <c r="J37" s="125">
        <v>1363.4860000000001</v>
      </c>
      <c r="K37" s="127">
        <v>980</v>
      </c>
      <c r="L37" s="125">
        <v>1363.434</v>
      </c>
      <c r="M37" s="127">
        <v>980</v>
      </c>
      <c r="N37" s="125">
        <v>1363.325</v>
      </c>
      <c r="O37" s="127">
        <v>960</v>
      </c>
      <c r="P37" s="125">
        <v>1364.144</v>
      </c>
      <c r="Q37" s="127">
        <v>980</v>
      </c>
      <c r="R37" s="125">
        <v>1363.8140000000001</v>
      </c>
      <c r="S37" s="127">
        <v>980</v>
      </c>
      <c r="T37" s="125">
        <v>1364.0350000000001</v>
      </c>
      <c r="U37" s="127">
        <v>970</v>
      </c>
      <c r="V37" s="125">
        <v>1362.1010000000001</v>
      </c>
      <c r="W37" s="127">
        <v>980</v>
      </c>
      <c r="X37" s="125">
        <v>1362.1120000000001</v>
      </c>
      <c r="Y37" s="127">
        <v>980</v>
      </c>
      <c r="Z37" s="125">
        <v>1360.644</v>
      </c>
      <c r="AA37" s="127">
        <v>980</v>
      </c>
      <c r="AB37" s="125">
        <v>1359.777</v>
      </c>
      <c r="AC37" s="127">
        <v>970</v>
      </c>
      <c r="AD37" s="125">
        <v>1284.453</v>
      </c>
      <c r="AE37" s="127">
        <v>980</v>
      </c>
      <c r="AF37" s="125">
        <v>1285.191</v>
      </c>
      <c r="AG37" s="127">
        <v>960</v>
      </c>
      <c r="AH37" s="125">
        <v>376.25599999999997</v>
      </c>
      <c r="AI37" s="127">
        <v>960</v>
      </c>
      <c r="AJ37" s="125">
        <v>392.28300000000002</v>
      </c>
    </row>
    <row r="38" spans="1:36" ht="14.25">
      <c r="A38" s="128">
        <v>990</v>
      </c>
      <c r="B38" s="124">
        <v>782.83900000000006</v>
      </c>
      <c r="C38" s="128">
        <v>1000</v>
      </c>
      <c r="D38" s="125">
        <v>776.82</v>
      </c>
      <c r="E38" s="126">
        <v>990</v>
      </c>
      <c r="F38" s="125">
        <v>1613.124</v>
      </c>
      <c r="G38" s="127">
        <v>990</v>
      </c>
      <c r="H38" s="125">
        <v>1611.4390000000001</v>
      </c>
      <c r="I38" s="127">
        <v>990</v>
      </c>
      <c r="J38" s="125">
        <v>1362.5139999999999</v>
      </c>
      <c r="K38" s="127">
        <v>990</v>
      </c>
      <c r="L38" s="125">
        <v>1362.422</v>
      </c>
      <c r="M38" s="127">
        <v>990</v>
      </c>
      <c r="N38" s="125">
        <v>1362.335</v>
      </c>
      <c r="O38" s="127">
        <v>970</v>
      </c>
      <c r="P38" s="125">
        <v>1363.1790000000001</v>
      </c>
      <c r="Q38" s="127">
        <v>990</v>
      </c>
      <c r="R38" s="125">
        <v>1362.8409999999999</v>
      </c>
      <c r="S38" s="127">
        <v>990</v>
      </c>
      <c r="T38" s="125">
        <v>1363.068</v>
      </c>
      <c r="U38" s="127">
        <v>980</v>
      </c>
      <c r="V38" s="125">
        <v>1361.1310000000001</v>
      </c>
      <c r="W38" s="127">
        <v>990</v>
      </c>
      <c r="X38" s="125">
        <v>1361.1310000000001</v>
      </c>
      <c r="Y38" s="127">
        <v>990</v>
      </c>
      <c r="Z38" s="125">
        <v>1359.6969999999999</v>
      </c>
      <c r="AA38" s="127">
        <v>990</v>
      </c>
      <c r="AB38" s="125">
        <v>1358.8219999999999</v>
      </c>
      <c r="AC38" s="127">
        <v>980</v>
      </c>
      <c r="AD38" s="125">
        <v>1283.49</v>
      </c>
      <c r="AE38" s="127">
        <v>990</v>
      </c>
      <c r="AF38" s="125">
        <v>1284.239</v>
      </c>
      <c r="AG38" s="127">
        <v>970</v>
      </c>
      <c r="AH38" s="125">
        <v>375.94200000000001</v>
      </c>
      <c r="AI38" s="127">
        <v>970</v>
      </c>
      <c r="AJ38" s="125">
        <v>391.95499999999998</v>
      </c>
    </row>
    <row r="39" spans="1:36" ht="14.25">
      <c r="A39" s="128">
        <v>1000</v>
      </c>
      <c r="B39" s="124">
        <v>782.11400000000003</v>
      </c>
      <c r="C39" s="128">
        <v>1010</v>
      </c>
      <c r="D39" s="125">
        <v>776.096</v>
      </c>
      <c r="E39" s="126">
        <v>1000</v>
      </c>
      <c r="F39" s="125">
        <v>1611.9290000000001</v>
      </c>
      <c r="G39" s="127">
        <v>1000</v>
      </c>
      <c r="H39" s="125">
        <v>1610.1780000000001</v>
      </c>
      <c r="I39" s="127">
        <v>1000</v>
      </c>
      <c r="J39" s="125">
        <v>1361.518</v>
      </c>
      <c r="K39" s="127">
        <v>1000</v>
      </c>
      <c r="L39" s="125">
        <v>1361.386</v>
      </c>
      <c r="M39" s="127">
        <v>1000</v>
      </c>
      <c r="N39" s="125">
        <v>1361.3209999999999</v>
      </c>
      <c r="O39" s="127">
        <v>980</v>
      </c>
      <c r="P39" s="125">
        <v>1362.19</v>
      </c>
      <c r="Q39" s="127">
        <v>1000</v>
      </c>
      <c r="R39" s="125">
        <v>1361.8430000000001</v>
      </c>
      <c r="S39" s="127">
        <v>1000</v>
      </c>
      <c r="T39" s="125">
        <v>1362.076</v>
      </c>
      <c r="U39" s="127">
        <v>990</v>
      </c>
      <c r="V39" s="125">
        <v>1360.1369999999999</v>
      </c>
      <c r="W39" s="127">
        <v>1000</v>
      </c>
      <c r="X39" s="125">
        <v>1360.125</v>
      </c>
      <c r="Y39" s="127">
        <v>1000</v>
      </c>
      <c r="Z39" s="125">
        <v>1358.7260000000001</v>
      </c>
      <c r="AA39" s="127">
        <v>1000</v>
      </c>
      <c r="AB39" s="125">
        <v>1357.8420000000001</v>
      </c>
      <c r="AC39" s="127">
        <v>990</v>
      </c>
      <c r="AD39" s="125">
        <v>1282.5039999999999</v>
      </c>
      <c r="AE39" s="127">
        <v>1000</v>
      </c>
      <c r="AF39" s="125">
        <v>1283.2619999999999</v>
      </c>
      <c r="AG39" s="127">
        <v>980</v>
      </c>
      <c r="AH39" s="125">
        <v>375.62</v>
      </c>
      <c r="AI39" s="127">
        <v>980</v>
      </c>
      <c r="AJ39" s="125">
        <v>391.62200000000001</v>
      </c>
    </row>
    <row r="40" spans="1:36" ht="14.25">
      <c r="A40" s="128">
        <v>1010</v>
      </c>
      <c r="B40" s="124">
        <v>781.38199999999995</v>
      </c>
      <c r="C40" s="128">
        <v>1020</v>
      </c>
      <c r="D40" s="125">
        <v>775.36800000000005</v>
      </c>
      <c r="E40" s="126">
        <v>1010</v>
      </c>
      <c r="F40" s="125">
        <v>1610.704</v>
      </c>
      <c r="G40" s="127">
        <v>1010</v>
      </c>
      <c r="H40" s="125">
        <v>1608.886</v>
      </c>
      <c r="I40" s="127">
        <v>1010</v>
      </c>
      <c r="J40" s="125">
        <v>1360.498</v>
      </c>
      <c r="K40" s="127">
        <v>1010</v>
      </c>
      <c r="L40" s="125">
        <v>1360.3240000000001</v>
      </c>
      <c r="M40" s="127">
        <v>1010</v>
      </c>
      <c r="N40" s="125">
        <v>1360.2819999999999</v>
      </c>
      <c r="O40" s="127">
        <v>990</v>
      </c>
      <c r="P40" s="125">
        <v>1361.1769999999999</v>
      </c>
      <c r="Q40" s="127">
        <v>1010</v>
      </c>
      <c r="R40" s="125">
        <v>1360.8209999999999</v>
      </c>
      <c r="S40" s="127">
        <v>1010</v>
      </c>
      <c r="T40" s="125">
        <v>1361.0609999999999</v>
      </c>
      <c r="U40" s="127">
        <v>1000</v>
      </c>
      <c r="V40" s="125">
        <v>1359.117</v>
      </c>
      <c r="W40" s="127">
        <v>1010</v>
      </c>
      <c r="X40" s="125">
        <v>1359.095</v>
      </c>
      <c r="Y40" s="127">
        <v>1010</v>
      </c>
      <c r="Z40" s="125">
        <v>1357.732</v>
      </c>
      <c r="AA40" s="127">
        <v>1010</v>
      </c>
      <c r="AB40" s="125">
        <v>1356.8389999999999</v>
      </c>
      <c r="AC40" s="127">
        <v>1000</v>
      </c>
      <c r="AD40" s="125">
        <v>1281.4929999999999</v>
      </c>
      <c r="AE40" s="127">
        <v>1010</v>
      </c>
      <c r="AF40" s="125">
        <v>1282.261</v>
      </c>
      <c r="AG40" s="127">
        <v>990</v>
      </c>
      <c r="AH40" s="125">
        <v>375.29199999999997</v>
      </c>
      <c r="AI40" s="127">
        <v>990</v>
      </c>
      <c r="AJ40" s="125">
        <v>391.28199999999998</v>
      </c>
    </row>
    <row r="41" spans="1:36" ht="14.25">
      <c r="A41" s="128">
        <v>1020</v>
      </c>
      <c r="B41" s="124">
        <v>780.64499999999998</v>
      </c>
      <c r="C41" s="128">
        <v>1030</v>
      </c>
      <c r="D41" s="125">
        <v>774.63499999999999</v>
      </c>
      <c r="E41" s="126">
        <v>1020</v>
      </c>
      <c r="F41" s="125">
        <v>1609.4490000000001</v>
      </c>
      <c r="G41" s="127">
        <v>1020</v>
      </c>
      <c r="H41" s="125">
        <v>1607.5619999999999</v>
      </c>
      <c r="I41" s="127">
        <v>1020</v>
      </c>
      <c r="J41" s="125">
        <v>1359.454</v>
      </c>
      <c r="K41" s="127">
        <v>1020</v>
      </c>
      <c r="L41" s="125">
        <v>1359.2360000000001</v>
      </c>
      <c r="M41" s="127">
        <v>1020</v>
      </c>
      <c r="N41" s="125">
        <v>1359.2190000000001</v>
      </c>
      <c r="O41" s="127">
        <v>1000</v>
      </c>
      <c r="P41" s="125">
        <v>1360.1410000000001</v>
      </c>
      <c r="Q41" s="127">
        <v>1020</v>
      </c>
      <c r="R41" s="125">
        <v>1359.7750000000001</v>
      </c>
      <c r="S41" s="127">
        <v>1020</v>
      </c>
      <c r="T41" s="125">
        <v>1360.0219999999999</v>
      </c>
      <c r="U41" s="127">
        <v>1010</v>
      </c>
      <c r="V41" s="125">
        <v>1358.0730000000001</v>
      </c>
      <c r="W41" s="127">
        <v>1020</v>
      </c>
      <c r="X41" s="125">
        <v>1358.0409999999999</v>
      </c>
      <c r="Y41" s="127">
        <v>1020</v>
      </c>
      <c r="Z41" s="125">
        <v>1356.7139999999999</v>
      </c>
      <c r="AA41" s="127">
        <v>1020</v>
      </c>
      <c r="AB41" s="125">
        <v>1355.8119999999999</v>
      </c>
      <c r="AC41" s="127">
        <v>1010</v>
      </c>
      <c r="AD41" s="125">
        <v>1280.4590000000001</v>
      </c>
      <c r="AE41" s="127">
        <v>1020</v>
      </c>
      <c r="AF41" s="125">
        <v>1281.2349999999999</v>
      </c>
      <c r="AG41" s="127">
        <v>1000</v>
      </c>
      <c r="AH41" s="125">
        <v>374.95699999999999</v>
      </c>
      <c r="AI41" s="127">
        <v>1000</v>
      </c>
      <c r="AJ41" s="125">
        <v>390.935</v>
      </c>
    </row>
    <row r="42" spans="1:36" ht="14.25">
      <c r="A42" s="128">
        <v>1030</v>
      </c>
      <c r="B42" s="124">
        <v>779.90300000000002</v>
      </c>
      <c r="C42" s="128">
        <v>1040</v>
      </c>
      <c r="D42" s="125">
        <v>773.899</v>
      </c>
      <c r="E42" s="126">
        <v>1030</v>
      </c>
      <c r="F42" s="125">
        <v>1608.165</v>
      </c>
      <c r="G42" s="127">
        <v>1030</v>
      </c>
      <c r="H42" s="125">
        <v>1606.2080000000001</v>
      </c>
      <c r="I42" s="127">
        <v>1030</v>
      </c>
      <c r="J42" s="125">
        <v>1358.385</v>
      </c>
      <c r="K42" s="127">
        <v>1030</v>
      </c>
      <c r="L42" s="125">
        <v>1358.123</v>
      </c>
      <c r="M42" s="127">
        <v>1030</v>
      </c>
      <c r="N42" s="125">
        <v>1358.13</v>
      </c>
      <c r="O42" s="127">
        <v>1010</v>
      </c>
      <c r="P42" s="125">
        <v>1359.0820000000001</v>
      </c>
      <c r="Q42" s="127">
        <v>1030</v>
      </c>
      <c r="R42" s="125">
        <v>1358.7049999999999</v>
      </c>
      <c r="S42" s="127">
        <v>1030</v>
      </c>
      <c r="T42" s="125">
        <v>1358.9580000000001</v>
      </c>
      <c r="U42" s="127">
        <v>1020</v>
      </c>
      <c r="V42" s="125">
        <v>1357.0039999999999</v>
      </c>
      <c r="W42" s="127">
        <v>1030</v>
      </c>
      <c r="X42" s="125">
        <v>1356.963</v>
      </c>
      <c r="Y42" s="127">
        <v>1030</v>
      </c>
      <c r="Z42" s="125">
        <v>1355.674</v>
      </c>
      <c r="AA42" s="127">
        <v>1030</v>
      </c>
      <c r="AB42" s="125">
        <v>1354.76</v>
      </c>
      <c r="AC42" s="127">
        <v>1020</v>
      </c>
      <c r="AD42" s="125">
        <v>1279.4000000000001</v>
      </c>
      <c r="AE42" s="127">
        <v>1030</v>
      </c>
      <c r="AF42" s="125">
        <v>1280.1849999999999</v>
      </c>
      <c r="AG42" s="127">
        <v>1010</v>
      </c>
      <c r="AH42" s="125">
        <v>374.61500000000001</v>
      </c>
      <c r="AI42" s="127">
        <v>1010</v>
      </c>
      <c r="AJ42" s="125">
        <v>390.58100000000002</v>
      </c>
    </row>
    <row r="43" spans="1:36" ht="14.25">
      <c r="A43" s="128">
        <v>1040</v>
      </c>
      <c r="B43" s="124">
        <v>779.15899999999999</v>
      </c>
      <c r="C43" s="128">
        <v>1050</v>
      </c>
      <c r="D43" s="125">
        <v>773.16200000000003</v>
      </c>
      <c r="E43" s="126">
        <v>1040</v>
      </c>
      <c r="F43" s="125">
        <v>1606.8520000000001</v>
      </c>
      <c r="G43" s="127">
        <v>1040</v>
      </c>
      <c r="H43" s="125">
        <v>1604.8240000000001</v>
      </c>
      <c r="I43" s="127">
        <v>1040</v>
      </c>
      <c r="J43" s="125">
        <v>1357.2919999999999</v>
      </c>
      <c r="K43" s="127">
        <v>1040</v>
      </c>
      <c r="L43" s="125">
        <v>1356.99</v>
      </c>
      <c r="M43" s="127">
        <v>1040</v>
      </c>
      <c r="N43" s="125">
        <v>1357.0170000000001</v>
      </c>
      <c r="O43" s="127">
        <v>1020</v>
      </c>
      <c r="P43" s="125">
        <v>1357.999</v>
      </c>
      <c r="Q43" s="127">
        <v>1040</v>
      </c>
      <c r="R43" s="125">
        <v>1357.61</v>
      </c>
      <c r="S43" s="127">
        <v>1040</v>
      </c>
      <c r="T43" s="125">
        <v>1357.8720000000001</v>
      </c>
      <c r="U43" s="127">
        <v>1030</v>
      </c>
      <c r="V43" s="125">
        <v>1355.91</v>
      </c>
      <c r="W43" s="127">
        <v>1040</v>
      </c>
      <c r="X43" s="125">
        <v>1355.8610000000001</v>
      </c>
      <c r="Y43" s="127">
        <v>1040</v>
      </c>
      <c r="Z43" s="125">
        <v>1354.61</v>
      </c>
      <c r="AA43" s="127">
        <v>1040</v>
      </c>
      <c r="AB43" s="125">
        <v>1353.6849999999999</v>
      </c>
      <c r="AC43" s="127">
        <v>1030</v>
      </c>
      <c r="AD43" s="125">
        <v>1278.317</v>
      </c>
      <c r="AE43" s="127">
        <v>1040</v>
      </c>
      <c r="AF43" s="125">
        <v>1279.1099999999999</v>
      </c>
      <c r="AG43" s="127">
        <v>1020</v>
      </c>
      <c r="AH43" s="125">
        <v>374.267</v>
      </c>
      <c r="AI43" s="127">
        <v>1020</v>
      </c>
      <c r="AJ43" s="125">
        <v>390.221</v>
      </c>
    </row>
    <row r="44" spans="1:36" ht="14.25">
      <c r="A44" s="128">
        <v>1050</v>
      </c>
      <c r="B44" s="124">
        <v>778.41399999999999</v>
      </c>
      <c r="C44" s="128">
        <v>1060</v>
      </c>
      <c r="D44" s="125">
        <v>772.42499999999995</v>
      </c>
      <c r="E44" s="126">
        <v>1050</v>
      </c>
      <c r="F44" s="125">
        <v>1605.509</v>
      </c>
      <c r="G44" s="127">
        <v>1050</v>
      </c>
      <c r="H44" s="125">
        <v>1603.4190000000001</v>
      </c>
      <c r="I44" s="127">
        <v>1050</v>
      </c>
      <c r="J44" s="125">
        <v>1356.175</v>
      </c>
      <c r="K44" s="127">
        <v>1050</v>
      </c>
      <c r="L44" s="125">
        <v>1355.8510000000001</v>
      </c>
      <c r="M44" s="127">
        <v>1050</v>
      </c>
      <c r="N44" s="125">
        <v>1355.884</v>
      </c>
      <c r="O44" s="127">
        <v>1030</v>
      </c>
      <c r="P44" s="125">
        <v>1356.8920000000001</v>
      </c>
      <c r="Q44" s="127">
        <v>1050</v>
      </c>
      <c r="R44" s="125">
        <v>1356.49</v>
      </c>
      <c r="S44" s="127">
        <v>1050</v>
      </c>
      <c r="T44" s="125">
        <v>1356.761</v>
      </c>
      <c r="U44" s="127">
        <v>1040</v>
      </c>
      <c r="V44" s="125">
        <v>1354.7929999999999</v>
      </c>
      <c r="W44" s="127">
        <v>1050</v>
      </c>
      <c r="X44" s="125">
        <v>1354.7370000000001</v>
      </c>
      <c r="Y44" s="127">
        <v>1050</v>
      </c>
      <c r="Z44" s="125">
        <v>1353.5229999999999</v>
      </c>
      <c r="AA44" s="127">
        <v>1050</v>
      </c>
      <c r="AB44" s="125">
        <v>1352.586</v>
      </c>
      <c r="AC44" s="127">
        <v>1040</v>
      </c>
      <c r="AD44" s="125">
        <v>1277.2090000000001</v>
      </c>
      <c r="AE44" s="127">
        <v>1050</v>
      </c>
      <c r="AF44" s="125">
        <v>1278.011</v>
      </c>
      <c r="AG44" s="127">
        <v>1030</v>
      </c>
      <c r="AH44" s="125">
        <v>373.911</v>
      </c>
      <c r="AI44" s="127">
        <v>1030</v>
      </c>
      <c r="AJ44" s="125">
        <v>389.85399999999998</v>
      </c>
    </row>
    <row r="45" spans="1:36" ht="14.25">
      <c r="A45" s="128">
        <v>1060</v>
      </c>
      <c r="B45" s="124">
        <v>777.66800000000001</v>
      </c>
      <c r="C45" s="128">
        <v>1070</v>
      </c>
      <c r="D45" s="125">
        <v>771.68700000000001</v>
      </c>
      <c r="E45" s="126">
        <v>1060</v>
      </c>
      <c r="F45" s="125">
        <v>1604.1369999999999</v>
      </c>
      <c r="G45" s="127">
        <v>1060</v>
      </c>
      <c r="H45" s="125">
        <v>1602.0060000000001</v>
      </c>
      <c r="I45" s="127">
        <v>1060</v>
      </c>
      <c r="J45" s="125">
        <v>1355.04</v>
      </c>
      <c r="K45" s="127">
        <v>1060</v>
      </c>
      <c r="L45" s="125">
        <v>1354.711</v>
      </c>
      <c r="M45" s="127">
        <v>1060</v>
      </c>
      <c r="N45" s="125">
        <v>1354.7439999999999</v>
      </c>
      <c r="O45" s="127">
        <v>1040</v>
      </c>
      <c r="P45" s="125">
        <v>1355.7629999999999</v>
      </c>
      <c r="Q45" s="127">
        <v>1060</v>
      </c>
      <c r="R45" s="125">
        <v>1355.3530000000001</v>
      </c>
      <c r="S45" s="127">
        <v>1060</v>
      </c>
      <c r="T45" s="125">
        <v>1355.6310000000001</v>
      </c>
      <c r="U45" s="127">
        <v>1050</v>
      </c>
      <c r="V45" s="125">
        <v>1353.6590000000001</v>
      </c>
      <c r="W45" s="127">
        <v>1060</v>
      </c>
      <c r="X45" s="125">
        <v>1353.6</v>
      </c>
      <c r="Y45" s="127">
        <v>1060</v>
      </c>
      <c r="Z45" s="125">
        <v>1352.412</v>
      </c>
      <c r="AA45" s="127">
        <v>1060</v>
      </c>
      <c r="AB45" s="125">
        <v>1351.4649999999999</v>
      </c>
      <c r="AC45" s="127">
        <v>1050</v>
      </c>
      <c r="AD45" s="125">
        <v>1276.0809999999999</v>
      </c>
      <c r="AE45" s="127">
        <v>1060</v>
      </c>
      <c r="AF45" s="125">
        <v>1276.8900000000001</v>
      </c>
      <c r="AG45" s="127">
        <v>1040</v>
      </c>
      <c r="AH45" s="125">
        <v>373.54700000000003</v>
      </c>
      <c r="AI45" s="127">
        <v>1040</v>
      </c>
      <c r="AJ45" s="125">
        <v>389.48</v>
      </c>
    </row>
    <row r="46" spans="1:36" ht="14.25">
      <c r="A46" s="128">
        <v>1070</v>
      </c>
      <c r="B46" s="124">
        <v>776.923</v>
      </c>
      <c r="C46" s="128">
        <v>1080</v>
      </c>
      <c r="D46" s="125">
        <v>770.95</v>
      </c>
      <c r="E46" s="126">
        <v>1070</v>
      </c>
      <c r="F46" s="125">
        <v>1602.7380000000001</v>
      </c>
      <c r="G46" s="127">
        <v>1070</v>
      </c>
      <c r="H46" s="125">
        <v>1600.5920000000001</v>
      </c>
      <c r="I46" s="127">
        <v>1070</v>
      </c>
      <c r="J46" s="125">
        <v>1353.8979999999999</v>
      </c>
      <c r="K46" s="127">
        <v>1070</v>
      </c>
      <c r="L46" s="125">
        <v>1353.5719999999999</v>
      </c>
      <c r="M46" s="127">
        <v>1070</v>
      </c>
      <c r="N46" s="125">
        <v>1353.604</v>
      </c>
      <c r="O46" s="127">
        <v>1050</v>
      </c>
      <c r="P46" s="125">
        <v>1354.624</v>
      </c>
      <c r="Q46" s="127">
        <v>1070</v>
      </c>
      <c r="R46" s="125">
        <v>1354.213</v>
      </c>
      <c r="S46" s="127">
        <v>1070</v>
      </c>
      <c r="T46" s="125">
        <v>1354.4929999999999</v>
      </c>
      <c r="U46" s="127">
        <v>1060</v>
      </c>
      <c r="V46" s="125">
        <v>1352.5219999999999</v>
      </c>
      <c r="W46" s="127">
        <v>1070</v>
      </c>
      <c r="X46" s="125">
        <v>1352.4639999999999</v>
      </c>
      <c r="Y46" s="127">
        <v>1070</v>
      </c>
      <c r="Z46" s="125">
        <v>1351.28</v>
      </c>
      <c r="AA46" s="127">
        <v>1070</v>
      </c>
      <c r="AB46" s="125">
        <v>1350.33</v>
      </c>
      <c r="AC46" s="127">
        <v>1060</v>
      </c>
      <c r="AD46" s="125">
        <v>1274.944</v>
      </c>
      <c r="AE46" s="127">
        <v>1070</v>
      </c>
      <c r="AF46" s="125">
        <v>1275.7539999999999</v>
      </c>
      <c r="AG46" s="127">
        <v>1050</v>
      </c>
      <c r="AH46" s="125">
        <v>373.178</v>
      </c>
      <c r="AI46" s="127">
        <v>1050</v>
      </c>
      <c r="AJ46" s="125">
        <v>389.09899999999999</v>
      </c>
    </row>
    <row r="47" spans="1:36" ht="14.25">
      <c r="A47" s="128">
        <v>1080</v>
      </c>
      <c r="B47" s="124">
        <v>776.17700000000002</v>
      </c>
      <c r="C47" s="128">
        <v>1090</v>
      </c>
      <c r="D47" s="125">
        <v>770.21199999999999</v>
      </c>
      <c r="E47" s="126">
        <v>1080</v>
      </c>
      <c r="F47" s="125">
        <v>1601.3230000000001</v>
      </c>
      <c r="G47" s="127">
        <v>1080</v>
      </c>
      <c r="H47" s="125">
        <v>1599.1780000000001</v>
      </c>
      <c r="I47" s="127">
        <v>1080</v>
      </c>
      <c r="J47" s="125">
        <v>1352.7570000000001</v>
      </c>
      <c r="K47" s="127">
        <v>1080</v>
      </c>
      <c r="L47" s="125">
        <v>1352.431</v>
      </c>
      <c r="M47" s="127">
        <v>1080</v>
      </c>
      <c r="N47" s="125">
        <v>1352.463</v>
      </c>
      <c r="O47" s="127">
        <v>1060</v>
      </c>
      <c r="P47" s="125">
        <v>1353.4839999999999</v>
      </c>
      <c r="Q47" s="127">
        <v>1080</v>
      </c>
      <c r="R47" s="125">
        <v>1353.0730000000001</v>
      </c>
      <c r="S47" s="127">
        <v>1080</v>
      </c>
      <c r="T47" s="125">
        <v>1353.3530000000001</v>
      </c>
      <c r="U47" s="127">
        <v>1070</v>
      </c>
      <c r="V47" s="125">
        <v>1351.386</v>
      </c>
      <c r="W47" s="127">
        <v>1080</v>
      </c>
      <c r="X47" s="125">
        <v>1351.327</v>
      </c>
      <c r="Y47" s="127">
        <v>1080</v>
      </c>
      <c r="Z47" s="125">
        <v>1350.1410000000001</v>
      </c>
      <c r="AA47" s="127">
        <v>1080</v>
      </c>
      <c r="AB47" s="125">
        <v>1349.1949999999999</v>
      </c>
      <c r="AC47" s="127">
        <v>1070</v>
      </c>
      <c r="AD47" s="125">
        <v>1273.806</v>
      </c>
      <c r="AE47" s="127">
        <v>1080</v>
      </c>
      <c r="AF47" s="125">
        <v>1274.6179999999999</v>
      </c>
      <c r="AG47" s="127">
        <v>1060</v>
      </c>
      <c r="AH47" s="125">
        <v>372.80900000000003</v>
      </c>
      <c r="AI47" s="127">
        <v>1060</v>
      </c>
      <c r="AJ47" s="125">
        <v>388.71699999999998</v>
      </c>
    </row>
    <row r="48" spans="1:36" ht="14.25">
      <c r="A48" s="128">
        <v>1090</v>
      </c>
      <c r="B48" s="124">
        <v>775.43100000000004</v>
      </c>
      <c r="C48" s="128">
        <v>1100</v>
      </c>
      <c r="D48" s="125">
        <v>769.47400000000005</v>
      </c>
      <c r="E48" s="126">
        <v>1090</v>
      </c>
      <c r="F48" s="125">
        <v>1599.903</v>
      </c>
      <c r="G48" s="127">
        <v>1090</v>
      </c>
      <c r="H48" s="125">
        <v>1597.7639999999999</v>
      </c>
      <c r="I48" s="127">
        <v>1090</v>
      </c>
      <c r="J48" s="125">
        <v>1351.615</v>
      </c>
      <c r="K48" s="127">
        <v>1090</v>
      </c>
      <c r="L48" s="125">
        <v>1351.2909999999999</v>
      </c>
      <c r="M48" s="127">
        <v>1090</v>
      </c>
      <c r="N48" s="125">
        <v>1351.3219999999999</v>
      </c>
      <c r="O48" s="127">
        <v>1070</v>
      </c>
      <c r="P48" s="125">
        <v>1352.3430000000001</v>
      </c>
      <c r="Q48" s="127">
        <v>1090</v>
      </c>
      <c r="R48" s="125">
        <v>1351.933</v>
      </c>
      <c r="S48" s="127">
        <v>1090</v>
      </c>
      <c r="T48" s="125">
        <v>1352.2139999999999</v>
      </c>
      <c r="U48" s="127">
        <v>1080</v>
      </c>
      <c r="V48" s="125">
        <v>1350.249</v>
      </c>
      <c r="W48" s="127">
        <v>1090</v>
      </c>
      <c r="X48" s="125">
        <v>1350.1890000000001</v>
      </c>
      <c r="Y48" s="127">
        <v>1090</v>
      </c>
      <c r="Z48" s="125">
        <v>1349.0029999999999</v>
      </c>
      <c r="AA48" s="127">
        <v>1090</v>
      </c>
      <c r="AB48" s="125">
        <v>1348.059</v>
      </c>
      <c r="AC48" s="127">
        <v>1080</v>
      </c>
      <c r="AD48" s="125">
        <v>1272.6679999999999</v>
      </c>
      <c r="AE48" s="127">
        <v>1090</v>
      </c>
      <c r="AF48" s="125">
        <v>1273.482</v>
      </c>
      <c r="AG48" s="127">
        <v>1070</v>
      </c>
      <c r="AH48" s="125">
        <v>372.44099999999997</v>
      </c>
      <c r="AI48" s="127">
        <v>1070</v>
      </c>
      <c r="AJ48" s="125">
        <v>388.334</v>
      </c>
    </row>
    <row r="49" spans="1:36" ht="14.25">
      <c r="A49" s="128">
        <v>1100</v>
      </c>
      <c r="B49" s="124">
        <v>774.68499999999995</v>
      </c>
      <c r="C49" s="128">
        <v>1110</v>
      </c>
      <c r="D49" s="125">
        <v>768.73500000000001</v>
      </c>
      <c r="E49" s="126">
        <v>1100</v>
      </c>
      <c r="F49" s="125">
        <v>1598.4839999999999</v>
      </c>
      <c r="G49" s="127">
        <v>1100</v>
      </c>
      <c r="H49" s="125">
        <v>1596.3489999999999</v>
      </c>
      <c r="I49" s="127">
        <v>1100</v>
      </c>
      <c r="J49" s="125">
        <v>1350.473</v>
      </c>
      <c r="K49" s="127">
        <v>1100</v>
      </c>
      <c r="L49" s="125">
        <v>1350.15</v>
      </c>
      <c r="M49" s="127">
        <v>1100</v>
      </c>
      <c r="N49" s="125">
        <v>1350.181</v>
      </c>
      <c r="O49" s="127">
        <v>1080</v>
      </c>
      <c r="P49" s="125">
        <v>1351.203</v>
      </c>
      <c r="Q49" s="127">
        <v>1100</v>
      </c>
      <c r="R49" s="125">
        <v>1350.7919999999999</v>
      </c>
      <c r="S49" s="127">
        <v>1100</v>
      </c>
      <c r="T49" s="125">
        <v>1351.075</v>
      </c>
      <c r="U49" s="127">
        <v>1090</v>
      </c>
      <c r="V49" s="125">
        <v>1349.1120000000001</v>
      </c>
      <c r="W49" s="127">
        <v>1100</v>
      </c>
      <c r="X49" s="125">
        <v>1349.0519999999999</v>
      </c>
      <c r="Y49" s="127">
        <v>1100</v>
      </c>
      <c r="Z49" s="125">
        <v>1347.864</v>
      </c>
      <c r="AA49" s="127">
        <v>1100</v>
      </c>
      <c r="AB49" s="125">
        <v>1346.923</v>
      </c>
      <c r="AC49" s="127">
        <v>1090</v>
      </c>
      <c r="AD49" s="125">
        <v>1271.529</v>
      </c>
      <c r="AE49" s="127">
        <v>1100</v>
      </c>
      <c r="AF49" s="125">
        <v>1272.346</v>
      </c>
      <c r="AG49" s="127">
        <v>1080</v>
      </c>
      <c r="AH49" s="125">
        <v>372.072</v>
      </c>
      <c r="AI49" s="127">
        <v>1080</v>
      </c>
      <c r="AJ49" s="125">
        <v>387.95100000000002</v>
      </c>
    </row>
    <row r="50" spans="1:36" ht="14.25">
      <c r="A50" s="128">
        <v>1110</v>
      </c>
      <c r="B50" s="124">
        <v>773.93799999999999</v>
      </c>
      <c r="C50" s="128">
        <v>1120</v>
      </c>
      <c r="D50" s="125">
        <v>767.99699999999996</v>
      </c>
      <c r="E50" s="126">
        <v>1110</v>
      </c>
      <c r="F50" s="125">
        <v>1597.0640000000001</v>
      </c>
      <c r="G50" s="127">
        <v>1110</v>
      </c>
      <c r="H50" s="125">
        <v>1594.934</v>
      </c>
      <c r="I50" s="127">
        <v>1110</v>
      </c>
      <c r="J50" s="125">
        <v>1349.3309999999999</v>
      </c>
      <c r="K50" s="127">
        <v>1110</v>
      </c>
      <c r="L50" s="125">
        <v>1349.01</v>
      </c>
      <c r="M50" s="127">
        <v>1110</v>
      </c>
      <c r="N50" s="125">
        <v>1349.039</v>
      </c>
      <c r="O50" s="127">
        <v>1090</v>
      </c>
      <c r="P50" s="125">
        <v>1350.0619999999999</v>
      </c>
      <c r="Q50" s="127">
        <v>1110</v>
      </c>
      <c r="R50" s="125">
        <v>1349.6510000000001</v>
      </c>
      <c r="S50" s="127">
        <v>1110</v>
      </c>
      <c r="T50" s="125">
        <v>1349.9349999999999</v>
      </c>
      <c r="U50" s="127">
        <v>1100</v>
      </c>
      <c r="V50" s="125">
        <v>1347.9739999999999</v>
      </c>
      <c r="W50" s="127">
        <v>1110</v>
      </c>
      <c r="X50" s="125">
        <v>1347.914</v>
      </c>
      <c r="Y50" s="127">
        <v>1110</v>
      </c>
      <c r="Z50" s="125">
        <v>1346.7239999999999</v>
      </c>
      <c r="AA50" s="127">
        <v>1110</v>
      </c>
      <c r="AB50" s="125">
        <v>1345.787</v>
      </c>
      <c r="AC50" s="127">
        <v>1100</v>
      </c>
      <c r="AD50" s="125">
        <v>1270.3910000000001</v>
      </c>
      <c r="AE50" s="127">
        <v>1110</v>
      </c>
      <c r="AF50" s="125">
        <v>1271.2090000000001</v>
      </c>
      <c r="AG50" s="127">
        <v>1090</v>
      </c>
      <c r="AH50" s="125">
        <v>371.702</v>
      </c>
      <c r="AI50" s="127">
        <v>1090</v>
      </c>
      <c r="AJ50" s="125">
        <v>387.56799999999998</v>
      </c>
    </row>
    <row r="51" spans="1:36" ht="14.25">
      <c r="A51" s="128">
        <v>1120</v>
      </c>
      <c r="B51" s="124">
        <v>773.19200000000001</v>
      </c>
      <c r="C51" s="128">
        <v>1130</v>
      </c>
      <c r="D51" s="125">
        <v>767.25800000000004</v>
      </c>
      <c r="E51" s="126">
        <v>1120</v>
      </c>
      <c r="F51" s="125">
        <v>1595.644</v>
      </c>
      <c r="G51" s="127">
        <v>1120</v>
      </c>
      <c r="H51" s="125">
        <v>1593.519</v>
      </c>
      <c r="I51" s="127">
        <v>1120</v>
      </c>
      <c r="J51" s="125">
        <v>1348.1880000000001</v>
      </c>
      <c r="K51" s="127">
        <v>1120</v>
      </c>
      <c r="L51" s="125">
        <v>1347.8689999999999</v>
      </c>
      <c r="M51" s="127">
        <v>1120</v>
      </c>
      <c r="N51" s="125">
        <v>1347.8969999999999</v>
      </c>
      <c r="O51" s="127">
        <v>1100</v>
      </c>
      <c r="P51" s="125">
        <v>1348.921</v>
      </c>
      <c r="Q51" s="127">
        <v>1120</v>
      </c>
      <c r="R51" s="125">
        <v>1348.51</v>
      </c>
      <c r="S51" s="127">
        <v>1120</v>
      </c>
      <c r="T51" s="125">
        <v>1348.7950000000001</v>
      </c>
      <c r="U51" s="127">
        <v>1110</v>
      </c>
      <c r="V51" s="125">
        <v>1346.837</v>
      </c>
      <c r="W51" s="127">
        <v>1120</v>
      </c>
      <c r="X51" s="125">
        <v>1346.7760000000001</v>
      </c>
      <c r="Y51" s="127">
        <v>1120</v>
      </c>
      <c r="Z51" s="125">
        <v>1345.585</v>
      </c>
      <c r="AA51" s="127">
        <v>1120</v>
      </c>
      <c r="AB51" s="125">
        <v>1344.6510000000001</v>
      </c>
      <c r="AC51" s="127">
        <v>1110</v>
      </c>
      <c r="AD51" s="125">
        <v>1269.252</v>
      </c>
      <c r="AE51" s="127">
        <v>1120</v>
      </c>
      <c r="AF51" s="125">
        <v>1270.0719999999999</v>
      </c>
      <c r="AG51" s="127">
        <v>1100</v>
      </c>
      <c r="AH51" s="125">
        <v>371.33300000000003</v>
      </c>
      <c r="AI51" s="127">
        <v>1100</v>
      </c>
      <c r="AJ51" s="125">
        <v>387.185</v>
      </c>
    </row>
    <row r="52" spans="1:36" ht="14.25">
      <c r="A52" s="128">
        <v>1130</v>
      </c>
      <c r="B52" s="124">
        <v>772.44500000000005</v>
      </c>
      <c r="C52" s="128">
        <v>1140</v>
      </c>
      <c r="D52" s="125">
        <v>766.51900000000001</v>
      </c>
      <c r="E52" s="126">
        <v>1130</v>
      </c>
      <c r="F52" s="125">
        <v>1594.2239999999999</v>
      </c>
      <c r="G52" s="127">
        <v>1130</v>
      </c>
      <c r="H52" s="125">
        <v>1592.104</v>
      </c>
      <c r="I52" s="127">
        <v>1130</v>
      </c>
      <c r="J52" s="125">
        <v>1347.046</v>
      </c>
      <c r="K52" s="127">
        <v>1130</v>
      </c>
      <c r="L52" s="125">
        <v>1346.7270000000001</v>
      </c>
      <c r="M52" s="127">
        <v>1130</v>
      </c>
      <c r="N52" s="125">
        <v>1346.7550000000001</v>
      </c>
      <c r="O52" s="127">
        <v>1110</v>
      </c>
      <c r="P52" s="125">
        <v>1347.779</v>
      </c>
      <c r="Q52" s="127">
        <v>1130</v>
      </c>
      <c r="R52" s="125">
        <v>1347.3689999999999</v>
      </c>
      <c r="S52" s="127">
        <v>1130</v>
      </c>
      <c r="T52" s="125">
        <v>1347.654</v>
      </c>
      <c r="U52" s="127">
        <v>1120</v>
      </c>
      <c r="V52" s="125">
        <v>1345.6990000000001</v>
      </c>
      <c r="W52" s="127">
        <v>1130</v>
      </c>
      <c r="X52" s="125">
        <v>1345.6379999999999</v>
      </c>
      <c r="Y52" s="127">
        <v>1130</v>
      </c>
      <c r="Z52" s="125">
        <v>1344.4449999999999</v>
      </c>
      <c r="AA52" s="127">
        <v>1130</v>
      </c>
      <c r="AB52" s="125">
        <v>1343.5139999999999</v>
      </c>
      <c r="AC52" s="127">
        <v>1120</v>
      </c>
      <c r="AD52" s="125">
        <v>1268.1130000000001</v>
      </c>
      <c r="AE52" s="127">
        <v>1130</v>
      </c>
      <c r="AF52" s="125">
        <v>1268.9349999999999</v>
      </c>
      <c r="AG52" s="127">
        <v>1110</v>
      </c>
      <c r="AH52" s="125">
        <v>370.964</v>
      </c>
      <c r="AI52" s="127">
        <v>1110</v>
      </c>
      <c r="AJ52" s="125">
        <v>386.80200000000002</v>
      </c>
    </row>
    <row r="53" spans="1:36" ht="14.25">
      <c r="A53" s="128">
        <v>1140</v>
      </c>
      <c r="B53" s="124">
        <v>771.69799999999998</v>
      </c>
      <c r="C53" s="128">
        <v>1150</v>
      </c>
      <c r="D53" s="125">
        <v>765.78</v>
      </c>
      <c r="E53" s="126">
        <v>1140</v>
      </c>
      <c r="F53" s="125">
        <v>1592.8030000000001</v>
      </c>
      <c r="G53" s="127">
        <v>1140</v>
      </c>
      <c r="H53" s="125">
        <v>1590.6880000000001</v>
      </c>
      <c r="I53" s="127">
        <v>1140</v>
      </c>
      <c r="J53" s="125">
        <v>1345.903</v>
      </c>
      <c r="K53" s="127">
        <v>1140</v>
      </c>
      <c r="L53" s="125">
        <v>1345.586</v>
      </c>
      <c r="M53" s="127">
        <v>1140</v>
      </c>
      <c r="N53" s="125">
        <v>1345.6130000000001</v>
      </c>
      <c r="O53" s="127">
        <v>1120</v>
      </c>
      <c r="P53" s="125">
        <v>1346.6379999999999</v>
      </c>
      <c r="Q53" s="127">
        <v>1140</v>
      </c>
      <c r="R53" s="125">
        <v>1346.2270000000001</v>
      </c>
      <c r="S53" s="127">
        <v>1140</v>
      </c>
      <c r="T53" s="125">
        <v>1346.5139999999999</v>
      </c>
      <c r="U53" s="127">
        <v>1130</v>
      </c>
      <c r="V53" s="125">
        <v>1344.36</v>
      </c>
      <c r="W53" s="127">
        <v>1140</v>
      </c>
      <c r="X53" s="125">
        <v>1344.5</v>
      </c>
      <c r="Y53" s="127">
        <v>1140</v>
      </c>
      <c r="Z53" s="125">
        <v>1343.3050000000001</v>
      </c>
      <c r="AA53" s="127">
        <v>1140</v>
      </c>
      <c r="AB53" s="125">
        <v>1342.377</v>
      </c>
      <c r="AC53" s="127">
        <v>1130</v>
      </c>
      <c r="AD53" s="125">
        <v>1266.973</v>
      </c>
      <c r="AE53" s="127">
        <v>1140</v>
      </c>
      <c r="AF53" s="125">
        <v>1267.797</v>
      </c>
      <c r="AG53" s="127">
        <v>1120</v>
      </c>
      <c r="AH53" s="125">
        <v>370.59500000000003</v>
      </c>
      <c r="AI53" s="127">
        <v>1120</v>
      </c>
      <c r="AJ53" s="125">
        <v>386.41899999999998</v>
      </c>
    </row>
    <row r="54" spans="1:36" ht="14.25">
      <c r="A54" s="128">
        <v>1150</v>
      </c>
      <c r="B54" s="124">
        <v>770.95100000000002</v>
      </c>
      <c r="C54" s="128">
        <v>1160</v>
      </c>
      <c r="D54" s="125">
        <v>765.04100000000005</v>
      </c>
      <c r="E54" s="126">
        <v>1150</v>
      </c>
      <c r="F54" s="125">
        <v>1591.3820000000001</v>
      </c>
      <c r="G54" s="127">
        <v>1150</v>
      </c>
      <c r="H54" s="125">
        <v>1589.2719999999999</v>
      </c>
      <c r="I54" s="127">
        <v>1150</v>
      </c>
      <c r="J54" s="125">
        <v>1344.76</v>
      </c>
      <c r="K54" s="127">
        <v>1150</v>
      </c>
      <c r="L54" s="125">
        <v>1344.444</v>
      </c>
      <c r="M54" s="127">
        <v>1150</v>
      </c>
      <c r="N54" s="125">
        <v>1344.47</v>
      </c>
      <c r="O54" s="127">
        <v>1130</v>
      </c>
      <c r="P54" s="125">
        <v>1345.4960000000001</v>
      </c>
      <c r="Q54" s="127">
        <v>1150</v>
      </c>
      <c r="R54" s="125">
        <v>1345.085</v>
      </c>
      <c r="S54" s="127">
        <v>1150</v>
      </c>
      <c r="T54" s="125">
        <v>1345.373</v>
      </c>
      <c r="U54" s="127">
        <v>1140</v>
      </c>
      <c r="V54" s="125">
        <v>1343.422</v>
      </c>
      <c r="W54" s="127">
        <v>1150</v>
      </c>
      <c r="X54" s="125">
        <v>1343.3610000000001</v>
      </c>
      <c r="Y54" s="127">
        <v>1150</v>
      </c>
      <c r="Z54" s="125">
        <v>1342.165</v>
      </c>
      <c r="AA54" s="127">
        <v>1150</v>
      </c>
      <c r="AB54" s="125">
        <v>1341.24</v>
      </c>
      <c r="AC54" s="127">
        <v>1140</v>
      </c>
      <c r="AD54" s="125">
        <v>1265.8330000000001</v>
      </c>
      <c r="AE54" s="127">
        <v>1150</v>
      </c>
      <c r="AF54" s="125">
        <v>1266.6590000000001</v>
      </c>
      <c r="AG54" s="127">
        <v>1130</v>
      </c>
      <c r="AH54" s="125">
        <v>370.22500000000002</v>
      </c>
      <c r="AI54" s="127">
        <v>1130</v>
      </c>
      <c r="AJ54" s="125">
        <v>386.036</v>
      </c>
    </row>
    <row r="55" spans="1:36" ht="14.25">
      <c r="A55" s="128">
        <v>1160</v>
      </c>
      <c r="B55" s="124">
        <v>770.20299999999997</v>
      </c>
      <c r="C55" s="128">
        <v>1170</v>
      </c>
      <c r="D55" s="125">
        <v>764.30100000000004</v>
      </c>
      <c r="E55" s="126">
        <v>1160</v>
      </c>
      <c r="F55" s="125">
        <v>1589.961</v>
      </c>
      <c r="G55" s="127">
        <v>1160</v>
      </c>
      <c r="H55" s="125">
        <v>1587.856</v>
      </c>
      <c r="I55" s="127">
        <v>1160</v>
      </c>
      <c r="J55" s="125">
        <v>1343.616</v>
      </c>
      <c r="K55" s="127">
        <v>1160</v>
      </c>
      <c r="L55" s="125">
        <v>1343.3019999999999</v>
      </c>
      <c r="M55" s="127">
        <v>1160</v>
      </c>
      <c r="N55" s="125">
        <v>1343.328</v>
      </c>
      <c r="O55" s="127">
        <v>1140</v>
      </c>
      <c r="P55" s="125">
        <v>1344.3530000000001</v>
      </c>
      <c r="Q55" s="127">
        <v>1160</v>
      </c>
      <c r="R55" s="125">
        <v>1343.943</v>
      </c>
      <c r="S55" s="127">
        <v>1160</v>
      </c>
      <c r="T55" s="125">
        <v>1344.232</v>
      </c>
      <c r="U55" s="127">
        <v>1150</v>
      </c>
      <c r="V55" s="125">
        <v>1342.2829999999999</v>
      </c>
      <c r="W55" s="127">
        <v>1160</v>
      </c>
      <c r="X55" s="125">
        <v>1342.222</v>
      </c>
      <c r="Y55" s="127">
        <v>1160</v>
      </c>
      <c r="Z55" s="125">
        <v>1341.0250000000001</v>
      </c>
      <c r="AA55" s="127">
        <v>1160</v>
      </c>
      <c r="AB55" s="125">
        <v>1340.1020000000001</v>
      </c>
      <c r="AC55" s="127">
        <v>1150</v>
      </c>
      <c r="AD55" s="125">
        <v>1264.694</v>
      </c>
      <c r="AE55" s="127">
        <v>1160</v>
      </c>
      <c r="AF55" s="125">
        <v>1265.5219999999999</v>
      </c>
      <c r="AG55" s="127">
        <v>1140</v>
      </c>
      <c r="AH55" s="125">
        <v>369.85599999999999</v>
      </c>
      <c r="AI55" s="127">
        <v>1140</v>
      </c>
      <c r="AJ55" s="125">
        <v>385.65199999999999</v>
      </c>
    </row>
    <row r="56" spans="1:36" ht="14.25">
      <c r="A56" s="128">
        <v>1170</v>
      </c>
      <c r="B56" s="124">
        <v>769.45600000000002</v>
      </c>
      <c r="C56" s="128">
        <v>1180</v>
      </c>
      <c r="D56" s="125">
        <v>763.56100000000004</v>
      </c>
      <c r="E56" s="126">
        <v>1170</v>
      </c>
      <c r="F56" s="125">
        <v>1588.539</v>
      </c>
      <c r="G56" s="127">
        <v>1170</v>
      </c>
      <c r="H56" s="125">
        <v>1586.4390000000001</v>
      </c>
      <c r="I56" s="127">
        <v>1170</v>
      </c>
      <c r="J56" s="125">
        <v>1342.473</v>
      </c>
      <c r="K56" s="127">
        <v>1170</v>
      </c>
      <c r="L56" s="125">
        <v>1342.1590000000001</v>
      </c>
      <c r="M56" s="127">
        <v>1170</v>
      </c>
      <c r="N56" s="125">
        <v>1342.1849999999999</v>
      </c>
      <c r="O56" s="127">
        <v>1150</v>
      </c>
      <c r="P56" s="125">
        <v>1343.211</v>
      </c>
      <c r="Q56" s="127">
        <v>1170</v>
      </c>
      <c r="R56" s="125">
        <v>1342.8009999999999</v>
      </c>
      <c r="S56" s="127">
        <v>1170</v>
      </c>
      <c r="T56" s="125">
        <v>1343.0909999999999</v>
      </c>
      <c r="U56" s="127">
        <v>1160</v>
      </c>
      <c r="V56" s="125">
        <v>1341.144</v>
      </c>
      <c r="W56" s="127">
        <v>1170</v>
      </c>
      <c r="X56" s="125">
        <v>1341.0830000000001</v>
      </c>
      <c r="Y56" s="127">
        <v>1170</v>
      </c>
      <c r="Z56" s="125">
        <v>1339.884</v>
      </c>
      <c r="AA56" s="127">
        <v>1170</v>
      </c>
      <c r="AB56" s="125">
        <v>1338.9649999999999</v>
      </c>
      <c r="AC56" s="127">
        <v>1160</v>
      </c>
      <c r="AD56" s="125">
        <v>1263.5530000000001</v>
      </c>
      <c r="AE56" s="127">
        <v>1170</v>
      </c>
      <c r="AF56" s="125">
        <v>1264.383</v>
      </c>
      <c r="AG56" s="127">
        <v>1150</v>
      </c>
      <c r="AH56" s="125">
        <v>369.48599999999999</v>
      </c>
      <c r="AI56" s="127">
        <v>1150</v>
      </c>
      <c r="AJ56" s="125">
        <v>385.26900000000001</v>
      </c>
    </row>
    <row r="57" spans="1:36" ht="14.25">
      <c r="A57" s="128">
        <v>1180</v>
      </c>
      <c r="B57" s="124">
        <v>768.70799999999997</v>
      </c>
      <c r="C57" s="128">
        <v>1190</v>
      </c>
      <c r="D57" s="125">
        <v>762.82100000000003</v>
      </c>
      <c r="E57" s="126">
        <v>1180</v>
      </c>
      <c r="F57" s="125">
        <v>1587.117</v>
      </c>
      <c r="G57" s="127">
        <v>1180</v>
      </c>
      <c r="H57" s="125">
        <v>1585.0219999999999</v>
      </c>
      <c r="I57" s="127">
        <v>1180</v>
      </c>
      <c r="J57" s="125">
        <v>1341.329</v>
      </c>
      <c r="K57" s="127">
        <v>1180</v>
      </c>
      <c r="L57" s="125">
        <v>1341.0170000000001</v>
      </c>
      <c r="M57" s="127">
        <v>1180</v>
      </c>
      <c r="N57" s="125">
        <v>1341.0419999999999</v>
      </c>
      <c r="O57" s="127">
        <v>1160</v>
      </c>
      <c r="P57" s="125">
        <v>1342.068</v>
      </c>
      <c r="Q57" s="127">
        <v>1180</v>
      </c>
      <c r="R57" s="125">
        <v>1341.6579999999999</v>
      </c>
      <c r="S57" s="127">
        <v>1180</v>
      </c>
      <c r="T57" s="125">
        <v>1341.9490000000001</v>
      </c>
      <c r="U57" s="127">
        <v>1170</v>
      </c>
      <c r="V57" s="125">
        <v>1340.0050000000001</v>
      </c>
      <c r="W57" s="127">
        <v>1180</v>
      </c>
      <c r="X57" s="125">
        <v>1339.943</v>
      </c>
      <c r="Y57" s="127">
        <v>1180</v>
      </c>
      <c r="Z57" s="125">
        <v>1338.7429999999999</v>
      </c>
      <c r="AA57" s="127">
        <v>1180</v>
      </c>
      <c r="AB57" s="125">
        <v>1337.827</v>
      </c>
      <c r="AC57" s="127">
        <v>1170</v>
      </c>
      <c r="AD57" s="125">
        <v>1262.413</v>
      </c>
      <c r="AE57" s="127">
        <v>1180</v>
      </c>
      <c r="AF57" s="125">
        <v>1263.2449999999999</v>
      </c>
      <c r="AG57" s="127">
        <v>1160</v>
      </c>
      <c r="AH57" s="125">
        <v>369.11599999999999</v>
      </c>
      <c r="AI57" s="127">
        <v>1160</v>
      </c>
      <c r="AJ57" s="125">
        <v>384.88499999999999</v>
      </c>
    </row>
    <row r="58" spans="1:36" ht="14.25">
      <c r="A58" s="128">
        <v>1190</v>
      </c>
      <c r="B58" s="124">
        <v>767.96</v>
      </c>
      <c r="C58" s="128">
        <v>1200</v>
      </c>
      <c r="D58" s="125">
        <v>762.08100000000002</v>
      </c>
      <c r="E58" s="126">
        <v>1190</v>
      </c>
      <c r="F58" s="125">
        <v>1585.6949999999999</v>
      </c>
      <c r="G58" s="127">
        <v>1190</v>
      </c>
      <c r="H58" s="125">
        <v>1583.605</v>
      </c>
      <c r="I58" s="127">
        <v>1190</v>
      </c>
      <c r="J58" s="125">
        <v>1340.1849999999999</v>
      </c>
      <c r="K58" s="127">
        <v>1190</v>
      </c>
      <c r="L58" s="125">
        <v>1339.874</v>
      </c>
      <c r="M58" s="127">
        <v>1190</v>
      </c>
      <c r="N58" s="125">
        <v>1339.8979999999999</v>
      </c>
      <c r="O58" s="127">
        <v>1170</v>
      </c>
      <c r="P58" s="125">
        <v>1340.925</v>
      </c>
      <c r="Q58" s="127">
        <v>1190</v>
      </c>
      <c r="R58" s="125">
        <v>1340.5150000000001</v>
      </c>
      <c r="S58" s="127">
        <v>1190</v>
      </c>
      <c r="T58" s="125">
        <v>1340.807</v>
      </c>
      <c r="U58" s="127">
        <v>1180</v>
      </c>
      <c r="V58" s="125">
        <v>1338.866</v>
      </c>
      <c r="W58" s="127">
        <v>1190</v>
      </c>
      <c r="X58" s="125">
        <v>1338.8040000000001</v>
      </c>
      <c r="Y58" s="127">
        <v>1190</v>
      </c>
      <c r="Z58" s="125">
        <v>1337.6020000000001</v>
      </c>
      <c r="AA58" s="127">
        <v>1190</v>
      </c>
      <c r="AB58" s="125">
        <v>1336.6880000000001</v>
      </c>
      <c r="AC58" s="127">
        <v>1180</v>
      </c>
      <c r="AD58" s="125">
        <v>1261.2719999999999</v>
      </c>
      <c r="AE58" s="127">
        <v>1190</v>
      </c>
      <c r="AF58" s="125">
        <v>1262.106</v>
      </c>
      <c r="AG58" s="127">
        <v>1170</v>
      </c>
      <c r="AH58" s="125">
        <v>368.74700000000001</v>
      </c>
      <c r="AI58" s="127">
        <v>1170</v>
      </c>
      <c r="AJ58" s="125">
        <v>384.50200000000001</v>
      </c>
    </row>
    <row r="59" spans="1:36" ht="14.25">
      <c r="A59" s="128">
        <v>1200</v>
      </c>
      <c r="B59" s="124">
        <v>767.21100000000001</v>
      </c>
      <c r="C59" s="128">
        <v>1210</v>
      </c>
      <c r="D59" s="125">
        <v>761.34100000000001</v>
      </c>
      <c r="E59" s="126">
        <v>1200</v>
      </c>
      <c r="F59" s="125">
        <v>1584.2729999999999</v>
      </c>
      <c r="G59" s="127">
        <v>1200</v>
      </c>
      <c r="H59" s="125">
        <v>1582.1869999999999</v>
      </c>
      <c r="I59" s="127">
        <v>1200</v>
      </c>
      <c r="J59" s="125">
        <v>1339.04</v>
      </c>
      <c r="K59" s="127">
        <v>1200</v>
      </c>
      <c r="L59" s="125">
        <v>1338.731</v>
      </c>
      <c r="M59" s="127">
        <v>1200</v>
      </c>
      <c r="N59" s="125">
        <v>1338.7539999999999</v>
      </c>
      <c r="O59" s="127">
        <v>1180</v>
      </c>
      <c r="P59" s="125">
        <v>1339.7819999999999</v>
      </c>
      <c r="Q59" s="127">
        <v>1200</v>
      </c>
      <c r="R59" s="125">
        <v>1339.3720000000001</v>
      </c>
      <c r="S59" s="127">
        <v>1200</v>
      </c>
      <c r="T59" s="125">
        <v>1339.665</v>
      </c>
      <c r="U59" s="127">
        <v>1190</v>
      </c>
      <c r="V59" s="125">
        <v>1337.7260000000001</v>
      </c>
      <c r="W59" s="127">
        <v>1200</v>
      </c>
      <c r="X59" s="125">
        <v>1337.664</v>
      </c>
      <c r="Y59" s="127">
        <v>1200</v>
      </c>
      <c r="Z59" s="125">
        <v>1336.46</v>
      </c>
      <c r="AA59" s="127">
        <v>1200</v>
      </c>
      <c r="AB59" s="125">
        <v>1335.55</v>
      </c>
      <c r="AC59" s="127">
        <v>1190</v>
      </c>
      <c r="AD59" s="125">
        <v>1260.1320000000001</v>
      </c>
      <c r="AE59" s="127">
        <v>1200</v>
      </c>
      <c r="AF59" s="125">
        <v>1260.9670000000001</v>
      </c>
      <c r="AG59" s="127">
        <v>1180</v>
      </c>
      <c r="AH59" s="125">
        <v>368.37700000000001</v>
      </c>
      <c r="AI59" s="127">
        <v>1180</v>
      </c>
      <c r="AJ59" s="125">
        <v>384.11799999999999</v>
      </c>
    </row>
    <row r="60" spans="1:36" ht="14.25">
      <c r="A60" s="128">
        <v>1210</v>
      </c>
      <c r="B60" s="124">
        <v>766.46299999999997</v>
      </c>
      <c r="C60" s="128">
        <v>1220</v>
      </c>
      <c r="D60" s="125">
        <v>760.6</v>
      </c>
      <c r="E60" s="126">
        <v>1210</v>
      </c>
      <c r="F60" s="125">
        <v>1582.85</v>
      </c>
      <c r="G60" s="127">
        <v>1210</v>
      </c>
      <c r="H60" s="125">
        <v>1580.77</v>
      </c>
      <c r="I60" s="127">
        <v>1210</v>
      </c>
      <c r="J60" s="125">
        <v>1337.896</v>
      </c>
      <c r="K60" s="127">
        <v>1210</v>
      </c>
      <c r="L60" s="125">
        <v>1337.588</v>
      </c>
      <c r="M60" s="127">
        <v>1210</v>
      </c>
      <c r="N60" s="125">
        <v>1337.61</v>
      </c>
      <c r="O60" s="127">
        <v>1190</v>
      </c>
      <c r="P60" s="125">
        <v>1338.6389999999999</v>
      </c>
      <c r="Q60" s="127">
        <v>1210</v>
      </c>
      <c r="R60" s="125">
        <v>1338.229</v>
      </c>
      <c r="S60" s="127">
        <v>1210</v>
      </c>
      <c r="T60" s="125">
        <v>1338.5229999999999</v>
      </c>
      <c r="U60" s="127">
        <v>1200</v>
      </c>
      <c r="V60" s="125">
        <v>1336.586</v>
      </c>
      <c r="W60" s="127">
        <v>1210</v>
      </c>
      <c r="X60" s="125">
        <v>1336.5239999999999</v>
      </c>
      <c r="Y60" s="127">
        <v>1210</v>
      </c>
      <c r="Z60" s="125">
        <v>1335.319</v>
      </c>
      <c r="AA60" s="127">
        <v>1210</v>
      </c>
      <c r="AB60" s="125">
        <v>1334.4110000000001</v>
      </c>
      <c r="AC60" s="127">
        <v>1200</v>
      </c>
      <c r="AD60" s="125">
        <v>1258.99</v>
      </c>
      <c r="AE60" s="127">
        <v>1210</v>
      </c>
      <c r="AF60" s="125">
        <v>1259.828</v>
      </c>
      <c r="AG60" s="127">
        <v>1190</v>
      </c>
      <c r="AH60" s="125">
        <v>368.00700000000001</v>
      </c>
      <c r="AI60" s="127">
        <v>1190</v>
      </c>
      <c r="AJ60" s="125">
        <v>383.73399999999998</v>
      </c>
    </row>
    <row r="61" spans="1:36" ht="14.25">
      <c r="A61" s="128">
        <v>1220</v>
      </c>
      <c r="B61" s="124">
        <v>765.71400000000006</v>
      </c>
      <c r="C61" s="128">
        <v>1230</v>
      </c>
      <c r="D61" s="125">
        <v>759.85900000000004</v>
      </c>
      <c r="E61" s="126">
        <v>1220</v>
      </c>
      <c r="F61" s="125">
        <v>1581.4269999999999</v>
      </c>
      <c r="G61" s="127">
        <v>1220</v>
      </c>
      <c r="H61" s="125">
        <v>1579.3510000000001</v>
      </c>
      <c r="I61" s="127">
        <v>1220</v>
      </c>
      <c r="J61" s="125">
        <v>1336.751</v>
      </c>
      <c r="K61" s="127">
        <v>1220</v>
      </c>
      <c r="L61" s="125">
        <v>1336.444</v>
      </c>
      <c r="M61" s="127">
        <v>1220</v>
      </c>
      <c r="N61" s="125">
        <v>1336.4659999999999</v>
      </c>
      <c r="O61" s="127">
        <v>1200</v>
      </c>
      <c r="P61" s="125">
        <v>1337.4960000000001</v>
      </c>
      <c r="Q61" s="127">
        <v>1220</v>
      </c>
      <c r="R61" s="125">
        <v>1337.085</v>
      </c>
      <c r="S61" s="127">
        <v>1220</v>
      </c>
      <c r="T61" s="125">
        <v>1337.3810000000001</v>
      </c>
      <c r="U61" s="127">
        <v>1210</v>
      </c>
      <c r="V61" s="125">
        <v>1335.4459999999999</v>
      </c>
      <c r="W61" s="127">
        <v>1220</v>
      </c>
      <c r="X61" s="125">
        <v>1335.383</v>
      </c>
      <c r="Y61" s="127">
        <v>1220</v>
      </c>
      <c r="Z61" s="125">
        <v>1334.1769999999999</v>
      </c>
      <c r="AA61" s="127">
        <v>1220</v>
      </c>
      <c r="AB61" s="125">
        <v>1333.2719999999999</v>
      </c>
      <c r="AC61" s="127">
        <v>1210</v>
      </c>
      <c r="AD61" s="125">
        <v>1257.8489999999999</v>
      </c>
      <c r="AE61" s="127">
        <v>1220</v>
      </c>
      <c r="AF61" s="125">
        <v>1258.6890000000001</v>
      </c>
      <c r="AG61" s="127">
        <v>1200</v>
      </c>
      <c r="AH61" s="125">
        <v>367.637</v>
      </c>
      <c r="AI61" s="127">
        <v>1200</v>
      </c>
      <c r="AJ61" s="125">
        <v>383.35</v>
      </c>
    </row>
    <row r="62" spans="1:36" ht="14.25">
      <c r="A62" s="128">
        <v>1230</v>
      </c>
      <c r="B62" s="124">
        <v>764.96500000000003</v>
      </c>
      <c r="C62" s="128">
        <v>1240</v>
      </c>
      <c r="D62" s="125">
        <v>759.11800000000005</v>
      </c>
      <c r="E62" s="126">
        <v>1230</v>
      </c>
      <c r="F62" s="125">
        <v>1580.0039999999999</v>
      </c>
      <c r="G62" s="127">
        <v>1230</v>
      </c>
      <c r="H62" s="125">
        <v>1577.933</v>
      </c>
      <c r="I62" s="127">
        <v>1230</v>
      </c>
      <c r="J62" s="125">
        <v>1335.606</v>
      </c>
      <c r="K62" s="127">
        <v>1230</v>
      </c>
      <c r="L62" s="125">
        <v>1335.3</v>
      </c>
      <c r="M62" s="127">
        <v>1230</v>
      </c>
      <c r="N62" s="125">
        <v>1335.3219999999999</v>
      </c>
      <c r="O62" s="127">
        <v>1210</v>
      </c>
      <c r="P62" s="125">
        <v>1336.3520000000001</v>
      </c>
      <c r="Q62" s="127">
        <v>1230</v>
      </c>
      <c r="R62" s="125">
        <v>1335.942</v>
      </c>
      <c r="S62" s="127">
        <v>1230</v>
      </c>
      <c r="T62" s="125">
        <v>1336.2380000000001</v>
      </c>
      <c r="U62" s="127">
        <v>1220</v>
      </c>
      <c r="V62" s="125">
        <v>1334.306</v>
      </c>
      <c r="W62" s="127">
        <v>1230</v>
      </c>
      <c r="X62" s="125">
        <v>1334.2429999999999</v>
      </c>
      <c r="Y62" s="127">
        <v>1230</v>
      </c>
      <c r="Z62" s="125">
        <v>1333.0350000000001</v>
      </c>
      <c r="AA62" s="127">
        <v>1230</v>
      </c>
      <c r="AB62" s="125">
        <v>1332.133</v>
      </c>
      <c r="AC62" s="127">
        <v>1220</v>
      </c>
      <c r="AD62" s="125">
        <v>1256.7070000000001</v>
      </c>
      <c r="AE62" s="127">
        <v>1230</v>
      </c>
      <c r="AF62" s="125">
        <v>1257.549</v>
      </c>
      <c r="AG62" s="127">
        <v>1210</v>
      </c>
      <c r="AH62" s="125">
        <v>367.267</v>
      </c>
      <c r="AI62" s="127">
        <v>1210</v>
      </c>
      <c r="AJ62" s="125">
        <v>382.96600000000001</v>
      </c>
    </row>
    <row r="63" spans="1:36" ht="14.25">
      <c r="A63" s="128">
        <v>1240</v>
      </c>
      <c r="B63" s="124">
        <v>764.21600000000001</v>
      </c>
      <c r="C63" s="128">
        <v>1250</v>
      </c>
      <c r="D63" s="125">
        <v>758.37699999999995</v>
      </c>
      <c r="E63" s="126">
        <v>1240</v>
      </c>
      <c r="F63" s="125">
        <v>1578.5809999999999</v>
      </c>
      <c r="G63" s="127">
        <v>1240</v>
      </c>
      <c r="H63" s="125">
        <v>1576.5139999999999</v>
      </c>
      <c r="I63" s="127">
        <v>1240</v>
      </c>
      <c r="J63" s="125">
        <v>1334.46</v>
      </c>
      <c r="K63" s="127">
        <v>1240</v>
      </c>
      <c r="L63" s="125">
        <v>1334.1559999999999</v>
      </c>
      <c r="M63" s="127">
        <v>1240</v>
      </c>
      <c r="N63" s="125">
        <v>1334.1769999999999</v>
      </c>
      <c r="O63" s="127">
        <v>1220</v>
      </c>
      <c r="P63" s="125">
        <v>1335.2080000000001</v>
      </c>
      <c r="Q63" s="127">
        <v>1240</v>
      </c>
      <c r="R63" s="125">
        <v>1334.798</v>
      </c>
      <c r="S63" s="127">
        <v>1240</v>
      </c>
      <c r="T63" s="125">
        <v>1335.095</v>
      </c>
      <c r="U63" s="127">
        <v>1230</v>
      </c>
      <c r="V63" s="125">
        <v>1333.165</v>
      </c>
      <c r="W63" s="127">
        <v>1240</v>
      </c>
      <c r="X63" s="125">
        <v>1333.1020000000001</v>
      </c>
      <c r="Y63" s="127">
        <v>1240</v>
      </c>
      <c r="Z63" s="125">
        <v>1331.8920000000001</v>
      </c>
      <c r="AA63" s="127">
        <v>1240</v>
      </c>
      <c r="AB63" s="125">
        <v>1330.9939999999999</v>
      </c>
      <c r="AC63" s="127">
        <v>1230</v>
      </c>
      <c r="AD63" s="125">
        <v>1255.566</v>
      </c>
      <c r="AE63" s="127">
        <v>1240</v>
      </c>
      <c r="AF63" s="125">
        <v>1256.4090000000001</v>
      </c>
      <c r="AG63" s="127">
        <v>1220</v>
      </c>
      <c r="AH63" s="125">
        <v>366.89600000000002</v>
      </c>
      <c r="AI63" s="127">
        <v>1220</v>
      </c>
      <c r="AJ63" s="125">
        <v>382.58199999999999</v>
      </c>
    </row>
    <row r="64" spans="1:36" ht="14.25">
      <c r="A64" s="128">
        <v>1250</v>
      </c>
      <c r="B64" s="124">
        <v>763.46699999999998</v>
      </c>
      <c r="C64" s="128">
        <v>1260</v>
      </c>
      <c r="D64" s="125">
        <v>757.63499999999999</v>
      </c>
      <c r="E64" s="126">
        <v>1250</v>
      </c>
      <c r="F64" s="125">
        <v>1577.1569999999999</v>
      </c>
      <c r="G64" s="127">
        <v>1250</v>
      </c>
      <c r="H64" s="125">
        <v>1575.096</v>
      </c>
      <c r="I64" s="127">
        <v>1250</v>
      </c>
      <c r="J64" s="125">
        <v>1333.3150000000001</v>
      </c>
      <c r="K64" s="127">
        <v>1250</v>
      </c>
      <c r="L64" s="125">
        <v>1333.0119999999999</v>
      </c>
      <c r="M64" s="127">
        <v>1250</v>
      </c>
      <c r="N64" s="125">
        <v>1333.0319999999999</v>
      </c>
      <c r="O64" s="127">
        <v>1230</v>
      </c>
      <c r="P64" s="125">
        <v>1334.0630000000001</v>
      </c>
      <c r="Q64" s="127">
        <v>1250</v>
      </c>
      <c r="R64" s="125">
        <v>1333.653</v>
      </c>
      <c r="S64" s="127">
        <v>1250</v>
      </c>
      <c r="T64" s="125">
        <v>1333.952</v>
      </c>
      <c r="U64" s="127">
        <v>1240</v>
      </c>
      <c r="V64" s="125">
        <v>1332.0250000000001</v>
      </c>
      <c r="W64" s="127">
        <v>1250</v>
      </c>
      <c r="X64" s="125">
        <v>1331.961</v>
      </c>
      <c r="Y64" s="127">
        <v>1250</v>
      </c>
      <c r="Z64" s="125">
        <v>1330.75</v>
      </c>
      <c r="AA64" s="127">
        <v>1250</v>
      </c>
      <c r="AB64" s="125">
        <v>1329.854</v>
      </c>
      <c r="AC64" s="127">
        <v>1240</v>
      </c>
      <c r="AD64" s="125">
        <v>1254.424</v>
      </c>
      <c r="AE64" s="127">
        <v>1250</v>
      </c>
      <c r="AF64" s="125">
        <v>1255.269</v>
      </c>
      <c r="AG64" s="127">
        <v>1230</v>
      </c>
      <c r="AH64" s="125">
        <v>366.52600000000001</v>
      </c>
      <c r="AI64" s="127">
        <v>1230</v>
      </c>
      <c r="AJ64" s="125">
        <v>382.19799999999998</v>
      </c>
    </row>
    <row r="65" spans="1:36" ht="14.25">
      <c r="A65" s="128">
        <v>1260</v>
      </c>
      <c r="B65" s="124">
        <v>762.71699999999998</v>
      </c>
      <c r="C65" s="128">
        <v>1270</v>
      </c>
      <c r="D65" s="125">
        <v>756.89300000000003</v>
      </c>
      <c r="E65" s="126">
        <v>1260</v>
      </c>
      <c r="F65" s="125">
        <v>1575.7329999999999</v>
      </c>
      <c r="G65" s="127">
        <v>1260</v>
      </c>
      <c r="H65" s="125">
        <v>1573.6759999999999</v>
      </c>
      <c r="I65" s="127">
        <v>1260</v>
      </c>
      <c r="J65" s="125">
        <v>1332.1690000000001</v>
      </c>
      <c r="K65" s="127">
        <v>1260</v>
      </c>
      <c r="L65" s="125">
        <v>1331.867</v>
      </c>
      <c r="M65" s="127">
        <v>1260</v>
      </c>
      <c r="N65" s="125">
        <v>1331.8869999999999</v>
      </c>
      <c r="O65" s="127">
        <v>1240</v>
      </c>
      <c r="P65" s="125">
        <v>1332.9190000000001</v>
      </c>
      <c r="Q65" s="127">
        <v>1260</v>
      </c>
      <c r="R65" s="125">
        <v>1332.509</v>
      </c>
      <c r="S65" s="127">
        <v>1260</v>
      </c>
      <c r="T65" s="125">
        <v>1332.808</v>
      </c>
      <c r="U65" s="127">
        <v>1250</v>
      </c>
      <c r="V65" s="125">
        <v>1330.883</v>
      </c>
      <c r="W65" s="127">
        <v>1260</v>
      </c>
      <c r="X65" s="125">
        <v>1330.819</v>
      </c>
      <c r="Y65" s="127">
        <v>1260</v>
      </c>
      <c r="Z65" s="125">
        <v>1329.607</v>
      </c>
      <c r="AA65" s="127">
        <v>1260</v>
      </c>
      <c r="AB65" s="125">
        <v>1328.7139999999999</v>
      </c>
      <c r="AC65" s="127">
        <v>1250</v>
      </c>
      <c r="AD65" s="125">
        <v>1253.2809999999999</v>
      </c>
      <c r="AE65" s="127">
        <v>1260</v>
      </c>
      <c r="AF65" s="125">
        <v>1254.1279999999999</v>
      </c>
      <c r="AG65" s="127">
        <v>1240</v>
      </c>
      <c r="AH65" s="125">
        <v>366.15600000000001</v>
      </c>
      <c r="AI65" s="127">
        <v>1240</v>
      </c>
      <c r="AJ65" s="125">
        <v>381.81400000000002</v>
      </c>
    </row>
    <row r="66" spans="1:36" ht="14.25">
      <c r="A66" s="128">
        <v>1270</v>
      </c>
      <c r="B66" s="124">
        <v>761.96799999999996</v>
      </c>
      <c r="C66" s="128">
        <v>1280</v>
      </c>
      <c r="D66" s="125">
        <v>756.15099999999995</v>
      </c>
      <c r="E66" s="126">
        <v>1270</v>
      </c>
      <c r="F66" s="125">
        <v>1574.308</v>
      </c>
      <c r="G66" s="127">
        <v>1270</v>
      </c>
      <c r="H66" s="125">
        <v>1572.2570000000001</v>
      </c>
      <c r="I66" s="127">
        <v>1270</v>
      </c>
      <c r="J66" s="125">
        <v>1331.0229999999999</v>
      </c>
      <c r="K66" s="127">
        <v>1270</v>
      </c>
      <c r="L66" s="125">
        <v>1330.723</v>
      </c>
      <c r="M66" s="127">
        <v>1270</v>
      </c>
      <c r="N66" s="125">
        <v>1330.742</v>
      </c>
      <c r="O66" s="127">
        <v>1250</v>
      </c>
      <c r="P66" s="125">
        <v>1331.7739999999999</v>
      </c>
      <c r="Q66" s="127">
        <v>1270</v>
      </c>
      <c r="R66" s="125">
        <v>1331.364</v>
      </c>
      <c r="S66" s="127">
        <v>1270</v>
      </c>
      <c r="T66" s="125">
        <v>1331.665</v>
      </c>
      <c r="U66" s="127">
        <v>1260</v>
      </c>
      <c r="V66" s="125">
        <v>1329.742</v>
      </c>
      <c r="W66" s="127">
        <v>1270</v>
      </c>
      <c r="X66" s="125">
        <v>1329.6780000000001</v>
      </c>
      <c r="Y66" s="127">
        <v>1270</v>
      </c>
      <c r="Z66" s="125">
        <v>1328.4639999999999</v>
      </c>
      <c r="AA66" s="127">
        <v>1270</v>
      </c>
      <c r="AB66" s="125">
        <v>1327.5740000000001</v>
      </c>
      <c r="AC66" s="127">
        <v>1260</v>
      </c>
      <c r="AD66" s="125">
        <v>1252.1389999999999</v>
      </c>
      <c r="AE66" s="127">
        <v>1270</v>
      </c>
      <c r="AF66" s="125">
        <v>1252.9880000000001</v>
      </c>
      <c r="AG66" s="127">
        <v>1250</v>
      </c>
      <c r="AH66" s="125">
        <v>365.78500000000003</v>
      </c>
      <c r="AI66" s="127">
        <v>1250</v>
      </c>
      <c r="AJ66" s="125">
        <v>381.42899999999997</v>
      </c>
    </row>
    <row r="67" spans="1:36" ht="14.25">
      <c r="A67" s="128">
        <v>1280</v>
      </c>
      <c r="B67" s="124">
        <v>761.21799999999996</v>
      </c>
      <c r="C67" s="128">
        <v>1290</v>
      </c>
      <c r="D67" s="125">
        <v>755.40899999999999</v>
      </c>
      <c r="E67" s="126">
        <v>1280</v>
      </c>
      <c r="F67" s="125">
        <v>1572.884</v>
      </c>
      <c r="G67" s="127">
        <v>1280</v>
      </c>
      <c r="H67" s="125">
        <v>1570.837</v>
      </c>
      <c r="I67" s="127">
        <v>1280</v>
      </c>
      <c r="J67" s="125">
        <v>1329.877</v>
      </c>
      <c r="K67" s="127">
        <v>1280</v>
      </c>
      <c r="L67" s="125">
        <v>1329.578</v>
      </c>
      <c r="M67" s="127">
        <v>1280</v>
      </c>
      <c r="N67" s="125">
        <v>1329.596</v>
      </c>
      <c r="O67" s="127">
        <v>1260</v>
      </c>
      <c r="P67" s="125">
        <v>1330.6289999999999</v>
      </c>
      <c r="Q67" s="127">
        <v>1280</v>
      </c>
      <c r="R67" s="125">
        <v>1330.2190000000001</v>
      </c>
      <c r="S67" s="127">
        <v>1280</v>
      </c>
      <c r="T67" s="125">
        <v>1330.521</v>
      </c>
      <c r="U67" s="127">
        <v>1270</v>
      </c>
      <c r="V67" s="125">
        <v>1328.6</v>
      </c>
      <c r="W67" s="127">
        <v>1280</v>
      </c>
      <c r="X67" s="125">
        <v>1328.5360000000001</v>
      </c>
      <c r="Y67" s="127">
        <v>1280</v>
      </c>
      <c r="Z67" s="125">
        <v>1327.3209999999999</v>
      </c>
      <c r="AA67" s="127">
        <v>1280</v>
      </c>
      <c r="AB67" s="125">
        <v>1326.434</v>
      </c>
      <c r="AC67" s="127">
        <v>1270</v>
      </c>
      <c r="AD67" s="125">
        <v>1250.9960000000001</v>
      </c>
      <c r="AE67" s="127">
        <v>1280</v>
      </c>
      <c r="AF67" s="125">
        <v>1251.847</v>
      </c>
      <c r="AG67" s="127">
        <v>1260</v>
      </c>
      <c r="AH67" s="125">
        <v>365.41399999999999</v>
      </c>
      <c r="AI67" s="127">
        <v>1260</v>
      </c>
      <c r="AJ67" s="125">
        <v>381.04500000000002</v>
      </c>
    </row>
    <row r="68" spans="1:36" ht="14.25">
      <c r="A68" s="128">
        <v>1290</v>
      </c>
      <c r="B68" s="124">
        <v>760.46799999999996</v>
      </c>
      <c r="C68" s="128">
        <v>1300</v>
      </c>
      <c r="D68" s="125">
        <v>754.66700000000003</v>
      </c>
      <c r="E68" s="126">
        <v>1290</v>
      </c>
      <c r="F68" s="125">
        <v>1571.4590000000001</v>
      </c>
      <c r="G68" s="127">
        <v>1290</v>
      </c>
      <c r="H68" s="125">
        <v>1569.4169999999999</v>
      </c>
      <c r="I68" s="127">
        <v>1290</v>
      </c>
      <c r="J68" s="125">
        <v>1328.73</v>
      </c>
      <c r="K68" s="127">
        <v>1290</v>
      </c>
      <c r="L68" s="125">
        <v>1328.433</v>
      </c>
      <c r="M68" s="127">
        <v>1290</v>
      </c>
      <c r="N68" s="125">
        <v>1328.45</v>
      </c>
      <c r="O68" s="127">
        <v>1270</v>
      </c>
      <c r="P68" s="125">
        <v>1329.4839999999999</v>
      </c>
      <c r="Q68" s="127">
        <v>1290</v>
      </c>
      <c r="R68" s="125">
        <v>1329.0740000000001</v>
      </c>
      <c r="S68" s="127">
        <v>1290</v>
      </c>
      <c r="T68" s="125">
        <v>1329.376</v>
      </c>
      <c r="U68" s="127">
        <v>1280</v>
      </c>
      <c r="V68" s="125">
        <v>1327.4590000000001</v>
      </c>
      <c r="W68" s="127">
        <v>1290</v>
      </c>
      <c r="X68" s="125">
        <v>1327.394</v>
      </c>
      <c r="Y68" s="127">
        <v>1290</v>
      </c>
      <c r="Z68" s="125">
        <v>1326.1769999999999</v>
      </c>
      <c r="AA68" s="127">
        <v>1290</v>
      </c>
      <c r="AB68" s="125">
        <v>1325.2929999999999</v>
      </c>
      <c r="AC68" s="127">
        <v>1280</v>
      </c>
      <c r="AD68" s="125">
        <v>1249.8530000000001</v>
      </c>
      <c r="AE68" s="127">
        <v>1290</v>
      </c>
      <c r="AF68" s="125">
        <v>1250.7059999999999</v>
      </c>
      <c r="AG68" s="127">
        <v>1270</v>
      </c>
      <c r="AH68" s="125">
        <v>365.04399999999998</v>
      </c>
      <c r="AI68" s="127">
        <v>1270</v>
      </c>
      <c r="AJ68" s="125">
        <v>380.66</v>
      </c>
    </row>
    <row r="69" spans="1:36" ht="14.25">
      <c r="A69" s="128">
        <v>1300</v>
      </c>
      <c r="B69" s="124">
        <v>759.71699999999998</v>
      </c>
      <c r="C69" s="128">
        <v>1310</v>
      </c>
      <c r="D69" s="125">
        <v>753.92399999999998</v>
      </c>
      <c r="E69" s="126">
        <v>1300</v>
      </c>
      <c r="F69" s="125">
        <v>1570.0340000000001</v>
      </c>
      <c r="G69" s="127">
        <v>1300</v>
      </c>
      <c r="H69" s="125">
        <v>1567.9960000000001</v>
      </c>
      <c r="I69" s="127">
        <v>1300</v>
      </c>
      <c r="J69" s="125">
        <v>1327.5840000000001</v>
      </c>
      <c r="K69" s="127">
        <v>1300</v>
      </c>
      <c r="L69" s="125">
        <v>1327.287</v>
      </c>
      <c r="M69" s="127">
        <v>1300</v>
      </c>
      <c r="N69" s="125">
        <v>1327.3040000000001</v>
      </c>
      <c r="O69" s="127">
        <v>1280</v>
      </c>
      <c r="P69" s="125">
        <v>1328.338</v>
      </c>
      <c r="Q69" s="127">
        <v>1300</v>
      </c>
      <c r="R69" s="125">
        <v>1327.9280000000001</v>
      </c>
      <c r="S69" s="127">
        <v>1300</v>
      </c>
      <c r="T69" s="125">
        <v>1328.232</v>
      </c>
      <c r="U69" s="127">
        <v>1290</v>
      </c>
      <c r="V69" s="125">
        <v>1326.317</v>
      </c>
      <c r="W69" s="127">
        <v>1300</v>
      </c>
      <c r="X69" s="125">
        <v>1326.251</v>
      </c>
      <c r="Y69" s="127">
        <v>1300</v>
      </c>
      <c r="Z69" s="125">
        <v>1325.0329999999999</v>
      </c>
      <c r="AA69" s="127">
        <v>1300</v>
      </c>
      <c r="AB69" s="125">
        <v>1324.152</v>
      </c>
      <c r="AC69" s="127">
        <v>1290</v>
      </c>
      <c r="AD69" s="125">
        <v>1248.71</v>
      </c>
      <c r="AE69" s="127">
        <v>1300</v>
      </c>
      <c r="AF69" s="125">
        <v>1249.5640000000001</v>
      </c>
      <c r="AG69" s="127">
        <v>1280</v>
      </c>
      <c r="AH69" s="125">
        <v>364.673</v>
      </c>
      <c r="AI69" s="127">
        <v>1280</v>
      </c>
      <c r="AJ69" s="125">
        <v>380.27600000000001</v>
      </c>
    </row>
    <row r="70" spans="1:36" ht="14.25">
      <c r="A70" s="128">
        <v>1310</v>
      </c>
      <c r="B70" s="124">
        <v>758.96699999999998</v>
      </c>
      <c r="C70" s="128">
        <v>1320</v>
      </c>
      <c r="D70" s="125">
        <v>753.18100000000004</v>
      </c>
      <c r="E70" s="126">
        <v>1310</v>
      </c>
      <c r="F70" s="125">
        <v>1568.6079999999999</v>
      </c>
      <c r="G70" s="127">
        <v>1310</v>
      </c>
      <c r="H70" s="125">
        <v>1566.576</v>
      </c>
      <c r="I70" s="127">
        <v>1310</v>
      </c>
      <c r="J70" s="125">
        <v>1326.4369999999999</v>
      </c>
      <c r="K70" s="127">
        <v>1310</v>
      </c>
      <c r="L70" s="125">
        <v>1326.1410000000001</v>
      </c>
      <c r="M70" s="127">
        <v>1310</v>
      </c>
      <c r="N70" s="125">
        <v>1326.1579999999999</v>
      </c>
      <c r="O70" s="127">
        <v>1290</v>
      </c>
      <c r="P70" s="125">
        <v>1327.192</v>
      </c>
      <c r="Q70" s="127">
        <v>1310</v>
      </c>
      <c r="R70" s="125">
        <v>1326.7829999999999</v>
      </c>
      <c r="S70" s="127">
        <v>1310</v>
      </c>
      <c r="T70" s="125">
        <v>1327.087</v>
      </c>
      <c r="U70" s="127">
        <v>1300</v>
      </c>
      <c r="V70" s="125">
        <v>1325.174</v>
      </c>
      <c r="W70" s="127">
        <v>1310</v>
      </c>
      <c r="X70" s="125">
        <v>1325.1089999999999</v>
      </c>
      <c r="Y70" s="127">
        <v>1310</v>
      </c>
      <c r="Z70" s="125">
        <v>1323.8889999999999</v>
      </c>
      <c r="AA70" s="127">
        <v>1310</v>
      </c>
      <c r="AB70" s="125">
        <v>1323.011</v>
      </c>
      <c r="AC70" s="127">
        <v>1300</v>
      </c>
      <c r="AD70" s="125">
        <v>1247.566</v>
      </c>
      <c r="AE70" s="127">
        <v>1310</v>
      </c>
      <c r="AF70" s="125">
        <v>1248.423</v>
      </c>
      <c r="AG70" s="127">
        <v>1290</v>
      </c>
      <c r="AH70" s="125">
        <v>364.30200000000002</v>
      </c>
      <c r="AI70" s="127">
        <v>1290</v>
      </c>
      <c r="AJ70" s="125">
        <v>379.89100000000002</v>
      </c>
    </row>
    <row r="71" spans="1:36" ht="14.25">
      <c r="A71" s="128">
        <v>1320</v>
      </c>
      <c r="B71" s="124">
        <v>758.21600000000001</v>
      </c>
      <c r="C71" s="128">
        <v>1330</v>
      </c>
      <c r="D71" s="125">
        <v>752.43799999999999</v>
      </c>
      <c r="E71" s="126">
        <v>1320</v>
      </c>
      <c r="F71" s="125">
        <v>1567.182</v>
      </c>
      <c r="G71" s="127">
        <v>1320</v>
      </c>
      <c r="H71" s="125">
        <v>1565.155</v>
      </c>
      <c r="I71" s="127">
        <v>1320</v>
      </c>
      <c r="J71" s="125">
        <v>1325.29</v>
      </c>
      <c r="K71" s="127">
        <v>1320</v>
      </c>
      <c r="L71" s="125">
        <v>1324.9949999999999</v>
      </c>
      <c r="M71" s="127">
        <v>1320</v>
      </c>
      <c r="N71" s="125">
        <v>1325.011</v>
      </c>
      <c r="O71" s="127">
        <v>1300</v>
      </c>
      <c r="P71" s="125">
        <v>1326.046</v>
      </c>
      <c r="Q71" s="127">
        <v>1320</v>
      </c>
      <c r="R71" s="125">
        <v>1325.6369999999999</v>
      </c>
      <c r="S71" s="127">
        <v>1320</v>
      </c>
      <c r="T71" s="125">
        <v>1325.942</v>
      </c>
      <c r="U71" s="127">
        <v>1310</v>
      </c>
      <c r="V71" s="125">
        <v>1324.0319999999999</v>
      </c>
      <c r="W71" s="127">
        <v>1320</v>
      </c>
      <c r="X71" s="125">
        <v>1323.9659999999999</v>
      </c>
      <c r="Y71" s="127">
        <v>1320</v>
      </c>
      <c r="Z71" s="125">
        <v>1322.7449999999999</v>
      </c>
      <c r="AA71" s="127">
        <v>1320</v>
      </c>
      <c r="AB71" s="125">
        <v>1321.87</v>
      </c>
      <c r="AC71" s="127">
        <v>1310</v>
      </c>
      <c r="AD71" s="125">
        <v>1246.422</v>
      </c>
      <c r="AE71" s="127">
        <v>1320</v>
      </c>
      <c r="AF71" s="125">
        <v>1247.2809999999999</v>
      </c>
      <c r="AG71" s="127">
        <v>1300</v>
      </c>
      <c r="AH71" s="125">
        <v>363.93099999999998</v>
      </c>
      <c r="AI71" s="127">
        <v>1300</v>
      </c>
      <c r="AJ71" s="125">
        <v>379.50599999999997</v>
      </c>
    </row>
    <row r="72" spans="1:36" ht="14.25">
      <c r="A72" s="128">
        <v>1330</v>
      </c>
      <c r="B72" s="124">
        <v>757.46500000000003</v>
      </c>
      <c r="C72" s="128">
        <v>1340</v>
      </c>
      <c r="D72" s="125">
        <v>751.69500000000005</v>
      </c>
      <c r="E72" s="126">
        <v>1330</v>
      </c>
      <c r="F72" s="125">
        <v>1565.7560000000001</v>
      </c>
      <c r="G72" s="127">
        <v>1330</v>
      </c>
      <c r="H72" s="125">
        <v>1563.7329999999999</v>
      </c>
      <c r="I72" s="127">
        <v>1330</v>
      </c>
      <c r="J72" s="125">
        <v>1324.1420000000001</v>
      </c>
      <c r="K72" s="127">
        <v>1330</v>
      </c>
      <c r="L72" s="125">
        <v>1323.8489999999999</v>
      </c>
      <c r="M72" s="127">
        <v>1330</v>
      </c>
      <c r="N72" s="125">
        <v>1323.864</v>
      </c>
      <c r="O72" s="127">
        <v>1310</v>
      </c>
      <c r="P72" s="125">
        <v>1324.9</v>
      </c>
      <c r="Q72" s="127">
        <v>1330</v>
      </c>
      <c r="R72" s="125">
        <v>1324.491</v>
      </c>
      <c r="S72" s="127">
        <v>1330</v>
      </c>
      <c r="T72" s="125">
        <v>1324.797</v>
      </c>
      <c r="U72" s="127">
        <v>1320</v>
      </c>
      <c r="V72" s="125">
        <v>1322.8889999999999</v>
      </c>
      <c r="W72" s="127">
        <v>1330</v>
      </c>
      <c r="X72" s="125">
        <v>1322.8230000000001</v>
      </c>
      <c r="Y72" s="127">
        <v>1330</v>
      </c>
      <c r="Z72" s="125">
        <v>1321.6</v>
      </c>
      <c r="AA72" s="127">
        <v>1330</v>
      </c>
      <c r="AB72" s="125">
        <v>1320.7280000000001</v>
      </c>
      <c r="AC72" s="127">
        <v>1320</v>
      </c>
      <c r="AD72" s="125">
        <v>1245.278</v>
      </c>
      <c r="AE72" s="127">
        <v>1330</v>
      </c>
      <c r="AF72" s="125">
        <v>1246.1389999999999</v>
      </c>
      <c r="AG72" s="127">
        <v>1310</v>
      </c>
      <c r="AH72" s="125">
        <v>363.56</v>
      </c>
      <c r="AI72" s="127">
        <v>1310</v>
      </c>
      <c r="AJ72" s="125">
        <v>379.12099999999998</v>
      </c>
    </row>
    <row r="73" spans="1:36" ht="14.25">
      <c r="A73" s="128">
        <v>1340</v>
      </c>
      <c r="B73" s="124">
        <v>756.71400000000006</v>
      </c>
      <c r="C73" s="128">
        <v>1350</v>
      </c>
      <c r="D73" s="125">
        <v>750.952</v>
      </c>
      <c r="E73" s="126">
        <v>1340</v>
      </c>
      <c r="F73" s="125">
        <v>1564.33</v>
      </c>
      <c r="G73" s="127">
        <v>1340</v>
      </c>
      <c r="H73" s="125">
        <v>1562.3119999999999</v>
      </c>
      <c r="I73" s="127">
        <v>1340</v>
      </c>
      <c r="J73" s="125">
        <v>1322.9939999999999</v>
      </c>
      <c r="K73" s="127">
        <v>1340</v>
      </c>
      <c r="L73" s="125">
        <v>1322.703</v>
      </c>
      <c r="M73" s="127">
        <v>1340</v>
      </c>
      <c r="N73" s="125">
        <v>1322.7170000000001</v>
      </c>
      <c r="O73" s="127">
        <v>1320</v>
      </c>
      <c r="P73" s="125">
        <v>1323.7539999999999</v>
      </c>
      <c r="Q73" s="127">
        <v>1340</v>
      </c>
      <c r="R73" s="125">
        <v>1323.3440000000001</v>
      </c>
      <c r="S73" s="127">
        <v>1340</v>
      </c>
      <c r="T73" s="125">
        <v>1323.652</v>
      </c>
      <c r="U73" s="127">
        <v>1330</v>
      </c>
      <c r="V73" s="125">
        <v>1321.7460000000001</v>
      </c>
      <c r="W73" s="127">
        <v>1340</v>
      </c>
      <c r="X73" s="125">
        <v>1321.6790000000001</v>
      </c>
      <c r="Y73" s="127">
        <v>1340</v>
      </c>
      <c r="Z73" s="125">
        <v>1320.4559999999999</v>
      </c>
      <c r="AA73" s="127">
        <v>1340</v>
      </c>
      <c r="AB73" s="125">
        <v>1319.586</v>
      </c>
      <c r="AC73" s="127">
        <v>1330</v>
      </c>
      <c r="AD73" s="125">
        <v>1244.134</v>
      </c>
      <c r="AE73" s="127">
        <v>1340</v>
      </c>
      <c r="AF73" s="125">
        <v>1244.9970000000001</v>
      </c>
      <c r="AG73" s="127">
        <v>1320</v>
      </c>
      <c r="AH73" s="125">
        <v>363.18900000000002</v>
      </c>
      <c r="AI73" s="127">
        <v>1320</v>
      </c>
      <c r="AJ73" s="125">
        <v>378.73599999999999</v>
      </c>
    </row>
    <row r="74" spans="1:36" ht="14.25">
      <c r="A74" s="128">
        <v>1350</v>
      </c>
      <c r="B74" s="124">
        <v>755.96299999999997</v>
      </c>
      <c r="C74" s="128">
        <v>1360</v>
      </c>
      <c r="D74" s="125">
        <v>750.20799999999997</v>
      </c>
      <c r="E74" s="126">
        <v>1350</v>
      </c>
      <c r="F74" s="125">
        <v>1562.903</v>
      </c>
      <c r="G74" s="127">
        <v>1350</v>
      </c>
      <c r="H74" s="125">
        <v>1560.89</v>
      </c>
      <c r="I74" s="127">
        <v>1350</v>
      </c>
      <c r="J74" s="125">
        <v>1321.847</v>
      </c>
      <c r="K74" s="127">
        <v>1350</v>
      </c>
      <c r="L74" s="125">
        <v>1321.556</v>
      </c>
      <c r="M74" s="127">
        <v>1350</v>
      </c>
      <c r="N74" s="125">
        <v>1321.57</v>
      </c>
      <c r="O74" s="127">
        <v>1330</v>
      </c>
      <c r="P74" s="125">
        <v>1322.607</v>
      </c>
      <c r="Q74" s="127">
        <v>1350</v>
      </c>
      <c r="R74" s="125">
        <v>1322.1969999999999</v>
      </c>
      <c r="S74" s="127">
        <v>1350</v>
      </c>
      <c r="T74" s="125">
        <v>1322.5060000000001</v>
      </c>
      <c r="U74" s="127">
        <v>1340</v>
      </c>
      <c r="V74" s="125">
        <v>1320.6030000000001</v>
      </c>
      <c r="W74" s="127">
        <v>1350</v>
      </c>
      <c r="X74" s="125">
        <v>1320.5360000000001</v>
      </c>
      <c r="Y74" s="127">
        <v>1350</v>
      </c>
      <c r="Z74" s="125">
        <v>1319.3109999999999</v>
      </c>
      <c r="AA74" s="127">
        <v>1350</v>
      </c>
      <c r="AB74" s="125">
        <v>1318.444</v>
      </c>
      <c r="AC74" s="127">
        <v>1340</v>
      </c>
      <c r="AD74" s="125">
        <v>1242.99</v>
      </c>
      <c r="AE74" s="127">
        <v>1350</v>
      </c>
      <c r="AF74" s="125">
        <v>1243.854</v>
      </c>
      <c r="AG74" s="127">
        <v>1330</v>
      </c>
      <c r="AH74" s="125">
        <v>362.81799999999998</v>
      </c>
      <c r="AI74" s="127">
        <v>1330</v>
      </c>
      <c r="AJ74" s="125">
        <v>378.351</v>
      </c>
    </row>
    <row r="75" spans="1:36" ht="14.25">
      <c r="A75" s="128">
        <v>1360</v>
      </c>
      <c r="B75" s="124">
        <v>755.21100000000001</v>
      </c>
      <c r="C75" s="128">
        <v>1370</v>
      </c>
      <c r="D75" s="125">
        <v>749.46400000000006</v>
      </c>
      <c r="E75" s="126">
        <v>1360</v>
      </c>
      <c r="F75" s="125">
        <v>1561.4760000000001</v>
      </c>
      <c r="G75" s="127">
        <v>1360</v>
      </c>
      <c r="H75" s="125">
        <v>1559.4680000000001</v>
      </c>
      <c r="I75" s="127">
        <v>1360</v>
      </c>
      <c r="J75" s="125">
        <v>1320.6980000000001</v>
      </c>
      <c r="K75" s="127">
        <v>1360</v>
      </c>
      <c r="L75" s="125">
        <v>1320.4090000000001</v>
      </c>
      <c r="M75" s="127">
        <v>1360</v>
      </c>
      <c r="N75" s="125">
        <v>1320.423</v>
      </c>
      <c r="O75" s="127">
        <v>1340</v>
      </c>
      <c r="P75" s="125">
        <v>1321.46</v>
      </c>
      <c r="Q75" s="127">
        <v>1360</v>
      </c>
      <c r="R75" s="125">
        <v>1321.0509999999999</v>
      </c>
      <c r="S75" s="127">
        <v>1360</v>
      </c>
      <c r="T75" s="125">
        <v>1321.36</v>
      </c>
      <c r="U75" s="127">
        <v>1350</v>
      </c>
      <c r="V75" s="125">
        <v>1319.4590000000001</v>
      </c>
      <c r="W75" s="127">
        <v>1360</v>
      </c>
      <c r="X75" s="125">
        <v>1319.3920000000001</v>
      </c>
      <c r="Y75" s="127">
        <v>1360</v>
      </c>
      <c r="Z75" s="125">
        <v>1318.165</v>
      </c>
      <c r="AA75" s="127">
        <v>1360</v>
      </c>
      <c r="AB75" s="125">
        <v>1317.3019999999999</v>
      </c>
      <c r="AC75" s="127">
        <v>1350</v>
      </c>
      <c r="AD75" s="125">
        <v>1241.845</v>
      </c>
      <c r="AE75" s="127">
        <v>1360</v>
      </c>
      <c r="AF75" s="125">
        <v>1242.711</v>
      </c>
      <c r="AG75" s="127">
        <v>1340</v>
      </c>
      <c r="AH75" s="125">
        <v>362.44600000000003</v>
      </c>
      <c r="AI75" s="127">
        <v>1340</v>
      </c>
      <c r="AJ75" s="125">
        <v>377.96600000000001</v>
      </c>
    </row>
    <row r="76" spans="1:36" ht="14.25">
      <c r="A76" s="128">
        <v>1370</v>
      </c>
      <c r="B76" s="124">
        <v>754.45899999999995</v>
      </c>
      <c r="C76" s="128">
        <v>1380</v>
      </c>
      <c r="D76" s="125">
        <v>748.72</v>
      </c>
      <c r="E76" s="126">
        <v>1370</v>
      </c>
      <c r="F76" s="125">
        <v>1560.049</v>
      </c>
      <c r="G76" s="127">
        <v>1370</v>
      </c>
      <c r="H76" s="125">
        <v>1558.0450000000001</v>
      </c>
      <c r="I76" s="127">
        <v>1370</v>
      </c>
      <c r="J76" s="125">
        <v>1319.55</v>
      </c>
      <c r="K76" s="127">
        <v>1370</v>
      </c>
      <c r="L76" s="125">
        <v>1319.2619999999999</v>
      </c>
      <c r="M76" s="127">
        <v>1370</v>
      </c>
      <c r="N76" s="125">
        <v>1319.2750000000001</v>
      </c>
      <c r="O76" s="127">
        <v>1350</v>
      </c>
      <c r="P76" s="125">
        <v>1320.3130000000001</v>
      </c>
      <c r="Q76" s="127">
        <v>1370</v>
      </c>
      <c r="R76" s="125">
        <v>1319.903</v>
      </c>
      <c r="S76" s="127">
        <v>1370</v>
      </c>
      <c r="T76" s="125">
        <v>1320.2139999999999</v>
      </c>
      <c r="U76" s="127">
        <v>1360</v>
      </c>
      <c r="V76" s="125">
        <v>1318.3150000000001</v>
      </c>
      <c r="W76" s="127">
        <v>1370</v>
      </c>
      <c r="X76" s="125">
        <v>1318.248</v>
      </c>
      <c r="Y76" s="127">
        <v>1370</v>
      </c>
      <c r="Z76" s="125">
        <v>1317.02</v>
      </c>
      <c r="AA76" s="127">
        <v>1370</v>
      </c>
      <c r="AB76" s="125">
        <v>1316.16</v>
      </c>
      <c r="AC76" s="127">
        <v>1360</v>
      </c>
      <c r="AD76" s="125">
        <v>1240.7</v>
      </c>
      <c r="AE76" s="127">
        <v>1370</v>
      </c>
      <c r="AF76" s="125">
        <v>1241.568</v>
      </c>
      <c r="AG76" s="127">
        <v>1350</v>
      </c>
      <c r="AH76" s="125">
        <v>362.07499999999999</v>
      </c>
      <c r="AI76" s="127">
        <v>1350</v>
      </c>
      <c r="AJ76" s="125">
        <v>377.58100000000002</v>
      </c>
    </row>
    <row r="77" spans="1:36" ht="14.25">
      <c r="A77" s="128">
        <v>1380</v>
      </c>
      <c r="B77" s="124">
        <v>753.70699999999999</v>
      </c>
      <c r="C77" s="128">
        <v>1390</v>
      </c>
      <c r="D77" s="125">
        <v>747.976</v>
      </c>
      <c r="E77" s="126">
        <v>1380</v>
      </c>
      <c r="F77" s="125">
        <v>1558.6210000000001</v>
      </c>
      <c r="G77" s="127">
        <v>1380</v>
      </c>
      <c r="H77" s="125">
        <v>1556.623</v>
      </c>
      <c r="I77" s="127">
        <v>1380</v>
      </c>
      <c r="J77" s="125">
        <v>1318.4010000000001</v>
      </c>
      <c r="K77" s="127">
        <v>1380</v>
      </c>
      <c r="L77" s="125">
        <v>1318.114</v>
      </c>
      <c r="M77" s="127">
        <v>1380</v>
      </c>
      <c r="N77" s="125">
        <v>1318.127</v>
      </c>
      <c r="O77" s="127">
        <v>1360</v>
      </c>
      <c r="P77" s="125">
        <v>1319.1659999999999</v>
      </c>
      <c r="Q77" s="127">
        <v>1380</v>
      </c>
      <c r="R77" s="125">
        <v>1318.7560000000001</v>
      </c>
      <c r="S77" s="127">
        <v>1380</v>
      </c>
      <c r="T77" s="125">
        <v>1319.068</v>
      </c>
      <c r="U77" s="127">
        <v>1370</v>
      </c>
      <c r="V77" s="125">
        <v>1317.171</v>
      </c>
      <c r="W77" s="127">
        <v>1380</v>
      </c>
      <c r="X77" s="125">
        <v>1317.104</v>
      </c>
      <c r="Y77" s="127">
        <v>1380</v>
      </c>
      <c r="Z77" s="125">
        <v>1315.874</v>
      </c>
      <c r="AA77" s="127">
        <v>1380</v>
      </c>
      <c r="AB77" s="125">
        <v>1315.0170000000001</v>
      </c>
      <c r="AC77" s="127">
        <v>1370</v>
      </c>
      <c r="AD77" s="125">
        <v>1239.5550000000001</v>
      </c>
      <c r="AE77" s="127">
        <v>1380</v>
      </c>
      <c r="AF77" s="125">
        <v>1240.425</v>
      </c>
      <c r="AG77" s="127">
        <v>1360</v>
      </c>
      <c r="AH77" s="125">
        <v>361.70299999999997</v>
      </c>
      <c r="AI77" s="127">
        <v>1360</v>
      </c>
      <c r="AJ77" s="125">
        <v>377.19499999999999</v>
      </c>
    </row>
    <row r="78" spans="1:36" ht="14.25">
      <c r="A78" s="128">
        <v>1390</v>
      </c>
      <c r="B78" s="124">
        <v>752.95500000000004</v>
      </c>
      <c r="C78" s="128">
        <v>1400</v>
      </c>
      <c r="D78" s="125">
        <v>747.23099999999999</v>
      </c>
      <c r="E78" s="126">
        <v>1390</v>
      </c>
      <c r="F78" s="125">
        <v>1557.194</v>
      </c>
      <c r="G78" s="127">
        <v>1390</v>
      </c>
      <c r="H78" s="125">
        <v>1555.2</v>
      </c>
      <c r="I78" s="127">
        <v>1390</v>
      </c>
      <c r="J78" s="125">
        <v>1317.2529999999999</v>
      </c>
      <c r="K78" s="127">
        <v>1390</v>
      </c>
      <c r="L78" s="125">
        <v>1316.9659999999999</v>
      </c>
      <c r="M78" s="127">
        <v>1390</v>
      </c>
      <c r="N78" s="125">
        <v>1316.979</v>
      </c>
      <c r="O78" s="127">
        <v>1370</v>
      </c>
      <c r="P78" s="125">
        <v>1318.018</v>
      </c>
      <c r="Q78" s="127">
        <v>1390</v>
      </c>
      <c r="R78" s="125">
        <v>1317.6079999999999</v>
      </c>
      <c r="S78" s="127">
        <v>1390</v>
      </c>
      <c r="T78" s="125">
        <v>1317.921</v>
      </c>
      <c r="U78" s="127">
        <v>1380</v>
      </c>
      <c r="V78" s="125">
        <v>1316.027</v>
      </c>
      <c r="W78" s="127">
        <v>1390</v>
      </c>
      <c r="X78" s="125">
        <v>1315.9590000000001</v>
      </c>
      <c r="Y78" s="127">
        <v>1390</v>
      </c>
      <c r="Z78" s="125">
        <v>1314.7280000000001</v>
      </c>
      <c r="AA78" s="127">
        <v>1390</v>
      </c>
      <c r="AB78" s="125">
        <v>1313.874</v>
      </c>
      <c r="AC78" s="127">
        <v>1380</v>
      </c>
      <c r="AD78" s="125">
        <v>1238.4100000000001</v>
      </c>
      <c r="AE78" s="127">
        <v>1390</v>
      </c>
      <c r="AF78" s="125">
        <v>1239.2809999999999</v>
      </c>
      <c r="AG78" s="127">
        <v>1370</v>
      </c>
      <c r="AH78" s="125">
        <v>361.33199999999999</v>
      </c>
      <c r="AI78" s="127">
        <v>1370</v>
      </c>
      <c r="AJ78" s="125">
        <v>376.81</v>
      </c>
    </row>
    <row r="79" spans="1:36" ht="14.25">
      <c r="A79" s="128">
        <v>1400</v>
      </c>
      <c r="B79" s="124">
        <v>752.20299999999997</v>
      </c>
      <c r="C79" s="128">
        <v>1410</v>
      </c>
      <c r="D79" s="125">
        <v>746.48699999999997</v>
      </c>
      <c r="E79" s="126">
        <v>1400</v>
      </c>
      <c r="F79" s="125">
        <v>1555.7650000000001</v>
      </c>
      <c r="G79" s="127">
        <v>1400</v>
      </c>
      <c r="H79" s="125">
        <v>1553.7760000000001</v>
      </c>
      <c r="I79" s="127">
        <v>1400</v>
      </c>
      <c r="J79" s="125">
        <v>1316.104</v>
      </c>
      <c r="K79" s="127">
        <v>1400</v>
      </c>
      <c r="L79" s="125">
        <v>1315.819</v>
      </c>
      <c r="M79" s="127">
        <v>1400</v>
      </c>
      <c r="N79" s="125">
        <v>1315.83</v>
      </c>
      <c r="O79" s="127">
        <v>1380</v>
      </c>
      <c r="P79" s="125">
        <v>1316.87</v>
      </c>
      <c r="Q79" s="127">
        <v>1400</v>
      </c>
      <c r="R79" s="125">
        <v>1316.46</v>
      </c>
      <c r="S79" s="127">
        <v>1400</v>
      </c>
      <c r="T79" s="125">
        <v>1316.7739999999999</v>
      </c>
      <c r="U79" s="127">
        <v>1390</v>
      </c>
      <c r="V79" s="125">
        <v>1314.883</v>
      </c>
      <c r="W79" s="127">
        <v>1400</v>
      </c>
      <c r="X79" s="125">
        <v>1314.8140000000001</v>
      </c>
      <c r="Y79" s="127">
        <v>1400</v>
      </c>
      <c r="Z79" s="125">
        <v>1313.5820000000001</v>
      </c>
      <c r="AA79" s="127">
        <v>1400</v>
      </c>
      <c r="AB79" s="125">
        <v>1312.73</v>
      </c>
      <c r="AC79" s="127">
        <v>1390</v>
      </c>
      <c r="AD79" s="125">
        <v>1237.2639999999999</v>
      </c>
      <c r="AE79" s="127">
        <v>1400</v>
      </c>
      <c r="AF79" s="125">
        <v>1238.1379999999999</v>
      </c>
      <c r="AG79" s="127">
        <v>1380</v>
      </c>
      <c r="AH79" s="125">
        <v>360.96</v>
      </c>
      <c r="AI79" s="127">
        <v>1380</v>
      </c>
      <c r="AJ79" s="125">
        <v>376.42399999999998</v>
      </c>
    </row>
    <row r="80" spans="1:36" ht="14.25">
      <c r="A80" s="128">
        <v>1410</v>
      </c>
      <c r="B80" s="124">
        <v>751.45</v>
      </c>
      <c r="C80" s="128">
        <v>1420</v>
      </c>
      <c r="D80" s="125">
        <v>745.74199999999996</v>
      </c>
      <c r="E80" s="126">
        <v>1410</v>
      </c>
      <c r="F80" s="125">
        <v>1554.337</v>
      </c>
      <c r="G80" s="127">
        <v>1410</v>
      </c>
      <c r="H80" s="125">
        <v>1552.3530000000001</v>
      </c>
      <c r="I80" s="127">
        <v>1410</v>
      </c>
      <c r="J80" s="125">
        <v>1314.954</v>
      </c>
      <c r="K80" s="127">
        <v>1410</v>
      </c>
      <c r="L80" s="125">
        <v>1314.67</v>
      </c>
      <c r="M80" s="127">
        <v>1410</v>
      </c>
      <c r="N80" s="125">
        <v>1314.681</v>
      </c>
      <c r="O80" s="127">
        <v>1390</v>
      </c>
      <c r="P80" s="125">
        <v>1315.722</v>
      </c>
      <c r="Q80" s="127">
        <v>1410</v>
      </c>
      <c r="R80" s="125">
        <v>1315.3119999999999</v>
      </c>
      <c r="S80" s="127">
        <v>1410</v>
      </c>
      <c r="T80" s="125">
        <v>1315.627</v>
      </c>
      <c r="U80" s="127">
        <v>1400</v>
      </c>
      <c r="V80" s="125">
        <v>1313.7380000000001</v>
      </c>
      <c r="W80" s="127">
        <v>1410</v>
      </c>
      <c r="X80" s="125">
        <v>1313.6690000000001</v>
      </c>
      <c r="Y80" s="127">
        <v>1410</v>
      </c>
      <c r="Z80" s="125">
        <v>1312.4359999999999</v>
      </c>
      <c r="AA80" s="127">
        <v>1410</v>
      </c>
      <c r="AB80" s="125">
        <v>1311.587</v>
      </c>
      <c r="AC80" s="127">
        <v>1400</v>
      </c>
      <c r="AD80" s="125">
        <v>1236.1179999999999</v>
      </c>
      <c r="AE80" s="127">
        <v>1410</v>
      </c>
      <c r="AF80" s="125">
        <v>1236.9929999999999</v>
      </c>
      <c r="AG80" s="127">
        <v>1390</v>
      </c>
      <c r="AH80" s="125">
        <v>360.58800000000002</v>
      </c>
      <c r="AI80" s="127">
        <v>1390</v>
      </c>
      <c r="AJ80" s="125">
        <v>376.03899999999999</v>
      </c>
    </row>
    <row r="81" spans="1:36" ht="14.25">
      <c r="A81" s="128">
        <v>1420</v>
      </c>
      <c r="B81" s="124">
        <v>750.697</v>
      </c>
      <c r="C81" s="128">
        <v>1430</v>
      </c>
      <c r="D81" s="125">
        <v>744.99699999999996</v>
      </c>
      <c r="E81" s="126">
        <v>1420</v>
      </c>
      <c r="F81" s="125">
        <v>1552.9079999999999</v>
      </c>
      <c r="G81" s="127">
        <v>1420</v>
      </c>
      <c r="H81" s="125">
        <v>1550.9290000000001</v>
      </c>
      <c r="I81" s="127">
        <v>1420</v>
      </c>
      <c r="J81" s="125">
        <v>1313.8050000000001</v>
      </c>
      <c r="K81" s="127">
        <v>1420</v>
      </c>
      <c r="L81" s="125">
        <v>1313.5219999999999</v>
      </c>
      <c r="M81" s="127">
        <v>1420</v>
      </c>
      <c r="N81" s="125">
        <v>1313.5319999999999</v>
      </c>
      <c r="O81" s="127">
        <v>1400</v>
      </c>
      <c r="P81" s="125">
        <v>1314.5730000000001</v>
      </c>
      <c r="Q81" s="127">
        <v>1420</v>
      </c>
      <c r="R81" s="125">
        <v>1314.164</v>
      </c>
      <c r="S81" s="127">
        <v>1420</v>
      </c>
      <c r="T81" s="125">
        <v>1314.48</v>
      </c>
      <c r="U81" s="127">
        <v>1410</v>
      </c>
      <c r="V81" s="125">
        <v>1312.5930000000001</v>
      </c>
      <c r="W81" s="127">
        <v>1420</v>
      </c>
      <c r="X81" s="125">
        <v>1312.5239999999999</v>
      </c>
      <c r="Y81" s="127">
        <v>1420</v>
      </c>
      <c r="Z81" s="125">
        <v>1311.289</v>
      </c>
      <c r="AA81" s="127">
        <v>1420</v>
      </c>
      <c r="AB81" s="125">
        <v>1310.443</v>
      </c>
      <c r="AC81" s="127">
        <v>1410</v>
      </c>
      <c r="AD81" s="125">
        <v>1234.972</v>
      </c>
      <c r="AE81" s="127">
        <v>1420</v>
      </c>
      <c r="AF81" s="125">
        <v>1235.8489999999999</v>
      </c>
      <c r="AG81" s="127">
        <v>1400</v>
      </c>
      <c r="AH81" s="125">
        <v>360.21600000000001</v>
      </c>
      <c r="AI81" s="127">
        <v>1400</v>
      </c>
      <c r="AJ81" s="125">
        <v>375.65300000000002</v>
      </c>
    </row>
    <row r="82" spans="1:36" ht="14.25">
      <c r="A82" s="128">
        <v>1430</v>
      </c>
      <c r="B82" s="124">
        <v>749.94399999999996</v>
      </c>
      <c r="C82" s="128">
        <v>1440</v>
      </c>
      <c r="D82" s="125">
        <v>744.25099999999998</v>
      </c>
      <c r="E82" s="126">
        <v>1430</v>
      </c>
      <c r="F82" s="125">
        <v>1551.479</v>
      </c>
      <c r="G82" s="127">
        <v>1430</v>
      </c>
      <c r="H82" s="125">
        <v>1549.5039999999999</v>
      </c>
      <c r="I82" s="127">
        <v>1430</v>
      </c>
      <c r="J82" s="125">
        <v>1312.655</v>
      </c>
      <c r="K82" s="127">
        <v>1430</v>
      </c>
      <c r="L82" s="125">
        <v>1312.373</v>
      </c>
      <c r="M82" s="127">
        <v>1430</v>
      </c>
      <c r="N82" s="125">
        <v>1312.383</v>
      </c>
      <c r="O82" s="127">
        <v>1410</v>
      </c>
      <c r="P82" s="125">
        <v>1313.425</v>
      </c>
      <c r="Q82" s="127">
        <v>1430</v>
      </c>
      <c r="R82" s="125">
        <v>1313.0150000000001</v>
      </c>
      <c r="S82" s="127">
        <v>1430</v>
      </c>
      <c r="T82" s="125">
        <v>1313.3320000000001</v>
      </c>
      <c r="U82" s="127">
        <v>1420</v>
      </c>
      <c r="V82" s="125">
        <v>1311.4480000000001</v>
      </c>
      <c r="W82" s="127">
        <v>1430</v>
      </c>
      <c r="X82" s="125">
        <v>1311.3779999999999</v>
      </c>
      <c r="Y82" s="127">
        <v>1430</v>
      </c>
      <c r="Z82" s="125">
        <v>1310.1420000000001</v>
      </c>
      <c r="AA82" s="127">
        <v>1430</v>
      </c>
      <c r="AB82" s="125">
        <v>1309.299</v>
      </c>
      <c r="AC82" s="127">
        <v>1420</v>
      </c>
      <c r="AD82" s="125">
        <v>1233.825</v>
      </c>
      <c r="AE82" s="127">
        <v>1430</v>
      </c>
      <c r="AF82" s="125">
        <v>1234.7049999999999</v>
      </c>
      <c r="AG82" s="127">
        <v>1410</v>
      </c>
      <c r="AH82" s="125">
        <v>359.84399999999999</v>
      </c>
      <c r="AI82" s="127">
        <v>1410</v>
      </c>
      <c r="AJ82" s="125">
        <v>375.267</v>
      </c>
    </row>
    <row r="83" spans="1:36" ht="14.25">
      <c r="A83" s="128">
        <v>1440</v>
      </c>
      <c r="B83" s="124">
        <v>749.19100000000003</v>
      </c>
      <c r="C83" s="128">
        <v>1450</v>
      </c>
      <c r="D83" s="125">
        <v>743.50599999999997</v>
      </c>
      <c r="E83" s="126">
        <v>1440</v>
      </c>
      <c r="F83" s="125">
        <v>1550.05</v>
      </c>
      <c r="G83" s="127">
        <v>1440</v>
      </c>
      <c r="H83" s="125">
        <v>1548.08</v>
      </c>
      <c r="I83" s="127">
        <v>1440</v>
      </c>
      <c r="J83" s="125">
        <v>1311.5050000000001</v>
      </c>
      <c r="K83" s="127">
        <v>1440</v>
      </c>
      <c r="L83" s="125">
        <v>1311.2239999999999</v>
      </c>
      <c r="M83" s="127">
        <v>1440</v>
      </c>
      <c r="N83" s="125">
        <v>1311.2339999999999</v>
      </c>
      <c r="O83" s="127">
        <v>1420</v>
      </c>
      <c r="P83" s="125">
        <v>1312.2760000000001</v>
      </c>
      <c r="Q83" s="127">
        <v>1440</v>
      </c>
      <c r="R83" s="125">
        <v>1311.867</v>
      </c>
      <c r="S83" s="127">
        <v>1440</v>
      </c>
      <c r="T83" s="125">
        <v>1312.1849999999999</v>
      </c>
      <c r="U83" s="127">
        <v>1430</v>
      </c>
      <c r="V83" s="125">
        <v>1310.3019999999999</v>
      </c>
      <c r="W83" s="127">
        <v>1440</v>
      </c>
      <c r="X83" s="125">
        <v>1310.2329999999999</v>
      </c>
      <c r="Y83" s="127">
        <v>1440</v>
      </c>
      <c r="Z83" s="125">
        <v>1308.9949999999999</v>
      </c>
      <c r="AA83" s="127">
        <v>1440</v>
      </c>
      <c r="AB83" s="125">
        <v>1308.155</v>
      </c>
      <c r="AC83" s="127">
        <v>1430</v>
      </c>
      <c r="AD83" s="125">
        <v>1232.6790000000001</v>
      </c>
      <c r="AE83" s="127">
        <v>1440</v>
      </c>
      <c r="AF83" s="125">
        <v>1233.56</v>
      </c>
      <c r="AG83" s="127">
        <v>1420</v>
      </c>
      <c r="AH83" s="125">
        <v>359.47199999999998</v>
      </c>
      <c r="AI83" s="127">
        <v>1420</v>
      </c>
      <c r="AJ83" s="125">
        <v>374.88099999999997</v>
      </c>
    </row>
    <row r="84" spans="1:36" ht="14.25">
      <c r="A84" s="128">
        <v>1450</v>
      </c>
      <c r="B84" s="124">
        <v>748.43799999999999</v>
      </c>
      <c r="C84" s="128">
        <v>1460</v>
      </c>
      <c r="D84" s="125">
        <v>742.76</v>
      </c>
      <c r="E84" s="126">
        <v>1450</v>
      </c>
      <c r="F84" s="125">
        <v>1548.6210000000001</v>
      </c>
      <c r="G84" s="127">
        <v>1450</v>
      </c>
      <c r="H84" s="125">
        <v>1546.655</v>
      </c>
      <c r="I84" s="127">
        <v>1450</v>
      </c>
      <c r="J84" s="125">
        <v>1310.355</v>
      </c>
      <c r="K84" s="127">
        <v>1450</v>
      </c>
      <c r="L84" s="125">
        <v>1310.075</v>
      </c>
      <c r="M84" s="127">
        <v>1450</v>
      </c>
      <c r="N84" s="125">
        <v>1310.0840000000001</v>
      </c>
      <c r="O84" s="127">
        <v>1430</v>
      </c>
      <c r="P84" s="125">
        <v>1311.127</v>
      </c>
      <c r="Q84" s="127">
        <v>1450</v>
      </c>
      <c r="R84" s="125">
        <v>1310.7180000000001</v>
      </c>
      <c r="S84" s="127">
        <v>1450</v>
      </c>
      <c r="T84" s="125">
        <v>1311.037</v>
      </c>
      <c r="U84" s="127">
        <v>1440</v>
      </c>
      <c r="V84" s="125">
        <v>1309.1559999999999</v>
      </c>
      <c r="W84" s="127">
        <v>1450</v>
      </c>
      <c r="X84" s="125">
        <v>1309.087</v>
      </c>
      <c r="Y84" s="127">
        <v>1450</v>
      </c>
      <c r="Z84" s="125">
        <v>1307.847</v>
      </c>
      <c r="AA84" s="127">
        <v>1450</v>
      </c>
      <c r="AB84" s="125">
        <v>1307.01</v>
      </c>
      <c r="AC84" s="127">
        <v>1440</v>
      </c>
      <c r="AD84" s="125">
        <v>1231.5319999999999</v>
      </c>
      <c r="AE84" s="127">
        <v>1450</v>
      </c>
      <c r="AF84" s="125">
        <v>1232.415</v>
      </c>
      <c r="AG84" s="127">
        <v>1430</v>
      </c>
      <c r="AH84" s="125">
        <v>359.1</v>
      </c>
      <c r="AI84" s="127">
        <v>1430</v>
      </c>
      <c r="AJ84" s="125">
        <v>374.495</v>
      </c>
    </row>
    <row r="85" spans="1:36" ht="14.25">
      <c r="A85" s="128">
        <v>1460</v>
      </c>
      <c r="B85" s="124">
        <v>747.68399999999997</v>
      </c>
      <c r="C85" s="128">
        <v>1470</v>
      </c>
      <c r="D85" s="125">
        <v>742.01400000000001</v>
      </c>
      <c r="E85" s="126">
        <v>1460</v>
      </c>
      <c r="F85" s="125">
        <v>1547.191</v>
      </c>
      <c r="G85" s="127">
        <v>1460</v>
      </c>
      <c r="H85" s="125">
        <v>1545.23</v>
      </c>
      <c r="I85" s="127">
        <v>1460</v>
      </c>
      <c r="J85" s="125">
        <v>1309.204</v>
      </c>
      <c r="K85" s="127">
        <v>1460</v>
      </c>
      <c r="L85" s="125">
        <v>1308.9259999999999</v>
      </c>
      <c r="M85" s="127">
        <v>1460</v>
      </c>
      <c r="N85" s="125">
        <v>1308.934</v>
      </c>
      <c r="O85" s="127">
        <v>1440</v>
      </c>
      <c r="P85" s="125">
        <v>1309.9780000000001</v>
      </c>
      <c r="Q85" s="127">
        <v>1460</v>
      </c>
      <c r="R85" s="125">
        <v>1309.568</v>
      </c>
      <c r="S85" s="127">
        <v>1460</v>
      </c>
      <c r="T85" s="125">
        <v>1309.8879999999999</v>
      </c>
      <c r="U85" s="127">
        <v>1450</v>
      </c>
      <c r="V85" s="125">
        <v>1308.01</v>
      </c>
      <c r="W85" s="127">
        <v>1460</v>
      </c>
      <c r="X85" s="125">
        <v>1307.94</v>
      </c>
      <c r="Y85" s="127">
        <v>1460</v>
      </c>
      <c r="Z85" s="125">
        <v>1306.7</v>
      </c>
      <c r="AA85" s="127">
        <v>1460</v>
      </c>
      <c r="AB85" s="125">
        <v>1305.865</v>
      </c>
      <c r="AC85" s="127">
        <v>1450</v>
      </c>
      <c r="AD85" s="125">
        <v>1230.385</v>
      </c>
      <c r="AE85" s="127">
        <v>1460</v>
      </c>
      <c r="AF85" s="125">
        <v>1231.27</v>
      </c>
      <c r="AG85" s="127">
        <v>1440</v>
      </c>
      <c r="AH85" s="125">
        <v>358.72800000000001</v>
      </c>
      <c r="AI85" s="127">
        <v>1440</v>
      </c>
      <c r="AJ85" s="125">
        <v>374.10899999999998</v>
      </c>
    </row>
    <row r="86" spans="1:36" ht="14.25">
      <c r="A86" s="128">
        <v>1470</v>
      </c>
      <c r="B86" s="124">
        <v>746.93</v>
      </c>
      <c r="C86" s="128">
        <v>1480</v>
      </c>
      <c r="D86" s="125">
        <v>741.26800000000003</v>
      </c>
      <c r="E86" s="126">
        <v>1470</v>
      </c>
      <c r="F86" s="125">
        <v>1545.761</v>
      </c>
      <c r="G86" s="127">
        <v>1470</v>
      </c>
      <c r="H86" s="125">
        <v>1543.8050000000001</v>
      </c>
      <c r="I86" s="127">
        <v>1470</v>
      </c>
      <c r="J86" s="125">
        <v>1308.0530000000001</v>
      </c>
      <c r="K86" s="127">
        <v>1470</v>
      </c>
      <c r="L86" s="125">
        <v>1307.7760000000001</v>
      </c>
      <c r="M86" s="127">
        <v>1470</v>
      </c>
      <c r="N86" s="125">
        <v>1307.7840000000001</v>
      </c>
      <c r="O86" s="127">
        <v>1450</v>
      </c>
      <c r="P86" s="125">
        <v>1308.828</v>
      </c>
      <c r="Q86" s="127">
        <v>1470</v>
      </c>
      <c r="R86" s="125">
        <v>1308.4190000000001</v>
      </c>
      <c r="S86" s="127">
        <v>1470</v>
      </c>
      <c r="T86" s="125">
        <v>1308.74</v>
      </c>
      <c r="U86" s="127">
        <v>1460</v>
      </c>
      <c r="V86" s="125">
        <v>1306.864</v>
      </c>
      <c r="W86" s="127">
        <v>1470</v>
      </c>
      <c r="X86" s="125">
        <v>1306.7940000000001</v>
      </c>
      <c r="Y86" s="127">
        <v>1470</v>
      </c>
      <c r="Z86" s="125">
        <v>1305.5519999999999</v>
      </c>
      <c r="AA86" s="127">
        <v>1470</v>
      </c>
      <c r="AB86" s="125">
        <v>1304.72</v>
      </c>
      <c r="AC86" s="127">
        <v>1460</v>
      </c>
      <c r="AD86" s="125">
        <v>1229.2370000000001</v>
      </c>
      <c r="AE86" s="127">
        <v>1470</v>
      </c>
      <c r="AF86" s="125">
        <v>1230.124</v>
      </c>
      <c r="AG86" s="127">
        <v>1450</v>
      </c>
      <c r="AH86" s="125">
        <v>358.35599999999999</v>
      </c>
      <c r="AI86" s="127">
        <v>1450</v>
      </c>
      <c r="AJ86" s="125">
        <v>373.72300000000001</v>
      </c>
    </row>
    <row r="87" spans="1:36" ht="14.25">
      <c r="A87" s="128">
        <v>1480</v>
      </c>
      <c r="B87" s="124">
        <v>746.17600000000004</v>
      </c>
      <c r="C87" s="128">
        <v>1490</v>
      </c>
      <c r="D87" s="125">
        <v>740.52099999999996</v>
      </c>
      <c r="E87" s="126">
        <v>1480</v>
      </c>
      <c r="F87" s="125">
        <v>1544.33</v>
      </c>
      <c r="G87" s="127">
        <v>1480</v>
      </c>
      <c r="H87" s="125">
        <v>1542.3789999999999</v>
      </c>
      <c r="I87" s="127">
        <v>1480</v>
      </c>
      <c r="J87" s="125">
        <v>1306.902</v>
      </c>
      <c r="K87" s="127">
        <v>1480</v>
      </c>
      <c r="L87" s="125">
        <v>1306.626</v>
      </c>
      <c r="M87" s="127">
        <v>1480</v>
      </c>
      <c r="N87" s="125">
        <v>1306.634</v>
      </c>
      <c r="O87" s="127">
        <v>1460</v>
      </c>
      <c r="P87" s="125">
        <v>1307.6780000000001</v>
      </c>
      <c r="Q87" s="127">
        <v>1480</v>
      </c>
      <c r="R87" s="125">
        <v>1307.269</v>
      </c>
      <c r="S87" s="127">
        <v>1480</v>
      </c>
      <c r="T87" s="125">
        <v>1307.5909999999999</v>
      </c>
      <c r="U87" s="127">
        <v>1470</v>
      </c>
      <c r="V87" s="125">
        <v>1305.7180000000001</v>
      </c>
      <c r="W87" s="127">
        <v>1480</v>
      </c>
      <c r="X87" s="125">
        <v>1305.6469999999999</v>
      </c>
      <c r="Y87" s="127">
        <v>1480</v>
      </c>
      <c r="Z87" s="125">
        <v>1304.404</v>
      </c>
      <c r="AA87" s="127">
        <v>1480</v>
      </c>
      <c r="AB87" s="125">
        <v>1303.575</v>
      </c>
      <c r="AC87" s="127">
        <v>1470</v>
      </c>
      <c r="AD87" s="125">
        <v>1228.0899999999999</v>
      </c>
      <c r="AE87" s="127">
        <v>1480</v>
      </c>
      <c r="AF87" s="125">
        <v>1228.9780000000001</v>
      </c>
      <c r="AG87" s="127">
        <v>1460</v>
      </c>
      <c r="AH87" s="125">
        <v>357.983</v>
      </c>
      <c r="AI87" s="127">
        <v>1460</v>
      </c>
      <c r="AJ87" s="125">
        <v>373.33699999999999</v>
      </c>
    </row>
    <row r="88" spans="1:36" ht="14.25">
      <c r="A88" s="128">
        <v>1490</v>
      </c>
      <c r="B88" s="124">
        <v>745.42200000000003</v>
      </c>
      <c r="C88" s="128">
        <v>1500</v>
      </c>
      <c r="D88" s="125">
        <v>739.77499999999998</v>
      </c>
      <c r="E88" s="126">
        <v>1490</v>
      </c>
      <c r="F88" s="125">
        <v>1542.9</v>
      </c>
      <c r="G88" s="127">
        <v>1490</v>
      </c>
      <c r="H88" s="125">
        <v>1540.953</v>
      </c>
      <c r="I88" s="127">
        <v>1490</v>
      </c>
      <c r="J88" s="125">
        <v>1305.751</v>
      </c>
      <c r="K88" s="127">
        <v>1490</v>
      </c>
      <c r="L88" s="125">
        <v>1305.4760000000001</v>
      </c>
      <c r="M88" s="127">
        <v>1490</v>
      </c>
      <c r="N88" s="125">
        <v>1305.4829999999999</v>
      </c>
      <c r="O88" s="127">
        <v>1470</v>
      </c>
      <c r="P88" s="125">
        <v>1306.528</v>
      </c>
      <c r="Q88" s="127">
        <v>1490</v>
      </c>
      <c r="R88" s="125">
        <v>1306.1189999999999</v>
      </c>
      <c r="S88" s="127">
        <v>1490</v>
      </c>
      <c r="T88" s="125">
        <v>1306.442</v>
      </c>
      <c r="U88" s="127">
        <v>1480</v>
      </c>
      <c r="V88" s="125">
        <v>1304.5709999999999</v>
      </c>
      <c r="W88" s="127">
        <v>1490</v>
      </c>
      <c r="X88" s="125">
        <v>1304.5</v>
      </c>
      <c r="Y88" s="127">
        <v>1490</v>
      </c>
      <c r="Z88" s="125">
        <v>1303.2550000000001</v>
      </c>
      <c r="AA88" s="127">
        <v>1490</v>
      </c>
      <c r="AB88" s="125">
        <v>1302.43</v>
      </c>
      <c r="AC88" s="127">
        <v>1480</v>
      </c>
      <c r="AD88" s="125">
        <v>1226.942</v>
      </c>
      <c r="AE88" s="127">
        <v>1490</v>
      </c>
      <c r="AF88" s="125">
        <v>1227.8320000000001</v>
      </c>
      <c r="AG88" s="127">
        <v>1470</v>
      </c>
      <c r="AH88" s="125">
        <v>357.61099999999999</v>
      </c>
      <c r="AI88" s="127">
        <v>1470</v>
      </c>
      <c r="AJ88" s="125">
        <v>372.95</v>
      </c>
    </row>
    <row r="89" spans="1:36" ht="14.25">
      <c r="A89" s="128">
        <v>1500</v>
      </c>
      <c r="B89" s="124">
        <v>744.66800000000001</v>
      </c>
      <c r="C89" s="128">
        <v>1510</v>
      </c>
      <c r="D89" s="125">
        <v>739.02800000000002</v>
      </c>
      <c r="E89" s="126">
        <v>1500</v>
      </c>
      <c r="F89" s="125">
        <v>1541.4690000000001</v>
      </c>
      <c r="G89" s="127">
        <v>1500</v>
      </c>
      <c r="H89" s="125">
        <v>1539.527</v>
      </c>
      <c r="I89" s="127">
        <v>1500</v>
      </c>
      <c r="J89" s="125">
        <v>1304.5999999999999</v>
      </c>
      <c r="K89" s="127">
        <v>1500</v>
      </c>
      <c r="L89" s="125">
        <v>1304.326</v>
      </c>
      <c r="M89" s="127">
        <v>1500</v>
      </c>
      <c r="N89" s="125">
        <v>1304.3320000000001</v>
      </c>
      <c r="O89" s="127">
        <v>1480</v>
      </c>
      <c r="P89" s="125">
        <v>1305.3779999999999</v>
      </c>
      <c r="Q89" s="127">
        <v>1500</v>
      </c>
      <c r="R89" s="125">
        <v>1304.9690000000001</v>
      </c>
      <c r="S89" s="127">
        <v>1500</v>
      </c>
      <c r="T89" s="125">
        <v>1305.2929999999999</v>
      </c>
      <c r="U89" s="127">
        <v>1490</v>
      </c>
      <c r="V89" s="125">
        <v>1303.424</v>
      </c>
      <c r="W89" s="127">
        <v>1500</v>
      </c>
      <c r="X89" s="125">
        <v>1303.3530000000001</v>
      </c>
      <c r="Y89" s="127">
        <v>1500</v>
      </c>
      <c r="Z89" s="125">
        <v>1302.107</v>
      </c>
      <c r="AA89" s="127">
        <v>1500</v>
      </c>
      <c r="AB89" s="125">
        <v>1301.2840000000001</v>
      </c>
      <c r="AC89" s="127">
        <v>1490</v>
      </c>
      <c r="AD89" s="125">
        <v>1225.7940000000001</v>
      </c>
      <c r="AE89" s="127">
        <v>1500</v>
      </c>
      <c r="AF89" s="125">
        <v>1226.6859999999999</v>
      </c>
      <c r="AG89" s="127">
        <v>1480</v>
      </c>
      <c r="AH89" s="125">
        <v>357.238</v>
      </c>
      <c r="AI89" s="127">
        <v>1480</v>
      </c>
      <c r="AJ89" s="125">
        <v>372.56400000000002</v>
      </c>
    </row>
    <row r="90" spans="1:36" ht="14.25">
      <c r="A90" s="128">
        <v>1510</v>
      </c>
      <c r="B90" s="124">
        <v>743.91300000000001</v>
      </c>
      <c r="C90" s="128">
        <v>1520</v>
      </c>
      <c r="D90" s="125">
        <v>738.28099999999995</v>
      </c>
      <c r="E90" s="126">
        <v>1510</v>
      </c>
      <c r="F90" s="125">
        <v>1540.037</v>
      </c>
      <c r="G90" s="127">
        <v>1510</v>
      </c>
      <c r="H90" s="125">
        <v>1538.1</v>
      </c>
      <c r="I90" s="127">
        <v>1510</v>
      </c>
      <c r="J90" s="125">
        <v>1303.4480000000001</v>
      </c>
      <c r="K90" s="127">
        <v>1510</v>
      </c>
      <c r="L90" s="125">
        <v>1303.175</v>
      </c>
      <c r="M90" s="127">
        <v>1510</v>
      </c>
      <c r="N90" s="125">
        <v>1303.181</v>
      </c>
      <c r="O90" s="127">
        <v>1490</v>
      </c>
      <c r="P90" s="125">
        <v>1304.2270000000001</v>
      </c>
      <c r="Q90" s="127">
        <v>1510</v>
      </c>
      <c r="R90" s="125">
        <v>1303.818</v>
      </c>
      <c r="S90" s="127">
        <v>1510</v>
      </c>
      <c r="T90" s="125">
        <v>1304.143</v>
      </c>
      <c r="U90" s="127">
        <v>1500</v>
      </c>
      <c r="V90" s="125">
        <v>1302.277</v>
      </c>
      <c r="W90" s="127">
        <v>1510</v>
      </c>
      <c r="X90" s="125">
        <v>1302.2049999999999</v>
      </c>
      <c r="Y90" s="127">
        <v>1510</v>
      </c>
      <c r="Z90" s="125">
        <v>1300.9580000000001</v>
      </c>
      <c r="AA90" s="127">
        <v>1510</v>
      </c>
      <c r="AB90" s="125">
        <v>1300.1379999999999</v>
      </c>
      <c r="AC90" s="127">
        <v>1500</v>
      </c>
      <c r="AD90" s="125">
        <v>1224.646</v>
      </c>
      <c r="AE90" s="127">
        <v>1510</v>
      </c>
      <c r="AF90" s="125">
        <v>1225.54</v>
      </c>
      <c r="AG90" s="127">
        <v>1490</v>
      </c>
      <c r="AH90" s="125">
        <v>356.86500000000001</v>
      </c>
      <c r="AI90" s="127">
        <v>1490</v>
      </c>
      <c r="AJ90" s="125">
        <v>372.17700000000002</v>
      </c>
    </row>
    <row r="91" spans="1:36" ht="14.25">
      <c r="A91" s="128">
        <v>1520</v>
      </c>
      <c r="B91" s="124">
        <v>743.15800000000002</v>
      </c>
      <c r="C91" s="128">
        <v>1530</v>
      </c>
      <c r="D91" s="125">
        <v>737.53300000000002</v>
      </c>
      <c r="E91" s="126">
        <v>1520</v>
      </c>
      <c r="F91" s="125">
        <v>1538.606</v>
      </c>
      <c r="G91" s="127">
        <v>1520</v>
      </c>
      <c r="H91" s="125">
        <v>1536.673</v>
      </c>
      <c r="I91" s="127">
        <v>1520</v>
      </c>
      <c r="J91" s="125">
        <v>1302.296</v>
      </c>
      <c r="K91" s="127">
        <v>1520</v>
      </c>
      <c r="L91" s="125">
        <v>1302.0239999999999</v>
      </c>
      <c r="M91" s="127">
        <v>1520</v>
      </c>
      <c r="N91" s="125">
        <v>1302.03</v>
      </c>
      <c r="O91" s="127">
        <v>1500</v>
      </c>
      <c r="P91" s="125">
        <v>1303.076</v>
      </c>
      <c r="Q91" s="127">
        <v>1520</v>
      </c>
      <c r="R91" s="125">
        <v>1302.6669999999999</v>
      </c>
      <c r="S91" s="127">
        <v>1520</v>
      </c>
      <c r="T91" s="125">
        <v>1302.9929999999999</v>
      </c>
      <c r="U91" s="127">
        <v>1510</v>
      </c>
      <c r="V91" s="125">
        <v>1301.1300000000001</v>
      </c>
      <c r="W91" s="127">
        <v>1520</v>
      </c>
      <c r="X91" s="125">
        <v>1301.058</v>
      </c>
      <c r="Y91" s="127">
        <v>1520</v>
      </c>
      <c r="Z91" s="125">
        <v>1299.809</v>
      </c>
      <c r="AA91" s="127">
        <v>1520</v>
      </c>
      <c r="AB91" s="125">
        <v>1298.992</v>
      </c>
      <c r="AC91" s="127">
        <v>1510</v>
      </c>
      <c r="AD91" s="125">
        <v>1223.4970000000001</v>
      </c>
      <c r="AE91" s="127">
        <v>1520</v>
      </c>
      <c r="AF91" s="125">
        <v>1224.393</v>
      </c>
      <c r="AG91" s="127">
        <v>1500</v>
      </c>
      <c r="AH91" s="125">
        <v>356.49200000000002</v>
      </c>
      <c r="AI91" s="127">
        <v>1500</v>
      </c>
      <c r="AJ91" s="125">
        <v>371.79</v>
      </c>
    </row>
    <row r="92" spans="1:36" ht="14.25">
      <c r="A92" s="128">
        <v>1530</v>
      </c>
      <c r="B92" s="124">
        <v>742.40300000000002</v>
      </c>
      <c r="C92" s="128">
        <v>1540</v>
      </c>
      <c r="D92" s="125">
        <v>736.78599999999994</v>
      </c>
      <c r="E92" s="126">
        <v>1530</v>
      </c>
      <c r="F92" s="125">
        <v>1537.174</v>
      </c>
      <c r="G92" s="127">
        <v>1530</v>
      </c>
      <c r="H92" s="125">
        <v>1535.2460000000001</v>
      </c>
      <c r="I92" s="127">
        <v>1530</v>
      </c>
      <c r="J92" s="125">
        <v>1301.144</v>
      </c>
      <c r="K92" s="127">
        <v>1530</v>
      </c>
      <c r="L92" s="125">
        <v>1300.873</v>
      </c>
      <c r="M92" s="127">
        <v>1530</v>
      </c>
      <c r="N92" s="125">
        <v>1300.8779999999999</v>
      </c>
      <c r="O92" s="127">
        <v>1510</v>
      </c>
      <c r="P92" s="125">
        <v>1301.925</v>
      </c>
      <c r="Q92" s="127">
        <v>1530</v>
      </c>
      <c r="R92" s="125">
        <v>1301.5160000000001</v>
      </c>
      <c r="S92" s="127">
        <v>1530</v>
      </c>
      <c r="T92" s="125">
        <v>1301.8430000000001</v>
      </c>
      <c r="U92" s="127">
        <v>1520</v>
      </c>
      <c r="V92" s="125">
        <v>1299.982</v>
      </c>
      <c r="W92" s="127">
        <v>1530</v>
      </c>
      <c r="X92" s="125">
        <v>1299.9100000000001</v>
      </c>
      <c r="Y92" s="127">
        <v>1530</v>
      </c>
      <c r="Z92" s="125">
        <v>1298.6600000000001</v>
      </c>
      <c r="AA92" s="127">
        <v>1530</v>
      </c>
      <c r="AB92" s="125">
        <v>1297.845</v>
      </c>
      <c r="AC92" s="127">
        <v>1520</v>
      </c>
      <c r="AD92" s="125">
        <v>1222.348</v>
      </c>
      <c r="AE92" s="127">
        <v>1530</v>
      </c>
      <c r="AF92" s="125">
        <v>1223.2460000000001</v>
      </c>
      <c r="AG92" s="127">
        <v>1510</v>
      </c>
      <c r="AH92" s="125">
        <v>356.12</v>
      </c>
      <c r="AI92" s="127">
        <v>1510</v>
      </c>
      <c r="AJ92" s="125">
        <v>371.404</v>
      </c>
    </row>
    <row r="93" spans="1:36" ht="14.25">
      <c r="A93" s="128">
        <v>1540</v>
      </c>
      <c r="B93" s="124">
        <v>741.64800000000002</v>
      </c>
      <c r="C93" s="128">
        <v>1550</v>
      </c>
      <c r="D93" s="125">
        <v>736.03800000000001</v>
      </c>
      <c r="E93" s="126">
        <v>1540</v>
      </c>
      <c r="F93" s="125">
        <v>1535.742</v>
      </c>
      <c r="G93" s="127">
        <v>1540</v>
      </c>
      <c r="H93" s="125">
        <v>1533.819</v>
      </c>
      <c r="I93" s="127">
        <v>1540</v>
      </c>
      <c r="J93" s="125">
        <v>1299.992</v>
      </c>
      <c r="K93" s="127">
        <v>1540</v>
      </c>
      <c r="L93" s="125">
        <v>1299.722</v>
      </c>
      <c r="M93" s="127">
        <v>1540</v>
      </c>
      <c r="N93" s="125">
        <v>1299.7260000000001</v>
      </c>
      <c r="O93" s="127">
        <v>1520</v>
      </c>
      <c r="P93" s="125">
        <v>1300.7739999999999</v>
      </c>
      <c r="Q93" s="127">
        <v>1540</v>
      </c>
      <c r="R93" s="125">
        <v>1300.365</v>
      </c>
      <c r="S93" s="127">
        <v>1540</v>
      </c>
      <c r="T93" s="125">
        <v>1300.693</v>
      </c>
      <c r="U93" s="127">
        <v>1530</v>
      </c>
      <c r="V93" s="125">
        <v>1298.8340000000001</v>
      </c>
      <c r="W93" s="127">
        <v>1540</v>
      </c>
      <c r="X93" s="125">
        <v>1298.761</v>
      </c>
      <c r="Y93" s="127">
        <v>1540</v>
      </c>
      <c r="Z93" s="125">
        <v>1297.51</v>
      </c>
      <c r="AA93" s="127">
        <v>1540</v>
      </c>
      <c r="AB93" s="125">
        <v>1296.6980000000001</v>
      </c>
      <c r="AC93" s="127">
        <v>1530</v>
      </c>
      <c r="AD93" s="125">
        <v>1221.1990000000001</v>
      </c>
      <c r="AE93" s="127">
        <v>1540</v>
      </c>
      <c r="AF93" s="125">
        <v>1222.0989999999999</v>
      </c>
      <c r="AG93" s="127">
        <v>1520</v>
      </c>
      <c r="AH93" s="125">
        <v>355.74700000000001</v>
      </c>
      <c r="AI93" s="127">
        <v>1520</v>
      </c>
      <c r="AJ93" s="125">
        <v>371.017</v>
      </c>
    </row>
    <row r="94" spans="1:36" ht="14.25">
      <c r="A94" s="128">
        <v>1550</v>
      </c>
      <c r="B94" s="124">
        <v>740.89300000000003</v>
      </c>
      <c r="C94" s="128">
        <v>1560</v>
      </c>
      <c r="D94" s="125">
        <v>735.29</v>
      </c>
      <c r="E94" s="126">
        <v>1550</v>
      </c>
      <c r="F94" s="125">
        <v>1534.309</v>
      </c>
      <c r="G94" s="127">
        <v>1550</v>
      </c>
      <c r="H94" s="125">
        <v>1532.3910000000001</v>
      </c>
      <c r="I94" s="127">
        <v>1550</v>
      </c>
      <c r="J94" s="125">
        <v>1298.8389999999999</v>
      </c>
      <c r="K94" s="127">
        <v>1550</v>
      </c>
      <c r="L94" s="125">
        <v>1298.57</v>
      </c>
      <c r="M94" s="127">
        <v>1550</v>
      </c>
      <c r="N94" s="125">
        <v>1298.5740000000001</v>
      </c>
      <c r="O94" s="127">
        <v>1530</v>
      </c>
      <c r="P94" s="125">
        <v>1299.623</v>
      </c>
      <c r="Q94" s="127">
        <v>1550</v>
      </c>
      <c r="R94" s="125">
        <v>1299.2139999999999</v>
      </c>
      <c r="S94" s="127">
        <v>1550</v>
      </c>
      <c r="T94" s="125">
        <v>1299.5429999999999</v>
      </c>
      <c r="U94" s="127">
        <v>1540</v>
      </c>
      <c r="V94" s="125">
        <v>1297.6859999999999</v>
      </c>
      <c r="W94" s="127">
        <v>1550</v>
      </c>
      <c r="X94" s="125">
        <v>1297.6130000000001</v>
      </c>
      <c r="Y94" s="127">
        <v>1550</v>
      </c>
      <c r="Z94" s="125">
        <v>1296.3599999999999</v>
      </c>
      <c r="AA94" s="127">
        <v>1550</v>
      </c>
      <c r="AB94" s="125">
        <v>1295.5509999999999</v>
      </c>
      <c r="AC94" s="127">
        <v>1540</v>
      </c>
      <c r="AD94" s="125">
        <v>1220.05</v>
      </c>
      <c r="AE94" s="127">
        <v>1550</v>
      </c>
      <c r="AF94" s="125">
        <v>1220.951</v>
      </c>
      <c r="AG94" s="127">
        <v>1530</v>
      </c>
      <c r="AH94" s="125">
        <v>355.37299999999999</v>
      </c>
      <c r="AI94" s="127">
        <v>1530</v>
      </c>
      <c r="AJ94" s="125">
        <v>370.63</v>
      </c>
    </row>
    <row r="95" spans="1:36" ht="14.25">
      <c r="A95" s="128">
        <v>1560</v>
      </c>
      <c r="B95" s="124">
        <v>740.13699999999994</v>
      </c>
      <c r="C95" s="128">
        <v>1570</v>
      </c>
      <c r="D95" s="125">
        <v>734.54200000000003</v>
      </c>
      <c r="E95" s="126">
        <v>1560</v>
      </c>
      <c r="F95" s="125">
        <v>1532.877</v>
      </c>
      <c r="G95" s="127">
        <v>1560</v>
      </c>
      <c r="H95" s="125">
        <v>1530.963</v>
      </c>
      <c r="I95" s="127">
        <v>1560</v>
      </c>
      <c r="J95" s="125">
        <v>1297.6859999999999</v>
      </c>
      <c r="K95" s="127">
        <v>1560</v>
      </c>
      <c r="L95" s="125">
        <v>1297.4179999999999</v>
      </c>
      <c r="M95" s="127">
        <v>1560</v>
      </c>
      <c r="N95" s="125">
        <v>1297.422</v>
      </c>
      <c r="O95" s="127">
        <v>1540</v>
      </c>
      <c r="P95" s="125">
        <v>1298.471</v>
      </c>
      <c r="Q95" s="127">
        <v>1560</v>
      </c>
      <c r="R95" s="125">
        <v>1298.0619999999999</v>
      </c>
      <c r="S95" s="127">
        <v>1560</v>
      </c>
      <c r="T95" s="125">
        <v>1298.3920000000001</v>
      </c>
      <c r="U95" s="127">
        <v>1550</v>
      </c>
      <c r="V95" s="125">
        <v>1296.538</v>
      </c>
      <c r="W95" s="127">
        <v>1560</v>
      </c>
      <c r="X95" s="125">
        <v>1296.4639999999999</v>
      </c>
      <c r="Y95" s="127">
        <v>1560</v>
      </c>
      <c r="Z95" s="125">
        <v>1295.21</v>
      </c>
      <c r="AA95" s="127">
        <v>1560</v>
      </c>
      <c r="AB95" s="125">
        <v>1294.404</v>
      </c>
      <c r="AC95" s="127">
        <v>1550</v>
      </c>
      <c r="AD95" s="125">
        <v>1218.9010000000001</v>
      </c>
      <c r="AE95" s="127">
        <v>1560</v>
      </c>
      <c r="AF95" s="125">
        <v>1219.8040000000001</v>
      </c>
      <c r="AG95" s="127">
        <v>1540</v>
      </c>
      <c r="AH95" s="125">
        <v>355</v>
      </c>
      <c r="AI95" s="127">
        <v>1540</v>
      </c>
      <c r="AJ95" s="125">
        <v>370.24299999999999</v>
      </c>
    </row>
    <row r="96" spans="1:36" ht="14.25">
      <c r="A96" s="128">
        <v>1570</v>
      </c>
      <c r="B96" s="124">
        <v>739.38099999999997</v>
      </c>
      <c r="C96" s="128">
        <v>1580</v>
      </c>
      <c r="D96" s="125">
        <v>733.79399999999998</v>
      </c>
      <c r="E96" s="126">
        <v>1570</v>
      </c>
      <c r="F96" s="125">
        <v>1531.444</v>
      </c>
      <c r="G96" s="127">
        <v>1570</v>
      </c>
      <c r="H96" s="125">
        <v>1529.5350000000001</v>
      </c>
      <c r="I96" s="127">
        <v>1570</v>
      </c>
      <c r="J96" s="125">
        <v>1296.5329999999999</v>
      </c>
      <c r="K96" s="127">
        <v>1570</v>
      </c>
      <c r="L96" s="125">
        <v>1296.2660000000001</v>
      </c>
      <c r="M96" s="127">
        <v>1570</v>
      </c>
      <c r="N96" s="125">
        <v>1296.269</v>
      </c>
      <c r="O96" s="127">
        <v>1550</v>
      </c>
      <c r="P96" s="125">
        <v>1297.319</v>
      </c>
      <c r="Q96" s="127">
        <v>1570</v>
      </c>
      <c r="R96" s="125">
        <v>1296.9100000000001</v>
      </c>
      <c r="S96" s="127">
        <v>1570</v>
      </c>
      <c r="T96" s="125">
        <v>1297.241</v>
      </c>
      <c r="U96" s="127">
        <v>1560</v>
      </c>
      <c r="V96" s="125">
        <v>1295.3889999999999</v>
      </c>
      <c r="W96" s="127">
        <v>1570</v>
      </c>
      <c r="X96" s="125">
        <v>1295.3150000000001</v>
      </c>
      <c r="Y96" s="127">
        <v>1570</v>
      </c>
      <c r="Z96" s="125">
        <v>1294.06</v>
      </c>
      <c r="AA96" s="127">
        <v>1570</v>
      </c>
      <c r="AB96" s="125">
        <v>1293.2570000000001</v>
      </c>
      <c r="AC96" s="127">
        <v>1560</v>
      </c>
      <c r="AD96" s="125">
        <v>1217.751</v>
      </c>
      <c r="AE96" s="127">
        <v>1570</v>
      </c>
      <c r="AF96" s="125">
        <v>1218.6559999999999</v>
      </c>
      <c r="AG96" s="127">
        <v>1550</v>
      </c>
      <c r="AH96" s="125">
        <v>354.62700000000001</v>
      </c>
      <c r="AI96" s="127">
        <v>1550</v>
      </c>
      <c r="AJ96" s="125">
        <v>369.85599999999999</v>
      </c>
    </row>
    <row r="97" spans="1:36" ht="14.25">
      <c r="A97" s="128">
        <v>1580</v>
      </c>
      <c r="B97" s="124">
        <v>738.625</v>
      </c>
      <c r="C97" s="128">
        <v>1590</v>
      </c>
      <c r="D97" s="125">
        <v>733.04499999999996</v>
      </c>
      <c r="E97" s="126">
        <v>1580</v>
      </c>
      <c r="F97" s="125">
        <v>1530.011</v>
      </c>
      <c r="G97" s="127">
        <v>1580</v>
      </c>
      <c r="H97" s="125">
        <v>1528.106</v>
      </c>
      <c r="I97" s="127">
        <v>1580</v>
      </c>
      <c r="J97" s="125">
        <v>1295.3800000000001</v>
      </c>
      <c r="K97" s="127">
        <v>1580</v>
      </c>
      <c r="L97" s="125">
        <v>1295.114</v>
      </c>
      <c r="M97" s="127">
        <v>1580</v>
      </c>
      <c r="N97" s="125">
        <v>1295.116</v>
      </c>
      <c r="O97" s="127">
        <v>1560</v>
      </c>
      <c r="P97" s="125">
        <v>1296.1669999999999</v>
      </c>
      <c r="Q97" s="127">
        <v>1580</v>
      </c>
      <c r="R97" s="125">
        <v>1295.758</v>
      </c>
      <c r="S97" s="127">
        <v>1580</v>
      </c>
      <c r="T97" s="125">
        <v>1296.0899999999999</v>
      </c>
      <c r="U97" s="127">
        <v>1570</v>
      </c>
      <c r="V97" s="125">
        <v>1294.24</v>
      </c>
      <c r="W97" s="127">
        <v>1580</v>
      </c>
      <c r="X97" s="125">
        <v>1294.1659999999999</v>
      </c>
      <c r="Y97" s="127">
        <v>1580</v>
      </c>
      <c r="Z97" s="125">
        <v>1292.9090000000001</v>
      </c>
      <c r="AA97" s="127">
        <v>1580</v>
      </c>
      <c r="AB97" s="125">
        <v>1292.1089999999999</v>
      </c>
      <c r="AC97" s="127">
        <v>1570</v>
      </c>
      <c r="AD97" s="125">
        <v>1216.6010000000001</v>
      </c>
      <c r="AE97" s="127">
        <v>1580</v>
      </c>
      <c r="AF97" s="125">
        <v>1217.508</v>
      </c>
      <c r="AG97" s="127">
        <v>1560</v>
      </c>
      <c r="AH97" s="125">
        <v>354.25400000000002</v>
      </c>
      <c r="AI97" s="127">
        <v>1560</v>
      </c>
      <c r="AJ97" s="125">
        <v>369.46899999999999</v>
      </c>
    </row>
    <row r="98" spans="1:36" ht="14.25">
      <c r="A98" s="128">
        <v>1590</v>
      </c>
      <c r="B98" s="124">
        <v>737.86900000000003</v>
      </c>
      <c r="C98" s="128">
        <v>1600</v>
      </c>
      <c r="D98" s="125">
        <v>732.29700000000003</v>
      </c>
      <c r="E98" s="126">
        <v>1590</v>
      </c>
      <c r="F98" s="125">
        <v>1528.577</v>
      </c>
      <c r="G98" s="127">
        <v>1590</v>
      </c>
      <c r="H98" s="125">
        <v>1526.6769999999999</v>
      </c>
      <c r="I98" s="127">
        <v>1590</v>
      </c>
      <c r="J98" s="125">
        <v>1294.2260000000001</v>
      </c>
      <c r="K98" s="127">
        <v>1590</v>
      </c>
      <c r="L98" s="125">
        <v>1293.961</v>
      </c>
      <c r="M98" s="127">
        <v>1590</v>
      </c>
      <c r="N98" s="125">
        <v>1293.963</v>
      </c>
      <c r="O98" s="127">
        <v>1570</v>
      </c>
      <c r="P98" s="125">
        <v>1295.0139999999999</v>
      </c>
      <c r="Q98" s="127">
        <v>1590</v>
      </c>
      <c r="R98" s="125">
        <v>1294.605</v>
      </c>
      <c r="S98" s="127">
        <v>1590</v>
      </c>
      <c r="T98" s="130">
        <v>1294.9380000000001</v>
      </c>
      <c r="U98" s="127">
        <v>1580</v>
      </c>
      <c r="V98" s="125">
        <v>1293.0909999999999</v>
      </c>
      <c r="W98" s="127">
        <v>1590</v>
      </c>
      <c r="X98" s="125">
        <v>1293.0170000000001</v>
      </c>
      <c r="Y98" s="127">
        <v>1590</v>
      </c>
      <c r="Z98" s="125">
        <v>1291.759</v>
      </c>
      <c r="AA98" s="127">
        <v>1590</v>
      </c>
      <c r="AB98" s="125">
        <v>1290.961</v>
      </c>
      <c r="AC98" s="127">
        <v>1580</v>
      </c>
      <c r="AD98" s="125">
        <v>1215.451</v>
      </c>
      <c r="AE98" s="127">
        <v>1590</v>
      </c>
      <c r="AF98" s="125">
        <v>1216.3589999999999</v>
      </c>
      <c r="AG98" s="127">
        <v>1570</v>
      </c>
      <c r="AH98" s="125">
        <v>353.88</v>
      </c>
      <c r="AI98" s="127">
        <v>1570</v>
      </c>
      <c r="AJ98" s="125">
        <v>369.08100000000002</v>
      </c>
    </row>
    <row r="99" spans="1:36" ht="14.25">
      <c r="A99" s="128">
        <v>1600</v>
      </c>
      <c r="B99" s="124">
        <v>737.11199999999997</v>
      </c>
      <c r="C99" s="128">
        <v>1610</v>
      </c>
      <c r="D99" s="125">
        <v>731.548</v>
      </c>
      <c r="E99" s="126">
        <v>1600</v>
      </c>
      <c r="F99" s="125">
        <v>1527.143</v>
      </c>
      <c r="G99" s="127">
        <v>1600</v>
      </c>
      <c r="H99" s="125">
        <v>1525.248</v>
      </c>
      <c r="I99" s="127">
        <v>1600</v>
      </c>
      <c r="J99" s="125">
        <v>1293.0719999999999</v>
      </c>
      <c r="K99" s="127">
        <v>1600</v>
      </c>
      <c r="L99" s="125">
        <v>1292.808</v>
      </c>
      <c r="M99" s="127">
        <v>1600</v>
      </c>
      <c r="N99" s="125">
        <v>1292.81</v>
      </c>
      <c r="O99" s="127">
        <v>1580</v>
      </c>
      <c r="P99" s="125">
        <v>1293.8620000000001</v>
      </c>
      <c r="Q99" s="127">
        <v>1600</v>
      </c>
      <c r="R99" s="125">
        <v>1293.453</v>
      </c>
      <c r="S99" s="127">
        <v>1600</v>
      </c>
      <c r="T99" s="130">
        <v>1293.787</v>
      </c>
      <c r="U99" s="127">
        <v>1590</v>
      </c>
      <c r="V99" s="125">
        <v>1291.942</v>
      </c>
      <c r="W99" s="127">
        <v>1600</v>
      </c>
      <c r="X99" s="125">
        <v>1291.867</v>
      </c>
      <c r="Y99" s="127">
        <v>1600</v>
      </c>
      <c r="Z99" s="125">
        <v>1290.6079999999999</v>
      </c>
      <c r="AA99" s="127">
        <v>1600</v>
      </c>
      <c r="AB99" s="125">
        <v>1289.8130000000001</v>
      </c>
      <c r="AC99" s="127">
        <v>1590</v>
      </c>
      <c r="AD99" s="125">
        <v>1214.3</v>
      </c>
      <c r="AE99" s="127">
        <v>1600</v>
      </c>
      <c r="AF99" s="125">
        <v>1215.211</v>
      </c>
      <c r="AG99" s="127">
        <v>1580</v>
      </c>
      <c r="AH99" s="125">
        <v>353.50700000000001</v>
      </c>
      <c r="AI99" s="127">
        <v>1580</v>
      </c>
      <c r="AJ99" s="125">
        <v>368.69400000000002</v>
      </c>
    </row>
    <row r="100" spans="1:36" ht="14.25">
      <c r="A100" s="128">
        <v>1610</v>
      </c>
      <c r="B100" s="124">
        <v>736.35599999999999</v>
      </c>
      <c r="C100" s="128">
        <v>1620</v>
      </c>
      <c r="D100" s="125">
        <v>730.79899999999998</v>
      </c>
      <c r="E100" s="126">
        <v>1610</v>
      </c>
      <c r="F100" s="125">
        <v>1525.7090000000001</v>
      </c>
      <c r="G100" s="127">
        <v>1610</v>
      </c>
      <c r="H100" s="125">
        <v>1523.818</v>
      </c>
      <c r="I100" s="127">
        <v>1610</v>
      </c>
      <c r="J100" s="125">
        <v>1291.9179999999999</v>
      </c>
      <c r="K100" s="127">
        <v>1610</v>
      </c>
      <c r="L100" s="125">
        <v>1291.655</v>
      </c>
      <c r="M100" s="127">
        <v>1610</v>
      </c>
      <c r="N100" s="125">
        <v>1291.6569999999999</v>
      </c>
      <c r="O100" s="127">
        <v>1590</v>
      </c>
      <c r="P100" s="125">
        <v>1292.7090000000001</v>
      </c>
      <c r="Q100" s="127">
        <v>1610</v>
      </c>
      <c r="R100" s="125">
        <v>1292.3</v>
      </c>
      <c r="S100" s="127">
        <v>1610</v>
      </c>
      <c r="T100" s="125">
        <v>1292.635</v>
      </c>
      <c r="U100" s="127">
        <v>1600</v>
      </c>
      <c r="V100" s="125">
        <v>1290.7919999999999</v>
      </c>
      <c r="W100" s="127">
        <v>1610</v>
      </c>
      <c r="X100" s="125">
        <v>1290.7170000000001</v>
      </c>
      <c r="Y100" s="127">
        <v>1610</v>
      </c>
      <c r="Z100" s="125">
        <v>1289.4559999999999</v>
      </c>
      <c r="AA100" s="127">
        <v>1610</v>
      </c>
      <c r="AB100" s="125">
        <v>1288.664</v>
      </c>
      <c r="AC100" s="127">
        <v>1600</v>
      </c>
      <c r="AD100" s="125">
        <v>1213.1489999999999</v>
      </c>
      <c r="AE100" s="127">
        <v>1610</v>
      </c>
      <c r="AF100" s="125">
        <v>1214.0619999999999</v>
      </c>
      <c r="AG100" s="127">
        <v>1590</v>
      </c>
      <c r="AH100" s="125">
        <v>353.13299999999998</v>
      </c>
      <c r="AI100" s="127">
        <v>1590</v>
      </c>
      <c r="AJ100" s="125">
        <v>368.30599999999998</v>
      </c>
    </row>
    <row r="101" spans="1:36" ht="14.25">
      <c r="A101" s="128">
        <v>1620</v>
      </c>
      <c r="B101" s="124">
        <v>735.59900000000005</v>
      </c>
      <c r="C101" s="128">
        <v>1630</v>
      </c>
      <c r="D101" s="125">
        <v>730.04899999999998</v>
      </c>
      <c r="E101" s="126">
        <v>1620</v>
      </c>
      <c r="F101" s="125">
        <v>1524.2750000000001</v>
      </c>
      <c r="G101" s="127">
        <v>1620</v>
      </c>
      <c r="H101" s="125">
        <v>1522.3889999999999</v>
      </c>
      <c r="I101" s="127">
        <v>1620</v>
      </c>
      <c r="J101" s="125">
        <v>1290.7639999999999</v>
      </c>
      <c r="K101" s="127">
        <v>1620</v>
      </c>
      <c r="L101" s="125">
        <v>1290.502</v>
      </c>
      <c r="M101" s="127">
        <v>1620</v>
      </c>
      <c r="N101" s="125">
        <v>1290.5029999999999</v>
      </c>
      <c r="O101" s="127">
        <v>1600</v>
      </c>
      <c r="P101" s="125">
        <v>1291.556</v>
      </c>
      <c r="Q101" s="127">
        <v>1620</v>
      </c>
      <c r="R101" s="125">
        <v>1291.1469999999999</v>
      </c>
      <c r="S101" s="127">
        <v>1620</v>
      </c>
      <c r="T101" s="125">
        <v>1291.482</v>
      </c>
      <c r="U101" s="127">
        <v>1610</v>
      </c>
      <c r="V101" s="125">
        <v>1289.6420000000001</v>
      </c>
      <c r="W101" s="127">
        <v>1620</v>
      </c>
      <c r="X101" s="125">
        <v>1289.567</v>
      </c>
      <c r="Y101" s="127">
        <v>1620</v>
      </c>
      <c r="Z101" s="125">
        <v>1288.3050000000001</v>
      </c>
      <c r="AA101" s="127">
        <v>1620</v>
      </c>
      <c r="AB101" s="125">
        <v>1287.5160000000001</v>
      </c>
      <c r="AC101" s="127">
        <v>1610</v>
      </c>
      <c r="AD101" s="125">
        <v>1211.998</v>
      </c>
      <c r="AE101" s="127">
        <v>1620</v>
      </c>
      <c r="AF101" s="125">
        <v>1212.913</v>
      </c>
      <c r="AG101" s="127">
        <v>1600</v>
      </c>
      <c r="AH101" s="125">
        <v>352.75900000000001</v>
      </c>
      <c r="AI101" s="127">
        <v>1600</v>
      </c>
      <c r="AJ101" s="125">
        <v>367.91899999999998</v>
      </c>
    </row>
    <row r="102" spans="1:36" ht="14.25">
      <c r="A102" s="128">
        <v>1630</v>
      </c>
      <c r="B102" s="124">
        <v>734.84199999999998</v>
      </c>
      <c r="C102" s="128">
        <v>1640</v>
      </c>
      <c r="D102" s="125">
        <v>729.3</v>
      </c>
      <c r="E102" s="126">
        <v>1630</v>
      </c>
      <c r="F102" s="125">
        <v>1522.84</v>
      </c>
      <c r="G102" s="127">
        <v>1630</v>
      </c>
      <c r="H102" s="125">
        <v>1520.9590000000001</v>
      </c>
      <c r="I102" s="127">
        <v>1630</v>
      </c>
      <c r="J102" s="125">
        <v>1289.6089999999999</v>
      </c>
      <c r="K102" s="127">
        <v>1630</v>
      </c>
      <c r="L102" s="125">
        <v>1289.348</v>
      </c>
      <c r="M102" s="127">
        <v>1630</v>
      </c>
      <c r="N102" s="125">
        <v>1289.3489999999999</v>
      </c>
      <c r="O102" s="127">
        <v>1610</v>
      </c>
      <c r="P102" s="125">
        <v>1290.402</v>
      </c>
      <c r="Q102" s="127">
        <v>1630</v>
      </c>
      <c r="R102" s="125">
        <v>1289.9929999999999</v>
      </c>
      <c r="S102" s="127">
        <v>1630</v>
      </c>
      <c r="T102" s="125">
        <v>1290.33</v>
      </c>
      <c r="U102" s="127">
        <v>1620</v>
      </c>
      <c r="V102" s="125">
        <v>1288.492</v>
      </c>
      <c r="W102" s="127">
        <v>1630</v>
      </c>
      <c r="X102" s="125">
        <v>1288.4159999999999</v>
      </c>
      <c r="Y102" s="127">
        <v>1630</v>
      </c>
      <c r="Z102" s="125">
        <v>1287.153</v>
      </c>
      <c r="AA102" s="127">
        <v>1630</v>
      </c>
      <c r="AB102" s="125">
        <v>1286.367</v>
      </c>
      <c r="AC102" s="127">
        <v>1620</v>
      </c>
      <c r="AD102" s="125">
        <v>1210.847</v>
      </c>
      <c r="AE102" s="127">
        <v>1630</v>
      </c>
      <c r="AF102" s="125">
        <v>1211.7629999999999</v>
      </c>
      <c r="AG102" s="127">
        <v>1610</v>
      </c>
      <c r="AH102" s="125">
        <v>352.38600000000002</v>
      </c>
      <c r="AI102" s="127">
        <v>1610</v>
      </c>
      <c r="AJ102" s="125">
        <v>367.53100000000001</v>
      </c>
    </row>
    <row r="103" spans="1:36" ht="14.25">
      <c r="A103" s="128">
        <v>1640</v>
      </c>
      <c r="B103" s="124">
        <v>734.08500000000004</v>
      </c>
      <c r="C103" s="128">
        <v>1650</v>
      </c>
      <c r="D103" s="125">
        <v>728.55</v>
      </c>
      <c r="E103" s="126">
        <v>1640</v>
      </c>
      <c r="F103" s="125">
        <v>1521.405</v>
      </c>
      <c r="G103" s="127">
        <v>1640</v>
      </c>
      <c r="H103" s="125">
        <v>1519.528</v>
      </c>
      <c r="I103" s="127">
        <v>1640</v>
      </c>
      <c r="J103" s="125">
        <v>1288.4549999999999</v>
      </c>
      <c r="K103" s="127">
        <v>1640</v>
      </c>
      <c r="L103" s="125">
        <v>1288.194</v>
      </c>
      <c r="M103" s="127">
        <v>1640</v>
      </c>
      <c r="N103" s="125">
        <v>1288.1949999999999</v>
      </c>
      <c r="O103" s="127">
        <v>1620</v>
      </c>
      <c r="P103" s="125">
        <v>1289.249</v>
      </c>
      <c r="Q103" s="127">
        <v>1640</v>
      </c>
      <c r="R103" s="125">
        <v>1288.8399999999999</v>
      </c>
      <c r="S103" s="127">
        <v>1640</v>
      </c>
      <c r="T103" s="125">
        <v>1289.1769999999999</v>
      </c>
      <c r="U103" s="127">
        <v>1630</v>
      </c>
      <c r="V103" s="125">
        <v>1287.3420000000001</v>
      </c>
      <c r="W103" s="127">
        <v>1640</v>
      </c>
      <c r="X103" s="125">
        <v>1287.2660000000001</v>
      </c>
      <c r="Y103" s="127">
        <v>1640</v>
      </c>
      <c r="Z103" s="125">
        <v>1286.001</v>
      </c>
      <c r="AA103" s="127">
        <v>1640</v>
      </c>
      <c r="AB103" s="125">
        <v>1285.2180000000001</v>
      </c>
      <c r="AC103" s="127">
        <v>1630</v>
      </c>
      <c r="AD103" s="125">
        <v>1209.6959999999999</v>
      </c>
      <c r="AE103" s="127">
        <v>1640</v>
      </c>
      <c r="AF103" s="125">
        <v>1210.614</v>
      </c>
      <c r="AG103" s="127">
        <v>1620</v>
      </c>
      <c r="AH103" s="125">
        <v>352.012</v>
      </c>
      <c r="AI103" s="127">
        <v>1620</v>
      </c>
      <c r="AJ103" s="125">
        <v>367.14299999999997</v>
      </c>
    </row>
    <row r="104" spans="1:36" ht="14.25">
      <c r="A104" s="128">
        <v>1650</v>
      </c>
      <c r="B104" s="124">
        <v>733.327</v>
      </c>
      <c r="C104" s="128">
        <v>1660</v>
      </c>
      <c r="D104" s="125">
        <v>727.8</v>
      </c>
      <c r="E104" s="126">
        <v>1650</v>
      </c>
      <c r="F104" s="125">
        <v>1519.97</v>
      </c>
      <c r="G104" s="127">
        <v>1650</v>
      </c>
      <c r="H104" s="125">
        <v>1518.097</v>
      </c>
      <c r="I104" s="127">
        <v>1650</v>
      </c>
      <c r="J104" s="125">
        <v>1287.3</v>
      </c>
      <c r="K104" s="127">
        <v>1650</v>
      </c>
      <c r="L104" s="125">
        <v>1287.04</v>
      </c>
      <c r="M104" s="127">
        <v>1650</v>
      </c>
      <c r="N104" s="125">
        <v>1287.04</v>
      </c>
      <c r="O104" s="127">
        <v>1630</v>
      </c>
      <c r="P104" s="125">
        <v>1288.095</v>
      </c>
      <c r="Q104" s="127">
        <v>1650</v>
      </c>
      <c r="R104" s="125">
        <v>1287.6859999999999</v>
      </c>
      <c r="S104" s="127">
        <v>1650</v>
      </c>
      <c r="T104" s="125">
        <v>1288.0239999999999</v>
      </c>
      <c r="U104" s="127">
        <v>1640</v>
      </c>
      <c r="V104" s="125">
        <v>1286.191</v>
      </c>
      <c r="W104" s="127">
        <v>1650</v>
      </c>
      <c r="X104" s="125">
        <v>1286.115</v>
      </c>
      <c r="Y104" s="127">
        <v>1650</v>
      </c>
      <c r="Z104" s="125">
        <v>1284.8489999999999</v>
      </c>
      <c r="AA104" s="127">
        <v>1650</v>
      </c>
      <c r="AB104" s="125">
        <v>1284.068</v>
      </c>
      <c r="AC104" s="127">
        <v>1640</v>
      </c>
      <c r="AD104" s="125">
        <v>1208.5440000000001</v>
      </c>
      <c r="AE104" s="127">
        <v>1650</v>
      </c>
      <c r="AF104" s="125">
        <v>1209.4639999999999</v>
      </c>
      <c r="AG104" s="127">
        <v>1630</v>
      </c>
      <c r="AH104" s="125">
        <v>351.63799999999998</v>
      </c>
      <c r="AI104" s="127">
        <v>1630</v>
      </c>
      <c r="AJ104" s="125">
        <v>366.75599999999997</v>
      </c>
    </row>
    <row r="105" spans="1:36" ht="14.25">
      <c r="A105" s="128">
        <v>1660</v>
      </c>
      <c r="B105" s="124">
        <v>732.57</v>
      </c>
      <c r="C105" s="128">
        <v>1670</v>
      </c>
      <c r="D105" s="125">
        <v>727.05</v>
      </c>
      <c r="E105" s="126">
        <v>1660</v>
      </c>
      <c r="F105" s="125">
        <v>1518.5340000000001</v>
      </c>
      <c r="G105" s="127">
        <v>1660</v>
      </c>
      <c r="H105" s="125">
        <v>1516.6669999999999</v>
      </c>
      <c r="I105" s="127">
        <v>1660</v>
      </c>
      <c r="J105" s="125">
        <v>1286.145</v>
      </c>
      <c r="K105" s="127">
        <v>1660</v>
      </c>
      <c r="L105" s="125">
        <v>1285.886</v>
      </c>
      <c r="M105" s="127">
        <v>1660</v>
      </c>
      <c r="N105" s="125">
        <v>1285.886</v>
      </c>
      <c r="O105" s="127">
        <v>1640</v>
      </c>
      <c r="P105" s="125">
        <v>1286.941</v>
      </c>
      <c r="Q105" s="127">
        <v>1660</v>
      </c>
      <c r="R105" s="125">
        <v>1286.5319999999999</v>
      </c>
      <c r="S105" s="127">
        <v>1660</v>
      </c>
      <c r="T105" s="125">
        <v>1286.8710000000001</v>
      </c>
      <c r="U105" s="127">
        <v>1650</v>
      </c>
      <c r="V105" s="125">
        <v>1285.04</v>
      </c>
      <c r="W105" s="127">
        <v>1660</v>
      </c>
      <c r="X105" s="125">
        <v>1284.9639999999999</v>
      </c>
      <c r="Y105" s="127">
        <v>1660</v>
      </c>
      <c r="Z105" s="125">
        <v>1283.6969999999999</v>
      </c>
      <c r="AA105" s="127">
        <v>1660</v>
      </c>
      <c r="AB105" s="125">
        <v>1282.9190000000001</v>
      </c>
      <c r="AC105" s="127">
        <v>1650</v>
      </c>
      <c r="AD105" s="125">
        <v>1207.3920000000001</v>
      </c>
      <c r="AE105" s="127">
        <v>1660</v>
      </c>
      <c r="AF105" s="125">
        <v>1208.3140000000001</v>
      </c>
      <c r="AG105" s="127">
        <v>1640</v>
      </c>
      <c r="AH105" s="125">
        <v>351.26400000000001</v>
      </c>
      <c r="AI105" s="127">
        <v>1640</v>
      </c>
      <c r="AJ105" s="125">
        <v>366.36799999999999</v>
      </c>
    </row>
    <row r="106" spans="1:36" ht="14.25">
      <c r="A106" s="128">
        <v>1670</v>
      </c>
      <c r="B106" s="124">
        <v>731.81200000000001</v>
      </c>
      <c r="C106" s="128">
        <v>1680</v>
      </c>
      <c r="D106" s="125">
        <v>726.29899999999998</v>
      </c>
      <c r="E106" s="126">
        <v>1670</v>
      </c>
      <c r="F106" s="125">
        <v>1517.098</v>
      </c>
      <c r="G106" s="127">
        <v>1670</v>
      </c>
      <c r="H106" s="125">
        <v>1515.2349999999999</v>
      </c>
      <c r="I106" s="127">
        <v>1670</v>
      </c>
      <c r="J106" s="125">
        <v>1284.989</v>
      </c>
      <c r="K106" s="127">
        <v>1670</v>
      </c>
      <c r="L106" s="125">
        <v>1284.731</v>
      </c>
      <c r="M106" s="127">
        <v>1670</v>
      </c>
      <c r="N106" s="125">
        <v>1284.731</v>
      </c>
      <c r="O106" s="127">
        <v>1650</v>
      </c>
      <c r="P106" s="125">
        <v>1285.7860000000001</v>
      </c>
      <c r="Q106" s="127">
        <v>1670</v>
      </c>
      <c r="R106" s="125">
        <v>1285.377</v>
      </c>
      <c r="S106" s="127">
        <v>1670</v>
      </c>
      <c r="T106" s="125">
        <v>1285.7180000000001</v>
      </c>
      <c r="U106" s="127">
        <v>1660</v>
      </c>
      <c r="V106" s="125">
        <v>1283.8889999999999</v>
      </c>
      <c r="W106" s="127">
        <v>1670</v>
      </c>
      <c r="X106" s="125">
        <v>1283.8119999999999</v>
      </c>
      <c r="Y106" s="127">
        <v>1670</v>
      </c>
      <c r="Z106" s="125">
        <v>1282.5440000000001</v>
      </c>
      <c r="AA106" s="127">
        <v>1670</v>
      </c>
      <c r="AB106" s="125">
        <v>1281.769</v>
      </c>
      <c r="AC106" s="127">
        <v>1660</v>
      </c>
      <c r="AD106" s="125">
        <v>1206.24</v>
      </c>
      <c r="AE106" s="127">
        <v>1670</v>
      </c>
      <c r="AF106" s="125">
        <v>1207.163</v>
      </c>
      <c r="AG106" s="127">
        <v>1650</v>
      </c>
      <c r="AH106" s="125">
        <v>350.88900000000001</v>
      </c>
      <c r="AI106" s="127">
        <v>1650</v>
      </c>
      <c r="AJ106" s="125">
        <v>365.98</v>
      </c>
    </row>
    <row r="107" spans="1:36" ht="14.25">
      <c r="A107" s="128">
        <v>1680</v>
      </c>
      <c r="B107" s="124">
        <v>731.05399999999997</v>
      </c>
      <c r="C107" s="128">
        <v>1690</v>
      </c>
      <c r="D107" s="125">
        <v>725.54899999999998</v>
      </c>
      <c r="E107" s="126">
        <v>1680</v>
      </c>
      <c r="F107" s="125">
        <v>1515.662</v>
      </c>
      <c r="G107" s="127">
        <v>1680</v>
      </c>
      <c r="H107" s="125">
        <v>1513.8040000000001</v>
      </c>
      <c r="I107" s="127">
        <v>1680</v>
      </c>
      <c r="J107" s="125">
        <v>1283.8330000000001</v>
      </c>
      <c r="K107" s="127">
        <v>1680</v>
      </c>
      <c r="L107" s="125">
        <v>1283.577</v>
      </c>
      <c r="M107" s="127">
        <v>1680</v>
      </c>
      <c r="N107" s="125">
        <v>1283.575</v>
      </c>
      <c r="O107" s="127">
        <v>1660</v>
      </c>
      <c r="P107" s="125">
        <v>1284.6320000000001</v>
      </c>
      <c r="Q107" s="127">
        <v>1680</v>
      </c>
      <c r="R107" s="125">
        <v>1284.223</v>
      </c>
      <c r="S107" s="127">
        <v>1680</v>
      </c>
      <c r="T107" s="125">
        <v>1284.5640000000001</v>
      </c>
      <c r="U107" s="127">
        <v>1670</v>
      </c>
      <c r="V107" s="125">
        <v>1282.7380000000001</v>
      </c>
      <c r="W107" s="127">
        <v>1680</v>
      </c>
      <c r="X107" s="125">
        <v>1282.6610000000001</v>
      </c>
      <c r="Y107" s="127">
        <v>1680</v>
      </c>
      <c r="Z107" s="125">
        <v>1281.3910000000001</v>
      </c>
      <c r="AA107" s="127">
        <v>1680</v>
      </c>
      <c r="AB107" s="125">
        <v>1280.6189999999999</v>
      </c>
      <c r="AC107" s="127">
        <v>1670</v>
      </c>
      <c r="AD107" s="125">
        <v>1205.088</v>
      </c>
      <c r="AE107" s="127">
        <v>1680</v>
      </c>
      <c r="AF107" s="125">
        <v>1206.0129999999999</v>
      </c>
      <c r="AG107" s="127">
        <v>1660</v>
      </c>
      <c r="AH107" s="125">
        <v>350.51499999999999</v>
      </c>
      <c r="AI107" s="127">
        <v>1660</v>
      </c>
      <c r="AJ107" s="125">
        <v>365.59100000000001</v>
      </c>
    </row>
    <row r="108" spans="1:36" ht="14.25">
      <c r="A108" s="128">
        <v>1690</v>
      </c>
      <c r="B108" s="124">
        <v>730.29499999999996</v>
      </c>
      <c r="C108" s="128">
        <v>1700</v>
      </c>
      <c r="D108" s="125">
        <v>724.798</v>
      </c>
      <c r="E108" s="126">
        <v>1690</v>
      </c>
      <c r="F108" s="125">
        <v>1514.2249999999999</v>
      </c>
      <c r="G108" s="127">
        <v>1690</v>
      </c>
      <c r="H108" s="125">
        <v>1512.3720000000001</v>
      </c>
      <c r="I108" s="127">
        <v>1690</v>
      </c>
      <c r="J108" s="125">
        <v>1282.6769999999999</v>
      </c>
      <c r="K108" s="127">
        <v>1690</v>
      </c>
      <c r="L108" s="125">
        <v>1282.422</v>
      </c>
      <c r="M108" s="127">
        <v>1690</v>
      </c>
      <c r="N108" s="125">
        <v>1282.42</v>
      </c>
      <c r="O108" s="127">
        <v>1670</v>
      </c>
      <c r="P108" s="125">
        <v>1283.4770000000001</v>
      </c>
      <c r="Q108" s="127">
        <v>1690</v>
      </c>
      <c r="R108" s="125">
        <v>1283.068</v>
      </c>
      <c r="S108" s="127">
        <v>1690</v>
      </c>
      <c r="T108" s="125">
        <v>1283.4100000000001</v>
      </c>
      <c r="U108" s="127">
        <v>1680</v>
      </c>
      <c r="V108" s="125">
        <v>1281.586</v>
      </c>
      <c r="W108" s="127">
        <v>1690</v>
      </c>
      <c r="X108" s="125">
        <v>1281.509</v>
      </c>
      <c r="Y108" s="127">
        <v>1690</v>
      </c>
      <c r="Z108" s="125">
        <v>1280.2380000000001</v>
      </c>
      <c r="AA108" s="127">
        <v>1690</v>
      </c>
      <c r="AB108" s="125">
        <v>1279.4680000000001</v>
      </c>
      <c r="AC108" s="127">
        <v>1680</v>
      </c>
      <c r="AD108" s="125">
        <v>1203.9349999999999</v>
      </c>
      <c r="AE108" s="127">
        <v>1690</v>
      </c>
      <c r="AF108" s="125">
        <v>1204.8620000000001</v>
      </c>
      <c r="AG108" s="127">
        <v>1670</v>
      </c>
      <c r="AH108" s="125">
        <v>350.14100000000002</v>
      </c>
      <c r="AI108" s="127">
        <v>1670</v>
      </c>
      <c r="AJ108" s="125">
        <v>365.20299999999997</v>
      </c>
    </row>
    <row r="109" spans="1:36" ht="14.25">
      <c r="A109" s="128">
        <v>1700</v>
      </c>
      <c r="B109" s="124">
        <v>729.53700000000003</v>
      </c>
      <c r="C109" s="128">
        <v>1710</v>
      </c>
      <c r="D109" s="125">
        <v>724.04700000000003</v>
      </c>
      <c r="E109" s="126">
        <v>1700</v>
      </c>
      <c r="F109" s="125">
        <v>1512.789</v>
      </c>
      <c r="G109" s="127">
        <v>1700</v>
      </c>
      <c r="H109" s="125">
        <v>1510.94</v>
      </c>
      <c r="I109" s="127">
        <v>1700</v>
      </c>
      <c r="J109" s="125">
        <v>1281.521</v>
      </c>
      <c r="K109" s="127">
        <v>1700</v>
      </c>
      <c r="L109" s="125">
        <v>1281.2660000000001</v>
      </c>
      <c r="M109" s="127">
        <v>1700</v>
      </c>
      <c r="N109" s="125">
        <v>1281.2639999999999</v>
      </c>
      <c r="O109" s="127">
        <v>1680</v>
      </c>
      <c r="P109" s="125">
        <v>1282.3219999999999</v>
      </c>
      <c r="Q109" s="127">
        <v>1700</v>
      </c>
      <c r="R109" s="125">
        <v>1281.913</v>
      </c>
      <c r="S109" s="127">
        <v>1700</v>
      </c>
      <c r="T109" s="125">
        <v>1282.2560000000001</v>
      </c>
      <c r="U109" s="127">
        <v>1690</v>
      </c>
      <c r="V109" s="125">
        <v>1280.4349999999999</v>
      </c>
      <c r="W109" s="127">
        <v>1700</v>
      </c>
      <c r="X109" s="125">
        <v>1280.357</v>
      </c>
      <c r="Y109" s="127">
        <v>1700</v>
      </c>
      <c r="Z109" s="125">
        <v>1279.0840000000001</v>
      </c>
      <c r="AA109" s="127">
        <v>1700</v>
      </c>
      <c r="AB109" s="125">
        <v>1278.318</v>
      </c>
      <c r="AC109" s="127">
        <v>1690</v>
      </c>
      <c r="AD109" s="125">
        <v>1202.7819999999999</v>
      </c>
      <c r="AE109" s="127">
        <v>1700</v>
      </c>
      <c r="AF109" s="125">
        <v>1203.711</v>
      </c>
      <c r="AG109" s="127">
        <v>1680</v>
      </c>
      <c r="AH109" s="125">
        <v>349.76600000000002</v>
      </c>
      <c r="AI109" s="127">
        <v>1680</v>
      </c>
      <c r="AJ109" s="125">
        <v>364.815</v>
      </c>
    </row>
    <row r="110" spans="1:36" ht="14.25">
      <c r="A110" s="128">
        <v>1710</v>
      </c>
      <c r="B110" s="124">
        <v>728.77800000000002</v>
      </c>
      <c r="C110" s="128">
        <v>1720</v>
      </c>
      <c r="D110" s="125">
        <v>723.29499999999996</v>
      </c>
      <c r="E110" s="126">
        <v>1710</v>
      </c>
      <c r="F110" s="125">
        <v>1511.3520000000001</v>
      </c>
      <c r="G110" s="127">
        <v>1710</v>
      </c>
      <c r="H110" s="125">
        <v>1509.5070000000001</v>
      </c>
      <c r="I110" s="127">
        <v>1710</v>
      </c>
      <c r="J110" s="125">
        <v>1280.365</v>
      </c>
      <c r="K110" s="127">
        <v>1710</v>
      </c>
      <c r="L110" s="125">
        <v>1280.1110000000001</v>
      </c>
      <c r="M110" s="127">
        <v>1710</v>
      </c>
      <c r="N110" s="125">
        <v>1280.1079999999999</v>
      </c>
      <c r="O110" s="127">
        <v>1690</v>
      </c>
      <c r="P110" s="125">
        <v>1281.1659999999999</v>
      </c>
      <c r="Q110" s="127">
        <v>1710</v>
      </c>
      <c r="R110" s="125">
        <v>1280.7570000000001</v>
      </c>
      <c r="S110" s="127">
        <v>1710</v>
      </c>
      <c r="T110" s="125">
        <v>1281.1020000000001</v>
      </c>
      <c r="U110" s="127">
        <v>1700</v>
      </c>
      <c r="V110" s="125">
        <v>1279.2819999999999</v>
      </c>
      <c r="W110" s="127">
        <v>1710</v>
      </c>
      <c r="X110" s="125">
        <v>1279.204</v>
      </c>
      <c r="Y110" s="127">
        <v>1710</v>
      </c>
      <c r="Z110" s="125">
        <v>1277.931</v>
      </c>
      <c r="AA110" s="127">
        <v>1710</v>
      </c>
      <c r="AB110" s="125">
        <v>1277.1669999999999</v>
      </c>
      <c r="AC110" s="127">
        <v>1700</v>
      </c>
      <c r="AD110" s="125">
        <v>1201.6289999999999</v>
      </c>
      <c r="AE110" s="127">
        <v>1710</v>
      </c>
      <c r="AF110" s="125">
        <v>1202.559</v>
      </c>
      <c r="AG110" s="127">
        <v>1690</v>
      </c>
      <c r="AH110" s="125">
        <v>349.392</v>
      </c>
      <c r="AI110" s="127">
        <v>1690</v>
      </c>
      <c r="AJ110" s="125">
        <v>364.42599999999999</v>
      </c>
    </row>
    <row r="111" spans="1:36" ht="14.25">
      <c r="A111" s="128">
        <v>1720</v>
      </c>
      <c r="B111" s="124">
        <v>728.01900000000001</v>
      </c>
      <c r="C111" s="128">
        <v>1730</v>
      </c>
      <c r="D111" s="125">
        <v>722.54399999999998</v>
      </c>
      <c r="E111" s="126">
        <v>1720</v>
      </c>
      <c r="F111" s="125">
        <v>1509.914</v>
      </c>
      <c r="G111" s="127">
        <v>1720</v>
      </c>
      <c r="H111" s="125">
        <v>1508.0740000000001</v>
      </c>
      <c r="I111" s="127">
        <v>1720</v>
      </c>
      <c r="J111" s="125">
        <v>1279.2080000000001</v>
      </c>
      <c r="K111" s="127">
        <v>1720</v>
      </c>
      <c r="L111" s="125">
        <v>1278.9549999999999</v>
      </c>
      <c r="M111" s="127">
        <v>1720</v>
      </c>
      <c r="N111" s="125">
        <v>1278.952</v>
      </c>
      <c r="O111" s="127">
        <v>1700</v>
      </c>
      <c r="P111" s="125">
        <v>1280.011</v>
      </c>
      <c r="Q111" s="127">
        <v>1720</v>
      </c>
      <c r="R111" s="125">
        <v>1279.6020000000001</v>
      </c>
      <c r="S111" s="127">
        <v>1720</v>
      </c>
      <c r="T111" s="125">
        <v>1279.9469999999999</v>
      </c>
      <c r="U111" s="127">
        <v>1710</v>
      </c>
      <c r="V111" s="125">
        <v>1278.1300000000001</v>
      </c>
      <c r="W111" s="127">
        <v>1720</v>
      </c>
      <c r="X111" s="125">
        <v>1278.0519999999999</v>
      </c>
      <c r="Y111" s="127">
        <v>1720</v>
      </c>
      <c r="Z111" s="125">
        <v>1276.777</v>
      </c>
      <c r="AA111" s="127">
        <v>1720</v>
      </c>
      <c r="AB111" s="125">
        <v>1276.0160000000001</v>
      </c>
      <c r="AC111" s="127">
        <v>1710</v>
      </c>
      <c r="AD111" s="125">
        <v>1200.4760000000001</v>
      </c>
      <c r="AE111" s="127">
        <v>1720</v>
      </c>
      <c r="AF111" s="125">
        <v>1201.4079999999999</v>
      </c>
      <c r="AG111" s="127">
        <v>1700</v>
      </c>
      <c r="AH111" s="125">
        <v>349.017</v>
      </c>
      <c r="AI111" s="127">
        <v>1700</v>
      </c>
      <c r="AJ111" s="125">
        <v>364.03800000000001</v>
      </c>
    </row>
    <row r="112" spans="1:36" ht="14.25">
      <c r="A112" s="128">
        <v>1730</v>
      </c>
      <c r="B112" s="124">
        <v>727.26</v>
      </c>
      <c r="C112" s="128">
        <v>1740</v>
      </c>
      <c r="D112" s="125">
        <v>721.79200000000003</v>
      </c>
      <c r="E112" s="126">
        <v>1730</v>
      </c>
      <c r="F112" s="125">
        <v>1508.4770000000001</v>
      </c>
      <c r="G112" s="127">
        <v>1730</v>
      </c>
      <c r="H112" s="125">
        <v>1506.6410000000001</v>
      </c>
      <c r="I112" s="127">
        <v>1730</v>
      </c>
      <c r="J112" s="125">
        <v>1278.0509999999999</v>
      </c>
      <c r="K112" s="127">
        <v>1730</v>
      </c>
      <c r="L112" s="125">
        <v>1277.799</v>
      </c>
      <c r="M112" s="127">
        <v>1730</v>
      </c>
      <c r="N112" s="125">
        <v>1277.796</v>
      </c>
      <c r="O112" s="127">
        <v>1710</v>
      </c>
      <c r="P112" s="125">
        <v>1278.855</v>
      </c>
      <c r="Q112" s="127">
        <v>1730</v>
      </c>
      <c r="R112" s="125">
        <v>1278.4459999999999</v>
      </c>
      <c r="S112" s="127">
        <v>1730</v>
      </c>
      <c r="T112" s="125">
        <v>1278.7919999999999</v>
      </c>
      <c r="U112" s="127">
        <v>1720</v>
      </c>
      <c r="V112" s="125">
        <v>1276.9780000000001</v>
      </c>
      <c r="W112" s="127">
        <v>1730</v>
      </c>
      <c r="X112" s="125">
        <v>1276.8989999999999</v>
      </c>
      <c r="Y112" s="127">
        <v>1730</v>
      </c>
      <c r="Z112" s="125">
        <v>1275.623</v>
      </c>
      <c r="AA112" s="127">
        <v>1730</v>
      </c>
      <c r="AB112" s="125">
        <v>1274.864</v>
      </c>
      <c r="AC112" s="127">
        <v>1720</v>
      </c>
      <c r="AD112" s="125">
        <v>1199.3219999999999</v>
      </c>
      <c r="AE112" s="127">
        <v>1730</v>
      </c>
      <c r="AF112" s="125">
        <v>1200.2560000000001</v>
      </c>
      <c r="AG112" s="127">
        <v>1710</v>
      </c>
      <c r="AH112" s="125">
        <v>348.64299999999997</v>
      </c>
      <c r="AI112" s="127">
        <v>1710</v>
      </c>
      <c r="AJ112" s="125">
        <v>363.649</v>
      </c>
    </row>
    <row r="113" spans="1:36" ht="14.25">
      <c r="A113" s="128">
        <v>1740</v>
      </c>
      <c r="B113" s="124">
        <v>726.50099999999998</v>
      </c>
      <c r="C113" s="128">
        <v>1750</v>
      </c>
      <c r="D113" s="125">
        <v>721.04</v>
      </c>
      <c r="E113" s="126">
        <v>1740</v>
      </c>
      <c r="F113" s="125">
        <v>1507.039</v>
      </c>
      <c r="G113" s="127">
        <v>1740</v>
      </c>
      <c r="H113" s="125">
        <v>1505.2080000000001</v>
      </c>
      <c r="I113" s="127">
        <v>1740</v>
      </c>
      <c r="J113" s="125">
        <v>1276.894</v>
      </c>
      <c r="K113" s="127">
        <v>1740</v>
      </c>
      <c r="L113" s="125">
        <v>1276.643</v>
      </c>
      <c r="M113" s="127">
        <v>1740</v>
      </c>
      <c r="N113" s="125">
        <v>1276.6389999999999</v>
      </c>
      <c r="O113" s="127">
        <v>1720</v>
      </c>
      <c r="P113" s="125">
        <v>1277.6990000000001</v>
      </c>
      <c r="Q113" s="127">
        <v>1740</v>
      </c>
      <c r="R113" s="125">
        <v>1277.29</v>
      </c>
      <c r="S113" s="127">
        <v>1740</v>
      </c>
      <c r="T113" s="125">
        <v>1277.6369999999999</v>
      </c>
      <c r="U113" s="127">
        <v>1730</v>
      </c>
      <c r="V113" s="125">
        <v>1275.825</v>
      </c>
      <c r="W113" s="127">
        <v>1740</v>
      </c>
      <c r="X113" s="125">
        <v>1275.7460000000001</v>
      </c>
      <c r="Y113" s="127">
        <v>1740</v>
      </c>
      <c r="Z113" s="125">
        <v>1274.4680000000001</v>
      </c>
      <c r="AA113" s="127">
        <v>1740</v>
      </c>
      <c r="AB113" s="125">
        <v>1273.713</v>
      </c>
      <c r="AC113" s="127">
        <v>1730</v>
      </c>
      <c r="AD113" s="125">
        <v>1198.1679999999999</v>
      </c>
      <c r="AE113" s="127">
        <v>1740</v>
      </c>
      <c r="AF113" s="125">
        <v>1199.104</v>
      </c>
      <c r="AG113" s="127">
        <v>1720</v>
      </c>
      <c r="AH113" s="125">
        <v>348.26799999999997</v>
      </c>
      <c r="AI113" s="127">
        <v>1720</v>
      </c>
      <c r="AJ113" s="125">
        <v>363.26100000000002</v>
      </c>
    </row>
    <row r="114" spans="1:36" ht="14.25">
      <c r="A114" s="128">
        <v>1750</v>
      </c>
      <c r="B114" s="124">
        <v>725.74199999999996</v>
      </c>
      <c r="C114" s="128">
        <v>1760</v>
      </c>
      <c r="D114" s="125">
        <v>720.28800000000001</v>
      </c>
      <c r="E114" s="126">
        <v>1750</v>
      </c>
      <c r="F114" s="125">
        <v>1505.6010000000001</v>
      </c>
      <c r="G114" s="127">
        <v>1750</v>
      </c>
      <c r="H114" s="125">
        <v>1503.7739999999999</v>
      </c>
      <c r="I114" s="127">
        <v>1750</v>
      </c>
      <c r="J114" s="125">
        <v>1275.7370000000001</v>
      </c>
      <c r="K114" s="127">
        <v>1750</v>
      </c>
      <c r="L114" s="125">
        <v>1275.4860000000001</v>
      </c>
      <c r="M114" s="127">
        <v>1750</v>
      </c>
      <c r="N114" s="125">
        <v>1275.482</v>
      </c>
      <c r="O114" s="127">
        <v>1730</v>
      </c>
      <c r="P114" s="125">
        <v>1276.5429999999999</v>
      </c>
      <c r="Q114" s="127">
        <v>1750</v>
      </c>
      <c r="R114" s="125">
        <v>1276.134</v>
      </c>
      <c r="S114" s="127">
        <v>1750</v>
      </c>
      <c r="T114" s="125">
        <v>1276.482</v>
      </c>
      <c r="U114" s="127">
        <v>1740</v>
      </c>
      <c r="V114" s="125">
        <v>1274.672</v>
      </c>
      <c r="W114" s="127">
        <v>1750</v>
      </c>
      <c r="X114" s="125">
        <v>1274.5920000000001</v>
      </c>
      <c r="Y114" s="127">
        <v>1750</v>
      </c>
      <c r="Z114" s="125">
        <v>1273.3140000000001</v>
      </c>
      <c r="AA114" s="127">
        <v>1750</v>
      </c>
      <c r="AB114" s="125">
        <v>1272.5609999999999</v>
      </c>
      <c r="AC114" s="127">
        <v>1740</v>
      </c>
      <c r="AD114" s="125">
        <v>1197.0139999999999</v>
      </c>
      <c r="AE114" s="127">
        <v>1750</v>
      </c>
      <c r="AF114" s="125">
        <v>1197.952</v>
      </c>
      <c r="AG114" s="127">
        <v>1730</v>
      </c>
      <c r="AH114" s="125">
        <v>347.89299999999997</v>
      </c>
      <c r="AI114" s="127">
        <v>1730</v>
      </c>
      <c r="AJ114" s="125">
        <v>362.87200000000001</v>
      </c>
    </row>
    <row r="115" spans="1:36" ht="14.25">
      <c r="A115" s="128">
        <v>1760</v>
      </c>
      <c r="B115" s="124">
        <v>724.98199999999997</v>
      </c>
      <c r="C115" s="128">
        <v>1770</v>
      </c>
      <c r="D115" s="125">
        <v>719.53599999999994</v>
      </c>
      <c r="E115" s="126">
        <v>1760</v>
      </c>
      <c r="F115" s="125">
        <v>1504.162</v>
      </c>
      <c r="G115" s="127">
        <v>1760</v>
      </c>
      <c r="H115" s="125">
        <v>1502.3409999999999</v>
      </c>
      <c r="I115" s="127">
        <v>1760</v>
      </c>
      <c r="J115" s="125">
        <v>1274.579</v>
      </c>
      <c r="K115" s="127">
        <v>1760</v>
      </c>
      <c r="L115" s="125">
        <v>1274.329</v>
      </c>
      <c r="M115" s="127">
        <v>1760</v>
      </c>
      <c r="N115" s="125">
        <v>1274.325</v>
      </c>
      <c r="O115" s="127">
        <v>1740</v>
      </c>
      <c r="P115" s="125">
        <v>1275.386</v>
      </c>
      <c r="Q115" s="127">
        <v>1760</v>
      </c>
      <c r="R115" s="125">
        <v>1274.9770000000001</v>
      </c>
      <c r="S115" s="127">
        <v>1760</v>
      </c>
      <c r="T115" s="125">
        <v>1275.327</v>
      </c>
      <c r="U115" s="127">
        <v>1750</v>
      </c>
      <c r="V115" s="125">
        <v>1273.519</v>
      </c>
      <c r="W115" s="127">
        <v>1760</v>
      </c>
      <c r="X115" s="125">
        <v>1273.4390000000001</v>
      </c>
      <c r="Y115" s="127">
        <v>1760</v>
      </c>
      <c r="Z115" s="125">
        <v>1272.1590000000001</v>
      </c>
      <c r="AA115" s="127">
        <v>1760</v>
      </c>
      <c r="AB115" s="125">
        <v>1271.4090000000001</v>
      </c>
      <c r="AC115" s="127">
        <v>1750</v>
      </c>
      <c r="AD115" s="125">
        <v>1195.8599999999999</v>
      </c>
      <c r="AE115" s="127">
        <v>1760</v>
      </c>
      <c r="AF115" s="125">
        <v>1196.799</v>
      </c>
      <c r="AG115" s="127">
        <v>1740</v>
      </c>
      <c r="AH115" s="125">
        <v>347.51799999999997</v>
      </c>
      <c r="AI115" s="127">
        <v>1740</v>
      </c>
      <c r="AJ115" s="125">
        <v>362.483</v>
      </c>
    </row>
    <row r="116" spans="1:36" ht="14.25">
      <c r="A116" s="128">
        <v>1770</v>
      </c>
      <c r="B116" s="124">
        <v>724.22199999999998</v>
      </c>
      <c r="C116" s="128">
        <v>1780</v>
      </c>
      <c r="D116" s="125">
        <v>718.78300000000002</v>
      </c>
      <c r="E116" s="126">
        <v>1770</v>
      </c>
      <c r="F116" s="125">
        <v>1502.723</v>
      </c>
      <c r="G116" s="127">
        <v>1770</v>
      </c>
      <c r="H116" s="125">
        <v>1500.9059999999999</v>
      </c>
      <c r="I116" s="127">
        <v>1770</v>
      </c>
      <c r="J116" s="125">
        <v>1273.421</v>
      </c>
      <c r="K116" s="127">
        <v>1770</v>
      </c>
      <c r="L116" s="125">
        <v>1273.172</v>
      </c>
      <c r="M116" s="127">
        <v>1770</v>
      </c>
      <c r="N116" s="125">
        <v>1273.1679999999999</v>
      </c>
      <c r="O116" s="127">
        <v>1750</v>
      </c>
      <c r="P116" s="125">
        <v>1274.229</v>
      </c>
      <c r="Q116" s="127">
        <v>1770</v>
      </c>
      <c r="R116" s="125">
        <v>1273.82</v>
      </c>
      <c r="S116" s="127">
        <v>1770</v>
      </c>
      <c r="T116" s="125">
        <v>1274.171</v>
      </c>
      <c r="U116" s="127">
        <v>1760</v>
      </c>
      <c r="V116" s="125">
        <v>1272.365</v>
      </c>
      <c r="W116" s="127">
        <v>1770</v>
      </c>
      <c r="X116" s="125">
        <v>1272.2850000000001</v>
      </c>
      <c r="Y116" s="127">
        <v>1770</v>
      </c>
      <c r="Z116" s="125">
        <v>1271.0039999999999</v>
      </c>
      <c r="AA116" s="127">
        <v>1770</v>
      </c>
      <c r="AB116" s="125">
        <v>1270.2560000000001</v>
      </c>
      <c r="AC116" s="127">
        <v>1760</v>
      </c>
      <c r="AD116" s="125">
        <v>1194.7049999999999</v>
      </c>
      <c r="AE116" s="127">
        <v>1770</v>
      </c>
      <c r="AF116" s="125">
        <v>1195.646</v>
      </c>
      <c r="AG116" s="127">
        <v>1750</v>
      </c>
      <c r="AH116" s="125">
        <v>347.14299999999997</v>
      </c>
      <c r="AI116" s="127">
        <v>1750</v>
      </c>
      <c r="AJ116" s="125">
        <v>362.09399999999999</v>
      </c>
    </row>
    <row r="117" spans="1:36" ht="14.25">
      <c r="A117" s="128">
        <v>1780</v>
      </c>
      <c r="B117" s="124">
        <v>723.46199999999999</v>
      </c>
      <c r="C117" s="128">
        <v>1790</v>
      </c>
      <c r="D117" s="125">
        <v>718.03099999999995</v>
      </c>
      <c r="E117" s="126">
        <v>1780</v>
      </c>
      <c r="F117" s="125">
        <v>1501.2840000000001</v>
      </c>
      <c r="G117" s="127">
        <v>1780</v>
      </c>
      <c r="H117" s="125">
        <v>1499.472</v>
      </c>
      <c r="I117" s="127">
        <v>1780</v>
      </c>
      <c r="J117" s="125">
        <v>1272.2629999999999</v>
      </c>
      <c r="K117" s="127">
        <v>1780</v>
      </c>
      <c r="L117" s="125">
        <v>1272.0150000000001</v>
      </c>
      <c r="M117" s="127">
        <v>1780</v>
      </c>
      <c r="N117" s="125">
        <v>1272.01</v>
      </c>
      <c r="O117" s="127">
        <v>1760</v>
      </c>
      <c r="P117" s="125">
        <v>1273.0719999999999</v>
      </c>
      <c r="Q117" s="127">
        <v>1780</v>
      </c>
      <c r="R117" s="125">
        <v>1272.664</v>
      </c>
      <c r="S117" s="127">
        <v>1780</v>
      </c>
      <c r="T117" s="125">
        <v>1273.0150000000001</v>
      </c>
      <c r="U117" s="127">
        <v>1770</v>
      </c>
      <c r="V117" s="125">
        <v>1271.211</v>
      </c>
      <c r="W117" s="127">
        <v>1780</v>
      </c>
      <c r="X117" s="125">
        <v>1271.1310000000001</v>
      </c>
      <c r="Y117" s="127">
        <v>1780</v>
      </c>
      <c r="Z117" s="125">
        <v>1269.848</v>
      </c>
      <c r="AA117" s="127">
        <v>1780</v>
      </c>
      <c r="AB117" s="125">
        <v>1269.104</v>
      </c>
      <c r="AC117" s="127">
        <v>1770</v>
      </c>
      <c r="AD117" s="125">
        <v>1193.5509999999999</v>
      </c>
      <c r="AE117" s="127">
        <v>1780</v>
      </c>
      <c r="AF117" s="125">
        <v>1194.4929999999999</v>
      </c>
      <c r="AG117" s="127">
        <v>1760</v>
      </c>
      <c r="AH117" s="125">
        <v>346.76799999999997</v>
      </c>
      <c r="AI117" s="127">
        <v>1760</v>
      </c>
      <c r="AJ117" s="125">
        <v>361.70499999999998</v>
      </c>
    </row>
    <row r="118" spans="1:36" ht="14.25">
      <c r="A118" s="128">
        <v>1790</v>
      </c>
      <c r="B118" s="124">
        <v>722.702</v>
      </c>
      <c r="C118" s="128">
        <v>1800</v>
      </c>
      <c r="D118" s="125">
        <v>717.27800000000002</v>
      </c>
      <c r="E118" s="126">
        <v>1790</v>
      </c>
      <c r="F118" s="125">
        <v>1499.845</v>
      </c>
      <c r="G118" s="127">
        <v>1790</v>
      </c>
      <c r="H118" s="125">
        <v>1498.037</v>
      </c>
      <c r="I118" s="127">
        <v>1790</v>
      </c>
      <c r="J118" s="125">
        <v>1271.105</v>
      </c>
      <c r="K118" s="127">
        <v>1790</v>
      </c>
      <c r="L118" s="125">
        <v>1270.8579999999999</v>
      </c>
      <c r="M118" s="127">
        <v>1790</v>
      </c>
      <c r="N118" s="125">
        <v>1270.8530000000001</v>
      </c>
      <c r="O118" s="127">
        <v>1770</v>
      </c>
      <c r="P118" s="125">
        <v>1271.915</v>
      </c>
      <c r="Q118" s="127">
        <v>1790</v>
      </c>
      <c r="R118" s="125">
        <v>1271.5060000000001</v>
      </c>
      <c r="S118" s="127">
        <v>1790</v>
      </c>
      <c r="T118" s="125">
        <v>1271.8579999999999</v>
      </c>
      <c r="U118" s="127">
        <v>1780</v>
      </c>
      <c r="V118" s="125">
        <v>1270.057</v>
      </c>
      <c r="W118" s="127">
        <v>1790</v>
      </c>
      <c r="X118" s="125">
        <v>1269.9760000000001</v>
      </c>
      <c r="Y118" s="127">
        <v>1790</v>
      </c>
      <c r="Z118" s="125">
        <v>1268.693</v>
      </c>
      <c r="AA118" s="127">
        <v>1790</v>
      </c>
      <c r="AB118" s="129">
        <v>1267.951</v>
      </c>
      <c r="AC118" s="127">
        <v>1780</v>
      </c>
      <c r="AD118" s="125">
        <v>1192.396</v>
      </c>
      <c r="AE118" s="127">
        <v>1790</v>
      </c>
      <c r="AF118" s="125">
        <v>1193.3399999999999</v>
      </c>
      <c r="AG118" s="127">
        <v>1770</v>
      </c>
      <c r="AH118" s="125">
        <v>346.392</v>
      </c>
      <c r="AI118" s="127">
        <v>1770</v>
      </c>
      <c r="AJ118" s="125">
        <v>361.31599999999997</v>
      </c>
    </row>
    <row r="119" spans="1:36" ht="14.25">
      <c r="A119" s="128">
        <v>1800</v>
      </c>
      <c r="B119" s="124">
        <v>721.94200000000001</v>
      </c>
      <c r="C119" s="128">
        <v>1810</v>
      </c>
      <c r="D119" s="125">
        <v>716.52499999999998</v>
      </c>
      <c r="E119" s="126">
        <v>1800</v>
      </c>
      <c r="F119" s="125">
        <v>1498.405</v>
      </c>
      <c r="G119" s="127">
        <v>1800</v>
      </c>
      <c r="H119" s="125">
        <v>1496.6020000000001</v>
      </c>
      <c r="I119" s="127">
        <v>1800</v>
      </c>
      <c r="J119" s="125">
        <v>1269.9469999999999</v>
      </c>
      <c r="K119" s="127">
        <v>1800</v>
      </c>
      <c r="L119" s="125">
        <v>1269.7</v>
      </c>
      <c r="M119" s="127">
        <v>1800</v>
      </c>
      <c r="N119" s="125">
        <v>1269.6949999999999</v>
      </c>
      <c r="O119" s="127">
        <v>1780</v>
      </c>
      <c r="P119" s="125">
        <v>1270.758</v>
      </c>
      <c r="Q119" s="127">
        <v>1800</v>
      </c>
      <c r="R119" s="125">
        <v>1270.3489999999999</v>
      </c>
      <c r="S119" s="127">
        <v>1800</v>
      </c>
      <c r="T119" s="125">
        <v>1270.702</v>
      </c>
      <c r="U119" s="127">
        <v>1790</v>
      </c>
      <c r="V119" s="125">
        <v>1268.903</v>
      </c>
      <c r="W119" s="127">
        <v>1800</v>
      </c>
      <c r="X119" s="125">
        <v>1268.8219999999999</v>
      </c>
      <c r="Y119" s="127">
        <v>1800</v>
      </c>
      <c r="Z119" s="125">
        <v>1267.537</v>
      </c>
      <c r="AA119" s="127">
        <v>1800</v>
      </c>
      <c r="AB119" s="129">
        <v>1266.798</v>
      </c>
      <c r="AC119" s="127">
        <v>1790</v>
      </c>
      <c r="AD119" s="125">
        <v>1191.24</v>
      </c>
      <c r="AE119" s="127">
        <v>1800</v>
      </c>
      <c r="AF119" s="125">
        <v>1192.1869999999999</v>
      </c>
      <c r="AG119" s="127">
        <v>1780</v>
      </c>
      <c r="AH119" s="125">
        <v>346.017</v>
      </c>
      <c r="AI119" s="127">
        <v>1780</v>
      </c>
      <c r="AJ119" s="125">
        <v>360.92700000000002</v>
      </c>
    </row>
    <row r="120" spans="1:36" ht="14.25">
      <c r="A120" s="128">
        <v>1810</v>
      </c>
      <c r="B120" s="124">
        <v>721.18100000000004</v>
      </c>
      <c r="C120" s="128">
        <v>1820</v>
      </c>
      <c r="D120" s="125">
        <v>715.77099999999996</v>
      </c>
      <c r="E120" s="126">
        <v>1810</v>
      </c>
      <c r="F120" s="125">
        <v>1496.9659999999999</v>
      </c>
      <c r="G120" s="127">
        <v>1810</v>
      </c>
      <c r="H120" s="125">
        <v>1495.1659999999999</v>
      </c>
      <c r="I120" s="127">
        <v>1810</v>
      </c>
      <c r="J120" s="125">
        <v>1268.788</v>
      </c>
      <c r="K120" s="127">
        <v>1810</v>
      </c>
      <c r="L120" s="125">
        <v>1268.5419999999999</v>
      </c>
      <c r="M120" s="127">
        <v>1810</v>
      </c>
      <c r="N120" s="125">
        <v>1268.5360000000001</v>
      </c>
      <c r="O120" s="127">
        <v>1790</v>
      </c>
      <c r="P120" s="125">
        <v>1269.5999999999999</v>
      </c>
      <c r="Q120" s="127">
        <v>1810</v>
      </c>
      <c r="R120" s="125">
        <v>1269.191</v>
      </c>
      <c r="S120" s="127">
        <v>1810</v>
      </c>
      <c r="T120" s="125">
        <v>1269.5450000000001</v>
      </c>
      <c r="U120" s="127">
        <v>1800</v>
      </c>
      <c r="V120" s="125">
        <v>1267.749</v>
      </c>
      <c r="W120" s="127">
        <v>1810</v>
      </c>
      <c r="X120" s="125">
        <v>1267.6669999999999</v>
      </c>
      <c r="Y120" s="127">
        <v>1810</v>
      </c>
      <c r="Z120" s="125">
        <v>1266.3810000000001</v>
      </c>
      <c r="AA120" s="127">
        <v>1810</v>
      </c>
      <c r="AB120" s="125">
        <v>1265.644</v>
      </c>
      <c r="AC120" s="127">
        <v>1800</v>
      </c>
      <c r="AD120" s="125">
        <v>1190.085</v>
      </c>
      <c r="AE120" s="127">
        <v>1810</v>
      </c>
      <c r="AF120" s="125">
        <v>1191.0329999999999</v>
      </c>
      <c r="AG120" s="127">
        <v>1790</v>
      </c>
      <c r="AH120" s="125">
        <v>345.642</v>
      </c>
      <c r="AI120" s="127">
        <v>1790</v>
      </c>
      <c r="AJ120" s="125">
        <v>360.53699999999998</v>
      </c>
    </row>
    <row r="121" spans="1:36" ht="14.25">
      <c r="A121" s="128">
        <v>1820</v>
      </c>
      <c r="B121" s="124">
        <v>720.42</v>
      </c>
      <c r="C121" s="128">
        <v>1830</v>
      </c>
      <c r="D121" s="125">
        <v>715.01800000000003</v>
      </c>
      <c r="E121" s="126">
        <v>1820</v>
      </c>
      <c r="F121" s="125">
        <v>1495.5250000000001</v>
      </c>
      <c r="G121" s="127">
        <v>1820</v>
      </c>
      <c r="H121" s="125">
        <v>1493.731</v>
      </c>
      <c r="I121" s="127">
        <v>1820</v>
      </c>
      <c r="J121" s="125">
        <v>1267.6289999999999</v>
      </c>
      <c r="K121" s="127">
        <v>1820</v>
      </c>
      <c r="L121" s="125">
        <v>1267.384</v>
      </c>
      <c r="M121" s="127">
        <v>1820</v>
      </c>
      <c r="N121" s="125">
        <v>1267.3779999999999</v>
      </c>
      <c r="O121" s="127">
        <v>1800</v>
      </c>
      <c r="P121" s="125">
        <v>1268.442</v>
      </c>
      <c r="Q121" s="127">
        <v>1820</v>
      </c>
      <c r="R121" s="129">
        <v>1268.0329999999999</v>
      </c>
      <c r="S121" s="127">
        <v>1820</v>
      </c>
      <c r="T121" s="125">
        <v>1268.3879999999999</v>
      </c>
      <c r="U121" s="127">
        <v>1810</v>
      </c>
      <c r="V121" s="125">
        <v>1266.5940000000001</v>
      </c>
      <c r="W121" s="127">
        <v>1820</v>
      </c>
      <c r="X121" s="125">
        <v>1266.5119999999999</v>
      </c>
      <c r="Y121" s="127">
        <v>1820</v>
      </c>
      <c r="Z121" s="125">
        <v>1265.2249999999999</v>
      </c>
      <c r="AA121" s="127">
        <v>1820</v>
      </c>
      <c r="AB121" s="125">
        <v>1264.491</v>
      </c>
      <c r="AC121" s="127">
        <v>1810</v>
      </c>
      <c r="AD121" s="125">
        <v>1188.9290000000001</v>
      </c>
      <c r="AE121" s="127">
        <v>1820</v>
      </c>
      <c r="AF121" s="125">
        <v>1189.8789999999999</v>
      </c>
      <c r="AG121" s="127">
        <v>1800</v>
      </c>
      <c r="AH121" s="125">
        <v>345.26600000000002</v>
      </c>
      <c r="AI121" s="127">
        <v>1800</v>
      </c>
      <c r="AJ121" s="125">
        <v>360.14800000000002</v>
      </c>
    </row>
    <row r="122" spans="1:36" ht="14.25">
      <c r="A122" s="128">
        <v>1830</v>
      </c>
      <c r="B122" s="124">
        <v>719.65899999999999</v>
      </c>
      <c r="C122" s="128">
        <v>1840</v>
      </c>
      <c r="D122" s="125">
        <v>714.26400000000001</v>
      </c>
      <c r="E122" s="126">
        <v>1830</v>
      </c>
      <c r="F122" s="125">
        <v>1494.085</v>
      </c>
      <c r="G122" s="127">
        <v>1830</v>
      </c>
      <c r="H122" s="125">
        <v>1492.2950000000001</v>
      </c>
      <c r="I122" s="127">
        <v>1830</v>
      </c>
      <c r="J122" s="125">
        <v>1266.47</v>
      </c>
      <c r="K122" s="127">
        <v>1830</v>
      </c>
      <c r="L122" s="125">
        <v>1266.2249999999999</v>
      </c>
      <c r="M122" s="127">
        <v>1830</v>
      </c>
      <c r="N122" s="125">
        <v>1266.2190000000001</v>
      </c>
      <c r="O122" s="127">
        <v>1810</v>
      </c>
      <c r="P122" s="125">
        <v>1267.2840000000001</v>
      </c>
      <c r="Q122" s="127">
        <v>1830</v>
      </c>
      <c r="R122" s="129">
        <v>1266.875</v>
      </c>
      <c r="S122" s="127">
        <v>1830</v>
      </c>
      <c r="T122" s="125">
        <v>1267.231</v>
      </c>
      <c r="U122" s="127">
        <v>1820</v>
      </c>
      <c r="V122" s="125">
        <v>1265.4390000000001</v>
      </c>
      <c r="W122" s="127">
        <v>1830</v>
      </c>
      <c r="X122" s="125">
        <v>1265.357</v>
      </c>
      <c r="Y122" s="127">
        <v>1830</v>
      </c>
      <c r="Z122" s="125">
        <v>1264.068</v>
      </c>
      <c r="AA122" s="127">
        <v>1830</v>
      </c>
      <c r="AB122" s="125">
        <v>1263.337</v>
      </c>
      <c r="AC122" s="127">
        <v>1820</v>
      </c>
      <c r="AD122" s="125">
        <v>1187.7729999999999</v>
      </c>
      <c r="AE122" s="127">
        <v>1830</v>
      </c>
      <c r="AF122" s="125">
        <v>1188.7249999999999</v>
      </c>
      <c r="AG122" s="127">
        <v>1810</v>
      </c>
      <c r="AH122" s="125">
        <v>344.89</v>
      </c>
      <c r="AI122" s="127">
        <v>1810</v>
      </c>
      <c r="AJ122" s="125">
        <v>359.75799999999998</v>
      </c>
    </row>
    <row r="123" spans="1:36" ht="14.25">
      <c r="A123" s="128">
        <v>1840</v>
      </c>
      <c r="B123" s="124">
        <v>718.89800000000002</v>
      </c>
      <c r="C123" s="128">
        <v>1850</v>
      </c>
      <c r="D123" s="125">
        <v>713.51</v>
      </c>
      <c r="E123" s="126">
        <v>1840</v>
      </c>
      <c r="F123" s="125">
        <v>1492.644</v>
      </c>
      <c r="G123" s="127">
        <v>1840</v>
      </c>
      <c r="H123" s="125">
        <v>1490.8589999999999</v>
      </c>
      <c r="I123" s="127">
        <v>1840</v>
      </c>
      <c r="J123" s="125">
        <v>1265.31</v>
      </c>
      <c r="K123" s="127">
        <v>1840</v>
      </c>
      <c r="L123" s="125">
        <v>1265.067</v>
      </c>
      <c r="M123" s="127">
        <v>1840</v>
      </c>
      <c r="N123" s="125">
        <v>1265.06</v>
      </c>
      <c r="O123" s="127">
        <v>1820</v>
      </c>
      <c r="P123" s="125">
        <v>1266.125</v>
      </c>
      <c r="Q123" s="127">
        <v>1840</v>
      </c>
      <c r="R123" s="125">
        <v>1265.7159999999999</v>
      </c>
      <c r="S123" s="127">
        <v>1840</v>
      </c>
      <c r="T123" s="125">
        <v>1266.0730000000001</v>
      </c>
      <c r="U123" s="127">
        <v>1830</v>
      </c>
      <c r="V123" s="125">
        <v>1264.2840000000001</v>
      </c>
      <c r="W123" s="127">
        <v>1840</v>
      </c>
      <c r="X123" s="125">
        <v>1264.201</v>
      </c>
      <c r="Y123" s="127">
        <v>1840</v>
      </c>
      <c r="Z123" s="125">
        <v>1262.9110000000001</v>
      </c>
      <c r="AA123" s="127">
        <v>1840</v>
      </c>
      <c r="AB123" s="125">
        <v>1262.183</v>
      </c>
      <c r="AC123" s="127">
        <v>1830</v>
      </c>
      <c r="AD123" s="125">
        <v>1186.617</v>
      </c>
      <c r="AE123" s="127">
        <v>1840</v>
      </c>
      <c r="AF123" s="125">
        <v>1187.57</v>
      </c>
      <c r="AG123" s="127">
        <v>1820</v>
      </c>
      <c r="AH123" s="125">
        <v>344.51499999999999</v>
      </c>
      <c r="AI123" s="127">
        <v>1820</v>
      </c>
      <c r="AJ123" s="125">
        <v>359.36900000000003</v>
      </c>
    </row>
    <row r="124" spans="1:36" ht="14.25">
      <c r="A124" s="128">
        <v>1850</v>
      </c>
      <c r="B124" s="124">
        <v>718.13599999999997</v>
      </c>
      <c r="C124" s="128">
        <v>1860</v>
      </c>
      <c r="D124" s="125">
        <v>712.75599999999997</v>
      </c>
      <c r="E124" s="126">
        <v>1850</v>
      </c>
      <c r="F124" s="125">
        <v>1491.203</v>
      </c>
      <c r="G124" s="127">
        <v>1850</v>
      </c>
      <c r="H124" s="125">
        <v>1489.422</v>
      </c>
      <c r="I124" s="127">
        <v>1850</v>
      </c>
      <c r="J124" s="125">
        <v>1264.1500000000001</v>
      </c>
      <c r="K124" s="127">
        <v>1850</v>
      </c>
      <c r="L124" s="125">
        <v>1263.9079999999999</v>
      </c>
      <c r="M124" s="127">
        <v>1850</v>
      </c>
      <c r="N124" s="125">
        <v>1263.9010000000001</v>
      </c>
      <c r="O124" s="127">
        <v>1830</v>
      </c>
      <c r="P124" s="125">
        <v>1264.9670000000001</v>
      </c>
      <c r="Q124" s="127">
        <v>1850</v>
      </c>
      <c r="R124" s="125">
        <v>1264.558</v>
      </c>
      <c r="S124" s="127">
        <v>1850</v>
      </c>
      <c r="T124" s="125">
        <v>1264.9159999999999</v>
      </c>
      <c r="U124" s="127">
        <v>1840</v>
      </c>
      <c r="V124" s="125">
        <v>1263.1279999999999</v>
      </c>
      <c r="W124" s="127">
        <v>1850</v>
      </c>
      <c r="X124" s="125">
        <v>1263.0450000000001</v>
      </c>
      <c r="Y124" s="127">
        <v>1850</v>
      </c>
      <c r="Z124" s="125">
        <v>1261.7539999999999</v>
      </c>
      <c r="AA124" s="127">
        <v>1850</v>
      </c>
      <c r="AB124" s="125">
        <v>1261.029</v>
      </c>
      <c r="AC124" s="127">
        <v>1840</v>
      </c>
      <c r="AD124" s="125">
        <v>1185.46</v>
      </c>
      <c r="AE124" s="127">
        <v>1850</v>
      </c>
      <c r="AF124" s="125">
        <v>1186.415</v>
      </c>
      <c r="AG124" s="127">
        <v>1830</v>
      </c>
      <c r="AH124" s="125">
        <v>344.13900000000001</v>
      </c>
      <c r="AI124" s="127">
        <v>1830</v>
      </c>
      <c r="AJ124" s="125">
        <v>358.97899999999998</v>
      </c>
    </row>
    <row r="125" spans="1:36" ht="14.25">
      <c r="A125" s="128">
        <v>1860</v>
      </c>
      <c r="B125" s="124">
        <v>717.375</v>
      </c>
      <c r="C125" s="128">
        <v>1870</v>
      </c>
      <c r="D125" s="125">
        <v>712.00099999999998</v>
      </c>
      <c r="E125" s="126">
        <v>1860</v>
      </c>
      <c r="F125" s="125">
        <v>1489.7619999999999</v>
      </c>
      <c r="G125" s="127">
        <v>1860</v>
      </c>
      <c r="H125" s="125">
        <v>1487.9849999999999</v>
      </c>
      <c r="I125" s="127">
        <v>1860</v>
      </c>
      <c r="J125" s="125">
        <v>1262.99</v>
      </c>
      <c r="K125" s="127">
        <v>1860</v>
      </c>
      <c r="L125" s="125">
        <v>1262.748</v>
      </c>
      <c r="M125" s="127">
        <v>1860</v>
      </c>
      <c r="N125" s="125">
        <v>1262.741</v>
      </c>
      <c r="O125" s="127">
        <v>1840</v>
      </c>
      <c r="P125" s="125">
        <v>1263.808</v>
      </c>
      <c r="Q125" s="127">
        <v>1860</v>
      </c>
      <c r="R125" s="125">
        <v>1263.3989999999999</v>
      </c>
      <c r="S125" s="127">
        <v>1860</v>
      </c>
      <c r="T125" s="125">
        <v>1263.758</v>
      </c>
      <c r="U125" s="127">
        <v>1850</v>
      </c>
      <c r="V125" s="125">
        <v>1261.973</v>
      </c>
      <c r="W125" s="127">
        <v>1860</v>
      </c>
      <c r="X125" s="125">
        <v>1261.8889999999999</v>
      </c>
      <c r="Y125" s="127">
        <v>1860</v>
      </c>
      <c r="Z125" s="125">
        <v>1260.597</v>
      </c>
      <c r="AA125" s="127">
        <v>1860</v>
      </c>
      <c r="AB125" s="125">
        <v>1259.874</v>
      </c>
      <c r="AC125" s="127">
        <v>1850</v>
      </c>
      <c r="AD125" s="125">
        <v>1184.3040000000001</v>
      </c>
      <c r="AE125" s="127">
        <v>1860</v>
      </c>
      <c r="AF125" s="125">
        <v>1185.26</v>
      </c>
      <c r="AG125" s="127">
        <v>1840</v>
      </c>
      <c r="AH125" s="125">
        <v>343.76299999999998</v>
      </c>
      <c r="AI125" s="127">
        <v>1840</v>
      </c>
      <c r="AJ125" s="125">
        <v>358.589</v>
      </c>
    </row>
    <row r="126" spans="1:36" ht="14.25">
      <c r="A126" s="128">
        <v>1870</v>
      </c>
      <c r="B126" s="124">
        <v>716.61300000000006</v>
      </c>
      <c r="C126" s="128">
        <v>1880</v>
      </c>
      <c r="D126" s="125">
        <v>711.24699999999996</v>
      </c>
      <c r="E126" s="126">
        <v>1870</v>
      </c>
      <c r="F126" s="125">
        <v>1488.32</v>
      </c>
      <c r="G126" s="127">
        <v>1870</v>
      </c>
      <c r="H126" s="125">
        <v>1486.548</v>
      </c>
      <c r="I126" s="127">
        <v>1870</v>
      </c>
      <c r="J126" s="125">
        <v>1261.83</v>
      </c>
      <c r="K126" s="127">
        <v>1870</v>
      </c>
      <c r="L126" s="125">
        <v>1261.5889999999999</v>
      </c>
      <c r="M126" s="127">
        <v>1870</v>
      </c>
      <c r="N126" s="125">
        <v>1261.5820000000001</v>
      </c>
      <c r="O126" s="127">
        <v>1850</v>
      </c>
      <c r="P126" s="125">
        <v>1262.6489999999999</v>
      </c>
      <c r="Q126" s="127">
        <v>1870</v>
      </c>
      <c r="R126" s="125">
        <v>1262.24</v>
      </c>
      <c r="S126" s="127">
        <v>1870</v>
      </c>
      <c r="T126" s="125">
        <v>1262.5989999999999</v>
      </c>
      <c r="U126" s="127">
        <v>1860</v>
      </c>
      <c r="V126" s="125">
        <v>1260.817</v>
      </c>
      <c r="W126" s="127">
        <v>1870</v>
      </c>
      <c r="X126" s="125">
        <v>1260.7329999999999</v>
      </c>
      <c r="Y126" s="127">
        <v>1870</v>
      </c>
      <c r="Z126" s="125">
        <v>1259.44</v>
      </c>
      <c r="AA126" s="127">
        <v>1870</v>
      </c>
      <c r="AB126" s="125">
        <v>1258.7190000000001</v>
      </c>
      <c r="AC126" s="127">
        <v>1860</v>
      </c>
      <c r="AD126" s="125">
        <v>1183.1469999999999</v>
      </c>
      <c r="AE126" s="127">
        <v>1870</v>
      </c>
      <c r="AF126" s="125">
        <v>1184.105</v>
      </c>
      <c r="AG126" s="127">
        <v>1850</v>
      </c>
      <c r="AH126" s="125">
        <v>343.387</v>
      </c>
      <c r="AI126" s="127">
        <v>1850</v>
      </c>
      <c r="AJ126" s="125">
        <v>358.2</v>
      </c>
    </row>
    <row r="127" spans="1:36" ht="14.25">
      <c r="A127" s="128">
        <v>1880</v>
      </c>
      <c r="B127" s="124">
        <v>715.851</v>
      </c>
      <c r="C127" s="128">
        <v>1890</v>
      </c>
      <c r="D127" s="125">
        <v>710.49199999999996</v>
      </c>
      <c r="E127" s="126">
        <v>1880</v>
      </c>
      <c r="F127" s="125">
        <v>1486.8779999999999</v>
      </c>
      <c r="G127" s="127">
        <v>1880</v>
      </c>
      <c r="H127" s="125">
        <v>1485.11</v>
      </c>
      <c r="I127" s="127">
        <v>1880</v>
      </c>
      <c r="J127" s="125">
        <v>1260.67</v>
      </c>
      <c r="K127" s="127">
        <v>1880</v>
      </c>
      <c r="L127" s="125">
        <v>1260.4290000000001</v>
      </c>
      <c r="M127" s="127">
        <v>1880</v>
      </c>
      <c r="N127" s="125">
        <v>1260.422</v>
      </c>
      <c r="O127" s="127">
        <v>1860</v>
      </c>
      <c r="P127" s="125">
        <v>1261.489</v>
      </c>
      <c r="Q127" s="127">
        <v>1880</v>
      </c>
      <c r="R127" s="125">
        <v>1261.08</v>
      </c>
      <c r="S127" s="127">
        <v>1880</v>
      </c>
      <c r="T127" s="125">
        <v>1261.441</v>
      </c>
      <c r="U127" s="127">
        <v>1870</v>
      </c>
      <c r="V127" s="125">
        <v>1259.6610000000001</v>
      </c>
      <c r="W127" s="127">
        <v>1880</v>
      </c>
      <c r="X127" s="125">
        <v>1259.576</v>
      </c>
      <c r="Y127" s="127">
        <v>1880</v>
      </c>
      <c r="Z127" s="125">
        <v>1258.2819999999999</v>
      </c>
      <c r="AA127" s="127">
        <v>1880</v>
      </c>
      <c r="AB127" s="125">
        <v>1257.5640000000001</v>
      </c>
      <c r="AC127" s="127">
        <v>1870</v>
      </c>
      <c r="AD127" s="125">
        <v>1181.989</v>
      </c>
      <c r="AE127" s="127">
        <v>1880</v>
      </c>
      <c r="AF127" s="125">
        <v>1182.95</v>
      </c>
      <c r="AG127" s="127">
        <v>1860</v>
      </c>
      <c r="AH127" s="125">
        <v>343.01100000000002</v>
      </c>
      <c r="AI127" s="127">
        <v>1860</v>
      </c>
      <c r="AJ127" s="125">
        <v>357.81</v>
      </c>
    </row>
    <row r="128" spans="1:36" ht="14.25">
      <c r="A128" s="128">
        <v>1890</v>
      </c>
      <c r="B128" s="124">
        <v>715.08900000000006</v>
      </c>
      <c r="C128" s="128">
        <v>1900</v>
      </c>
      <c r="D128" s="125">
        <v>709.73699999999997</v>
      </c>
      <c r="E128" s="126">
        <v>1890</v>
      </c>
      <c r="F128" s="125">
        <v>1485.4359999999999</v>
      </c>
      <c r="G128" s="127">
        <v>1890</v>
      </c>
      <c r="H128" s="125">
        <v>1483.673</v>
      </c>
      <c r="I128" s="127">
        <v>1890</v>
      </c>
      <c r="J128" s="125">
        <v>1259.509</v>
      </c>
      <c r="K128" s="127">
        <v>1890</v>
      </c>
      <c r="L128" s="125">
        <v>1259.269</v>
      </c>
      <c r="M128" s="127">
        <v>1890</v>
      </c>
      <c r="N128" s="125">
        <v>1259.261</v>
      </c>
      <c r="O128" s="127">
        <v>1870</v>
      </c>
      <c r="P128" s="125">
        <v>1260.33</v>
      </c>
      <c r="Q128" s="127">
        <v>1890</v>
      </c>
      <c r="R128" s="125">
        <v>1259.921</v>
      </c>
      <c r="S128" s="127">
        <v>1890</v>
      </c>
      <c r="T128" s="125">
        <v>1260.2819999999999</v>
      </c>
      <c r="U128" s="127">
        <v>1880</v>
      </c>
      <c r="V128" s="125">
        <v>1258.5039999999999</v>
      </c>
      <c r="W128" s="127">
        <v>1890</v>
      </c>
      <c r="X128" s="125">
        <v>1258.42</v>
      </c>
      <c r="Y128" s="127">
        <v>1890</v>
      </c>
      <c r="Z128" s="125">
        <v>1257.124</v>
      </c>
      <c r="AA128" s="127">
        <v>1890</v>
      </c>
      <c r="AB128" s="125">
        <v>1256.4090000000001</v>
      </c>
      <c r="AC128" s="127">
        <v>1880</v>
      </c>
      <c r="AD128" s="125">
        <v>1180.8320000000001</v>
      </c>
      <c r="AE128" s="127">
        <v>1890</v>
      </c>
      <c r="AF128" s="125">
        <v>1181.7940000000001</v>
      </c>
      <c r="AG128" s="127">
        <v>1870</v>
      </c>
      <c r="AH128" s="125">
        <v>342.63499999999999</v>
      </c>
      <c r="AI128" s="127">
        <v>1870</v>
      </c>
      <c r="AJ128" s="125">
        <v>357.42</v>
      </c>
    </row>
    <row r="129" spans="1:36" ht="14.25">
      <c r="A129" s="128">
        <v>1900</v>
      </c>
      <c r="B129" s="124">
        <v>714.327</v>
      </c>
      <c r="C129" s="128">
        <v>1910</v>
      </c>
      <c r="D129" s="125">
        <v>708.98199999999997</v>
      </c>
      <c r="E129" s="126">
        <v>1900</v>
      </c>
      <c r="F129" s="125">
        <v>1483.9929999999999</v>
      </c>
      <c r="G129" s="127">
        <v>1900</v>
      </c>
      <c r="H129" s="125">
        <v>1482.2349999999999</v>
      </c>
      <c r="I129" s="127">
        <v>1900</v>
      </c>
      <c r="J129" s="125">
        <v>1258.348</v>
      </c>
      <c r="K129" s="127">
        <v>1900</v>
      </c>
      <c r="L129" s="125">
        <v>1258.1089999999999</v>
      </c>
      <c r="M129" s="127">
        <v>1900</v>
      </c>
      <c r="N129" s="125">
        <v>1258.1010000000001</v>
      </c>
      <c r="O129" s="127">
        <v>1880</v>
      </c>
      <c r="P129" s="125">
        <v>1259.17</v>
      </c>
      <c r="Q129" s="127">
        <v>1900</v>
      </c>
      <c r="R129" s="125">
        <v>1258.761</v>
      </c>
      <c r="S129" s="127">
        <v>1900</v>
      </c>
      <c r="T129" s="125">
        <v>1259.123</v>
      </c>
      <c r="U129" s="127">
        <v>1890</v>
      </c>
      <c r="V129" s="125">
        <v>1257.348</v>
      </c>
      <c r="W129" s="127">
        <v>1900</v>
      </c>
      <c r="X129" s="125">
        <v>1257.2619999999999</v>
      </c>
      <c r="Y129" s="127">
        <v>1900</v>
      </c>
      <c r="Z129" s="125">
        <v>1255.9659999999999</v>
      </c>
      <c r="AA129" s="127">
        <v>1900</v>
      </c>
      <c r="AB129" s="125">
        <v>1255.2539999999999</v>
      </c>
      <c r="AC129" s="127">
        <v>1890</v>
      </c>
      <c r="AD129" s="125">
        <v>1179.674</v>
      </c>
      <c r="AE129" s="127">
        <v>1900</v>
      </c>
      <c r="AF129" s="125">
        <v>1180.6379999999999</v>
      </c>
      <c r="AG129" s="127">
        <v>1880</v>
      </c>
      <c r="AH129" s="125">
        <v>342.25799999999998</v>
      </c>
      <c r="AI129" s="127">
        <v>1880</v>
      </c>
      <c r="AJ129" s="125">
        <v>357.029</v>
      </c>
    </row>
    <row r="130" spans="1:36" ht="14.25">
      <c r="A130" s="128">
        <v>1910</v>
      </c>
      <c r="B130" s="124">
        <v>713.56399999999996</v>
      </c>
      <c r="C130" s="128">
        <v>1920</v>
      </c>
      <c r="D130" s="125">
        <v>708.226</v>
      </c>
      <c r="E130" s="126">
        <v>1910</v>
      </c>
      <c r="F130" s="125">
        <v>1482.5509999999999</v>
      </c>
      <c r="G130" s="127">
        <v>1910</v>
      </c>
      <c r="H130" s="125">
        <v>1480.796</v>
      </c>
      <c r="I130" s="127">
        <v>1910</v>
      </c>
      <c r="J130" s="125">
        <v>1257.1869999999999</v>
      </c>
      <c r="K130" s="127">
        <v>1910</v>
      </c>
      <c r="L130" s="125">
        <v>1256.9490000000001</v>
      </c>
      <c r="M130" s="127">
        <v>1910</v>
      </c>
      <c r="N130" s="125">
        <v>1256.94</v>
      </c>
      <c r="O130" s="127">
        <v>1890</v>
      </c>
      <c r="P130" s="125">
        <v>1258.01</v>
      </c>
      <c r="Q130" s="127">
        <v>1910</v>
      </c>
      <c r="R130" s="125">
        <v>1257.6010000000001</v>
      </c>
      <c r="S130" s="127">
        <v>1910</v>
      </c>
      <c r="T130" s="125">
        <v>1257.9639999999999</v>
      </c>
      <c r="U130" s="127">
        <v>1900</v>
      </c>
      <c r="V130" s="125">
        <v>1256.191</v>
      </c>
      <c r="W130" s="127">
        <v>1910</v>
      </c>
      <c r="X130" s="125">
        <v>1256.105</v>
      </c>
      <c r="Y130" s="127">
        <v>1910</v>
      </c>
      <c r="Z130" s="125">
        <v>1254.807</v>
      </c>
      <c r="AA130" s="127">
        <v>1910</v>
      </c>
      <c r="AB130" s="125">
        <v>1254.098</v>
      </c>
      <c r="AC130" s="127">
        <v>1900</v>
      </c>
      <c r="AD130" s="125">
        <v>1178.5160000000001</v>
      </c>
      <c r="AE130" s="127">
        <v>1910</v>
      </c>
      <c r="AF130" s="125">
        <v>1179.482</v>
      </c>
      <c r="AG130" s="127">
        <v>1890</v>
      </c>
      <c r="AH130" s="125">
        <v>341.88200000000001</v>
      </c>
      <c r="AI130" s="127">
        <v>1890</v>
      </c>
      <c r="AJ130" s="125">
        <v>356.63900000000001</v>
      </c>
    </row>
    <row r="131" spans="1:36" ht="14.25">
      <c r="A131" s="128">
        <v>1920</v>
      </c>
      <c r="B131" s="124">
        <v>712.80100000000004</v>
      </c>
      <c r="C131" s="128">
        <v>1930</v>
      </c>
      <c r="D131" s="125">
        <v>707.471</v>
      </c>
      <c r="E131" s="126">
        <v>1920</v>
      </c>
      <c r="F131" s="125">
        <v>1481.107</v>
      </c>
      <c r="G131" s="127">
        <v>1920</v>
      </c>
      <c r="H131" s="125">
        <v>1479.3579999999999</v>
      </c>
      <c r="I131" s="127">
        <v>1920</v>
      </c>
      <c r="J131" s="125">
        <v>1256.0260000000001</v>
      </c>
      <c r="K131" s="127">
        <v>1920</v>
      </c>
      <c r="L131" s="125">
        <v>1255.788</v>
      </c>
      <c r="M131" s="127">
        <v>1920</v>
      </c>
      <c r="N131" s="125">
        <v>1255.779</v>
      </c>
      <c r="O131" s="127">
        <v>1900</v>
      </c>
      <c r="P131" s="125">
        <v>1256.8489999999999</v>
      </c>
      <c r="Q131" s="127">
        <v>1920</v>
      </c>
      <c r="R131" s="125">
        <v>1256.44</v>
      </c>
      <c r="S131" s="127">
        <v>1920</v>
      </c>
      <c r="T131" s="125">
        <v>1256.8050000000001</v>
      </c>
      <c r="U131" s="127">
        <v>1910</v>
      </c>
      <c r="V131" s="125">
        <v>1255.0340000000001</v>
      </c>
      <c r="W131" s="127">
        <v>1920</v>
      </c>
      <c r="X131" s="125">
        <v>1254.9480000000001</v>
      </c>
      <c r="Y131" s="127">
        <v>1920</v>
      </c>
      <c r="Z131" s="125">
        <v>1253.6479999999999</v>
      </c>
      <c r="AA131" s="127">
        <v>1920</v>
      </c>
      <c r="AB131" s="125">
        <v>1252.942</v>
      </c>
      <c r="AC131" s="127">
        <v>1910</v>
      </c>
      <c r="AD131" s="125">
        <v>1177.3579999999999</v>
      </c>
      <c r="AE131" s="127">
        <v>1920</v>
      </c>
      <c r="AF131" s="125">
        <v>1178.326</v>
      </c>
      <c r="AG131" s="127">
        <v>1900</v>
      </c>
      <c r="AH131" s="125">
        <v>341.50599999999997</v>
      </c>
      <c r="AI131" s="127">
        <v>1900</v>
      </c>
      <c r="AJ131" s="125">
        <v>356.24900000000002</v>
      </c>
    </row>
    <row r="132" spans="1:36" ht="14.25">
      <c r="A132" s="128">
        <v>1930</v>
      </c>
      <c r="B132" s="124">
        <v>712.03800000000001</v>
      </c>
      <c r="C132" s="128">
        <v>1940</v>
      </c>
      <c r="D132" s="125">
        <v>706.71500000000003</v>
      </c>
      <c r="E132" s="126">
        <v>1930</v>
      </c>
      <c r="F132" s="125">
        <v>1479.664</v>
      </c>
      <c r="G132" s="127">
        <v>1930</v>
      </c>
      <c r="H132" s="125">
        <v>1477.9190000000001</v>
      </c>
      <c r="I132" s="127">
        <v>1930</v>
      </c>
      <c r="J132" s="125">
        <v>1254.864</v>
      </c>
      <c r="K132" s="127">
        <v>1930</v>
      </c>
      <c r="L132" s="125">
        <v>1254.627</v>
      </c>
      <c r="M132" s="127">
        <v>1930</v>
      </c>
      <c r="N132" s="125">
        <v>1254.6179999999999</v>
      </c>
      <c r="O132" s="127">
        <v>1910</v>
      </c>
      <c r="P132" s="125">
        <v>1255.6890000000001</v>
      </c>
      <c r="Q132" s="127">
        <v>1930</v>
      </c>
      <c r="R132" s="125">
        <v>1255.28</v>
      </c>
      <c r="S132" s="127">
        <v>1930</v>
      </c>
      <c r="T132" s="125">
        <v>1255.645</v>
      </c>
      <c r="U132" s="127">
        <v>1920</v>
      </c>
      <c r="V132" s="125">
        <v>1253.876</v>
      </c>
      <c r="W132" s="127">
        <v>1930</v>
      </c>
      <c r="X132" s="125">
        <v>1253.79</v>
      </c>
      <c r="Y132" s="127">
        <v>1930</v>
      </c>
      <c r="Z132" s="125">
        <v>1252.49</v>
      </c>
      <c r="AA132" s="127">
        <v>1930</v>
      </c>
      <c r="AB132" s="125">
        <v>1251.7860000000001</v>
      </c>
      <c r="AC132" s="127">
        <v>1920</v>
      </c>
      <c r="AD132" s="125">
        <v>1176.2</v>
      </c>
      <c r="AE132" s="127">
        <v>1930</v>
      </c>
      <c r="AF132" s="125">
        <v>1177.1690000000001</v>
      </c>
      <c r="AG132" s="127">
        <v>1910</v>
      </c>
      <c r="AH132" s="125">
        <v>341.12900000000002</v>
      </c>
      <c r="AI132" s="127">
        <v>1910</v>
      </c>
      <c r="AJ132" s="125">
        <v>355.858</v>
      </c>
    </row>
    <row r="133" spans="1:36" ht="14.25">
      <c r="A133" s="128">
        <v>1940</v>
      </c>
      <c r="B133" s="124">
        <v>711.27499999999998</v>
      </c>
      <c r="C133" s="128">
        <v>1950</v>
      </c>
      <c r="D133" s="125">
        <v>705.95899999999995</v>
      </c>
      <c r="E133" s="126">
        <v>1940</v>
      </c>
      <c r="F133" s="125">
        <v>1478.22</v>
      </c>
      <c r="G133" s="127">
        <v>1940</v>
      </c>
      <c r="H133" s="125">
        <v>1476.479</v>
      </c>
      <c r="I133" s="127">
        <v>1940</v>
      </c>
      <c r="J133" s="125">
        <v>1253.702</v>
      </c>
      <c r="K133" s="127">
        <v>1940</v>
      </c>
      <c r="L133" s="125">
        <v>1253.4659999999999</v>
      </c>
      <c r="M133" s="127">
        <v>1940</v>
      </c>
      <c r="N133" s="125">
        <v>1253.4570000000001</v>
      </c>
      <c r="O133" s="127">
        <v>1920</v>
      </c>
      <c r="P133" s="125">
        <v>1254.528</v>
      </c>
      <c r="Q133" s="127">
        <v>1940</v>
      </c>
      <c r="R133" s="125">
        <v>1254.1189999999999</v>
      </c>
      <c r="S133" s="127">
        <v>1940</v>
      </c>
      <c r="T133" s="125">
        <v>1254.4849999999999</v>
      </c>
      <c r="U133" s="127">
        <v>1930</v>
      </c>
      <c r="V133" s="125">
        <v>1252.7180000000001</v>
      </c>
      <c r="W133" s="127">
        <v>1940</v>
      </c>
      <c r="X133" s="125">
        <v>1252.6320000000001</v>
      </c>
      <c r="Y133" s="127">
        <v>1940</v>
      </c>
      <c r="Z133" s="125">
        <v>1251.33</v>
      </c>
      <c r="AA133" s="127">
        <v>1940</v>
      </c>
      <c r="AB133" s="125">
        <v>1250.6289999999999</v>
      </c>
      <c r="AC133" s="127">
        <v>1930</v>
      </c>
      <c r="AD133" s="125">
        <v>1175.0409999999999</v>
      </c>
      <c r="AE133" s="127">
        <v>1940</v>
      </c>
      <c r="AF133" s="125">
        <v>1176.0119999999999</v>
      </c>
      <c r="AG133" s="127">
        <v>1920</v>
      </c>
      <c r="AH133" s="125">
        <v>340.75299999999999</v>
      </c>
      <c r="AI133" s="127">
        <v>1920</v>
      </c>
      <c r="AJ133" s="125">
        <v>355.46800000000002</v>
      </c>
    </row>
    <row r="134" spans="1:36" ht="14.25">
      <c r="A134" s="128">
        <v>1950</v>
      </c>
      <c r="B134" s="124">
        <v>710.51199999999994</v>
      </c>
      <c r="C134" s="128">
        <v>1960</v>
      </c>
      <c r="D134" s="125">
        <v>705.20299999999997</v>
      </c>
      <c r="E134" s="126">
        <v>1950</v>
      </c>
      <c r="F134" s="125">
        <v>1476.7760000000001</v>
      </c>
      <c r="G134" s="127">
        <v>1950</v>
      </c>
      <c r="H134" s="125">
        <v>1475.04</v>
      </c>
      <c r="I134" s="127">
        <v>1950</v>
      </c>
      <c r="J134" s="125">
        <v>1252.54</v>
      </c>
      <c r="K134" s="127">
        <v>1950</v>
      </c>
      <c r="L134" s="125">
        <v>1252.3050000000001</v>
      </c>
      <c r="M134" s="127">
        <v>1950</v>
      </c>
      <c r="N134" s="125">
        <v>1252.2950000000001</v>
      </c>
      <c r="O134" s="127">
        <v>1930</v>
      </c>
      <c r="P134" s="125">
        <v>1253.367</v>
      </c>
      <c r="Q134" s="127">
        <v>1950</v>
      </c>
      <c r="R134" s="125">
        <v>1252.9580000000001</v>
      </c>
      <c r="S134" s="127">
        <v>1950</v>
      </c>
      <c r="T134" s="125">
        <v>1253.325</v>
      </c>
      <c r="U134" s="127">
        <v>1940</v>
      </c>
      <c r="V134" s="125">
        <v>1251.5609999999999</v>
      </c>
      <c r="W134" s="127">
        <v>1950</v>
      </c>
      <c r="X134" s="125">
        <v>1251.4739999999999</v>
      </c>
      <c r="Y134" s="127">
        <v>1950</v>
      </c>
      <c r="Z134" s="125">
        <v>1250.171</v>
      </c>
      <c r="AA134" s="127">
        <v>1950</v>
      </c>
      <c r="AB134" s="125">
        <v>1249.472</v>
      </c>
      <c r="AC134" s="127">
        <v>1940</v>
      </c>
      <c r="AD134" s="125">
        <v>1173.8820000000001</v>
      </c>
      <c r="AE134" s="127">
        <v>1950</v>
      </c>
      <c r="AF134" s="125">
        <v>1174.855</v>
      </c>
      <c r="AG134" s="127">
        <v>1930</v>
      </c>
      <c r="AH134" s="125">
        <v>340.37599999999998</v>
      </c>
      <c r="AI134" s="127">
        <v>1930</v>
      </c>
      <c r="AJ134" s="125">
        <v>355.077</v>
      </c>
    </row>
    <row r="135" spans="1:36" ht="14.25">
      <c r="A135" s="128">
        <v>1960</v>
      </c>
      <c r="B135" s="124">
        <v>709.74800000000005</v>
      </c>
      <c r="C135" s="128">
        <v>1970</v>
      </c>
      <c r="D135" s="125">
        <v>704.44600000000003</v>
      </c>
      <c r="E135" s="126">
        <v>1960</v>
      </c>
      <c r="F135" s="125">
        <v>1475.3320000000001</v>
      </c>
      <c r="G135" s="127">
        <v>1960</v>
      </c>
      <c r="H135" s="125">
        <v>1473.6</v>
      </c>
      <c r="I135" s="127">
        <v>1960</v>
      </c>
      <c r="J135" s="125">
        <v>1251.3779999999999</v>
      </c>
      <c r="K135" s="127">
        <v>1960</v>
      </c>
      <c r="L135" s="125">
        <v>1251.143</v>
      </c>
      <c r="M135" s="127">
        <v>1960</v>
      </c>
      <c r="N135" s="125">
        <v>1251.133</v>
      </c>
      <c r="O135" s="127">
        <v>1940</v>
      </c>
      <c r="P135" s="125">
        <v>1252.2049999999999</v>
      </c>
      <c r="Q135" s="127">
        <v>1960</v>
      </c>
      <c r="R135" s="125">
        <v>1251.797</v>
      </c>
      <c r="S135" s="127">
        <v>1960</v>
      </c>
      <c r="T135" s="125">
        <v>1252.164</v>
      </c>
      <c r="U135" s="127">
        <v>1950</v>
      </c>
      <c r="V135" s="125">
        <v>1250.402</v>
      </c>
      <c r="W135" s="127">
        <v>1960</v>
      </c>
      <c r="X135" s="125">
        <v>1250.3150000000001</v>
      </c>
      <c r="Y135" s="127">
        <v>1960</v>
      </c>
      <c r="Z135" s="125">
        <v>1249.011</v>
      </c>
      <c r="AA135" s="127">
        <v>1960</v>
      </c>
      <c r="AB135" s="125">
        <v>1248.3150000000001</v>
      </c>
      <c r="AC135" s="127">
        <v>1950</v>
      </c>
      <c r="AD135" s="125">
        <v>1172.723</v>
      </c>
      <c r="AE135" s="127">
        <v>1960</v>
      </c>
      <c r="AF135" s="125">
        <v>1173.6969999999999</v>
      </c>
      <c r="AG135" s="127">
        <v>1940</v>
      </c>
      <c r="AH135" s="125">
        <v>339.99900000000002</v>
      </c>
      <c r="AI135" s="127">
        <v>1940</v>
      </c>
      <c r="AJ135" s="125">
        <v>354.68700000000001</v>
      </c>
    </row>
    <row r="136" spans="1:36" ht="14.25">
      <c r="A136" s="128">
        <v>1970</v>
      </c>
      <c r="B136" s="124">
        <v>708.98400000000004</v>
      </c>
      <c r="C136" s="128">
        <v>1980</v>
      </c>
      <c r="D136" s="125">
        <v>703.69</v>
      </c>
      <c r="E136" s="126">
        <v>1970</v>
      </c>
      <c r="F136" s="125">
        <v>1473.8879999999999</v>
      </c>
      <c r="G136" s="127">
        <v>1970</v>
      </c>
      <c r="H136" s="125">
        <v>1472.16</v>
      </c>
      <c r="I136" s="127">
        <v>1970</v>
      </c>
      <c r="J136" s="125">
        <v>1250.2149999999999</v>
      </c>
      <c r="K136" s="127">
        <v>1970</v>
      </c>
      <c r="L136" s="125">
        <v>1249.981</v>
      </c>
      <c r="M136" s="127">
        <v>1970</v>
      </c>
      <c r="N136" s="125">
        <v>1249.971</v>
      </c>
      <c r="O136" s="127">
        <v>1950</v>
      </c>
      <c r="P136" s="125">
        <v>1251.0440000000001</v>
      </c>
      <c r="Q136" s="127">
        <v>1970</v>
      </c>
      <c r="R136" s="125">
        <v>1250.635</v>
      </c>
      <c r="S136" s="127">
        <v>1970</v>
      </c>
      <c r="T136" s="125">
        <v>1251.0039999999999</v>
      </c>
      <c r="U136" s="127">
        <v>1960</v>
      </c>
      <c r="V136" s="125">
        <v>1249.2439999999999</v>
      </c>
      <c r="W136" s="127">
        <v>1970</v>
      </c>
      <c r="X136" s="125">
        <v>1249.1559999999999</v>
      </c>
      <c r="Y136" s="127">
        <v>1970</v>
      </c>
      <c r="Z136" s="125">
        <v>1247.8510000000001</v>
      </c>
      <c r="AA136" s="127">
        <v>1970</v>
      </c>
      <c r="AB136" s="125">
        <v>1247.1579999999999</v>
      </c>
      <c r="AC136" s="127">
        <v>1960</v>
      </c>
      <c r="AD136" s="125">
        <v>1171.5640000000001</v>
      </c>
      <c r="AE136" s="127">
        <v>1970</v>
      </c>
      <c r="AF136" s="125">
        <v>1172.54</v>
      </c>
      <c r="AG136" s="127">
        <v>1950</v>
      </c>
      <c r="AH136" s="125">
        <v>339.62200000000001</v>
      </c>
      <c r="AI136" s="127">
        <v>1950</v>
      </c>
      <c r="AJ136" s="125">
        <v>354.29599999999999</v>
      </c>
    </row>
    <row r="137" spans="1:36" ht="14.25">
      <c r="A137" s="128">
        <v>1980</v>
      </c>
      <c r="B137" s="124">
        <v>708.22</v>
      </c>
      <c r="C137" s="128">
        <v>1990</v>
      </c>
      <c r="D137" s="125">
        <v>702.93299999999999</v>
      </c>
      <c r="E137" s="126">
        <v>1980</v>
      </c>
      <c r="F137" s="125">
        <v>1472.443</v>
      </c>
      <c r="G137" s="127">
        <v>1980</v>
      </c>
      <c r="H137" s="125">
        <v>1470.7190000000001</v>
      </c>
      <c r="I137" s="127">
        <v>1980</v>
      </c>
      <c r="J137" s="125">
        <v>1249.0530000000001</v>
      </c>
      <c r="K137" s="127">
        <v>1980</v>
      </c>
      <c r="L137" s="125">
        <v>1248.819</v>
      </c>
      <c r="M137" s="127">
        <v>1980</v>
      </c>
      <c r="N137" s="125">
        <v>1248.809</v>
      </c>
      <c r="O137" s="127">
        <v>1960</v>
      </c>
      <c r="P137" s="125">
        <v>1249.8820000000001</v>
      </c>
      <c r="Q137" s="127">
        <v>1980</v>
      </c>
      <c r="R137" s="125">
        <v>1249.473</v>
      </c>
      <c r="S137" s="127">
        <v>1980</v>
      </c>
      <c r="T137" s="125">
        <v>1249.8430000000001</v>
      </c>
      <c r="U137" s="127">
        <v>1970</v>
      </c>
      <c r="V137" s="125">
        <v>1248.085</v>
      </c>
      <c r="W137" s="127">
        <v>1980</v>
      </c>
      <c r="X137" s="125">
        <v>1247.9970000000001</v>
      </c>
      <c r="Y137" s="127">
        <v>1980</v>
      </c>
      <c r="Z137" s="125">
        <v>1246.691</v>
      </c>
      <c r="AA137" s="127">
        <v>1980</v>
      </c>
      <c r="AB137" s="125">
        <v>1246.001</v>
      </c>
      <c r="AC137" s="127">
        <v>1970</v>
      </c>
      <c r="AD137" s="125">
        <v>1170.404</v>
      </c>
      <c r="AE137" s="127">
        <v>1980</v>
      </c>
      <c r="AF137" s="125">
        <v>1171.3820000000001</v>
      </c>
      <c r="AG137" s="127">
        <v>1960</v>
      </c>
      <c r="AH137" s="125">
        <v>339.245</v>
      </c>
      <c r="AI137" s="127">
        <v>1960</v>
      </c>
      <c r="AJ137" s="125">
        <v>353.90499999999997</v>
      </c>
    </row>
    <row r="138" spans="1:36" ht="14.25">
      <c r="A138" s="128">
        <v>1990</v>
      </c>
      <c r="B138" s="124">
        <v>707.45600000000002</v>
      </c>
      <c r="C138" s="128">
        <v>2000</v>
      </c>
      <c r="D138" s="125">
        <v>702.17600000000004</v>
      </c>
      <c r="E138" s="126">
        <v>1990</v>
      </c>
      <c r="F138" s="125">
        <v>1470.998</v>
      </c>
      <c r="G138" s="127">
        <v>1990</v>
      </c>
      <c r="H138" s="125">
        <v>1469.279</v>
      </c>
      <c r="I138" s="127">
        <v>1990</v>
      </c>
      <c r="J138" s="125">
        <v>1247.8900000000001</v>
      </c>
      <c r="K138" s="127">
        <v>1990</v>
      </c>
      <c r="L138" s="125">
        <v>1247.6569999999999</v>
      </c>
      <c r="M138" s="127">
        <v>1990</v>
      </c>
      <c r="N138" s="125">
        <v>1247.646</v>
      </c>
      <c r="O138" s="127">
        <v>1970</v>
      </c>
      <c r="P138" s="125">
        <v>1248.72</v>
      </c>
      <c r="Q138" s="127">
        <v>1990</v>
      </c>
      <c r="R138" s="125">
        <v>1248.3109999999999</v>
      </c>
      <c r="S138" s="127">
        <v>1990</v>
      </c>
      <c r="T138" s="125">
        <v>1248.682</v>
      </c>
      <c r="U138" s="127">
        <v>1980</v>
      </c>
      <c r="V138" s="125">
        <v>1246.9269999999999</v>
      </c>
      <c r="W138" s="127">
        <v>1990</v>
      </c>
      <c r="X138" s="125">
        <v>1246.838</v>
      </c>
      <c r="Y138" s="127">
        <v>1990</v>
      </c>
      <c r="Z138" s="125">
        <v>1245.5309999999999</v>
      </c>
      <c r="AA138" s="127">
        <v>1990</v>
      </c>
      <c r="AB138" s="125">
        <v>1244.8430000000001</v>
      </c>
      <c r="AC138" s="127">
        <v>1980</v>
      </c>
      <c r="AD138" s="125">
        <v>1169.2439999999999</v>
      </c>
      <c r="AE138" s="127">
        <v>1990</v>
      </c>
      <c r="AF138" s="125">
        <v>1170.2239999999999</v>
      </c>
      <c r="AG138" s="127">
        <v>1970</v>
      </c>
      <c r="AH138" s="125">
        <v>338.86799999999999</v>
      </c>
      <c r="AI138" s="127">
        <v>1970</v>
      </c>
      <c r="AJ138" s="125">
        <v>353.51400000000001</v>
      </c>
    </row>
    <row r="139" spans="1:36" ht="14.25">
      <c r="A139" s="128">
        <v>2000</v>
      </c>
      <c r="B139" s="124">
        <v>706.69200000000001</v>
      </c>
      <c r="C139" s="128">
        <v>2010</v>
      </c>
      <c r="D139" s="125">
        <v>701.41800000000001</v>
      </c>
      <c r="E139" s="126">
        <v>2000</v>
      </c>
      <c r="F139" s="125">
        <v>1469.5519999999999</v>
      </c>
      <c r="G139" s="127">
        <v>2000</v>
      </c>
      <c r="H139" s="125">
        <v>1467.837</v>
      </c>
      <c r="I139" s="127">
        <v>2000</v>
      </c>
      <c r="J139" s="125">
        <v>1246.7260000000001</v>
      </c>
      <c r="K139" s="127">
        <v>2000</v>
      </c>
      <c r="L139" s="125">
        <v>1246.4939999999999</v>
      </c>
      <c r="M139" s="127">
        <v>2000</v>
      </c>
      <c r="N139" s="125">
        <v>1246.4839999999999</v>
      </c>
      <c r="O139" s="127">
        <v>1980</v>
      </c>
      <c r="P139" s="125">
        <v>1247.558</v>
      </c>
      <c r="Q139" s="127">
        <v>2000</v>
      </c>
      <c r="R139" s="125">
        <v>1247.1489999999999</v>
      </c>
      <c r="S139" s="127">
        <v>2000</v>
      </c>
      <c r="T139" s="125">
        <v>1247.52</v>
      </c>
      <c r="U139" s="127">
        <v>1990</v>
      </c>
      <c r="V139" s="125">
        <v>1245.768</v>
      </c>
      <c r="W139" s="127">
        <v>2000</v>
      </c>
      <c r="X139" s="125">
        <v>1245.6790000000001</v>
      </c>
      <c r="Y139" s="127">
        <v>2000</v>
      </c>
      <c r="Z139" s="125">
        <v>1244.3699999999999</v>
      </c>
      <c r="AA139" s="127">
        <v>2000</v>
      </c>
      <c r="AB139" s="125">
        <v>1243.6849999999999</v>
      </c>
      <c r="AC139" s="127">
        <v>1990</v>
      </c>
      <c r="AD139" s="125">
        <v>1168.0840000000001</v>
      </c>
      <c r="AE139" s="127">
        <v>2000</v>
      </c>
      <c r="AF139" s="125">
        <v>1169.0650000000001</v>
      </c>
      <c r="AG139" s="127">
        <v>1980</v>
      </c>
      <c r="AH139" s="125">
        <v>338.49099999999999</v>
      </c>
      <c r="AI139" s="127">
        <v>1980</v>
      </c>
      <c r="AJ139" s="125">
        <v>353.12299999999999</v>
      </c>
    </row>
    <row r="140" spans="1:36" ht="14.25">
      <c r="A140" s="128">
        <v>2010</v>
      </c>
      <c r="B140" s="124">
        <v>705.92700000000002</v>
      </c>
      <c r="C140" s="128">
        <v>2020</v>
      </c>
      <c r="D140" s="125">
        <v>700.66099999999994</v>
      </c>
      <c r="E140" s="126">
        <v>2010</v>
      </c>
      <c r="F140" s="125">
        <v>1468.106</v>
      </c>
      <c r="G140" s="127">
        <v>2010</v>
      </c>
      <c r="H140" s="125">
        <v>1466.396</v>
      </c>
      <c r="I140" s="127">
        <v>2010</v>
      </c>
      <c r="J140" s="125">
        <v>1245.5630000000001</v>
      </c>
      <c r="K140" s="127">
        <v>2010</v>
      </c>
      <c r="L140" s="125">
        <v>1245.3309999999999</v>
      </c>
      <c r="M140" s="127">
        <v>2010</v>
      </c>
      <c r="N140" s="125">
        <v>1245.32</v>
      </c>
      <c r="O140" s="127">
        <v>1990</v>
      </c>
      <c r="P140" s="125">
        <v>1246.395</v>
      </c>
      <c r="Q140" s="127">
        <v>2010</v>
      </c>
      <c r="R140" s="125">
        <v>1245.9860000000001</v>
      </c>
      <c r="S140" s="127">
        <v>2010</v>
      </c>
      <c r="T140" s="125">
        <v>1246.3589999999999</v>
      </c>
      <c r="U140" s="127">
        <v>2000</v>
      </c>
      <c r="V140" s="125">
        <v>1244.6079999999999</v>
      </c>
      <c r="W140" s="127">
        <v>2010</v>
      </c>
      <c r="X140" s="125">
        <v>1244.519</v>
      </c>
      <c r="Y140" s="127">
        <v>2010</v>
      </c>
      <c r="Z140" s="125">
        <v>1243.2090000000001</v>
      </c>
      <c r="AA140" s="127">
        <v>2010</v>
      </c>
      <c r="AB140" s="125">
        <v>1242.527</v>
      </c>
      <c r="AC140" s="127">
        <v>2000</v>
      </c>
      <c r="AD140" s="125">
        <v>1166.924</v>
      </c>
      <c r="AE140" s="127">
        <v>2010</v>
      </c>
      <c r="AF140" s="125">
        <v>1167.9069999999999</v>
      </c>
      <c r="AG140" s="127">
        <v>1990</v>
      </c>
      <c r="AH140" s="125">
        <v>338.11399999999998</v>
      </c>
      <c r="AI140" s="127">
        <v>1990</v>
      </c>
      <c r="AJ140" s="125">
        <v>352.73200000000003</v>
      </c>
    </row>
    <row r="141" spans="1:36" ht="14.25">
      <c r="A141" s="128">
        <v>2020</v>
      </c>
      <c r="B141" s="124">
        <v>705.16300000000001</v>
      </c>
      <c r="C141" s="128">
        <v>2030</v>
      </c>
      <c r="D141" s="125">
        <v>699.90300000000002</v>
      </c>
      <c r="E141" s="126">
        <v>2020</v>
      </c>
      <c r="F141" s="125">
        <v>1466.66</v>
      </c>
      <c r="G141" s="127">
        <v>2020</v>
      </c>
      <c r="H141" s="125">
        <v>1464.9549999999999</v>
      </c>
      <c r="I141" s="127">
        <v>2020</v>
      </c>
      <c r="J141" s="125">
        <v>1244.3989999999999</v>
      </c>
      <c r="K141" s="127">
        <v>2020</v>
      </c>
      <c r="L141" s="125">
        <v>1244.1679999999999</v>
      </c>
      <c r="M141" s="127">
        <v>2020</v>
      </c>
      <c r="N141" s="125">
        <v>1244.1569999999999</v>
      </c>
      <c r="O141" s="127">
        <v>2000</v>
      </c>
      <c r="P141" s="125">
        <v>1245.2329999999999</v>
      </c>
      <c r="Q141" s="127">
        <v>2020</v>
      </c>
      <c r="R141" s="125">
        <v>1244.8240000000001</v>
      </c>
      <c r="S141" s="127">
        <v>2020</v>
      </c>
      <c r="T141" s="125">
        <v>1245.1969999999999</v>
      </c>
      <c r="U141" s="127">
        <v>2010</v>
      </c>
      <c r="V141" s="125">
        <v>1243.4490000000001</v>
      </c>
      <c r="W141" s="127">
        <v>2020</v>
      </c>
      <c r="X141" s="125">
        <v>1243.3589999999999</v>
      </c>
      <c r="Y141" s="127">
        <v>2020</v>
      </c>
      <c r="Z141" s="125">
        <v>1242.048</v>
      </c>
      <c r="AA141" s="127">
        <v>2020</v>
      </c>
      <c r="AB141" s="125">
        <v>1241.3679999999999</v>
      </c>
      <c r="AC141" s="127">
        <v>2010</v>
      </c>
      <c r="AD141" s="125">
        <v>1165.7629999999999</v>
      </c>
      <c r="AE141" s="127">
        <v>2020</v>
      </c>
      <c r="AF141" s="125">
        <v>1166.748</v>
      </c>
      <c r="AG141" s="127">
        <v>2000</v>
      </c>
      <c r="AH141" s="125">
        <v>337.73599999999999</v>
      </c>
      <c r="AI141" s="127">
        <v>2000</v>
      </c>
      <c r="AJ141" s="125">
        <v>352.34</v>
      </c>
    </row>
    <row r="142" spans="1:36" ht="14.25">
      <c r="A142" s="128">
        <v>2030</v>
      </c>
      <c r="B142" s="124">
        <v>704.39800000000002</v>
      </c>
      <c r="C142" s="128">
        <v>2040</v>
      </c>
      <c r="D142" s="125">
        <v>699.14599999999996</v>
      </c>
      <c r="E142" s="126">
        <v>2030</v>
      </c>
      <c r="F142" s="125">
        <v>1465.2139999999999</v>
      </c>
      <c r="G142" s="127">
        <v>2030</v>
      </c>
      <c r="H142" s="125">
        <v>1463.5129999999999</v>
      </c>
      <c r="I142" s="127">
        <v>2030</v>
      </c>
      <c r="J142" s="125">
        <v>1243.2349999999999</v>
      </c>
      <c r="K142" s="127">
        <v>2030</v>
      </c>
      <c r="L142" s="125">
        <v>1243.0050000000001</v>
      </c>
      <c r="M142" s="127">
        <v>2030</v>
      </c>
      <c r="N142" s="125">
        <v>1242.9939999999999</v>
      </c>
      <c r="O142" s="127">
        <v>2010</v>
      </c>
      <c r="P142" s="125">
        <v>1244.07</v>
      </c>
      <c r="Q142" s="127">
        <v>2030</v>
      </c>
      <c r="R142" s="125">
        <v>1243.6610000000001</v>
      </c>
      <c r="S142" s="127">
        <v>2030</v>
      </c>
      <c r="T142" s="125">
        <v>1244.0350000000001</v>
      </c>
      <c r="U142" s="127">
        <v>2020</v>
      </c>
      <c r="V142" s="125">
        <v>1242.289</v>
      </c>
      <c r="W142" s="127">
        <v>2030</v>
      </c>
      <c r="X142" s="125">
        <v>1242.1990000000001</v>
      </c>
      <c r="Y142" s="127">
        <v>2030</v>
      </c>
      <c r="Z142" s="125">
        <v>1240.8869999999999</v>
      </c>
      <c r="AA142" s="127">
        <v>2030</v>
      </c>
      <c r="AB142" s="125">
        <v>1240.21</v>
      </c>
      <c r="AC142" s="127">
        <v>2020</v>
      </c>
      <c r="AD142" s="125">
        <v>1164.6030000000001</v>
      </c>
      <c r="AE142" s="127">
        <v>2030</v>
      </c>
      <c r="AF142" s="125">
        <v>1165.5889999999999</v>
      </c>
      <c r="AG142" s="127">
        <v>2010</v>
      </c>
      <c r="AH142" s="125">
        <v>337.35899999999998</v>
      </c>
      <c r="AI142" s="127">
        <v>2010</v>
      </c>
      <c r="AJ142" s="125">
        <v>351.94900000000001</v>
      </c>
    </row>
    <row r="143" spans="1:36" ht="14.25">
      <c r="A143" s="128">
        <v>2040</v>
      </c>
      <c r="B143" s="124">
        <v>703.63300000000004</v>
      </c>
      <c r="C143" s="128">
        <v>2050</v>
      </c>
      <c r="D143" s="125">
        <v>698.38699999999994</v>
      </c>
      <c r="E143" s="126">
        <v>2040</v>
      </c>
      <c r="F143" s="125">
        <v>1463.7670000000001</v>
      </c>
      <c r="G143" s="127">
        <v>2040</v>
      </c>
      <c r="H143" s="125">
        <v>1462.07</v>
      </c>
      <c r="I143" s="127">
        <v>2040</v>
      </c>
      <c r="J143" s="125">
        <v>1242.0709999999999</v>
      </c>
      <c r="K143" s="127">
        <v>2040</v>
      </c>
      <c r="L143" s="125">
        <v>1241.8409999999999</v>
      </c>
      <c r="M143" s="127">
        <v>2040</v>
      </c>
      <c r="N143" s="125">
        <v>1241.83</v>
      </c>
      <c r="O143" s="127">
        <v>2020</v>
      </c>
      <c r="P143" s="125">
        <v>1242.9059999999999</v>
      </c>
      <c r="Q143" s="127">
        <v>2040</v>
      </c>
      <c r="R143" s="125">
        <v>1242.4970000000001</v>
      </c>
      <c r="S143" s="127">
        <v>2040</v>
      </c>
      <c r="T143" s="125">
        <v>1242.8720000000001</v>
      </c>
      <c r="U143" s="127">
        <v>2030</v>
      </c>
      <c r="V143" s="125">
        <v>1241.1289999999999</v>
      </c>
      <c r="W143" s="127">
        <v>2040</v>
      </c>
      <c r="X143" s="125">
        <v>1241.038</v>
      </c>
      <c r="Y143" s="127">
        <v>2040</v>
      </c>
      <c r="Z143" s="125">
        <v>1239.7249999999999</v>
      </c>
      <c r="AA143" s="127">
        <v>2040</v>
      </c>
      <c r="AB143" s="125">
        <v>1239.0509999999999</v>
      </c>
      <c r="AC143" s="127">
        <v>2030</v>
      </c>
      <c r="AD143" s="125">
        <v>1163.442</v>
      </c>
      <c r="AE143" s="127">
        <v>2040</v>
      </c>
      <c r="AF143" s="125">
        <v>1164.4290000000001</v>
      </c>
      <c r="AG143" s="127">
        <v>2020</v>
      </c>
      <c r="AH143" s="125">
        <v>336.98099999999999</v>
      </c>
      <c r="AI143" s="127">
        <v>2020</v>
      </c>
      <c r="AJ143" s="125">
        <v>351.55799999999999</v>
      </c>
    </row>
    <row r="144" spans="1:36" ht="14.25">
      <c r="A144" s="128">
        <v>2050</v>
      </c>
      <c r="B144" s="124">
        <v>702.86699999999996</v>
      </c>
      <c r="C144" s="128">
        <v>2060</v>
      </c>
      <c r="D144" s="125">
        <v>697.62900000000002</v>
      </c>
      <c r="E144" s="126">
        <v>2050</v>
      </c>
      <c r="F144" s="125">
        <v>1462.3209999999999</v>
      </c>
      <c r="G144" s="127">
        <v>2050</v>
      </c>
      <c r="H144" s="125">
        <v>1460.6279999999999</v>
      </c>
      <c r="I144" s="127">
        <v>2050</v>
      </c>
      <c r="J144" s="125">
        <v>1240.9059999999999</v>
      </c>
      <c r="K144" s="127">
        <v>2050</v>
      </c>
      <c r="L144" s="125">
        <v>1240.6769999999999</v>
      </c>
      <c r="M144" s="127">
        <v>2050</v>
      </c>
      <c r="N144" s="125">
        <v>1240.6659999999999</v>
      </c>
      <c r="O144" s="127">
        <v>2030</v>
      </c>
      <c r="P144" s="125">
        <v>1241.7429999999999</v>
      </c>
      <c r="Q144" s="127">
        <v>2050</v>
      </c>
      <c r="R144" s="125">
        <v>1241.3340000000001</v>
      </c>
      <c r="S144" s="127">
        <v>2050</v>
      </c>
      <c r="T144" s="125">
        <v>1241.71</v>
      </c>
      <c r="U144" s="127">
        <v>2040</v>
      </c>
      <c r="V144" s="125">
        <v>1239.9680000000001</v>
      </c>
      <c r="W144" s="127">
        <v>2050</v>
      </c>
      <c r="X144" s="125">
        <v>1239.8779999999999</v>
      </c>
      <c r="Y144" s="127">
        <v>2050</v>
      </c>
      <c r="Z144" s="125">
        <v>1238.5640000000001</v>
      </c>
      <c r="AA144" s="127">
        <v>2050</v>
      </c>
      <c r="AB144" s="125">
        <v>1237.8910000000001</v>
      </c>
      <c r="AC144" s="127">
        <v>2040</v>
      </c>
      <c r="AD144" s="125">
        <v>1162.28</v>
      </c>
      <c r="AE144" s="127">
        <v>2050</v>
      </c>
      <c r="AF144" s="125">
        <v>1163.27</v>
      </c>
      <c r="AG144" s="127">
        <v>2030</v>
      </c>
      <c r="AH144" s="125">
        <v>336.60399999999998</v>
      </c>
      <c r="AI144" s="127">
        <v>2030</v>
      </c>
      <c r="AJ144" s="125">
        <v>351.166</v>
      </c>
    </row>
    <row r="145" spans="1:36" ht="14.25">
      <c r="A145" s="128">
        <v>2060</v>
      </c>
      <c r="B145" s="124">
        <v>702.10199999999998</v>
      </c>
      <c r="C145" s="128">
        <v>2070</v>
      </c>
      <c r="D145" s="125">
        <v>696.87099999999998</v>
      </c>
      <c r="E145" s="126">
        <v>2060</v>
      </c>
      <c r="F145" s="125">
        <v>1460.873</v>
      </c>
      <c r="G145" s="127">
        <v>2060</v>
      </c>
      <c r="H145" s="125">
        <v>1459.1849999999999</v>
      </c>
      <c r="I145" s="127">
        <v>2060</v>
      </c>
      <c r="J145" s="125">
        <v>1239.742</v>
      </c>
      <c r="K145" s="127">
        <v>2060</v>
      </c>
      <c r="L145" s="125">
        <v>1239.5129999999999</v>
      </c>
      <c r="M145" s="127">
        <v>2060</v>
      </c>
      <c r="N145" s="125">
        <v>1239.502</v>
      </c>
      <c r="O145" s="127">
        <v>2040</v>
      </c>
      <c r="P145" s="125">
        <v>1240.579</v>
      </c>
      <c r="Q145" s="127">
        <v>2060</v>
      </c>
      <c r="R145" s="125">
        <v>1240.17</v>
      </c>
      <c r="S145" s="127">
        <v>2060</v>
      </c>
      <c r="T145" s="125">
        <v>1240.547</v>
      </c>
      <c r="U145" s="127">
        <v>2050</v>
      </c>
      <c r="V145" s="125">
        <v>1238.808</v>
      </c>
      <c r="W145" s="127">
        <v>2060</v>
      </c>
      <c r="X145" s="125">
        <v>1238.7170000000001</v>
      </c>
      <c r="Y145" s="127">
        <v>2060</v>
      </c>
      <c r="Z145" s="125">
        <v>1237.402</v>
      </c>
      <c r="AA145" s="127">
        <v>2060</v>
      </c>
      <c r="AB145" s="125">
        <v>1236.732</v>
      </c>
      <c r="AC145" s="127">
        <v>2050</v>
      </c>
      <c r="AD145" s="125">
        <v>1161.1189999999999</v>
      </c>
      <c r="AE145" s="127">
        <v>2060</v>
      </c>
      <c r="AF145" s="125">
        <v>1162.1099999999999</v>
      </c>
      <c r="AG145" s="127">
        <v>2040</v>
      </c>
      <c r="AH145" s="125">
        <v>336.226</v>
      </c>
      <c r="AI145" s="127">
        <v>2040</v>
      </c>
      <c r="AJ145" s="125">
        <v>350.77499999999998</v>
      </c>
    </row>
    <row r="146" spans="1:36" ht="14.25">
      <c r="A146" s="128">
        <v>2070</v>
      </c>
      <c r="B146" s="124">
        <v>701.33600000000001</v>
      </c>
      <c r="C146" s="128">
        <v>2080</v>
      </c>
      <c r="D146" s="125">
        <v>696.11199999999997</v>
      </c>
      <c r="E146" s="126">
        <v>2070</v>
      </c>
      <c r="F146" s="125">
        <v>1459.4259999999999</v>
      </c>
      <c r="G146" s="127">
        <v>2070</v>
      </c>
      <c r="H146" s="125">
        <v>1457.742</v>
      </c>
      <c r="I146" s="127">
        <v>2070</v>
      </c>
      <c r="J146" s="125">
        <v>1238.577</v>
      </c>
      <c r="K146" s="127">
        <v>2070</v>
      </c>
      <c r="L146" s="125">
        <v>1238.3489999999999</v>
      </c>
      <c r="M146" s="127">
        <v>2070</v>
      </c>
      <c r="N146" s="125">
        <v>1238.337</v>
      </c>
      <c r="O146" s="127">
        <v>2050</v>
      </c>
      <c r="P146" s="125">
        <v>1239.415</v>
      </c>
      <c r="Q146" s="127">
        <v>2070</v>
      </c>
      <c r="R146" s="125">
        <v>1239.0060000000001</v>
      </c>
      <c r="S146" s="127">
        <v>2070</v>
      </c>
      <c r="T146" s="125">
        <v>1239.384</v>
      </c>
      <c r="U146" s="127">
        <v>2060</v>
      </c>
      <c r="V146" s="125">
        <v>1237.6469999999999</v>
      </c>
      <c r="W146" s="127">
        <v>2070</v>
      </c>
      <c r="X146" s="125">
        <v>1237.556</v>
      </c>
      <c r="Y146" s="127">
        <v>2070</v>
      </c>
      <c r="Z146" s="125">
        <v>1236.239</v>
      </c>
      <c r="AA146" s="127">
        <v>2070</v>
      </c>
      <c r="AB146" s="125">
        <v>1235.5719999999999</v>
      </c>
      <c r="AC146" s="127">
        <v>2060</v>
      </c>
      <c r="AD146" s="125">
        <v>1159.9570000000001</v>
      </c>
      <c r="AE146" s="127">
        <v>2070</v>
      </c>
      <c r="AF146" s="125">
        <v>1160.95</v>
      </c>
      <c r="AG146" s="127">
        <v>2050</v>
      </c>
      <c r="AH146" s="125">
        <v>335.84800000000001</v>
      </c>
      <c r="AI146" s="127">
        <v>2050</v>
      </c>
      <c r="AJ146" s="125">
        <v>350.38299999999998</v>
      </c>
    </row>
    <row r="147" spans="1:36" ht="14.25">
      <c r="A147" s="128">
        <v>2080</v>
      </c>
      <c r="B147" s="124">
        <v>700.57</v>
      </c>
      <c r="C147" s="128">
        <v>2090</v>
      </c>
      <c r="D147" s="125">
        <v>695.35299999999995</v>
      </c>
      <c r="E147" s="126">
        <v>2080</v>
      </c>
      <c r="F147" s="125">
        <v>1457.9780000000001</v>
      </c>
      <c r="G147" s="127">
        <v>2080</v>
      </c>
      <c r="H147" s="125">
        <v>1456.298</v>
      </c>
      <c r="I147" s="127">
        <v>2080</v>
      </c>
      <c r="J147" s="125">
        <v>1237.412</v>
      </c>
      <c r="K147" s="127">
        <v>2080</v>
      </c>
      <c r="L147" s="125">
        <v>1237.184</v>
      </c>
      <c r="M147" s="127">
        <v>2080</v>
      </c>
      <c r="N147" s="125">
        <v>1237.172</v>
      </c>
      <c r="O147" s="127">
        <v>2060</v>
      </c>
      <c r="P147" s="125">
        <v>1238.251</v>
      </c>
      <c r="Q147" s="127">
        <v>2080</v>
      </c>
      <c r="R147" s="125">
        <v>1237.8420000000001</v>
      </c>
      <c r="S147" s="127">
        <v>2080</v>
      </c>
      <c r="T147" s="125">
        <v>1238.221</v>
      </c>
      <c r="U147" s="127">
        <v>2070</v>
      </c>
      <c r="V147" s="125">
        <v>1236.4860000000001</v>
      </c>
      <c r="W147" s="127">
        <v>2080</v>
      </c>
      <c r="X147" s="125">
        <v>1236.394</v>
      </c>
      <c r="Y147" s="127">
        <v>2080</v>
      </c>
      <c r="Z147" s="125">
        <v>1235.077</v>
      </c>
      <c r="AA147" s="127">
        <v>2080</v>
      </c>
      <c r="AB147" s="125">
        <v>1234.412</v>
      </c>
      <c r="AC147" s="127">
        <v>2070</v>
      </c>
      <c r="AD147" s="125">
        <v>1158.7950000000001</v>
      </c>
      <c r="AE147" s="127">
        <v>2080</v>
      </c>
      <c r="AF147" s="125">
        <v>1159.79</v>
      </c>
      <c r="AG147" s="127">
        <v>2060</v>
      </c>
      <c r="AH147" s="125">
        <v>335.47</v>
      </c>
      <c r="AI147" s="127">
        <v>2060</v>
      </c>
      <c r="AJ147" s="125">
        <v>349.99099999999999</v>
      </c>
    </row>
    <row r="148" spans="1:36" ht="14.25">
      <c r="A148" s="128">
        <v>2090</v>
      </c>
      <c r="B148" s="124">
        <v>699.80399999999997</v>
      </c>
      <c r="C148" s="128">
        <v>2100</v>
      </c>
      <c r="D148" s="125">
        <v>694.59400000000005</v>
      </c>
      <c r="E148" s="126">
        <v>2090</v>
      </c>
      <c r="F148" s="125">
        <v>1456.53</v>
      </c>
      <c r="G148" s="127">
        <v>2090</v>
      </c>
      <c r="H148" s="125">
        <v>1454.855</v>
      </c>
      <c r="I148" s="127">
        <v>2090</v>
      </c>
      <c r="J148" s="125">
        <v>1236.2460000000001</v>
      </c>
      <c r="K148" s="127">
        <v>2090</v>
      </c>
      <c r="L148" s="125">
        <v>1236.019</v>
      </c>
      <c r="M148" s="127">
        <v>2090</v>
      </c>
      <c r="N148" s="125">
        <v>1236.0070000000001</v>
      </c>
      <c r="O148" s="127">
        <v>2070</v>
      </c>
      <c r="P148" s="125">
        <v>1237.087</v>
      </c>
      <c r="Q148" s="127">
        <v>2090</v>
      </c>
      <c r="R148" s="125">
        <v>1236.6780000000001</v>
      </c>
      <c r="S148" s="127">
        <v>2090</v>
      </c>
      <c r="T148" s="125">
        <v>1237.057</v>
      </c>
      <c r="U148" s="127">
        <v>2080</v>
      </c>
      <c r="V148" s="125">
        <v>1235.325</v>
      </c>
      <c r="W148" s="127">
        <v>2090</v>
      </c>
      <c r="X148" s="125">
        <v>1235.2329999999999</v>
      </c>
      <c r="Y148" s="127">
        <v>2090</v>
      </c>
      <c r="Z148" s="125">
        <v>1233.914</v>
      </c>
      <c r="AA148" s="127">
        <v>2090</v>
      </c>
      <c r="AB148" s="125">
        <v>1233.252</v>
      </c>
      <c r="AC148" s="127">
        <v>2080</v>
      </c>
      <c r="AD148" s="125">
        <v>1157.633</v>
      </c>
      <c r="AE148" s="127">
        <v>2090</v>
      </c>
      <c r="AF148" s="125">
        <v>1158.6289999999999</v>
      </c>
      <c r="AG148" s="127">
        <v>2070</v>
      </c>
      <c r="AH148" s="125">
        <v>335.09199999999998</v>
      </c>
      <c r="AI148" s="127">
        <v>2070</v>
      </c>
      <c r="AJ148" s="125">
        <v>349.59899999999999</v>
      </c>
    </row>
    <row r="149" spans="1:36" ht="14.25">
      <c r="A149" s="128">
        <v>2100</v>
      </c>
      <c r="B149" s="124">
        <v>699.03800000000001</v>
      </c>
      <c r="C149" s="128">
        <v>2110</v>
      </c>
      <c r="D149" s="125">
        <v>693.83500000000004</v>
      </c>
      <c r="E149" s="126">
        <v>2100</v>
      </c>
      <c r="F149" s="125">
        <v>1455.0820000000001</v>
      </c>
      <c r="G149" s="127">
        <v>2100</v>
      </c>
      <c r="H149" s="125">
        <v>1453.4110000000001</v>
      </c>
      <c r="I149" s="127">
        <v>2100</v>
      </c>
      <c r="J149" s="125">
        <v>1235.0809999999999</v>
      </c>
      <c r="K149" s="127">
        <v>2100</v>
      </c>
      <c r="L149" s="125">
        <v>1234.854</v>
      </c>
      <c r="M149" s="127">
        <v>2100</v>
      </c>
      <c r="N149" s="125">
        <v>1234.8420000000001</v>
      </c>
      <c r="O149" s="127">
        <v>2080</v>
      </c>
      <c r="P149" s="125">
        <v>1235.922</v>
      </c>
      <c r="Q149" s="127">
        <v>2100</v>
      </c>
      <c r="R149" s="125">
        <v>1235.5129999999999</v>
      </c>
      <c r="S149" s="127">
        <v>2100</v>
      </c>
      <c r="T149" s="125">
        <v>1235.893</v>
      </c>
      <c r="U149" s="127">
        <v>2090</v>
      </c>
      <c r="V149" s="125">
        <v>1234.163</v>
      </c>
      <c r="W149" s="127">
        <v>2100</v>
      </c>
      <c r="X149" s="125">
        <v>1234.0709999999999</v>
      </c>
      <c r="Y149" s="127">
        <v>2100</v>
      </c>
      <c r="Z149" s="125">
        <v>1232.751</v>
      </c>
      <c r="AA149" s="127">
        <v>2100</v>
      </c>
      <c r="AB149" s="125">
        <v>1232.0920000000001</v>
      </c>
      <c r="AC149" s="127">
        <v>2090</v>
      </c>
      <c r="AD149" s="125">
        <v>1156.47</v>
      </c>
      <c r="AE149" s="127">
        <v>2100</v>
      </c>
      <c r="AF149" s="125">
        <v>1157.4680000000001</v>
      </c>
      <c r="AG149" s="127">
        <v>2080</v>
      </c>
      <c r="AH149" s="125">
        <v>334.714</v>
      </c>
      <c r="AI149" s="127">
        <v>2080</v>
      </c>
      <c r="AJ149" s="125">
        <v>349.20699999999999</v>
      </c>
    </row>
    <row r="150" spans="1:36" ht="14.25">
      <c r="A150" s="128">
        <v>2110</v>
      </c>
      <c r="B150" s="124">
        <v>698.27200000000005</v>
      </c>
      <c r="C150" s="128">
        <v>2120</v>
      </c>
      <c r="D150" s="125">
        <v>693.07500000000005</v>
      </c>
      <c r="E150" s="126">
        <v>2110</v>
      </c>
      <c r="F150" s="125">
        <v>1453.633</v>
      </c>
      <c r="G150" s="127">
        <v>2110</v>
      </c>
      <c r="H150" s="125">
        <v>1451.9659999999999</v>
      </c>
      <c r="I150" s="127">
        <v>2110</v>
      </c>
      <c r="J150" s="125">
        <v>1233.915</v>
      </c>
      <c r="K150" s="127">
        <v>2110</v>
      </c>
      <c r="L150" s="125">
        <v>1233.6890000000001</v>
      </c>
      <c r="M150" s="127">
        <v>2110</v>
      </c>
      <c r="N150" s="125">
        <v>1233.6769999999999</v>
      </c>
      <c r="O150" s="127">
        <v>2090</v>
      </c>
      <c r="P150" s="125">
        <v>1234.7570000000001</v>
      </c>
      <c r="Q150" s="127">
        <v>2110</v>
      </c>
      <c r="R150" s="125">
        <v>1234.348</v>
      </c>
      <c r="S150" s="127">
        <v>2110</v>
      </c>
      <c r="T150" s="125">
        <v>1234.729</v>
      </c>
      <c r="U150" s="127">
        <v>2100</v>
      </c>
      <c r="V150" s="125">
        <v>1233.002</v>
      </c>
      <c r="W150" s="127">
        <v>2110</v>
      </c>
      <c r="X150" s="125">
        <v>1232.9079999999999</v>
      </c>
      <c r="Y150" s="127">
        <v>2110</v>
      </c>
      <c r="Z150" s="125">
        <v>1231.588</v>
      </c>
      <c r="AA150" s="127">
        <v>2110</v>
      </c>
      <c r="AB150" s="125">
        <v>1230.931</v>
      </c>
      <c r="AC150" s="127">
        <v>2100</v>
      </c>
      <c r="AD150" s="125">
        <v>1155.307</v>
      </c>
      <c r="AE150" s="127">
        <v>2110</v>
      </c>
      <c r="AF150" s="125">
        <v>1156.307</v>
      </c>
      <c r="AG150" s="127">
        <v>2090</v>
      </c>
      <c r="AH150" s="125">
        <v>334.33600000000001</v>
      </c>
      <c r="AI150" s="127">
        <v>2090</v>
      </c>
      <c r="AJ150" s="125">
        <v>348.815</v>
      </c>
    </row>
    <row r="151" spans="1:36" ht="14.25">
      <c r="A151" s="128">
        <v>2120</v>
      </c>
      <c r="B151" s="124">
        <v>697.505</v>
      </c>
      <c r="C151" s="128">
        <v>2130</v>
      </c>
      <c r="D151" s="125">
        <v>692.31600000000003</v>
      </c>
      <c r="E151" s="126">
        <v>2120</v>
      </c>
      <c r="F151" s="125">
        <v>1452.184</v>
      </c>
      <c r="G151" s="127">
        <v>2120</v>
      </c>
      <c r="H151" s="125">
        <v>1450.5219999999999</v>
      </c>
      <c r="I151" s="127">
        <v>2120</v>
      </c>
      <c r="J151" s="125">
        <v>1232.749</v>
      </c>
      <c r="K151" s="127">
        <v>2120</v>
      </c>
      <c r="L151" s="125">
        <v>1232.5229999999999</v>
      </c>
      <c r="M151" s="127">
        <v>2120</v>
      </c>
      <c r="N151" s="125">
        <v>1232.511</v>
      </c>
      <c r="O151" s="127">
        <v>2100</v>
      </c>
      <c r="P151" s="125">
        <v>1233.5920000000001</v>
      </c>
      <c r="Q151" s="127">
        <v>2120</v>
      </c>
      <c r="R151" s="125">
        <v>1233.183</v>
      </c>
      <c r="S151" s="127">
        <v>2120</v>
      </c>
      <c r="T151" s="125">
        <v>1233.5650000000001</v>
      </c>
      <c r="U151" s="127">
        <v>2110</v>
      </c>
      <c r="V151" s="125">
        <v>1231.8389999999999</v>
      </c>
      <c r="W151" s="127">
        <v>2120</v>
      </c>
      <c r="X151" s="125">
        <v>1231.7460000000001</v>
      </c>
      <c r="Y151" s="127">
        <v>2120</v>
      </c>
      <c r="Z151" s="125">
        <v>1230.424</v>
      </c>
      <c r="AA151" s="127">
        <v>2120</v>
      </c>
      <c r="AB151" s="125">
        <v>1229.77</v>
      </c>
      <c r="AC151" s="127">
        <v>2110</v>
      </c>
      <c r="AD151" s="125">
        <v>1154.144</v>
      </c>
      <c r="AE151" s="127">
        <v>2120</v>
      </c>
      <c r="AF151" s="125">
        <v>1155.146</v>
      </c>
      <c r="AG151" s="127">
        <v>2100</v>
      </c>
      <c r="AH151" s="125">
        <v>333.95800000000003</v>
      </c>
      <c r="AI151" s="127">
        <v>2100</v>
      </c>
      <c r="AJ151" s="125">
        <v>348.423</v>
      </c>
    </row>
    <row r="152" spans="1:36" ht="14.25">
      <c r="A152" s="128">
        <v>2130</v>
      </c>
      <c r="B152" s="124">
        <v>696.73800000000006</v>
      </c>
      <c r="C152" s="128">
        <v>2140</v>
      </c>
      <c r="D152" s="125">
        <v>691.55600000000004</v>
      </c>
      <c r="E152" s="126">
        <v>2130</v>
      </c>
      <c r="F152" s="125">
        <v>1450.7349999999999</v>
      </c>
      <c r="G152" s="127">
        <v>2130</v>
      </c>
      <c r="H152" s="125">
        <v>1449.077</v>
      </c>
      <c r="I152" s="127">
        <v>2130</v>
      </c>
      <c r="J152" s="125">
        <v>1231.5820000000001</v>
      </c>
      <c r="K152" s="127">
        <v>2130</v>
      </c>
      <c r="L152" s="125">
        <v>1231.357</v>
      </c>
      <c r="M152" s="127">
        <v>2130</v>
      </c>
      <c r="N152" s="125">
        <v>1231.345</v>
      </c>
      <c r="O152" s="127">
        <v>2110</v>
      </c>
      <c r="P152" s="125">
        <v>1232.4269999999999</v>
      </c>
      <c r="Q152" s="127">
        <v>2130</v>
      </c>
      <c r="R152" s="125">
        <v>1232.0170000000001</v>
      </c>
      <c r="S152" s="127">
        <v>2130</v>
      </c>
      <c r="T152" s="125">
        <v>1232.4000000000001</v>
      </c>
      <c r="U152" s="127">
        <v>2120</v>
      </c>
      <c r="V152" s="125">
        <v>1230.6769999999999</v>
      </c>
      <c r="W152" s="127">
        <v>2130</v>
      </c>
      <c r="X152" s="125">
        <v>1230.5830000000001</v>
      </c>
      <c r="Y152" s="127">
        <v>2130</v>
      </c>
      <c r="Z152" s="125">
        <v>1229.261</v>
      </c>
      <c r="AA152" s="127">
        <v>2130</v>
      </c>
      <c r="AB152" s="125">
        <v>1228.6089999999999</v>
      </c>
      <c r="AC152" s="127">
        <v>2120</v>
      </c>
      <c r="AD152" s="125">
        <v>1152.981</v>
      </c>
      <c r="AE152" s="127">
        <v>2130</v>
      </c>
      <c r="AF152" s="125">
        <v>1153.9839999999999</v>
      </c>
      <c r="AG152" s="127">
        <v>2110</v>
      </c>
      <c r="AH152" s="125">
        <v>333.57900000000001</v>
      </c>
      <c r="AI152" s="127">
        <v>2110</v>
      </c>
      <c r="AJ152" s="125">
        <v>348.03100000000001</v>
      </c>
    </row>
    <row r="153" spans="1:36" ht="14.25">
      <c r="A153" s="128">
        <v>2140</v>
      </c>
      <c r="B153" s="124">
        <v>695.971</v>
      </c>
      <c r="C153" s="128">
        <v>2150</v>
      </c>
      <c r="D153" s="125">
        <v>690.79600000000005</v>
      </c>
      <c r="E153" s="126">
        <v>2140</v>
      </c>
      <c r="F153" s="125">
        <v>1449.2850000000001</v>
      </c>
      <c r="G153" s="127">
        <v>2140</v>
      </c>
      <c r="H153" s="125">
        <v>1447.6320000000001</v>
      </c>
      <c r="I153" s="127">
        <v>2140</v>
      </c>
      <c r="J153" s="125">
        <v>1230.4159999999999</v>
      </c>
      <c r="K153" s="127">
        <v>2140</v>
      </c>
      <c r="L153" s="125">
        <v>1230.191</v>
      </c>
      <c r="M153" s="127">
        <v>2140</v>
      </c>
      <c r="N153" s="125">
        <v>1230.1790000000001</v>
      </c>
      <c r="O153" s="127">
        <v>2120</v>
      </c>
      <c r="P153" s="125">
        <v>1231.261</v>
      </c>
      <c r="Q153" s="127">
        <v>2140</v>
      </c>
      <c r="R153" s="125">
        <v>1230.8520000000001</v>
      </c>
      <c r="S153" s="127">
        <v>2140</v>
      </c>
      <c r="T153" s="125">
        <v>1231.2360000000001</v>
      </c>
      <c r="U153" s="127">
        <v>2130</v>
      </c>
      <c r="V153" s="125">
        <v>1229.5150000000001</v>
      </c>
      <c r="W153" s="127">
        <v>2140</v>
      </c>
      <c r="X153" s="125">
        <v>1229.42</v>
      </c>
      <c r="Y153" s="127">
        <v>2140</v>
      </c>
      <c r="Z153" s="125">
        <v>1228.097</v>
      </c>
      <c r="AA153" s="127">
        <v>2140</v>
      </c>
      <c r="AB153" s="125">
        <v>1227.4480000000001</v>
      </c>
      <c r="AC153" s="127">
        <v>2130</v>
      </c>
      <c r="AD153" s="125">
        <v>1151.818</v>
      </c>
      <c r="AE153" s="127">
        <v>2140</v>
      </c>
      <c r="AF153" s="125">
        <v>1152.8230000000001</v>
      </c>
      <c r="AG153" s="127">
        <v>2120</v>
      </c>
      <c r="AH153" s="125">
        <v>333.20100000000002</v>
      </c>
      <c r="AI153" s="127">
        <v>2120</v>
      </c>
      <c r="AJ153" s="125">
        <v>347.63799999999998</v>
      </c>
    </row>
    <row r="154" spans="1:36" ht="14.25">
      <c r="A154" s="128">
        <v>2150</v>
      </c>
      <c r="B154" s="124">
        <v>695.20399999999995</v>
      </c>
      <c r="C154" s="128">
        <v>2160</v>
      </c>
      <c r="D154" s="125">
        <v>690.03599999999994</v>
      </c>
      <c r="E154" s="126">
        <v>2150</v>
      </c>
      <c r="F154" s="125">
        <v>1447.836</v>
      </c>
      <c r="G154" s="127">
        <v>2150</v>
      </c>
      <c r="H154" s="125">
        <v>1446.1859999999999</v>
      </c>
      <c r="I154" s="127">
        <v>2150</v>
      </c>
      <c r="J154" s="125">
        <v>1229.249</v>
      </c>
      <c r="K154" s="127">
        <v>2150</v>
      </c>
      <c r="L154" s="125">
        <v>1229.0250000000001</v>
      </c>
      <c r="M154" s="127">
        <v>2150</v>
      </c>
      <c r="N154" s="125">
        <v>1229.0119999999999</v>
      </c>
      <c r="O154" s="127">
        <v>2130</v>
      </c>
      <c r="P154" s="125">
        <v>1230.095</v>
      </c>
      <c r="Q154" s="127">
        <v>2150</v>
      </c>
      <c r="R154" s="125">
        <v>1229.6859999999999</v>
      </c>
      <c r="S154" s="127">
        <v>2150</v>
      </c>
      <c r="T154" s="125">
        <v>1230.0709999999999</v>
      </c>
      <c r="U154" s="127">
        <v>2140</v>
      </c>
      <c r="V154" s="125">
        <v>1228.3520000000001</v>
      </c>
      <c r="W154" s="127">
        <v>2150</v>
      </c>
      <c r="X154" s="125">
        <v>1228.2570000000001</v>
      </c>
      <c r="Y154" s="127">
        <v>2150</v>
      </c>
      <c r="Z154" s="125">
        <v>1226.932</v>
      </c>
      <c r="AA154" s="127">
        <v>2150</v>
      </c>
      <c r="AB154" s="125">
        <v>1226.2860000000001</v>
      </c>
      <c r="AC154" s="127">
        <v>2140</v>
      </c>
      <c r="AD154" s="125">
        <v>1150.654</v>
      </c>
      <c r="AE154" s="127">
        <v>2150</v>
      </c>
      <c r="AF154" s="125">
        <v>1151.6610000000001</v>
      </c>
      <c r="AG154" s="127">
        <v>2130</v>
      </c>
      <c r="AH154" s="125">
        <v>332.822</v>
      </c>
      <c r="AI154" s="127">
        <v>2130</v>
      </c>
      <c r="AJ154" s="125">
        <v>347.24599999999998</v>
      </c>
    </row>
    <row r="155" spans="1:36" ht="14.25">
      <c r="A155" s="128">
        <v>2160</v>
      </c>
      <c r="B155" s="124">
        <v>694.43600000000004</v>
      </c>
      <c r="C155" s="128">
        <v>2170</v>
      </c>
      <c r="D155" s="125">
        <v>689.27499999999998</v>
      </c>
      <c r="E155" s="126">
        <v>2160</v>
      </c>
      <c r="F155" s="125">
        <v>1446.385</v>
      </c>
      <c r="G155" s="127">
        <v>2160</v>
      </c>
      <c r="H155" s="125">
        <v>1444.74</v>
      </c>
      <c r="I155" s="127">
        <v>2160</v>
      </c>
      <c r="J155" s="125">
        <v>1228.0820000000001</v>
      </c>
      <c r="K155" s="127">
        <v>2160</v>
      </c>
      <c r="L155" s="125">
        <v>1227.8589999999999</v>
      </c>
      <c r="M155" s="127">
        <v>2160</v>
      </c>
      <c r="N155" s="125">
        <v>1227.846</v>
      </c>
      <c r="O155" s="127">
        <v>2140</v>
      </c>
      <c r="P155" s="125">
        <v>1228.9290000000001</v>
      </c>
      <c r="Q155" s="127">
        <v>2160</v>
      </c>
      <c r="R155" s="125">
        <v>1228.52</v>
      </c>
      <c r="S155" s="127">
        <v>2160</v>
      </c>
      <c r="T155" s="125">
        <v>1228.905</v>
      </c>
      <c r="U155" s="127">
        <v>2150</v>
      </c>
      <c r="V155" s="125">
        <v>1227.1890000000001</v>
      </c>
      <c r="W155" s="127">
        <v>2160</v>
      </c>
      <c r="X155" s="125">
        <v>1227.0940000000001</v>
      </c>
      <c r="Y155" s="127">
        <v>2160</v>
      </c>
      <c r="Z155" s="125">
        <v>1225.768</v>
      </c>
      <c r="AA155" s="127">
        <v>2160</v>
      </c>
      <c r="AB155" s="125">
        <v>1225.124</v>
      </c>
      <c r="AC155" s="127">
        <v>2150</v>
      </c>
      <c r="AD155" s="125">
        <v>1149.49</v>
      </c>
      <c r="AE155" s="127">
        <v>2160</v>
      </c>
      <c r="AF155" s="125">
        <v>1150.498</v>
      </c>
      <c r="AG155" s="127">
        <v>2140</v>
      </c>
      <c r="AH155" s="125">
        <v>332.44400000000002</v>
      </c>
      <c r="AI155" s="127">
        <v>2140</v>
      </c>
      <c r="AJ155" s="125">
        <v>346.85300000000001</v>
      </c>
    </row>
    <row r="156" spans="1:36" ht="14.25">
      <c r="A156" s="128">
        <v>2170</v>
      </c>
      <c r="B156" s="124">
        <v>693.66899999999998</v>
      </c>
      <c r="C156" s="128">
        <v>2180</v>
      </c>
      <c r="D156" s="125">
        <v>688.51400000000001</v>
      </c>
      <c r="E156" s="126">
        <v>2170</v>
      </c>
      <c r="F156" s="125">
        <v>1444.9349999999999</v>
      </c>
      <c r="G156" s="127">
        <v>2170</v>
      </c>
      <c r="H156" s="125">
        <v>1443.2940000000001</v>
      </c>
      <c r="I156" s="127">
        <v>2170</v>
      </c>
      <c r="J156" s="125">
        <v>1226.915</v>
      </c>
      <c r="K156" s="127">
        <v>2170</v>
      </c>
      <c r="L156" s="125">
        <v>1226.692</v>
      </c>
      <c r="M156" s="127">
        <v>2170</v>
      </c>
      <c r="N156" s="125">
        <v>1226.6790000000001</v>
      </c>
      <c r="O156" s="127">
        <v>2150</v>
      </c>
      <c r="P156" s="125">
        <v>1227.7629999999999</v>
      </c>
      <c r="Q156" s="127">
        <v>2170</v>
      </c>
      <c r="R156" s="125">
        <v>1227.3530000000001</v>
      </c>
      <c r="S156" s="127">
        <v>2170</v>
      </c>
      <c r="T156" s="125">
        <v>1227.74</v>
      </c>
      <c r="U156" s="127">
        <v>2160</v>
      </c>
      <c r="V156" s="125">
        <v>1226.0260000000001</v>
      </c>
      <c r="W156" s="127">
        <v>2170</v>
      </c>
      <c r="X156" s="125">
        <v>1225.93</v>
      </c>
      <c r="Y156" s="127">
        <v>2170</v>
      </c>
      <c r="Z156" s="125">
        <v>1224.6030000000001</v>
      </c>
      <c r="AA156" s="127">
        <v>2170</v>
      </c>
      <c r="AB156" s="125">
        <v>1223.962</v>
      </c>
      <c r="AC156" s="127">
        <v>2160</v>
      </c>
      <c r="AD156" s="125">
        <v>1148.326</v>
      </c>
      <c r="AE156" s="127">
        <v>2170</v>
      </c>
      <c r="AF156" s="125">
        <v>1149.336</v>
      </c>
      <c r="AG156" s="127">
        <v>2150</v>
      </c>
      <c r="AH156" s="125">
        <v>332.065</v>
      </c>
      <c r="AI156" s="127">
        <v>2150</v>
      </c>
      <c r="AJ156" s="125">
        <v>346.46100000000001</v>
      </c>
    </row>
    <row r="157" spans="1:36" ht="14.25">
      <c r="A157" s="128">
        <v>2180</v>
      </c>
      <c r="B157" s="124">
        <v>692.90099999999995</v>
      </c>
      <c r="C157" s="128">
        <v>2190</v>
      </c>
      <c r="D157" s="125">
        <v>687.75400000000002</v>
      </c>
      <c r="E157" s="126">
        <v>2180</v>
      </c>
      <c r="F157" s="125">
        <v>1443.4839999999999</v>
      </c>
      <c r="G157" s="127">
        <v>2180</v>
      </c>
      <c r="H157" s="125">
        <v>1441.848</v>
      </c>
      <c r="I157" s="127">
        <v>2180</v>
      </c>
      <c r="J157" s="125">
        <v>1225.7470000000001</v>
      </c>
      <c r="K157" s="127">
        <v>2180</v>
      </c>
      <c r="L157" s="125">
        <v>1225.5250000000001</v>
      </c>
      <c r="M157" s="127">
        <v>2180</v>
      </c>
      <c r="N157" s="125">
        <v>1225.5119999999999</v>
      </c>
      <c r="O157" s="127">
        <v>2160</v>
      </c>
      <c r="P157" s="125">
        <v>1226.596</v>
      </c>
      <c r="Q157" s="127">
        <v>2180</v>
      </c>
      <c r="R157" s="125">
        <v>1226.1869999999999</v>
      </c>
      <c r="S157" s="127">
        <v>2180</v>
      </c>
      <c r="T157" s="125">
        <v>1226.5740000000001</v>
      </c>
      <c r="U157" s="127">
        <v>2170</v>
      </c>
      <c r="V157" s="125">
        <v>1224.8620000000001</v>
      </c>
      <c r="W157" s="127">
        <v>2180</v>
      </c>
      <c r="X157" s="125">
        <v>1224.7660000000001</v>
      </c>
      <c r="Y157" s="127">
        <v>2180</v>
      </c>
      <c r="Z157" s="125">
        <v>1223.4380000000001</v>
      </c>
      <c r="AA157" s="127">
        <v>2180</v>
      </c>
      <c r="AB157" s="125">
        <v>1222.8</v>
      </c>
      <c r="AC157" s="127">
        <v>2170</v>
      </c>
      <c r="AD157" s="125">
        <v>1147.162</v>
      </c>
      <c r="AE157" s="127">
        <v>2180</v>
      </c>
      <c r="AF157" s="125">
        <v>1148.173</v>
      </c>
      <c r="AG157" s="127">
        <v>2160</v>
      </c>
      <c r="AH157" s="125">
        <v>331.68599999999998</v>
      </c>
      <c r="AI157" s="127">
        <v>2160</v>
      </c>
      <c r="AJ157" s="125">
        <v>346.06799999999998</v>
      </c>
    </row>
    <row r="158" spans="1:36" ht="14.25">
      <c r="A158" s="128">
        <v>2190</v>
      </c>
      <c r="B158" s="124">
        <v>692.13300000000004</v>
      </c>
      <c r="C158" s="128">
        <v>2200</v>
      </c>
      <c r="D158" s="125">
        <v>686.99300000000005</v>
      </c>
      <c r="E158" s="126">
        <v>2190</v>
      </c>
      <c r="F158" s="125">
        <v>1442.0329999999999</v>
      </c>
      <c r="G158" s="127">
        <v>2190</v>
      </c>
      <c r="H158" s="125">
        <v>1440.4010000000001</v>
      </c>
      <c r="I158" s="127">
        <v>2190</v>
      </c>
      <c r="J158" s="125">
        <v>1224.58</v>
      </c>
      <c r="K158" s="127">
        <v>2190</v>
      </c>
      <c r="L158" s="125">
        <v>1224.357</v>
      </c>
      <c r="M158" s="127">
        <v>2190</v>
      </c>
      <c r="N158" s="125">
        <v>1224.3440000000001</v>
      </c>
      <c r="O158" s="127">
        <v>2170</v>
      </c>
      <c r="P158" s="125">
        <v>1225.4290000000001</v>
      </c>
      <c r="Q158" s="127">
        <v>2190</v>
      </c>
      <c r="R158" s="125">
        <v>1225.02</v>
      </c>
      <c r="S158" s="127">
        <v>2190</v>
      </c>
      <c r="T158" s="125">
        <v>1225.4079999999999</v>
      </c>
      <c r="U158" s="127">
        <v>2180</v>
      </c>
      <c r="V158" s="125">
        <v>1223.6990000000001</v>
      </c>
      <c r="W158" s="127">
        <v>2190</v>
      </c>
      <c r="X158" s="125">
        <v>1223.6020000000001</v>
      </c>
      <c r="Y158" s="127">
        <v>2190</v>
      </c>
      <c r="Z158" s="125">
        <v>1222.2729999999999</v>
      </c>
      <c r="AA158" s="127">
        <v>2190</v>
      </c>
      <c r="AB158" s="125">
        <v>1221.6369999999999</v>
      </c>
      <c r="AC158" s="127">
        <v>2180</v>
      </c>
      <c r="AD158" s="125">
        <v>1145.9970000000001</v>
      </c>
      <c r="AE158" s="127">
        <v>2190</v>
      </c>
      <c r="AF158" s="125">
        <v>1147.01</v>
      </c>
      <c r="AG158" s="127">
        <v>2170</v>
      </c>
      <c r="AH158" s="125">
        <v>331.30700000000002</v>
      </c>
      <c r="AI158" s="127">
        <v>2170</v>
      </c>
      <c r="AJ158" s="125">
        <v>345.67500000000001</v>
      </c>
    </row>
    <row r="159" spans="1:36" ht="14.25">
      <c r="A159" s="128">
        <v>2200</v>
      </c>
      <c r="B159" s="124">
        <v>691.36500000000001</v>
      </c>
      <c r="C159" s="128">
        <v>2210</v>
      </c>
      <c r="D159" s="125">
        <v>686.23099999999999</v>
      </c>
      <c r="E159" s="126">
        <v>2200</v>
      </c>
      <c r="F159" s="125">
        <v>1440.5820000000001</v>
      </c>
      <c r="G159" s="127">
        <v>2200</v>
      </c>
      <c r="H159" s="125">
        <v>1438.954</v>
      </c>
      <c r="I159" s="127">
        <v>2200</v>
      </c>
      <c r="J159" s="125">
        <v>1223.4110000000001</v>
      </c>
      <c r="K159" s="127">
        <v>2200</v>
      </c>
      <c r="L159" s="125">
        <v>1223.19</v>
      </c>
      <c r="M159" s="127">
        <v>2200</v>
      </c>
      <c r="N159" s="125">
        <v>1223.1769999999999</v>
      </c>
      <c r="O159" s="127">
        <v>2180</v>
      </c>
      <c r="P159" s="125">
        <v>1224.2619999999999</v>
      </c>
      <c r="Q159" s="127">
        <v>2200</v>
      </c>
      <c r="R159" s="125">
        <v>1223.8530000000001</v>
      </c>
      <c r="S159" s="127">
        <v>2200</v>
      </c>
      <c r="T159" s="125">
        <v>1224.242</v>
      </c>
      <c r="U159" s="127">
        <v>2190</v>
      </c>
      <c r="V159" s="125">
        <v>1222.5350000000001</v>
      </c>
      <c r="W159" s="127">
        <v>2200</v>
      </c>
      <c r="X159" s="125">
        <v>1222.4380000000001</v>
      </c>
      <c r="Y159" s="127">
        <v>2200</v>
      </c>
      <c r="Z159" s="125">
        <v>1221.1079999999999</v>
      </c>
      <c r="AA159" s="127">
        <v>2200</v>
      </c>
      <c r="AB159" s="125">
        <v>1220.4739999999999</v>
      </c>
      <c r="AC159" s="127">
        <v>2190</v>
      </c>
      <c r="AD159" s="125">
        <v>1144.8320000000001</v>
      </c>
      <c r="AE159" s="127">
        <v>2200</v>
      </c>
      <c r="AF159" s="125">
        <v>1145.847</v>
      </c>
      <c r="AG159" s="127">
        <v>2180</v>
      </c>
      <c r="AH159" s="125">
        <v>330.928</v>
      </c>
      <c r="AI159" s="127">
        <v>2180</v>
      </c>
      <c r="AJ159" s="125">
        <v>345.28199999999998</v>
      </c>
    </row>
    <row r="160" spans="1:36" ht="14.25">
      <c r="A160" s="128">
        <v>2210</v>
      </c>
      <c r="B160" s="124">
        <v>690.59699999999998</v>
      </c>
      <c r="C160" s="128">
        <v>2220</v>
      </c>
      <c r="D160" s="125">
        <v>685.47</v>
      </c>
      <c r="E160" s="126">
        <v>2210</v>
      </c>
      <c r="F160" s="125">
        <v>1439.1310000000001</v>
      </c>
      <c r="G160" s="127">
        <v>2210</v>
      </c>
      <c r="H160" s="125">
        <v>1437.5070000000001</v>
      </c>
      <c r="I160" s="127">
        <v>2210</v>
      </c>
      <c r="J160" s="125">
        <v>1222.2429999999999</v>
      </c>
      <c r="K160" s="127">
        <v>2210</v>
      </c>
      <c r="L160" s="125">
        <v>1222.0219999999999</v>
      </c>
      <c r="M160" s="127">
        <v>2210</v>
      </c>
      <c r="N160" s="125">
        <v>1222.009</v>
      </c>
      <c r="O160" s="127">
        <v>2190</v>
      </c>
      <c r="P160" s="125">
        <v>1223.095</v>
      </c>
      <c r="Q160" s="127">
        <v>2210</v>
      </c>
      <c r="R160" s="125">
        <v>1222.6859999999999</v>
      </c>
      <c r="S160" s="127">
        <v>2210</v>
      </c>
      <c r="T160" s="125">
        <v>1223.075</v>
      </c>
      <c r="U160" s="127">
        <v>2200</v>
      </c>
      <c r="V160" s="125">
        <v>1221.3699999999999</v>
      </c>
      <c r="W160" s="127">
        <v>2210</v>
      </c>
      <c r="X160" s="125">
        <v>1221.2729999999999</v>
      </c>
      <c r="Y160" s="127">
        <v>2210</v>
      </c>
      <c r="Z160" s="125">
        <v>1219.942</v>
      </c>
      <c r="AA160" s="127">
        <v>2210</v>
      </c>
      <c r="AB160" s="125">
        <v>1219.3109999999999</v>
      </c>
      <c r="AC160" s="127">
        <v>2200</v>
      </c>
      <c r="AD160" s="125">
        <v>1143.6669999999999</v>
      </c>
      <c r="AE160" s="127">
        <v>2210</v>
      </c>
      <c r="AF160" s="125">
        <v>1144.684</v>
      </c>
      <c r="AG160" s="127">
        <v>2190</v>
      </c>
      <c r="AH160" s="125">
        <v>330.54899999999998</v>
      </c>
      <c r="AI160" s="127">
        <v>2190</v>
      </c>
      <c r="AJ160" s="125">
        <v>344.88900000000001</v>
      </c>
    </row>
    <row r="161" spans="1:36" ht="14.25">
      <c r="A161" s="128">
        <v>2220</v>
      </c>
      <c r="B161" s="124">
        <v>689.82799999999997</v>
      </c>
      <c r="C161" s="128">
        <v>2230</v>
      </c>
      <c r="D161" s="125">
        <v>684.70799999999997</v>
      </c>
      <c r="E161" s="126">
        <v>2220</v>
      </c>
      <c r="F161" s="125">
        <v>1437.6790000000001</v>
      </c>
      <c r="G161" s="127">
        <v>2220</v>
      </c>
      <c r="H161" s="125">
        <v>1436.059</v>
      </c>
      <c r="I161" s="127">
        <v>2220</v>
      </c>
      <c r="J161" s="125">
        <v>1221.075</v>
      </c>
      <c r="K161" s="127">
        <v>2220</v>
      </c>
      <c r="L161" s="125">
        <v>1220.854</v>
      </c>
      <c r="M161" s="127">
        <v>2220</v>
      </c>
      <c r="N161" s="125">
        <v>1220.8409999999999</v>
      </c>
      <c r="O161" s="127">
        <v>2200</v>
      </c>
      <c r="P161" s="125">
        <v>1221.9269999999999</v>
      </c>
      <c r="Q161" s="127">
        <v>2220</v>
      </c>
      <c r="R161" s="125">
        <v>1221.518</v>
      </c>
      <c r="S161" s="127">
        <v>2220</v>
      </c>
      <c r="T161" s="125">
        <v>1221.9090000000001</v>
      </c>
      <c r="U161" s="127">
        <v>2210</v>
      </c>
      <c r="V161" s="125">
        <v>1220.2059999999999</v>
      </c>
      <c r="W161" s="127">
        <v>2220</v>
      </c>
      <c r="X161" s="125">
        <v>1220.1079999999999</v>
      </c>
      <c r="Y161" s="127">
        <v>2220</v>
      </c>
      <c r="Z161" s="125">
        <v>1218.7760000000001</v>
      </c>
      <c r="AA161" s="127">
        <v>2220</v>
      </c>
      <c r="AB161" s="125">
        <v>1218.1479999999999</v>
      </c>
      <c r="AC161" s="127">
        <v>2210</v>
      </c>
      <c r="AD161" s="125">
        <v>1142.502</v>
      </c>
      <c r="AE161" s="127">
        <v>2220</v>
      </c>
      <c r="AF161" s="125">
        <v>1143.52</v>
      </c>
      <c r="AG161" s="127">
        <v>2200</v>
      </c>
      <c r="AH161" s="125">
        <v>330.17</v>
      </c>
      <c r="AI161" s="127">
        <v>2200</v>
      </c>
      <c r="AJ161" s="125">
        <v>344.49599999999998</v>
      </c>
    </row>
    <row r="162" spans="1:36" ht="14.25">
      <c r="A162" s="128">
        <v>2230</v>
      </c>
      <c r="B162" s="124">
        <v>689.05899999999997</v>
      </c>
      <c r="C162" s="128">
        <v>2240</v>
      </c>
      <c r="D162" s="125">
        <v>683.94600000000003</v>
      </c>
      <c r="E162" s="126">
        <v>2230</v>
      </c>
      <c r="F162" s="125">
        <v>1436.2270000000001</v>
      </c>
      <c r="G162" s="127">
        <v>2230</v>
      </c>
      <c r="H162" s="125">
        <v>1434.6110000000001</v>
      </c>
      <c r="I162" s="127">
        <v>2230</v>
      </c>
      <c r="J162" s="125">
        <v>1219.9059999999999</v>
      </c>
      <c r="K162" s="127">
        <v>2230</v>
      </c>
      <c r="L162" s="125">
        <v>1219.6859999999999</v>
      </c>
      <c r="M162" s="127">
        <v>2230</v>
      </c>
      <c r="N162" s="125">
        <v>1219.673</v>
      </c>
      <c r="O162" s="127">
        <v>2210</v>
      </c>
      <c r="P162" s="125">
        <v>1220.76</v>
      </c>
      <c r="Q162" s="127">
        <v>2230</v>
      </c>
      <c r="R162" s="125">
        <v>1220.3499999999999</v>
      </c>
      <c r="S162" s="127">
        <v>2230</v>
      </c>
      <c r="T162" s="125">
        <v>1220.742</v>
      </c>
      <c r="U162" s="127">
        <v>2220</v>
      </c>
      <c r="V162" s="125">
        <v>1219.0409999999999</v>
      </c>
      <c r="W162" s="127">
        <v>2230</v>
      </c>
      <c r="X162" s="125">
        <v>1218.943</v>
      </c>
      <c r="Y162" s="127">
        <v>2230</v>
      </c>
      <c r="Z162" s="125">
        <v>1217.6099999999999</v>
      </c>
      <c r="AA162" s="127">
        <v>2230</v>
      </c>
      <c r="AB162" s="125">
        <v>1216.9839999999999</v>
      </c>
      <c r="AC162" s="127">
        <v>2220</v>
      </c>
      <c r="AD162" s="125">
        <v>1141.336</v>
      </c>
      <c r="AE162" s="127">
        <v>2230</v>
      </c>
      <c r="AF162" s="125">
        <v>1142.356</v>
      </c>
      <c r="AG162" s="127">
        <v>2210</v>
      </c>
      <c r="AH162" s="125">
        <v>329.791</v>
      </c>
      <c r="AI162" s="127">
        <v>2210</v>
      </c>
      <c r="AJ162" s="125">
        <v>344.10300000000001</v>
      </c>
    </row>
    <row r="163" spans="1:36" ht="14.25">
      <c r="A163" s="128">
        <v>2240</v>
      </c>
      <c r="B163" s="124">
        <v>688.29</v>
      </c>
      <c r="C163" s="128">
        <v>2250</v>
      </c>
      <c r="D163" s="125">
        <v>683.18399999999997</v>
      </c>
      <c r="E163" s="126">
        <v>2240</v>
      </c>
      <c r="F163" s="125">
        <v>1434.7739999999999</v>
      </c>
      <c r="G163" s="127">
        <v>2240</v>
      </c>
      <c r="H163" s="125">
        <v>1433.163</v>
      </c>
      <c r="I163" s="127">
        <v>2240</v>
      </c>
      <c r="J163" s="125">
        <v>1218.7370000000001</v>
      </c>
      <c r="K163" s="127">
        <v>2240</v>
      </c>
      <c r="L163" s="125">
        <v>1218.5170000000001</v>
      </c>
      <c r="M163" s="127">
        <v>2240</v>
      </c>
      <c r="N163" s="125">
        <v>1218.5039999999999</v>
      </c>
      <c r="O163" s="127">
        <v>2220</v>
      </c>
      <c r="P163" s="125">
        <v>1219.5920000000001</v>
      </c>
      <c r="Q163" s="127">
        <v>2240</v>
      </c>
      <c r="R163" s="125">
        <v>1219.182</v>
      </c>
      <c r="S163" s="127">
        <v>2240</v>
      </c>
      <c r="T163" s="125">
        <v>1219.575</v>
      </c>
      <c r="U163" s="127">
        <v>2230</v>
      </c>
      <c r="V163" s="125">
        <v>1217.876</v>
      </c>
      <c r="W163" s="127">
        <v>2240</v>
      </c>
      <c r="X163" s="125">
        <v>1217.778</v>
      </c>
      <c r="Y163" s="127">
        <v>2240</v>
      </c>
      <c r="Z163" s="125">
        <v>1216.443</v>
      </c>
      <c r="AA163" s="127">
        <v>2240</v>
      </c>
      <c r="AB163" s="125">
        <v>1215.8209999999999</v>
      </c>
      <c r="AC163" s="127">
        <v>2230</v>
      </c>
      <c r="AD163" s="125">
        <v>1140.17</v>
      </c>
      <c r="AE163" s="127">
        <v>2240</v>
      </c>
      <c r="AF163" s="125">
        <v>1141.192</v>
      </c>
      <c r="AG163" s="127">
        <v>2220</v>
      </c>
      <c r="AH163" s="125">
        <v>329.411</v>
      </c>
      <c r="AI163" s="127">
        <v>2220</v>
      </c>
      <c r="AJ163" s="125">
        <v>343.71</v>
      </c>
    </row>
    <row r="164" spans="1:36" ht="14.25">
      <c r="A164" s="128">
        <v>2250</v>
      </c>
      <c r="B164" s="124">
        <v>687.52099999999996</v>
      </c>
      <c r="C164" s="128">
        <v>2260</v>
      </c>
      <c r="D164" s="125">
        <v>682.42200000000003</v>
      </c>
      <c r="E164" s="126">
        <v>2250</v>
      </c>
      <c r="F164" s="125">
        <v>1433.3209999999999</v>
      </c>
      <c r="G164" s="127">
        <v>2250</v>
      </c>
      <c r="H164" s="125">
        <v>1431.7149999999999</v>
      </c>
      <c r="I164" s="127">
        <v>2250</v>
      </c>
      <c r="J164" s="125">
        <v>1217.568</v>
      </c>
      <c r="K164" s="127">
        <v>2250</v>
      </c>
      <c r="L164" s="125">
        <v>1217.3489999999999</v>
      </c>
      <c r="M164" s="127">
        <v>2250</v>
      </c>
      <c r="N164" s="125">
        <v>1217.335</v>
      </c>
      <c r="O164" s="127">
        <v>2230</v>
      </c>
      <c r="P164" s="125">
        <v>1218.423</v>
      </c>
      <c r="Q164" s="127">
        <v>2250</v>
      </c>
      <c r="R164" s="125">
        <v>1218.0139999999999</v>
      </c>
      <c r="S164" s="127">
        <v>2250</v>
      </c>
      <c r="T164" s="125">
        <v>1218.4069999999999</v>
      </c>
      <c r="U164" s="127">
        <v>2240</v>
      </c>
      <c r="V164" s="125">
        <v>1216.711</v>
      </c>
      <c r="W164" s="127">
        <v>2250</v>
      </c>
      <c r="X164" s="125">
        <v>1216.6120000000001</v>
      </c>
      <c r="Y164" s="127">
        <v>2250</v>
      </c>
      <c r="Z164" s="125">
        <v>1215.277</v>
      </c>
      <c r="AA164" s="127">
        <v>2250</v>
      </c>
      <c r="AB164" s="125">
        <v>1214.6569999999999</v>
      </c>
      <c r="AC164" s="127">
        <v>2240</v>
      </c>
      <c r="AD164" s="125">
        <v>1139.0039999999999</v>
      </c>
      <c r="AE164" s="127">
        <v>2250</v>
      </c>
      <c r="AF164" s="125">
        <v>1140.027</v>
      </c>
      <c r="AG164" s="127">
        <v>2230</v>
      </c>
      <c r="AH164" s="125">
        <v>329.03199999999998</v>
      </c>
      <c r="AI164" s="127">
        <v>2230</v>
      </c>
      <c r="AJ164" s="125">
        <v>343.31599999999997</v>
      </c>
    </row>
    <row r="165" spans="1:36" ht="14.25">
      <c r="A165" s="128">
        <v>2260</v>
      </c>
      <c r="B165" s="124">
        <v>686.75199999999995</v>
      </c>
      <c r="C165" s="128">
        <v>2270</v>
      </c>
      <c r="D165" s="125">
        <v>681.66</v>
      </c>
      <c r="E165" s="126">
        <v>2260</v>
      </c>
      <c r="F165" s="125">
        <v>1431.8679999999999</v>
      </c>
      <c r="G165" s="127">
        <v>2260</v>
      </c>
      <c r="H165" s="125">
        <v>1430.2660000000001</v>
      </c>
      <c r="I165" s="127">
        <v>2260</v>
      </c>
      <c r="J165" s="125">
        <v>1216.3989999999999</v>
      </c>
      <c r="K165" s="127">
        <v>2260</v>
      </c>
      <c r="L165" s="125">
        <v>1216.18</v>
      </c>
      <c r="M165" s="127">
        <v>2260</v>
      </c>
      <c r="N165" s="125">
        <v>1216.1659999999999</v>
      </c>
      <c r="O165" s="127">
        <v>2240</v>
      </c>
      <c r="P165" s="125">
        <v>1217.2550000000001</v>
      </c>
      <c r="Q165" s="127">
        <v>2260</v>
      </c>
      <c r="R165" s="125">
        <v>1216.845</v>
      </c>
      <c r="S165" s="127">
        <v>2260</v>
      </c>
      <c r="T165" s="125">
        <v>1217.239</v>
      </c>
      <c r="U165" s="127">
        <v>2250</v>
      </c>
      <c r="V165" s="125">
        <v>1215.546</v>
      </c>
      <c r="W165" s="127">
        <v>2260</v>
      </c>
      <c r="X165" s="125">
        <v>1215.4469999999999</v>
      </c>
      <c r="Y165" s="127">
        <v>2260</v>
      </c>
      <c r="Z165" s="125">
        <v>1214.1099999999999</v>
      </c>
      <c r="AA165" s="127">
        <v>2260</v>
      </c>
      <c r="AB165" s="125">
        <v>1213.492</v>
      </c>
      <c r="AC165" s="127">
        <v>2250</v>
      </c>
      <c r="AD165" s="125">
        <v>1137.838</v>
      </c>
      <c r="AE165" s="127">
        <v>2260</v>
      </c>
      <c r="AF165" s="125">
        <v>1138.8630000000001</v>
      </c>
      <c r="AG165" s="127">
        <v>2240</v>
      </c>
      <c r="AH165" s="125">
        <v>328.65199999999999</v>
      </c>
      <c r="AI165" s="127">
        <v>2240</v>
      </c>
      <c r="AJ165" s="125">
        <v>342.923</v>
      </c>
    </row>
    <row r="166" spans="1:36" ht="14.25">
      <c r="A166" s="128">
        <v>2270</v>
      </c>
      <c r="B166" s="124">
        <v>685.98199999999997</v>
      </c>
      <c r="C166" s="128">
        <v>2280</v>
      </c>
      <c r="D166" s="125">
        <v>680.89700000000005</v>
      </c>
      <c r="E166" s="126">
        <v>2270</v>
      </c>
      <c r="F166" s="125">
        <v>1430.415</v>
      </c>
      <c r="G166" s="127">
        <v>2270</v>
      </c>
      <c r="H166" s="125">
        <v>1428.817</v>
      </c>
      <c r="I166" s="127">
        <v>2270</v>
      </c>
      <c r="J166" s="125">
        <v>1215.229</v>
      </c>
      <c r="K166" s="127">
        <v>2270</v>
      </c>
      <c r="L166" s="125">
        <v>1215.01</v>
      </c>
      <c r="M166" s="127">
        <v>2270</v>
      </c>
      <c r="N166" s="125">
        <v>1214.9970000000001</v>
      </c>
      <c r="O166" s="127">
        <v>2250</v>
      </c>
      <c r="P166" s="125">
        <v>1216.086</v>
      </c>
      <c r="Q166" s="127">
        <v>2270</v>
      </c>
      <c r="R166" s="125">
        <v>1215.6769999999999</v>
      </c>
      <c r="S166" s="127">
        <v>2270</v>
      </c>
      <c r="T166" s="125">
        <v>1216.0719999999999</v>
      </c>
      <c r="U166" s="127">
        <v>2260</v>
      </c>
      <c r="V166" s="125">
        <v>1214.3800000000001</v>
      </c>
      <c r="W166" s="127">
        <v>2270</v>
      </c>
      <c r="X166" s="125">
        <v>1214.2809999999999</v>
      </c>
      <c r="Y166" s="127">
        <v>2270</v>
      </c>
      <c r="Z166" s="125">
        <v>1212.943</v>
      </c>
      <c r="AA166" s="127">
        <v>2270</v>
      </c>
      <c r="AB166" s="125">
        <v>1212.328</v>
      </c>
      <c r="AC166" s="127">
        <v>2260</v>
      </c>
      <c r="AD166" s="125">
        <v>1136.671</v>
      </c>
      <c r="AE166" s="127">
        <v>2270</v>
      </c>
      <c r="AF166" s="125">
        <v>1137.6980000000001</v>
      </c>
      <c r="AG166" s="127">
        <v>2250</v>
      </c>
      <c r="AH166" s="125">
        <v>328.27300000000002</v>
      </c>
      <c r="AI166" s="127">
        <v>2250</v>
      </c>
      <c r="AJ166" s="125">
        <v>342.529</v>
      </c>
    </row>
    <row r="167" spans="1:36" ht="14.25">
      <c r="A167" s="128">
        <v>2280</v>
      </c>
      <c r="B167" s="124">
        <v>685.21299999999997</v>
      </c>
      <c r="C167" s="128">
        <v>2290</v>
      </c>
      <c r="D167" s="125">
        <v>680.13400000000001</v>
      </c>
      <c r="E167" s="126">
        <v>2280</v>
      </c>
      <c r="F167" s="125">
        <v>1428.961</v>
      </c>
      <c r="G167" s="127">
        <v>2280</v>
      </c>
      <c r="H167" s="125">
        <v>1427.367</v>
      </c>
      <c r="I167" s="127">
        <v>2280</v>
      </c>
      <c r="J167" s="125">
        <v>1214.059</v>
      </c>
      <c r="K167" s="127">
        <v>2280</v>
      </c>
      <c r="L167" s="125">
        <v>1213.8409999999999</v>
      </c>
      <c r="M167" s="127">
        <v>2280</v>
      </c>
      <c r="N167" s="125">
        <v>1213.827</v>
      </c>
      <c r="O167" s="127">
        <v>2260</v>
      </c>
      <c r="P167" s="125">
        <v>1214.9169999999999</v>
      </c>
      <c r="Q167" s="127">
        <v>2280</v>
      </c>
      <c r="R167" s="125">
        <v>1214.508</v>
      </c>
      <c r="S167" s="127">
        <v>2280</v>
      </c>
      <c r="T167" s="125">
        <v>1214.903</v>
      </c>
      <c r="U167" s="127">
        <v>2270</v>
      </c>
      <c r="V167" s="125">
        <v>1213.2139999999999</v>
      </c>
      <c r="W167" s="127">
        <v>2280</v>
      </c>
      <c r="X167" s="125">
        <v>1213.114</v>
      </c>
      <c r="Y167" s="127">
        <v>2280</v>
      </c>
      <c r="Z167" s="125">
        <v>1211.7760000000001</v>
      </c>
      <c r="AA167" s="127">
        <v>2280</v>
      </c>
      <c r="AB167" s="125">
        <v>1211.163</v>
      </c>
      <c r="AC167" s="127">
        <v>2270</v>
      </c>
      <c r="AD167" s="125">
        <v>1135.5039999999999</v>
      </c>
      <c r="AE167" s="127">
        <v>2280</v>
      </c>
      <c r="AF167" s="125">
        <v>1136.5329999999999</v>
      </c>
      <c r="AG167" s="127">
        <v>2260</v>
      </c>
      <c r="AH167" s="125">
        <v>327.89299999999997</v>
      </c>
      <c r="AI167" s="127">
        <v>2260</v>
      </c>
      <c r="AJ167" s="125">
        <v>342.13600000000002</v>
      </c>
    </row>
    <row r="168" spans="1:36" ht="14.25">
      <c r="A168" s="128">
        <v>2290</v>
      </c>
      <c r="B168" s="124">
        <v>684.44299999999998</v>
      </c>
      <c r="C168" s="128">
        <v>2300</v>
      </c>
      <c r="D168" s="125">
        <v>679.37099999999998</v>
      </c>
      <c r="E168" s="126">
        <v>2290</v>
      </c>
      <c r="F168" s="125">
        <v>1427.508</v>
      </c>
      <c r="G168" s="127">
        <v>2290</v>
      </c>
      <c r="H168" s="125">
        <v>1425.9179999999999</v>
      </c>
      <c r="I168" s="127">
        <v>2290</v>
      </c>
      <c r="J168" s="125">
        <v>1212.8889999999999</v>
      </c>
      <c r="K168" s="127">
        <v>2290</v>
      </c>
      <c r="L168" s="125">
        <v>1212.671</v>
      </c>
      <c r="M168" s="127">
        <v>2290</v>
      </c>
      <c r="N168" s="125">
        <v>1212.6579999999999</v>
      </c>
      <c r="O168" s="127">
        <v>2270</v>
      </c>
      <c r="P168" s="125">
        <v>1213.748</v>
      </c>
      <c r="Q168" s="127">
        <v>2290</v>
      </c>
      <c r="R168" s="125">
        <v>1213.338</v>
      </c>
      <c r="S168" s="127">
        <v>2290</v>
      </c>
      <c r="T168" s="125">
        <v>1213.7349999999999</v>
      </c>
      <c r="U168" s="127">
        <v>2280</v>
      </c>
      <c r="V168" s="125">
        <v>1212.048</v>
      </c>
      <c r="W168" s="127">
        <v>2290</v>
      </c>
      <c r="X168" s="125">
        <v>1211.9480000000001</v>
      </c>
      <c r="Y168" s="127">
        <v>2290</v>
      </c>
      <c r="Z168" s="125">
        <v>1210.6079999999999</v>
      </c>
      <c r="AA168" s="127">
        <v>2290</v>
      </c>
      <c r="AB168" s="125">
        <v>1209.998</v>
      </c>
      <c r="AC168" s="127">
        <v>2280</v>
      </c>
      <c r="AD168" s="125">
        <v>1134.337</v>
      </c>
      <c r="AE168" s="127">
        <v>2290</v>
      </c>
      <c r="AF168" s="125">
        <v>1135.367</v>
      </c>
      <c r="AG168" s="127">
        <v>2270</v>
      </c>
      <c r="AH168" s="125">
        <v>327.51299999999998</v>
      </c>
      <c r="AI168" s="127">
        <v>2270</v>
      </c>
      <c r="AJ168" s="125">
        <v>341.74200000000002</v>
      </c>
    </row>
    <row r="169" spans="1:36" ht="14.25">
      <c r="A169" s="128">
        <v>2300</v>
      </c>
      <c r="B169" s="124">
        <v>683.673</v>
      </c>
      <c r="C169" s="128">
        <v>2310</v>
      </c>
      <c r="D169" s="125">
        <v>678.60799999999995</v>
      </c>
      <c r="E169" s="126">
        <v>2300</v>
      </c>
      <c r="F169" s="125">
        <v>1426.0530000000001</v>
      </c>
      <c r="G169" s="127">
        <v>2300</v>
      </c>
      <c r="H169" s="125">
        <v>1424.4680000000001</v>
      </c>
      <c r="I169" s="127">
        <v>2300</v>
      </c>
      <c r="J169" s="125">
        <v>1211.7190000000001</v>
      </c>
      <c r="K169" s="127">
        <v>2300</v>
      </c>
      <c r="L169" s="125">
        <v>1211.501</v>
      </c>
      <c r="M169" s="127">
        <v>2300</v>
      </c>
      <c r="N169" s="125">
        <v>1211.4880000000001</v>
      </c>
      <c r="O169" s="127">
        <v>2280</v>
      </c>
      <c r="P169" s="125">
        <v>1212.579</v>
      </c>
      <c r="Q169" s="127">
        <v>2300</v>
      </c>
      <c r="R169" s="125">
        <v>1212.1690000000001</v>
      </c>
      <c r="S169" s="127">
        <v>2300</v>
      </c>
      <c r="T169" s="125">
        <v>1212.566</v>
      </c>
      <c r="U169" s="127">
        <v>2290</v>
      </c>
      <c r="V169" s="125">
        <v>1210.8820000000001</v>
      </c>
      <c r="W169" s="127">
        <v>2300</v>
      </c>
      <c r="X169" s="125">
        <v>1210.7809999999999</v>
      </c>
      <c r="Y169" s="127">
        <v>2300</v>
      </c>
      <c r="Z169" s="125">
        <v>1209.44</v>
      </c>
      <c r="AA169" s="127">
        <v>2300</v>
      </c>
      <c r="AB169" s="125">
        <v>1208.8330000000001</v>
      </c>
      <c r="AC169" s="127">
        <v>2290</v>
      </c>
      <c r="AD169" s="125">
        <v>1133.17</v>
      </c>
      <c r="AE169" s="127">
        <v>2300</v>
      </c>
      <c r="AF169" s="125">
        <v>1134.201</v>
      </c>
      <c r="AG169" s="127">
        <v>2280</v>
      </c>
      <c r="AH169" s="125">
        <v>327.13299999999998</v>
      </c>
      <c r="AI169" s="127">
        <v>2280</v>
      </c>
      <c r="AJ169" s="125">
        <v>341.34800000000001</v>
      </c>
    </row>
    <row r="170" spans="1:36" ht="14.25">
      <c r="A170" s="128">
        <v>2310</v>
      </c>
      <c r="B170" s="124">
        <v>682.90300000000002</v>
      </c>
      <c r="C170" s="128">
        <v>2320</v>
      </c>
      <c r="D170" s="125">
        <v>677.84400000000005</v>
      </c>
      <c r="E170" s="126">
        <v>2310</v>
      </c>
      <c r="F170" s="125">
        <v>1424.5989999999999</v>
      </c>
      <c r="G170" s="127">
        <v>2310</v>
      </c>
      <c r="H170" s="125">
        <v>1423.0170000000001</v>
      </c>
      <c r="I170" s="127">
        <v>2310</v>
      </c>
      <c r="J170" s="125">
        <v>1210.548</v>
      </c>
      <c r="K170" s="127">
        <v>2310</v>
      </c>
      <c r="L170" s="125">
        <v>1210.3309999999999</v>
      </c>
      <c r="M170" s="127">
        <v>2310</v>
      </c>
      <c r="N170" s="125">
        <v>1210.317</v>
      </c>
      <c r="O170" s="127">
        <v>2290</v>
      </c>
      <c r="P170" s="125">
        <v>1211.4090000000001</v>
      </c>
      <c r="Q170" s="127">
        <v>2310</v>
      </c>
      <c r="R170" s="125">
        <v>1210.999</v>
      </c>
      <c r="S170" s="127">
        <v>2310</v>
      </c>
      <c r="T170" s="125">
        <v>1211.3969999999999</v>
      </c>
      <c r="U170" s="127">
        <v>2300</v>
      </c>
      <c r="V170" s="125">
        <v>1209.7149999999999</v>
      </c>
      <c r="W170" s="127">
        <v>2310</v>
      </c>
      <c r="X170" s="125">
        <v>1209.614</v>
      </c>
      <c r="Y170" s="127">
        <v>2310</v>
      </c>
      <c r="Z170" s="125">
        <v>1208.2719999999999</v>
      </c>
      <c r="AA170" s="127">
        <v>2310</v>
      </c>
      <c r="AB170" s="125">
        <v>1207.6669999999999</v>
      </c>
      <c r="AC170" s="127">
        <v>2300</v>
      </c>
      <c r="AD170" s="125">
        <v>1132.0029999999999</v>
      </c>
      <c r="AE170" s="127">
        <v>2310</v>
      </c>
      <c r="AF170" s="125">
        <v>1133.0360000000001</v>
      </c>
      <c r="AG170" s="127">
        <v>2290</v>
      </c>
      <c r="AH170" s="125">
        <v>326.75299999999999</v>
      </c>
      <c r="AI170" s="127">
        <v>2290</v>
      </c>
      <c r="AJ170" s="125">
        <v>340.95400000000001</v>
      </c>
    </row>
    <row r="171" spans="1:36" ht="14.25">
      <c r="A171" s="128">
        <v>2320</v>
      </c>
      <c r="B171" s="124">
        <v>682.13300000000004</v>
      </c>
      <c r="C171" s="128">
        <v>2330</v>
      </c>
      <c r="D171" s="125">
        <v>677.08299999999997</v>
      </c>
      <c r="E171" s="126">
        <v>2320</v>
      </c>
      <c r="F171" s="125">
        <v>1423.144</v>
      </c>
      <c r="G171" s="127">
        <v>2320</v>
      </c>
      <c r="H171" s="125">
        <v>1421.567</v>
      </c>
      <c r="I171" s="127">
        <v>2320</v>
      </c>
      <c r="J171" s="125">
        <v>1209.377</v>
      </c>
      <c r="K171" s="127">
        <v>2320</v>
      </c>
      <c r="L171" s="125">
        <v>1209.162</v>
      </c>
      <c r="M171" s="127">
        <v>2320</v>
      </c>
      <c r="N171" s="125">
        <v>1209.1489999999999</v>
      </c>
      <c r="O171" s="127">
        <v>2300</v>
      </c>
      <c r="P171" s="125">
        <v>1210.239</v>
      </c>
      <c r="Q171" s="127">
        <v>2320</v>
      </c>
      <c r="R171" s="125">
        <v>1209.829</v>
      </c>
      <c r="S171" s="127">
        <v>2320</v>
      </c>
      <c r="T171" s="125">
        <v>1210.2280000000001</v>
      </c>
      <c r="U171" s="127">
        <v>2310</v>
      </c>
      <c r="V171" s="125">
        <v>1208.548</v>
      </c>
      <c r="W171" s="127">
        <v>2320</v>
      </c>
      <c r="X171" s="125">
        <v>1208.4469999999999</v>
      </c>
      <c r="Y171" s="127">
        <v>2320</v>
      </c>
      <c r="Z171" s="125">
        <v>1207.104</v>
      </c>
      <c r="AA171" s="127">
        <v>2320</v>
      </c>
      <c r="AB171" s="125">
        <v>1206.501</v>
      </c>
      <c r="AC171" s="127">
        <v>2310</v>
      </c>
      <c r="AD171" s="125">
        <v>1130.837</v>
      </c>
      <c r="AE171" s="127">
        <v>2320</v>
      </c>
      <c r="AF171" s="125">
        <v>1131.8689999999999</v>
      </c>
      <c r="AG171" s="127">
        <v>2300</v>
      </c>
      <c r="AH171" s="125">
        <v>326.37299999999999</v>
      </c>
      <c r="AI171" s="127">
        <v>2300</v>
      </c>
      <c r="AJ171" s="125">
        <v>340.56</v>
      </c>
    </row>
    <row r="172" spans="1:36" ht="14.25">
      <c r="A172" s="128">
        <v>2330</v>
      </c>
      <c r="B172" s="124">
        <v>681.36500000000001</v>
      </c>
      <c r="C172" s="128">
        <v>2340</v>
      </c>
      <c r="D172" s="125">
        <v>676.322</v>
      </c>
      <c r="E172" s="126">
        <v>2330</v>
      </c>
      <c r="F172" s="125">
        <v>1421.691</v>
      </c>
      <c r="G172" s="127">
        <v>2330</v>
      </c>
      <c r="H172" s="125">
        <v>1420.117</v>
      </c>
      <c r="I172" s="127">
        <v>2330</v>
      </c>
      <c r="J172" s="125">
        <v>1208.2070000000001</v>
      </c>
      <c r="K172" s="127">
        <v>2330</v>
      </c>
      <c r="L172" s="125">
        <v>1207.9939999999999</v>
      </c>
      <c r="M172" s="127">
        <v>2330</v>
      </c>
      <c r="N172" s="125">
        <v>1207.981</v>
      </c>
      <c r="O172" s="127">
        <v>2310</v>
      </c>
      <c r="P172" s="125">
        <v>1209.0709999999999</v>
      </c>
      <c r="Q172" s="127">
        <v>2330</v>
      </c>
      <c r="R172" s="125">
        <v>1208.6610000000001</v>
      </c>
      <c r="S172" s="127">
        <v>2330</v>
      </c>
      <c r="T172" s="125">
        <v>1209.06</v>
      </c>
      <c r="U172" s="127">
        <v>2320</v>
      </c>
      <c r="V172" s="125">
        <v>1207.3820000000001</v>
      </c>
      <c r="W172" s="127">
        <v>2330</v>
      </c>
      <c r="X172" s="125">
        <v>1207.2819999999999</v>
      </c>
      <c r="Y172" s="127">
        <v>2330</v>
      </c>
      <c r="Z172" s="125">
        <v>1205.9380000000001</v>
      </c>
      <c r="AA172" s="127">
        <v>2330</v>
      </c>
      <c r="AB172" s="125">
        <v>1205.336</v>
      </c>
      <c r="AC172" s="127">
        <v>2320</v>
      </c>
      <c r="AD172" s="125">
        <v>1129.672</v>
      </c>
      <c r="AE172" s="127">
        <v>2330</v>
      </c>
      <c r="AF172" s="125">
        <v>1130.704</v>
      </c>
      <c r="AG172" s="127">
        <v>2310</v>
      </c>
      <c r="AH172" s="125">
        <v>325.99299999999999</v>
      </c>
      <c r="AI172" s="127">
        <v>2310</v>
      </c>
      <c r="AJ172" s="125">
        <v>340.166</v>
      </c>
    </row>
    <row r="173" spans="1:36" ht="14.25">
      <c r="A173" s="128">
        <v>2340</v>
      </c>
      <c r="B173" s="124">
        <v>680.59699999999998</v>
      </c>
      <c r="C173" s="128">
        <v>2350</v>
      </c>
      <c r="D173" s="125">
        <v>675.56100000000004</v>
      </c>
      <c r="E173" s="126">
        <v>2340</v>
      </c>
      <c r="F173" s="125">
        <v>1420.239</v>
      </c>
      <c r="G173" s="127">
        <v>2340</v>
      </c>
      <c r="H173" s="125">
        <v>1418.6690000000001</v>
      </c>
      <c r="I173" s="127">
        <v>2340</v>
      </c>
      <c r="J173" s="125">
        <v>1207.038</v>
      </c>
      <c r="K173" s="127">
        <v>2340</v>
      </c>
      <c r="L173" s="125">
        <v>1206.826</v>
      </c>
      <c r="M173" s="127">
        <v>2340</v>
      </c>
      <c r="N173" s="125">
        <v>1206.8130000000001</v>
      </c>
      <c r="O173" s="127">
        <v>2320</v>
      </c>
      <c r="P173" s="125">
        <v>1207.903</v>
      </c>
      <c r="Q173" s="127">
        <v>2340</v>
      </c>
      <c r="R173" s="125">
        <v>1207.4939999999999</v>
      </c>
      <c r="S173" s="127">
        <v>2340</v>
      </c>
      <c r="T173" s="125">
        <v>1207.893</v>
      </c>
      <c r="U173" s="127">
        <v>2330</v>
      </c>
      <c r="V173" s="125">
        <v>1206.2170000000001</v>
      </c>
      <c r="W173" s="127">
        <v>2340</v>
      </c>
      <c r="X173" s="125">
        <v>1206.117</v>
      </c>
      <c r="Y173" s="127">
        <v>2340</v>
      </c>
      <c r="Z173" s="125">
        <v>1204.7719999999999</v>
      </c>
      <c r="AA173" s="127">
        <v>2340</v>
      </c>
      <c r="AB173" s="125">
        <v>1204.172</v>
      </c>
      <c r="AC173" s="127">
        <v>2330</v>
      </c>
      <c r="AD173" s="125">
        <v>1128.5060000000001</v>
      </c>
      <c r="AE173" s="127">
        <v>2340</v>
      </c>
      <c r="AF173" s="125">
        <v>1129.54</v>
      </c>
      <c r="AG173" s="127">
        <v>2320</v>
      </c>
      <c r="AH173" s="125">
        <v>325.613</v>
      </c>
      <c r="AI173" s="127">
        <v>2320</v>
      </c>
      <c r="AJ173" s="125">
        <v>339.77199999999999</v>
      </c>
    </row>
    <row r="174" spans="1:36" ht="14.25">
      <c r="A174" s="128">
        <v>2350</v>
      </c>
      <c r="B174" s="124">
        <v>679.82899999999995</v>
      </c>
      <c r="C174" s="128">
        <v>2360</v>
      </c>
      <c r="D174" s="125">
        <v>674.79899999999998</v>
      </c>
      <c r="E174" s="126">
        <v>2350</v>
      </c>
      <c r="F174" s="125">
        <v>1418.7860000000001</v>
      </c>
      <c r="G174" s="127">
        <v>2350</v>
      </c>
      <c r="H174" s="125">
        <v>1417.221</v>
      </c>
      <c r="I174" s="127">
        <v>2350</v>
      </c>
      <c r="J174" s="125">
        <v>1205.8699999999999</v>
      </c>
      <c r="K174" s="127">
        <v>2350</v>
      </c>
      <c r="L174" s="125">
        <v>1205.6579999999999</v>
      </c>
      <c r="M174" s="127">
        <v>2350</v>
      </c>
      <c r="N174" s="125">
        <v>1205.645</v>
      </c>
      <c r="O174" s="127">
        <v>2330</v>
      </c>
      <c r="P174" s="125">
        <v>1206.7360000000001</v>
      </c>
      <c r="Q174" s="127">
        <v>2350</v>
      </c>
      <c r="R174" s="125">
        <v>1206.326</v>
      </c>
      <c r="S174" s="127">
        <v>2350</v>
      </c>
      <c r="T174" s="125">
        <v>1206.7270000000001</v>
      </c>
      <c r="U174" s="127">
        <v>2340</v>
      </c>
      <c r="V174" s="125">
        <v>1205.0530000000001</v>
      </c>
      <c r="W174" s="127">
        <v>2350</v>
      </c>
      <c r="X174" s="125">
        <v>1204.952</v>
      </c>
      <c r="Y174" s="127">
        <v>2350</v>
      </c>
      <c r="Z174" s="125">
        <v>1203.606</v>
      </c>
      <c r="AA174" s="127">
        <v>2350</v>
      </c>
      <c r="AB174" s="125">
        <v>1203.009</v>
      </c>
      <c r="AC174" s="127">
        <v>2340</v>
      </c>
      <c r="AD174" s="125">
        <v>1127.3409999999999</v>
      </c>
      <c r="AE174" s="127">
        <v>2350</v>
      </c>
      <c r="AF174" s="125">
        <v>1128.376</v>
      </c>
      <c r="AG174" s="127">
        <v>2330</v>
      </c>
      <c r="AH174" s="125">
        <v>325.23200000000003</v>
      </c>
      <c r="AI174" s="127">
        <v>2330</v>
      </c>
      <c r="AJ174" s="125">
        <v>339.37799999999999</v>
      </c>
    </row>
    <row r="175" spans="1:36" ht="14.25">
      <c r="A175" s="128">
        <v>2360</v>
      </c>
      <c r="B175" s="124">
        <v>679.06100000000004</v>
      </c>
      <c r="C175" s="128">
        <v>2370</v>
      </c>
      <c r="D175" s="125">
        <v>674.03800000000001</v>
      </c>
      <c r="E175" s="126">
        <v>2360</v>
      </c>
      <c r="F175" s="125">
        <v>1417.3330000000001</v>
      </c>
      <c r="G175" s="127">
        <v>2360</v>
      </c>
      <c r="H175" s="125">
        <v>1415.7719999999999</v>
      </c>
      <c r="I175" s="127">
        <v>2360</v>
      </c>
      <c r="J175" s="125">
        <v>1204.701</v>
      </c>
      <c r="K175" s="127">
        <v>2360</v>
      </c>
      <c r="L175" s="125">
        <v>1204.49</v>
      </c>
      <c r="M175" s="127">
        <v>2360</v>
      </c>
      <c r="N175" s="125">
        <v>1204.4760000000001</v>
      </c>
      <c r="O175" s="127">
        <v>2340</v>
      </c>
      <c r="P175" s="125">
        <v>1205.568</v>
      </c>
      <c r="Q175" s="127">
        <v>2360</v>
      </c>
      <c r="R175" s="125">
        <v>1205.1579999999999</v>
      </c>
      <c r="S175" s="127">
        <v>2360</v>
      </c>
      <c r="T175" s="125">
        <v>1205.56</v>
      </c>
      <c r="U175" s="127">
        <v>2350</v>
      </c>
      <c r="V175" s="125">
        <v>1203.8879999999999</v>
      </c>
      <c r="W175" s="127">
        <v>2360</v>
      </c>
      <c r="X175" s="125">
        <v>1203.787</v>
      </c>
      <c r="Y175" s="127">
        <v>2360</v>
      </c>
      <c r="Z175" s="125">
        <v>1202.44</v>
      </c>
      <c r="AA175" s="127">
        <v>2360</v>
      </c>
      <c r="AB175" s="125">
        <v>1201.845</v>
      </c>
      <c r="AC175" s="127">
        <v>2350</v>
      </c>
      <c r="AD175" s="125">
        <v>1126.175</v>
      </c>
      <c r="AE175" s="127">
        <v>2360</v>
      </c>
      <c r="AF175" s="125">
        <v>1127.212</v>
      </c>
      <c r="AG175" s="127">
        <v>2340</v>
      </c>
      <c r="AH175" s="125">
        <v>324.85199999999998</v>
      </c>
      <c r="AI175" s="127">
        <v>2340</v>
      </c>
      <c r="AJ175" s="125">
        <v>338.983</v>
      </c>
    </row>
    <row r="176" spans="1:36" ht="14.25">
      <c r="A176" s="128">
        <v>2370</v>
      </c>
      <c r="B176" s="124">
        <v>678.29200000000003</v>
      </c>
      <c r="C176" s="128">
        <v>2380</v>
      </c>
      <c r="D176" s="125">
        <v>673.27499999999998</v>
      </c>
      <c r="E176" s="126">
        <v>2370</v>
      </c>
      <c r="F176" s="125">
        <v>1415.88</v>
      </c>
      <c r="G176" s="127">
        <v>2370</v>
      </c>
      <c r="H176" s="125">
        <v>1414.3230000000001</v>
      </c>
      <c r="I176" s="127">
        <v>2370</v>
      </c>
      <c r="J176" s="125">
        <v>1203.5319999999999</v>
      </c>
      <c r="K176" s="127">
        <v>2370</v>
      </c>
      <c r="L176" s="125">
        <v>1203.32</v>
      </c>
      <c r="M176" s="127">
        <v>2370</v>
      </c>
      <c r="N176" s="125">
        <v>1203.306</v>
      </c>
      <c r="O176" s="127">
        <v>2350</v>
      </c>
      <c r="P176" s="125">
        <v>1204.4000000000001</v>
      </c>
      <c r="Q176" s="127">
        <v>2370</v>
      </c>
      <c r="R176" s="125">
        <v>1203.99</v>
      </c>
      <c r="S176" s="127">
        <v>2370</v>
      </c>
      <c r="T176" s="125">
        <v>1204.3920000000001</v>
      </c>
      <c r="U176" s="127">
        <v>2360</v>
      </c>
      <c r="V176" s="125">
        <v>1202.723</v>
      </c>
      <c r="W176" s="127">
        <v>2370</v>
      </c>
      <c r="X176" s="125">
        <v>1202.6210000000001</v>
      </c>
      <c r="Y176" s="127">
        <v>2370</v>
      </c>
      <c r="Z176" s="125">
        <v>1201.2729999999999</v>
      </c>
      <c r="AA176" s="127">
        <v>2370</v>
      </c>
      <c r="AB176" s="125">
        <v>1200.681</v>
      </c>
      <c r="AC176" s="127">
        <v>2360</v>
      </c>
      <c r="AD176" s="125">
        <v>1125.0070000000001</v>
      </c>
      <c r="AE176" s="127">
        <v>2370</v>
      </c>
      <c r="AF176" s="125">
        <v>1126.047</v>
      </c>
      <c r="AG176" s="127">
        <v>2350</v>
      </c>
      <c r="AH176" s="125">
        <v>324.471</v>
      </c>
      <c r="AI176" s="127">
        <v>2350</v>
      </c>
      <c r="AJ176" s="125">
        <v>338.589</v>
      </c>
    </row>
    <row r="177" spans="1:36" ht="14.25">
      <c r="A177" s="128">
        <v>2380</v>
      </c>
      <c r="B177" s="124">
        <v>677.52099999999996</v>
      </c>
      <c r="C177" s="128">
        <v>2390</v>
      </c>
      <c r="D177" s="125">
        <v>672.51</v>
      </c>
      <c r="E177" s="126">
        <v>2380</v>
      </c>
      <c r="F177" s="125">
        <v>1414.424</v>
      </c>
      <c r="G177" s="127">
        <v>2380</v>
      </c>
      <c r="H177" s="125">
        <v>1412.8720000000001</v>
      </c>
      <c r="I177" s="127">
        <v>2380</v>
      </c>
      <c r="J177" s="125">
        <v>1202.3620000000001</v>
      </c>
      <c r="K177" s="127">
        <v>2380</v>
      </c>
      <c r="L177" s="125">
        <v>1202.1479999999999</v>
      </c>
      <c r="M177" s="127">
        <v>2380</v>
      </c>
      <c r="N177" s="125">
        <v>1202.134</v>
      </c>
      <c r="O177" s="127">
        <v>2360</v>
      </c>
      <c r="P177" s="125">
        <v>1203.229</v>
      </c>
      <c r="Q177" s="127">
        <v>2380</v>
      </c>
      <c r="R177" s="125">
        <v>1202.819</v>
      </c>
      <c r="S177" s="127">
        <v>2380</v>
      </c>
      <c r="T177" s="125">
        <v>1203.223</v>
      </c>
      <c r="U177" s="127">
        <v>2370</v>
      </c>
      <c r="V177" s="125">
        <v>1201.556</v>
      </c>
      <c r="W177" s="127">
        <v>2380</v>
      </c>
      <c r="X177" s="125">
        <v>1201.453</v>
      </c>
      <c r="Y177" s="127">
        <v>2380</v>
      </c>
      <c r="Z177" s="125">
        <v>1200.104</v>
      </c>
      <c r="AA177" s="127">
        <v>2380</v>
      </c>
      <c r="AB177" s="125">
        <v>1199.5160000000001</v>
      </c>
      <c r="AC177" s="127">
        <v>2370</v>
      </c>
      <c r="AD177" s="125">
        <v>1123.838</v>
      </c>
      <c r="AE177" s="127">
        <v>2380</v>
      </c>
      <c r="AF177" s="125">
        <v>1124.8820000000001</v>
      </c>
      <c r="AG177" s="127">
        <v>2360</v>
      </c>
      <c r="AH177" s="125">
        <v>324.09100000000001</v>
      </c>
      <c r="AI177" s="127">
        <v>2360</v>
      </c>
      <c r="AJ177" s="125">
        <v>338.19400000000002</v>
      </c>
    </row>
    <row r="178" spans="1:36" ht="14.25">
      <c r="A178" s="128">
        <v>2390</v>
      </c>
      <c r="B178" s="124">
        <v>676.74900000000002</v>
      </c>
      <c r="C178" s="128">
        <v>2400</v>
      </c>
      <c r="D178" s="125">
        <v>671.745</v>
      </c>
      <c r="E178" s="126">
        <v>2390</v>
      </c>
      <c r="F178" s="125">
        <v>1412.9670000000001</v>
      </c>
      <c r="G178" s="127">
        <v>2390</v>
      </c>
      <c r="H178" s="125">
        <v>1411.4190000000001</v>
      </c>
      <c r="I178" s="127">
        <v>2390</v>
      </c>
      <c r="J178" s="125">
        <v>1201.19</v>
      </c>
      <c r="K178" s="127">
        <v>2390</v>
      </c>
      <c r="L178" s="125">
        <v>1200.9749999999999</v>
      </c>
      <c r="M178" s="127">
        <v>2390</v>
      </c>
      <c r="N178" s="125">
        <v>1200.962</v>
      </c>
      <c r="O178" s="127">
        <v>2370</v>
      </c>
      <c r="P178" s="125">
        <v>1202.058</v>
      </c>
      <c r="Q178" s="127">
        <v>2390</v>
      </c>
      <c r="R178" s="125">
        <v>1201.6479999999999</v>
      </c>
      <c r="S178" s="127">
        <v>2390</v>
      </c>
      <c r="T178" s="125">
        <v>1202.0530000000001</v>
      </c>
      <c r="U178" s="127">
        <v>2380</v>
      </c>
      <c r="V178" s="125">
        <v>1200.3879999999999</v>
      </c>
      <c r="W178" s="127">
        <v>2390</v>
      </c>
      <c r="X178" s="125">
        <v>1200.2840000000001</v>
      </c>
      <c r="Y178" s="127">
        <v>2390</v>
      </c>
      <c r="Z178" s="125">
        <v>1198.934</v>
      </c>
      <c r="AA178" s="127">
        <v>2390</v>
      </c>
      <c r="AB178" s="125">
        <v>1198.3489999999999</v>
      </c>
      <c r="AC178" s="127">
        <v>2380</v>
      </c>
      <c r="AD178" s="125">
        <v>1122.6690000000001</v>
      </c>
      <c r="AE178" s="127">
        <v>2390</v>
      </c>
      <c r="AF178" s="125">
        <v>1123.7149999999999</v>
      </c>
      <c r="AG178" s="127">
        <v>2370</v>
      </c>
      <c r="AH178" s="125">
        <v>323.70999999999998</v>
      </c>
      <c r="AI178" s="127">
        <v>2370</v>
      </c>
      <c r="AJ178" s="125">
        <v>337.8</v>
      </c>
    </row>
    <row r="179" spans="1:36" ht="14.25">
      <c r="A179" s="128">
        <v>2400</v>
      </c>
      <c r="B179" s="124">
        <v>675.97699999999998</v>
      </c>
      <c r="C179" s="128">
        <v>2410</v>
      </c>
      <c r="D179" s="125">
        <v>670.98</v>
      </c>
      <c r="E179" s="126">
        <v>2400</v>
      </c>
      <c r="F179" s="125">
        <v>1411.51</v>
      </c>
      <c r="G179" s="127">
        <v>2400</v>
      </c>
      <c r="H179" s="125">
        <v>1409.9659999999999</v>
      </c>
      <c r="I179" s="127">
        <v>2400</v>
      </c>
      <c r="J179" s="125">
        <v>1200.0170000000001</v>
      </c>
      <c r="K179" s="127">
        <v>2400</v>
      </c>
      <c r="L179" s="125">
        <v>1199.8030000000001</v>
      </c>
      <c r="M179" s="127">
        <v>2400</v>
      </c>
      <c r="N179" s="125">
        <v>1199.79</v>
      </c>
      <c r="O179" s="127">
        <v>2380</v>
      </c>
      <c r="P179" s="125">
        <v>1200.886</v>
      </c>
      <c r="Q179" s="127">
        <v>2400</v>
      </c>
      <c r="R179" s="125">
        <v>1200.4760000000001</v>
      </c>
      <c r="S179" s="127">
        <v>2400</v>
      </c>
      <c r="T179" s="125">
        <v>1200.8820000000001</v>
      </c>
      <c r="U179" s="127">
        <v>2390</v>
      </c>
      <c r="V179" s="125">
        <v>1199.2190000000001</v>
      </c>
      <c r="W179" s="127">
        <v>2400</v>
      </c>
      <c r="X179" s="125">
        <v>1199.114</v>
      </c>
      <c r="Y179" s="127">
        <v>2400</v>
      </c>
      <c r="Z179" s="125">
        <v>1197.7639999999999</v>
      </c>
      <c r="AA179" s="127">
        <v>2400</v>
      </c>
      <c r="AB179" s="125">
        <v>1197.181</v>
      </c>
      <c r="AC179" s="127">
        <v>2390</v>
      </c>
      <c r="AD179" s="125">
        <v>1121.499</v>
      </c>
      <c r="AE179" s="127">
        <v>2400</v>
      </c>
      <c r="AF179" s="125">
        <v>1122.547</v>
      </c>
      <c r="AG179" s="127">
        <v>2380</v>
      </c>
      <c r="AH179" s="125">
        <v>323.32900000000001</v>
      </c>
      <c r="AI179" s="127">
        <v>2380</v>
      </c>
      <c r="AJ179" s="125">
        <v>337.40499999999997</v>
      </c>
    </row>
    <row r="180" spans="1:36" ht="14.25">
      <c r="A180" s="128">
        <v>2410</v>
      </c>
      <c r="B180" s="124">
        <v>675.20500000000004</v>
      </c>
      <c r="C180" s="128">
        <v>2420</v>
      </c>
      <c r="D180" s="125">
        <v>670.21400000000006</v>
      </c>
      <c r="E180" s="126">
        <v>2410</v>
      </c>
      <c r="F180" s="125">
        <v>1410.0530000000001</v>
      </c>
      <c r="G180" s="127">
        <v>2410</v>
      </c>
      <c r="H180" s="125">
        <v>1408.5129999999999</v>
      </c>
      <c r="I180" s="127">
        <v>2410</v>
      </c>
      <c r="J180" s="125">
        <v>1198.8440000000001</v>
      </c>
      <c r="K180" s="127">
        <v>2410</v>
      </c>
      <c r="L180" s="125">
        <v>1198.6300000000001</v>
      </c>
      <c r="M180" s="127">
        <v>2410</v>
      </c>
      <c r="N180" s="125">
        <v>1198.617</v>
      </c>
      <c r="O180" s="127">
        <v>2390</v>
      </c>
      <c r="P180" s="125">
        <v>1199.7139999999999</v>
      </c>
      <c r="Q180" s="127">
        <v>2410</v>
      </c>
      <c r="R180" s="125">
        <v>1199.3040000000001</v>
      </c>
      <c r="S180" s="127">
        <v>2410</v>
      </c>
      <c r="T180" s="125">
        <v>1199.71</v>
      </c>
      <c r="U180" s="127">
        <v>2400</v>
      </c>
      <c r="V180" s="125">
        <v>1198.05</v>
      </c>
      <c r="W180" s="127">
        <v>2410</v>
      </c>
      <c r="X180" s="125">
        <v>1197.9449999999999</v>
      </c>
      <c r="Y180" s="127">
        <v>2410</v>
      </c>
      <c r="Z180" s="125">
        <v>1196.5930000000001</v>
      </c>
      <c r="AA180" s="127">
        <v>2410</v>
      </c>
      <c r="AB180" s="125">
        <v>1196.0129999999999</v>
      </c>
      <c r="AC180" s="127">
        <v>2400</v>
      </c>
      <c r="AD180" s="125">
        <v>1120.329</v>
      </c>
      <c r="AE180" s="127">
        <v>2410</v>
      </c>
      <c r="AF180" s="125">
        <v>1121.3779999999999</v>
      </c>
      <c r="AG180" s="127">
        <v>2390</v>
      </c>
      <c r="AH180" s="125">
        <v>322.94799999999998</v>
      </c>
      <c r="AI180" s="127">
        <v>2390</v>
      </c>
      <c r="AJ180" s="125">
        <v>337.01</v>
      </c>
    </row>
    <row r="181" spans="1:36" ht="14.25">
      <c r="A181" s="128">
        <v>2420</v>
      </c>
      <c r="B181" s="124">
        <v>674.43299999999999</v>
      </c>
      <c r="C181" s="128">
        <v>2430</v>
      </c>
      <c r="D181" s="125">
        <v>669.44899999999996</v>
      </c>
      <c r="E181" s="126">
        <v>2420</v>
      </c>
      <c r="F181" s="125">
        <v>1408.595</v>
      </c>
      <c r="G181" s="127">
        <v>2420</v>
      </c>
      <c r="H181" s="125">
        <v>1407.059</v>
      </c>
      <c r="I181" s="127">
        <v>2420</v>
      </c>
      <c r="J181" s="125">
        <v>1197.671</v>
      </c>
      <c r="K181" s="127">
        <v>2420</v>
      </c>
      <c r="L181" s="125">
        <v>1197.4570000000001</v>
      </c>
      <c r="M181" s="127">
        <v>2420</v>
      </c>
      <c r="N181" s="125">
        <v>1197.444</v>
      </c>
      <c r="O181" s="127">
        <v>2400</v>
      </c>
      <c r="P181" s="125">
        <v>1198.5419999999999</v>
      </c>
      <c r="Q181" s="127">
        <v>2420</v>
      </c>
      <c r="R181" s="125">
        <v>1198.1310000000001</v>
      </c>
      <c r="S181" s="127">
        <v>2420</v>
      </c>
      <c r="T181" s="125">
        <v>1198.539</v>
      </c>
      <c r="U181" s="127">
        <v>2410</v>
      </c>
      <c r="V181" s="125">
        <v>1196.8810000000001</v>
      </c>
      <c r="W181" s="127">
        <v>2420</v>
      </c>
      <c r="X181" s="125">
        <v>1196.7750000000001</v>
      </c>
      <c r="Y181" s="127">
        <v>2420</v>
      </c>
      <c r="Z181" s="125">
        <v>1195.423</v>
      </c>
      <c r="AA181" s="127">
        <v>2420</v>
      </c>
      <c r="AB181" s="125">
        <v>1194.845</v>
      </c>
      <c r="AC181" s="127">
        <v>2410</v>
      </c>
      <c r="AD181" s="125">
        <v>1119.1590000000001</v>
      </c>
      <c r="AE181" s="127">
        <v>2420</v>
      </c>
      <c r="AF181" s="125">
        <v>1120.21</v>
      </c>
      <c r="AG181" s="127">
        <v>2400</v>
      </c>
      <c r="AH181" s="125">
        <v>322.56700000000001</v>
      </c>
      <c r="AI181" s="127">
        <v>2400</v>
      </c>
      <c r="AJ181" s="125">
        <v>336.61500000000001</v>
      </c>
    </row>
    <row r="182" spans="1:36" ht="14.25">
      <c r="A182" s="128">
        <v>2430</v>
      </c>
      <c r="B182" s="124">
        <v>673.66</v>
      </c>
      <c r="C182" s="128">
        <v>2440</v>
      </c>
      <c r="D182" s="125">
        <v>668.68299999999999</v>
      </c>
      <c r="E182" s="126">
        <v>2430</v>
      </c>
      <c r="F182" s="125">
        <v>1407.1369999999999</v>
      </c>
      <c r="G182" s="127">
        <v>2430</v>
      </c>
      <c r="H182" s="125">
        <v>1405.605</v>
      </c>
      <c r="I182" s="127">
        <v>2430</v>
      </c>
      <c r="J182" s="125">
        <v>1196.498</v>
      </c>
      <c r="K182" s="127">
        <v>2430</v>
      </c>
      <c r="L182" s="125">
        <v>1196.2840000000001</v>
      </c>
      <c r="M182" s="127">
        <v>2430</v>
      </c>
      <c r="N182" s="125">
        <v>1196.271</v>
      </c>
      <c r="O182" s="127">
        <v>2410</v>
      </c>
      <c r="P182" s="125">
        <v>1197.3689999999999</v>
      </c>
      <c r="Q182" s="127">
        <v>2430</v>
      </c>
      <c r="R182" s="125">
        <v>1196.9590000000001</v>
      </c>
      <c r="S182" s="127">
        <v>2430</v>
      </c>
      <c r="T182" s="125">
        <v>1197.367</v>
      </c>
      <c r="U182" s="127">
        <v>2420</v>
      </c>
      <c r="V182" s="125">
        <v>1195.711</v>
      </c>
      <c r="W182" s="127">
        <v>2430</v>
      </c>
      <c r="X182" s="125">
        <v>1195.605</v>
      </c>
      <c r="Y182" s="127">
        <v>2430</v>
      </c>
      <c r="Z182" s="125">
        <v>1194.252</v>
      </c>
      <c r="AA182" s="127">
        <v>2430</v>
      </c>
      <c r="AB182" s="125">
        <v>1193.6759999999999</v>
      </c>
      <c r="AC182" s="127">
        <v>2420</v>
      </c>
      <c r="AD182" s="125">
        <v>1117.9880000000001</v>
      </c>
      <c r="AE182" s="127">
        <v>2430</v>
      </c>
      <c r="AF182" s="125">
        <v>1119.0409999999999</v>
      </c>
      <c r="AG182" s="127">
        <v>2410</v>
      </c>
      <c r="AH182" s="125">
        <v>322.18599999999998</v>
      </c>
      <c r="AI182" s="127">
        <v>2410</v>
      </c>
      <c r="AJ182" s="125">
        <v>336.22</v>
      </c>
    </row>
    <row r="183" spans="1:36" ht="14.25">
      <c r="A183" s="128">
        <v>2440</v>
      </c>
      <c r="B183" s="124">
        <v>672.88800000000003</v>
      </c>
      <c r="C183" s="128">
        <v>2450</v>
      </c>
      <c r="D183" s="125">
        <v>667.91700000000003</v>
      </c>
      <c r="E183" s="126">
        <v>2440</v>
      </c>
      <c r="F183" s="125">
        <v>1405.6790000000001</v>
      </c>
      <c r="G183" s="127">
        <v>2440</v>
      </c>
      <c r="H183" s="125">
        <v>1404.1510000000001</v>
      </c>
      <c r="I183" s="127">
        <v>2440</v>
      </c>
      <c r="J183" s="125">
        <v>1195.3240000000001</v>
      </c>
      <c r="K183" s="127">
        <v>2440</v>
      </c>
      <c r="L183" s="125">
        <v>1195.1110000000001</v>
      </c>
      <c r="M183" s="127">
        <v>2440</v>
      </c>
      <c r="N183" s="125">
        <v>1195.098</v>
      </c>
      <c r="O183" s="127">
        <v>2420</v>
      </c>
      <c r="P183" s="125">
        <v>1196.1959999999999</v>
      </c>
      <c r="Q183" s="127">
        <v>2440</v>
      </c>
      <c r="R183" s="125">
        <v>1195.7860000000001</v>
      </c>
      <c r="S183" s="127">
        <v>2440</v>
      </c>
      <c r="T183" s="125">
        <v>1196.1949999999999</v>
      </c>
      <c r="U183" s="127">
        <v>2430</v>
      </c>
      <c r="V183" s="125">
        <v>1194.5419999999999</v>
      </c>
      <c r="W183" s="127">
        <v>2440</v>
      </c>
      <c r="X183" s="125">
        <v>1194.4349999999999</v>
      </c>
      <c r="Y183" s="127">
        <v>2440</v>
      </c>
      <c r="Z183" s="125">
        <v>1193.08</v>
      </c>
      <c r="AA183" s="127">
        <v>2440</v>
      </c>
      <c r="AB183" s="125">
        <v>1192.508</v>
      </c>
      <c r="AC183" s="127">
        <v>2430</v>
      </c>
      <c r="AD183" s="125">
        <v>1116.818</v>
      </c>
      <c r="AE183" s="127">
        <v>2440</v>
      </c>
      <c r="AF183" s="125">
        <v>1117.8720000000001</v>
      </c>
      <c r="AG183" s="127">
        <v>2420</v>
      </c>
      <c r="AH183" s="125">
        <v>321.80500000000001</v>
      </c>
      <c r="AI183" s="127">
        <v>2420</v>
      </c>
      <c r="AJ183" s="125">
        <v>335.82499999999999</v>
      </c>
    </row>
    <row r="184" spans="1:36" ht="14.25">
      <c r="A184" s="128">
        <v>2450</v>
      </c>
      <c r="B184" s="124">
        <v>672.11500000000001</v>
      </c>
      <c r="C184" s="128">
        <v>2460</v>
      </c>
      <c r="D184" s="125">
        <v>667.15099999999995</v>
      </c>
      <c r="E184" s="126">
        <v>2450</v>
      </c>
      <c r="F184" s="125">
        <v>1404.22</v>
      </c>
      <c r="G184" s="127">
        <v>2450</v>
      </c>
      <c r="H184" s="125">
        <v>1402.6969999999999</v>
      </c>
      <c r="I184" s="127">
        <v>2450</v>
      </c>
      <c r="J184" s="125">
        <v>1194.1500000000001</v>
      </c>
      <c r="K184" s="127">
        <v>2450</v>
      </c>
      <c r="L184" s="125">
        <v>1193.9369999999999</v>
      </c>
      <c r="M184" s="127">
        <v>2450</v>
      </c>
      <c r="N184" s="125">
        <v>1193.924</v>
      </c>
      <c r="O184" s="127">
        <v>2430</v>
      </c>
      <c r="P184" s="125">
        <v>1195.0229999999999</v>
      </c>
      <c r="Q184" s="127">
        <v>2450</v>
      </c>
      <c r="R184" s="125">
        <v>1194.6130000000001</v>
      </c>
      <c r="S184" s="127">
        <v>2450</v>
      </c>
      <c r="T184" s="125">
        <v>1195.0229999999999</v>
      </c>
      <c r="U184" s="127">
        <v>2440</v>
      </c>
      <c r="V184" s="125">
        <v>1193.3720000000001</v>
      </c>
      <c r="W184" s="127">
        <v>2450</v>
      </c>
      <c r="X184" s="125">
        <v>1193.2639999999999</v>
      </c>
      <c r="Y184" s="127">
        <v>2450</v>
      </c>
      <c r="Z184" s="125">
        <v>1191.9090000000001</v>
      </c>
      <c r="AA184" s="127">
        <v>2450</v>
      </c>
      <c r="AB184" s="125">
        <v>1191.3389999999999</v>
      </c>
      <c r="AC184" s="127">
        <v>2440</v>
      </c>
      <c r="AD184" s="125">
        <v>1115.6469999999999</v>
      </c>
      <c r="AE184" s="127">
        <v>2450</v>
      </c>
      <c r="AF184" s="125">
        <v>1116.703</v>
      </c>
      <c r="AG184" s="127">
        <v>2430</v>
      </c>
      <c r="AH184" s="125">
        <v>321.42399999999998</v>
      </c>
      <c r="AI184" s="127">
        <v>2430</v>
      </c>
      <c r="AJ184" s="125">
        <v>335.43</v>
      </c>
    </row>
    <row r="185" spans="1:36" ht="14.25">
      <c r="A185" s="128">
        <v>2460</v>
      </c>
      <c r="B185" s="124">
        <v>671.34199999999998</v>
      </c>
      <c r="C185" s="128">
        <v>2470</v>
      </c>
      <c r="D185" s="125">
        <v>666.38400000000001</v>
      </c>
      <c r="E185" s="126">
        <v>2460</v>
      </c>
      <c r="F185" s="125">
        <v>1402.761</v>
      </c>
      <c r="G185" s="127">
        <v>2460</v>
      </c>
      <c r="H185" s="125">
        <v>1401.242</v>
      </c>
      <c r="I185" s="127">
        <v>2460</v>
      </c>
      <c r="J185" s="125">
        <v>1192.9760000000001</v>
      </c>
      <c r="K185" s="127">
        <v>2460</v>
      </c>
      <c r="L185" s="125">
        <v>1192.7629999999999</v>
      </c>
      <c r="M185" s="127">
        <v>2460</v>
      </c>
      <c r="N185" s="125">
        <v>1192.75</v>
      </c>
      <c r="O185" s="127">
        <v>2440</v>
      </c>
      <c r="P185" s="125">
        <v>1193.8499999999999</v>
      </c>
      <c r="Q185" s="127">
        <v>2460</v>
      </c>
      <c r="R185" s="125">
        <v>1193.44</v>
      </c>
      <c r="S185" s="127">
        <v>2460</v>
      </c>
      <c r="T185" s="125">
        <v>1193.8499999999999</v>
      </c>
      <c r="U185" s="127">
        <v>2450</v>
      </c>
      <c r="V185" s="125">
        <v>1192.201</v>
      </c>
      <c r="W185" s="127">
        <v>2460</v>
      </c>
      <c r="X185" s="125">
        <v>1192.0940000000001</v>
      </c>
      <c r="Y185" s="127">
        <v>2460</v>
      </c>
      <c r="Z185" s="129">
        <v>1190.7370000000001</v>
      </c>
      <c r="AA185" s="127">
        <v>2460</v>
      </c>
      <c r="AB185" s="125">
        <v>1190.17</v>
      </c>
      <c r="AC185" s="127">
        <v>2450</v>
      </c>
      <c r="AD185" s="125">
        <v>1114.4760000000001</v>
      </c>
      <c r="AE185" s="127">
        <v>2460</v>
      </c>
      <c r="AF185" s="125">
        <v>1115.5329999999999</v>
      </c>
      <c r="AG185" s="127">
        <v>2440</v>
      </c>
      <c r="AH185" s="125">
        <v>321.04199999999997</v>
      </c>
      <c r="AI185" s="127">
        <v>2440</v>
      </c>
      <c r="AJ185" s="125">
        <v>335.03500000000003</v>
      </c>
    </row>
    <row r="186" spans="1:36" ht="14.25">
      <c r="A186" s="128">
        <v>2470</v>
      </c>
      <c r="B186" s="124">
        <v>670.56799999999998</v>
      </c>
      <c r="C186" s="128">
        <v>2480</v>
      </c>
      <c r="D186" s="125">
        <v>665.61800000000005</v>
      </c>
      <c r="E186" s="126">
        <v>2470</v>
      </c>
      <c r="F186" s="125">
        <v>1401.3019999999999</v>
      </c>
      <c r="G186" s="127">
        <v>2470</v>
      </c>
      <c r="H186" s="125">
        <v>1399.787</v>
      </c>
      <c r="I186" s="127">
        <v>2470</v>
      </c>
      <c r="J186" s="125">
        <v>1191.8019999999999</v>
      </c>
      <c r="K186" s="127">
        <v>2470</v>
      </c>
      <c r="L186" s="125">
        <v>1191.5889999999999</v>
      </c>
      <c r="M186" s="127">
        <v>2470</v>
      </c>
      <c r="N186" s="125">
        <v>1191.576</v>
      </c>
      <c r="O186" s="127">
        <v>2450</v>
      </c>
      <c r="P186" s="125">
        <v>1192.6759999999999</v>
      </c>
      <c r="Q186" s="127">
        <v>2470</v>
      </c>
      <c r="R186" s="125">
        <v>1192.2660000000001</v>
      </c>
      <c r="S186" s="127">
        <v>2470</v>
      </c>
      <c r="T186" s="125">
        <v>1192.6769999999999</v>
      </c>
      <c r="U186" s="127">
        <v>2460</v>
      </c>
      <c r="V186" s="125">
        <v>1191.0309999999999</v>
      </c>
      <c r="W186" s="127">
        <v>2470</v>
      </c>
      <c r="X186" s="125">
        <v>1190.923</v>
      </c>
      <c r="Y186" s="127">
        <v>2470</v>
      </c>
      <c r="Z186" s="129">
        <v>1189.5650000000001</v>
      </c>
      <c r="AA186" s="127">
        <v>2470</v>
      </c>
      <c r="AB186" s="125">
        <v>1189</v>
      </c>
      <c r="AC186" s="127">
        <v>2460</v>
      </c>
      <c r="AD186" s="125">
        <v>1113.3040000000001</v>
      </c>
      <c r="AE186" s="127">
        <v>2470</v>
      </c>
      <c r="AF186" s="125">
        <v>1114.3630000000001</v>
      </c>
      <c r="AG186" s="127">
        <v>2450</v>
      </c>
      <c r="AH186" s="125">
        <v>320.661</v>
      </c>
      <c r="AI186" s="127">
        <v>2450</v>
      </c>
      <c r="AJ186" s="125">
        <v>334.63900000000001</v>
      </c>
    </row>
    <row r="187" spans="1:36" ht="14.25">
      <c r="A187" s="128">
        <v>2480</v>
      </c>
      <c r="B187" s="124">
        <v>669.79499999999996</v>
      </c>
      <c r="C187" s="128">
        <v>2490</v>
      </c>
      <c r="D187" s="125">
        <v>664.851</v>
      </c>
      <c r="E187" s="126">
        <v>2480</v>
      </c>
      <c r="F187" s="125">
        <v>1399.8430000000001</v>
      </c>
      <c r="G187" s="127">
        <v>2480</v>
      </c>
      <c r="H187" s="125">
        <v>1398.3309999999999</v>
      </c>
      <c r="I187" s="127">
        <v>2480</v>
      </c>
      <c r="J187" s="125">
        <v>1190.627</v>
      </c>
      <c r="K187" s="127">
        <v>2480</v>
      </c>
      <c r="L187" s="125">
        <v>1190.415</v>
      </c>
      <c r="M187" s="127">
        <v>2480</v>
      </c>
      <c r="N187" s="125">
        <v>1190.402</v>
      </c>
      <c r="O187" s="127">
        <v>2460</v>
      </c>
      <c r="P187" s="125">
        <v>1191.5029999999999</v>
      </c>
      <c r="Q187" s="127">
        <v>2480</v>
      </c>
      <c r="R187" s="125">
        <v>1191.0920000000001</v>
      </c>
      <c r="S187" s="127">
        <v>2480</v>
      </c>
      <c r="T187" s="125">
        <v>1191.5039999999999</v>
      </c>
      <c r="U187" s="127">
        <v>2470</v>
      </c>
      <c r="V187" s="125">
        <v>1189.8599999999999</v>
      </c>
      <c r="W187" s="127">
        <v>2480</v>
      </c>
      <c r="X187" s="125">
        <v>1189.752</v>
      </c>
      <c r="Y187" s="127">
        <v>2480</v>
      </c>
      <c r="Z187" s="125">
        <v>1188.393</v>
      </c>
      <c r="AA187" s="127">
        <v>2480</v>
      </c>
      <c r="AB187" s="125">
        <v>1187.8309999999999</v>
      </c>
      <c r="AC187" s="127">
        <v>2470</v>
      </c>
      <c r="AD187" s="125">
        <v>1112.133</v>
      </c>
      <c r="AE187" s="127">
        <v>2480</v>
      </c>
      <c r="AF187" s="125">
        <v>1113.193</v>
      </c>
      <c r="AG187" s="127">
        <v>2460</v>
      </c>
      <c r="AH187" s="125">
        <v>320.279</v>
      </c>
      <c r="AI187" s="127">
        <v>2460</v>
      </c>
      <c r="AJ187" s="125">
        <v>334.24400000000003</v>
      </c>
    </row>
    <row r="188" spans="1:36" ht="14.25">
      <c r="A188" s="128">
        <v>2490</v>
      </c>
      <c r="B188" s="124">
        <v>669.02200000000005</v>
      </c>
      <c r="C188" s="128">
        <v>2500</v>
      </c>
      <c r="D188" s="125">
        <v>664.08399999999995</v>
      </c>
      <c r="E188" s="126">
        <v>2490</v>
      </c>
      <c r="F188" s="125">
        <v>1398.383</v>
      </c>
      <c r="G188" s="127">
        <v>2490</v>
      </c>
      <c r="H188" s="125">
        <v>1396.876</v>
      </c>
      <c r="I188" s="127">
        <v>2490</v>
      </c>
      <c r="J188" s="125">
        <v>1189.452</v>
      </c>
      <c r="K188" s="127">
        <v>2490</v>
      </c>
      <c r="L188" s="125">
        <v>1189.24</v>
      </c>
      <c r="M188" s="127">
        <v>2490</v>
      </c>
      <c r="N188" s="125">
        <v>1189.2270000000001</v>
      </c>
      <c r="O188" s="127">
        <v>2470</v>
      </c>
      <c r="P188" s="125">
        <v>1190.329</v>
      </c>
      <c r="Q188" s="127">
        <v>2490</v>
      </c>
      <c r="R188" s="125">
        <v>1189.9179999999999</v>
      </c>
      <c r="S188" s="127">
        <v>2490</v>
      </c>
      <c r="T188" s="125">
        <v>1190.3309999999999</v>
      </c>
      <c r="U188" s="127">
        <v>2480</v>
      </c>
      <c r="V188" s="125">
        <v>1188.6890000000001</v>
      </c>
      <c r="W188" s="127">
        <v>2490</v>
      </c>
      <c r="X188" s="125">
        <v>1188.58</v>
      </c>
      <c r="Y188" s="127">
        <v>2490</v>
      </c>
      <c r="Z188" s="125">
        <v>1187.221</v>
      </c>
      <c r="AA188" s="127">
        <v>2490</v>
      </c>
      <c r="AB188" s="125">
        <v>1186.6610000000001</v>
      </c>
      <c r="AC188" s="127">
        <v>2480</v>
      </c>
      <c r="AD188" s="125">
        <v>1110.961</v>
      </c>
      <c r="AE188" s="127">
        <v>2490</v>
      </c>
      <c r="AF188" s="125">
        <v>1112.0229999999999</v>
      </c>
      <c r="AG188" s="127">
        <v>2470</v>
      </c>
      <c r="AH188" s="125">
        <v>319.89800000000002</v>
      </c>
      <c r="AI188" s="127">
        <v>2470</v>
      </c>
      <c r="AJ188" s="125">
        <v>333.84800000000001</v>
      </c>
    </row>
    <row r="189" spans="1:36" ht="14.25">
      <c r="A189" s="128">
        <v>2500</v>
      </c>
      <c r="B189" s="124">
        <v>668.24800000000005</v>
      </c>
      <c r="C189" s="128">
        <v>2510</v>
      </c>
      <c r="D189" s="125">
        <v>663.31700000000001</v>
      </c>
      <c r="E189" s="126">
        <v>2500</v>
      </c>
      <c r="F189" s="125">
        <v>1396.923</v>
      </c>
      <c r="G189" s="127">
        <v>2500</v>
      </c>
      <c r="H189" s="125">
        <v>1395.42</v>
      </c>
      <c r="I189" s="127">
        <v>2500</v>
      </c>
      <c r="J189" s="125">
        <v>1188.277</v>
      </c>
      <c r="K189" s="127">
        <v>2500</v>
      </c>
      <c r="L189" s="125">
        <v>1188.0650000000001</v>
      </c>
      <c r="M189" s="127">
        <v>2500</v>
      </c>
      <c r="N189" s="125">
        <v>1188.0519999999999</v>
      </c>
      <c r="O189" s="127">
        <v>2480</v>
      </c>
      <c r="P189" s="125">
        <v>1189.154</v>
      </c>
      <c r="Q189" s="127">
        <v>2500</v>
      </c>
      <c r="R189" s="125">
        <v>1188.7439999999999</v>
      </c>
      <c r="S189" s="127">
        <v>2500</v>
      </c>
      <c r="T189" s="125">
        <v>1189.1579999999999</v>
      </c>
      <c r="U189" s="127">
        <v>2490</v>
      </c>
      <c r="V189" s="125">
        <v>1187.518</v>
      </c>
      <c r="W189" s="127">
        <v>2500</v>
      </c>
      <c r="X189" s="125">
        <v>1187.4079999999999</v>
      </c>
      <c r="Y189" s="127">
        <v>2500</v>
      </c>
      <c r="Z189" s="125">
        <v>1186.048</v>
      </c>
      <c r="AA189" s="127">
        <v>2500</v>
      </c>
      <c r="AB189" s="125">
        <v>1185.49</v>
      </c>
      <c r="AC189" s="127">
        <v>2490</v>
      </c>
      <c r="AD189" s="125">
        <v>1109.789</v>
      </c>
      <c r="AE189" s="127">
        <v>2500</v>
      </c>
      <c r="AF189" s="125">
        <v>1110.8520000000001</v>
      </c>
      <c r="AG189" s="127">
        <v>2480</v>
      </c>
      <c r="AH189" s="125">
        <v>319.51600000000002</v>
      </c>
      <c r="AI189" s="127">
        <v>2480</v>
      </c>
      <c r="AJ189" s="125">
        <v>333.45299999999997</v>
      </c>
    </row>
    <row r="190" spans="1:36" ht="14.25">
      <c r="A190" s="128">
        <v>2510</v>
      </c>
      <c r="B190" s="124">
        <v>667.47400000000005</v>
      </c>
      <c r="C190" s="128">
        <v>2520</v>
      </c>
      <c r="D190" s="125">
        <v>662.55</v>
      </c>
      <c r="E190" s="126">
        <v>2510</v>
      </c>
      <c r="F190" s="125">
        <v>1395.463</v>
      </c>
      <c r="G190" s="127">
        <v>2510</v>
      </c>
      <c r="H190" s="125">
        <v>1393.963</v>
      </c>
      <c r="I190" s="127">
        <v>2510</v>
      </c>
      <c r="J190" s="125">
        <v>1187.1020000000001</v>
      </c>
      <c r="K190" s="127">
        <v>2510</v>
      </c>
      <c r="L190" s="125">
        <v>1186.8900000000001</v>
      </c>
      <c r="M190" s="127">
        <v>2510</v>
      </c>
      <c r="N190" s="125">
        <v>1186.8779999999999</v>
      </c>
      <c r="O190" s="127">
        <v>2490</v>
      </c>
      <c r="P190" s="125">
        <v>1187.98</v>
      </c>
      <c r="Q190" s="127">
        <v>2510</v>
      </c>
      <c r="R190" s="125">
        <v>1187.569</v>
      </c>
      <c r="S190" s="127">
        <v>2510</v>
      </c>
      <c r="T190" s="125">
        <v>1187.9839999999999</v>
      </c>
      <c r="U190" s="127">
        <v>2500</v>
      </c>
      <c r="V190" s="125">
        <v>1186.346</v>
      </c>
      <c r="W190" s="127">
        <v>2510</v>
      </c>
      <c r="X190" s="125">
        <v>1186.2360000000001</v>
      </c>
      <c r="Y190" s="127">
        <v>2510</v>
      </c>
      <c r="Z190" s="125">
        <v>1184.875</v>
      </c>
      <c r="AA190" s="127">
        <v>2510</v>
      </c>
      <c r="AB190" s="125">
        <v>1184.32</v>
      </c>
      <c r="AC190" s="127">
        <v>2500</v>
      </c>
      <c r="AD190" s="125">
        <v>1108.617</v>
      </c>
      <c r="AE190" s="127">
        <v>2510</v>
      </c>
      <c r="AF190" s="125">
        <v>1109.682</v>
      </c>
      <c r="AG190" s="127">
        <v>2490</v>
      </c>
      <c r="AH190" s="125">
        <v>319.13400000000001</v>
      </c>
      <c r="AI190" s="127">
        <v>2490</v>
      </c>
      <c r="AJ190" s="125">
        <v>333.05700000000002</v>
      </c>
    </row>
    <row r="191" spans="1:36" ht="14.25">
      <c r="A191" s="128">
        <v>2520</v>
      </c>
      <c r="B191" s="124">
        <v>666.7</v>
      </c>
      <c r="C191" s="128">
        <v>2530</v>
      </c>
      <c r="D191" s="125">
        <v>661.78200000000004</v>
      </c>
      <c r="E191" s="126">
        <v>2520</v>
      </c>
      <c r="F191" s="125">
        <v>1394.002</v>
      </c>
      <c r="G191" s="127">
        <v>2520</v>
      </c>
      <c r="H191" s="125">
        <v>1392.5070000000001</v>
      </c>
      <c r="I191" s="127">
        <v>2520</v>
      </c>
      <c r="J191" s="125">
        <v>1185.9259999999999</v>
      </c>
      <c r="K191" s="127">
        <v>2520</v>
      </c>
      <c r="L191" s="125">
        <v>1185.7149999999999</v>
      </c>
      <c r="M191" s="127">
        <v>2520</v>
      </c>
      <c r="N191" s="125">
        <v>1185.702</v>
      </c>
      <c r="O191" s="127">
        <v>2500</v>
      </c>
      <c r="P191" s="125">
        <v>1186.8050000000001</v>
      </c>
      <c r="Q191" s="127">
        <v>2520</v>
      </c>
      <c r="R191" s="125">
        <v>1186.395</v>
      </c>
      <c r="S191" s="127">
        <v>2520</v>
      </c>
      <c r="T191" s="125">
        <v>1186.81</v>
      </c>
      <c r="U191" s="127">
        <v>2510</v>
      </c>
      <c r="V191" s="125">
        <v>1185.175</v>
      </c>
      <c r="W191" s="127">
        <v>2520</v>
      </c>
      <c r="X191" s="125">
        <v>1185.0640000000001</v>
      </c>
      <c r="Y191" s="127">
        <v>2520</v>
      </c>
      <c r="Z191" s="125">
        <v>1183.702</v>
      </c>
      <c r="AA191" s="127">
        <v>2520</v>
      </c>
      <c r="AB191" s="125">
        <v>1183.1489999999999</v>
      </c>
      <c r="AC191" s="127">
        <v>2510</v>
      </c>
      <c r="AD191" s="125">
        <v>1107.444</v>
      </c>
      <c r="AE191" s="127">
        <v>2520</v>
      </c>
      <c r="AF191" s="125">
        <v>1108.511</v>
      </c>
      <c r="AG191" s="127">
        <v>2500</v>
      </c>
      <c r="AH191" s="125">
        <v>318.75200000000001</v>
      </c>
      <c r="AI191" s="127">
        <v>2500</v>
      </c>
      <c r="AJ191" s="125">
        <v>332.661</v>
      </c>
    </row>
    <row r="192" spans="1:36" ht="14.25">
      <c r="A192" s="128">
        <v>2530</v>
      </c>
      <c r="B192" s="124">
        <v>665.92499999999995</v>
      </c>
      <c r="C192" s="128">
        <v>2540</v>
      </c>
      <c r="D192" s="125">
        <v>661.01400000000001</v>
      </c>
      <c r="E192" s="126">
        <v>2530</v>
      </c>
      <c r="F192" s="125">
        <v>1392.5409999999999</v>
      </c>
      <c r="G192" s="127">
        <v>2530</v>
      </c>
      <c r="H192" s="125">
        <v>1391.05</v>
      </c>
      <c r="I192" s="127">
        <v>2530</v>
      </c>
      <c r="J192" s="125">
        <v>1184.75</v>
      </c>
      <c r="K192" s="127">
        <v>2530</v>
      </c>
      <c r="L192" s="125">
        <v>1184.539</v>
      </c>
      <c r="M192" s="127">
        <v>2530</v>
      </c>
      <c r="N192" s="125">
        <v>1184.527</v>
      </c>
      <c r="O192" s="127">
        <v>2510</v>
      </c>
      <c r="P192" s="125">
        <v>1185.6300000000001</v>
      </c>
      <c r="Q192" s="127">
        <v>2530</v>
      </c>
      <c r="R192" s="125">
        <v>1185.22</v>
      </c>
      <c r="S192" s="127">
        <v>2530</v>
      </c>
      <c r="T192" s="125">
        <v>1185.636</v>
      </c>
      <c r="U192" s="127">
        <v>2520</v>
      </c>
      <c r="V192" s="125">
        <v>1184.0029999999999</v>
      </c>
      <c r="W192" s="127">
        <v>2530</v>
      </c>
      <c r="X192" s="125">
        <v>1183.8920000000001</v>
      </c>
      <c r="Y192" s="127">
        <v>2530</v>
      </c>
      <c r="Z192" s="125">
        <v>1182.529</v>
      </c>
      <c r="AA192" s="127">
        <v>2530</v>
      </c>
      <c r="AB192" s="125">
        <v>1181.9780000000001</v>
      </c>
      <c r="AC192" s="127">
        <v>2520</v>
      </c>
      <c r="AD192" s="125">
        <v>1106.271</v>
      </c>
      <c r="AE192" s="127">
        <v>2530</v>
      </c>
      <c r="AF192" s="125">
        <v>1107.3389999999999</v>
      </c>
      <c r="AG192" s="127">
        <v>2510</v>
      </c>
      <c r="AH192" s="125">
        <v>318.37</v>
      </c>
      <c r="AI192" s="127">
        <v>2510</v>
      </c>
      <c r="AJ192" s="125">
        <v>332.26499999999999</v>
      </c>
    </row>
    <row r="193" spans="1:36" ht="14.25">
      <c r="A193" s="128">
        <v>2540</v>
      </c>
      <c r="B193" s="124">
        <v>665.15099999999995</v>
      </c>
      <c r="C193" s="128">
        <v>2550</v>
      </c>
      <c r="D193" s="125">
        <v>660.24699999999996</v>
      </c>
      <c r="E193" s="126">
        <v>2540</v>
      </c>
      <c r="F193" s="125">
        <v>1391.08</v>
      </c>
      <c r="G193" s="127">
        <v>2540</v>
      </c>
      <c r="H193" s="125">
        <v>1389.5930000000001</v>
      </c>
      <c r="I193" s="127">
        <v>2540</v>
      </c>
      <c r="J193" s="125">
        <v>1183.5740000000001</v>
      </c>
      <c r="K193" s="127">
        <v>2540</v>
      </c>
      <c r="L193" s="125">
        <v>1183.364</v>
      </c>
      <c r="M193" s="127">
        <v>2540</v>
      </c>
      <c r="N193" s="125">
        <v>1183.3510000000001</v>
      </c>
      <c r="O193" s="127">
        <v>2520</v>
      </c>
      <c r="P193" s="125">
        <v>1184.4549999999999</v>
      </c>
      <c r="Q193" s="127">
        <v>2540</v>
      </c>
      <c r="R193" s="125">
        <v>1184.0440000000001</v>
      </c>
      <c r="S193" s="127">
        <v>2540</v>
      </c>
      <c r="T193" s="125">
        <v>1184.461</v>
      </c>
      <c r="U193" s="127">
        <v>2530</v>
      </c>
      <c r="V193" s="125">
        <v>1182.83</v>
      </c>
      <c r="W193" s="127">
        <v>2540</v>
      </c>
      <c r="X193" s="125">
        <v>1182.7190000000001</v>
      </c>
      <c r="Y193" s="127">
        <v>2540</v>
      </c>
      <c r="Z193" s="125">
        <v>1181.355</v>
      </c>
      <c r="AA193" s="127">
        <v>2540</v>
      </c>
      <c r="AB193" s="125">
        <v>1180.807</v>
      </c>
      <c r="AC193" s="127">
        <v>2530</v>
      </c>
      <c r="AD193" s="125">
        <v>1105.098</v>
      </c>
      <c r="AE193" s="127">
        <v>2540</v>
      </c>
      <c r="AF193" s="125">
        <v>1106.1679999999999</v>
      </c>
      <c r="AG193" s="127">
        <v>2520</v>
      </c>
      <c r="AH193" s="125">
        <v>317.988</v>
      </c>
      <c r="AI193" s="127">
        <v>2520</v>
      </c>
      <c r="AJ193" s="125">
        <v>331.86900000000003</v>
      </c>
    </row>
    <row r="194" spans="1:36" ht="14.25">
      <c r="A194" s="128">
        <v>2550</v>
      </c>
      <c r="B194" s="124">
        <v>664.37599999999998</v>
      </c>
      <c r="C194" s="128">
        <v>2560</v>
      </c>
      <c r="D194" s="125">
        <v>659.47799999999995</v>
      </c>
      <c r="E194" s="126">
        <v>2550</v>
      </c>
      <c r="F194" s="125">
        <v>1389.6179999999999</v>
      </c>
      <c r="G194" s="127">
        <v>2550</v>
      </c>
      <c r="H194" s="125">
        <v>1388.135</v>
      </c>
      <c r="I194" s="127">
        <v>2550</v>
      </c>
      <c r="J194" s="125">
        <v>1182.3979999999999</v>
      </c>
      <c r="K194" s="127">
        <v>2550</v>
      </c>
      <c r="L194" s="125">
        <v>1182.1869999999999</v>
      </c>
      <c r="M194" s="127">
        <v>2550</v>
      </c>
      <c r="N194" s="125">
        <v>1182.175</v>
      </c>
      <c r="O194" s="127">
        <v>2530</v>
      </c>
      <c r="P194" s="125">
        <v>1183.28</v>
      </c>
      <c r="Q194" s="127">
        <v>2550</v>
      </c>
      <c r="R194" s="125">
        <v>1182.8689999999999</v>
      </c>
      <c r="S194" s="127">
        <v>2550</v>
      </c>
      <c r="T194" s="125">
        <v>1183.2860000000001</v>
      </c>
      <c r="U194" s="127">
        <v>2540</v>
      </c>
      <c r="V194" s="125">
        <v>1181.6579999999999</v>
      </c>
      <c r="W194" s="127">
        <v>2550</v>
      </c>
      <c r="X194" s="125">
        <v>1181.546</v>
      </c>
      <c r="Y194" s="127">
        <v>2550</v>
      </c>
      <c r="Z194" s="125">
        <v>1180.182</v>
      </c>
      <c r="AA194" s="127">
        <v>2550</v>
      </c>
      <c r="AB194" s="125">
        <v>1179.636</v>
      </c>
      <c r="AC194" s="127">
        <v>2540</v>
      </c>
      <c r="AD194" s="125">
        <v>1103.925</v>
      </c>
      <c r="AE194" s="127">
        <v>2550</v>
      </c>
      <c r="AF194" s="125">
        <v>1104.9960000000001</v>
      </c>
      <c r="AG194" s="127">
        <v>2530</v>
      </c>
      <c r="AH194" s="125">
        <v>317.60599999999999</v>
      </c>
      <c r="AI194" s="127">
        <v>2530</v>
      </c>
      <c r="AJ194" s="125">
        <v>331.47300000000001</v>
      </c>
    </row>
    <row r="195" spans="1:36" ht="14.25">
      <c r="A195" s="128">
        <v>2560</v>
      </c>
      <c r="B195" s="124">
        <v>663.601</v>
      </c>
      <c r="C195" s="128">
        <v>2570</v>
      </c>
      <c r="D195" s="125">
        <v>658.71</v>
      </c>
      <c r="E195" s="126">
        <v>2560</v>
      </c>
      <c r="F195" s="125">
        <v>1388.1559999999999</v>
      </c>
      <c r="G195" s="127">
        <v>2560</v>
      </c>
      <c r="H195" s="125">
        <v>1386.6769999999999</v>
      </c>
      <c r="I195" s="127">
        <v>2560</v>
      </c>
      <c r="J195" s="125">
        <v>1181.222</v>
      </c>
      <c r="K195" s="127">
        <v>2560</v>
      </c>
      <c r="L195" s="125">
        <v>1181.011</v>
      </c>
      <c r="M195" s="127">
        <v>2560</v>
      </c>
      <c r="N195" s="125">
        <v>1180.999</v>
      </c>
      <c r="O195" s="127">
        <v>2540</v>
      </c>
      <c r="P195" s="125">
        <v>1182.104</v>
      </c>
      <c r="Q195" s="127">
        <v>2560</v>
      </c>
      <c r="R195" s="125">
        <v>1181.693</v>
      </c>
      <c r="S195" s="127">
        <v>2560</v>
      </c>
      <c r="T195" s="125">
        <v>1182.1120000000001</v>
      </c>
      <c r="U195" s="127">
        <v>2550</v>
      </c>
      <c r="V195" s="125">
        <v>1180.4849999999999</v>
      </c>
      <c r="W195" s="127">
        <v>2560</v>
      </c>
      <c r="X195" s="125">
        <v>1180.373</v>
      </c>
      <c r="Y195" s="127">
        <v>2560</v>
      </c>
      <c r="Z195" s="125">
        <v>1179.0070000000001</v>
      </c>
      <c r="AA195" s="127">
        <v>2560</v>
      </c>
      <c r="AB195" s="125">
        <v>1178.4639999999999</v>
      </c>
      <c r="AC195" s="127">
        <v>2550</v>
      </c>
      <c r="AD195" s="125">
        <v>1102.751</v>
      </c>
      <c r="AE195" s="127">
        <v>2560</v>
      </c>
      <c r="AF195" s="125">
        <v>1103.8240000000001</v>
      </c>
      <c r="AG195" s="127">
        <v>2540</v>
      </c>
      <c r="AH195" s="125">
        <v>317.22399999999999</v>
      </c>
      <c r="AI195" s="127">
        <v>2540</v>
      </c>
      <c r="AJ195" s="125">
        <v>331.077</v>
      </c>
    </row>
    <row r="196" spans="1:36" ht="14.25">
      <c r="A196" s="128">
        <v>2570</v>
      </c>
      <c r="B196" s="124">
        <v>662.82600000000002</v>
      </c>
      <c r="C196" s="128">
        <v>2580</v>
      </c>
      <c r="D196" s="125">
        <v>657.94200000000001</v>
      </c>
      <c r="E196" s="126">
        <v>2570</v>
      </c>
      <c r="F196" s="125">
        <v>1386.694</v>
      </c>
      <c r="G196" s="127">
        <v>2570</v>
      </c>
      <c r="H196" s="125">
        <v>1385.2190000000001</v>
      </c>
      <c r="I196" s="127">
        <v>2570</v>
      </c>
      <c r="J196" s="125">
        <v>1180.0450000000001</v>
      </c>
      <c r="K196" s="127">
        <v>2570</v>
      </c>
      <c r="L196" s="125">
        <v>1179.835</v>
      </c>
      <c r="M196" s="127">
        <v>2570</v>
      </c>
      <c r="N196" s="125">
        <v>1179.8219999999999</v>
      </c>
      <c r="O196" s="127">
        <v>2550</v>
      </c>
      <c r="P196" s="125">
        <v>1180.9280000000001</v>
      </c>
      <c r="Q196" s="127">
        <v>2570</v>
      </c>
      <c r="R196" s="125">
        <v>1180.5170000000001</v>
      </c>
      <c r="S196" s="127">
        <v>2570</v>
      </c>
      <c r="T196" s="125">
        <v>1180.9359999999999</v>
      </c>
      <c r="U196" s="127">
        <v>2560</v>
      </c>
      <c r="V196" s="125">
        <v>1179.3119999999999</v>
      </c>
      <c r="W196" s="127">
        <v>2570</v>
      </c>
      <c r="X196" s="125">
        <v>1179.2</v>
      </c>
      <c r="Y196" s="127">
        <v>2570</v>
      </c>
      <c r="Z196" s="125">
        <v>1177.8330000000001</v>
      </c>
      <c r="AA196" s="127">
        <v>2570</v>
      </c>
      <c r="AB196" s="125">
        <v>1177.2919999999999</v>
      </c>
      <c r="AC196" s="127">
        <v>2560</v>
      </c>
      <c r="AD196" s="125">
        <v>1101.577</v>
      </c>
      <c r="AE196" s="127">
        <v>2570</v>
      </c>
      <c r="AF196" s="125">
        <v>1102.652</v>
      </c>
      <c r="AG196" s="127">
        <v>2550</v>
      </c>
      <c r="AH196" s="125">
        <v>316.84100000000001</v>
      </c>
      <c r="AI196" s="127">
        <v>2550</v>
      </c>
      <c r="AJ196" s="125">
        <v>330.68</v>
      </c>
    </row>
    <row r="197" spans="1:36" ht="14.25">
      <c r="A197" s="128">
        <v>2580</v>
      </c>
      <c r="B197" s="124">
        <v>662.05100000000004</v>
      </c>
      <c r="C197" s="128">
        <v>2590</v>
      </c>
      <c r="D197" s="125">
        <v>657.173</v>
      </c>
      <c r="E197" s="126">
        <v>2580</v>
      </c>
      <c r="F197" s="125">
        <v>1385.232</v>
      </c>
      <c r="G197" s="127">
        <v>2580</v>
      </c>
      <c r="H197" s="125">
        <v>1383.761</v>
      </c>
      <c r="I197" s="127">
        <v>2580</v>
      </c>
      <c r="J197" s="125">
        <v>1178.8679999999999</v>
      </c>
      <c r="K197" s="127">
        <v>2580</v>
      </c>
      <c r="L197" s="125">
        <v>1178.6579999999999</v>
      </c>
      <c r="M197" s="127">
        <v>2580</v>
      </c>
      <c r="N197" s="125">
        <v>1178.646</v>
      </c>
      <c r="O197" s="127">
        <v>2560</v>
      </c>
      <c r="P197" s="125">
        <v>1179.752</v>
      </c>
      <c r="Q197" s="127">
        <v>2580</v>
      </c>
      <c r="R197" s="125">
        <v>1179.3409999999999</v>
      </c>
      <c r="S197" s="127">
        <v>2580</v>
      </c>
      <c r="T197" s="125">
        <v>1179.761</v>
      </c>
      <c r="U197" s="127">
        <v>2570</v>
      </c>
      <c r="V197" s="125">
        <v>1178.1389999999999</v>
      </c>
      <c r="W197" s="127">
        <v>2580</v>
      </c>
      <c r="X197" s="125">
        <v>1178.0260000000001</v>
      </c>
      <c r="Y197" s="127">
        <v>2580</v>
      </c>
      <c r="Z197" s="125">
        <v>1176.6590000000001</v>
      </c>
      <c r="AA197" s="127">
        <v>2580</v>
      </c>
      <c r="AB197" s="125">
        <v>1176.1199999999999</v>
      </c>
      <c r="AC197" s="127">
        <v>2570</v>
      </c>
      <c r="AD197" s="125">
        <v>1100.403</v>
      </c>
      <c r="AE197" s="127">
        <v>2580</v>
      </c>
      <c r="AF197" s="125">
        <v>1101.48</v>
      </c>
      <c r="AG197" s="127">
        <v>2560</v>
      </c>
      <c r="AH197" s="125">
        <v>316.459</v>
      </c>
      <c r="AI197" s="127">
        <v>2560</v>
      </c>
      <c r="AJ197" s="125">
        <v>330.28399999999999</v>
      </c>
    </row>
    <row r="198" spans="1:36" ht="14.25">
      <c r="A198" s="128">
        <v>2590</v>
      </c>
      <c r="B198" s="124">
        <v>661.27599999999995</v>
      </c>
      <c r="C198" s="128">
        <v>2600</v>
      </c>
      <c r="D198" s="125">
        <v>656.404</v>
      </c>
      <c r="E198" s="126">
        <v>2590</v>
      </c>
      <c r="F198" s="125">
        <v>1383.769</v>
      </c>
      <c r="G198" s="127">
        <v>2590</v>
      </c>
      <c r="H198" s="125">
        <v>1382.3019999999999</v>
      </c>
      <c r="I198" s="127">
        <v>2590</v>
      </c>
      <c r="J198" s="125">
        <v>1177.691</v>
      </c>
      <c r="K198" s="127">
        <v>2590</v>
      </c>
      <c r="L198" s="125">
        <v>1177.481</v>
      </c>
      <c r="M198" s="127">
        <v>2590</v>
      </c>
      <c r="N198" s="125">
        <v>1177.4690000000001</v>
      </c>
      <c r="O198" s="127">
        <v>2570</v>
      </c>
      <c r="P198" s="125">
        <v>1178.575</v>
      </c>
      <c r="Q198" s="127">
        <v>2590</v>
      </c>
      <c r="R198" s="125">
        <v>1178.164</v>
      </c>
      <c r="S198" s="127">
        <v>2590</v>
      </c>
      <c r="T198" s="125">
        <v>1178.585</v>
      </c>
      <c r="U198" s="127">
        <v>2580</v>
      </c>
      <c r="V198" s="125">
        <v>1176.9659999999999</v>
      </c>
      <c r="W198" s="127">
        <v>2590</v>
      </c>
      <c r="X198" s="125">
        <v>1176.8520000000001</v>
      </c>
      <c r="Y198" s="127">
        <v>2590</v>
      </c>
      <c r="Z198" s="125">
        <v>1175.4839999999999</v>
      </c>
      <c r="AA198" s="127">
        <v>2590</v>
      </c>
      <c r="AB198" s="125">
        <v>1174.9480000000001</v>
      </c>
      <c r="AC198" s="127">
        <v>2580</v>
      </c>
      <c r="AD198" s="125">
        <v>1099.229</v>
      </c>
      <c r="AE198" s="127">
        <v>2590</v>
      </c>
      <c r="AF198" s="125">
        <v>1100.307</v>
      </c>
      <c r="AG198" s="127">
        <v>2570</v>
      </c>
      <c r="AH198" s="125">
        <v>316.07600000000002</v>
      </c>
      <c r="AI198" s="127">
        <v>2570</v>
      </c>
      <c r="AJ198" s="125">
        <v>329.88799999999998</v>
      </c>
    </row>
    <row r="199" spans="1:36" ht="14.25">
      <c r="A199" s="128">
        <v>2600</v>
      </c>
      <c r="B199" s="124">
        <v>660.5</v>
      </c>
      <c r="C199" s="128">
        <v>2610</v>
      </c>
      <c r="D199" s="125">
        <v>655.63499999999999</v>
      </c>
      <c r="E199" s="126">
        <v>2600</v>
      </c>
      <c r="F199" s="125">
        <v>1382.306</v>
      </c>
      <c r="G199" s="127">
        <v>2600</v>
      </c>
      <c r="H199" s="125">
        <v>1380.8430000000001</v>
      </c>
      <c r="I199" s="127">
        <v>2600</v>
      </c>
      <c r="J199" s="125">
        <v>1176.5129999999999</v>
      </c>
      <c r="K199" s="127">
        <v>2600</v>
      </c>
      <c r="L199" s="125">
        <v>1176.3030000000001</v>
      </c>
      <c r="M199" s="127">
        <v>2600</v>
      </c>
      <c r="N199" s="125">
        <v>1176.2919999999999</v>
      </c>
      <c r="O199" s="127">
        <v>2580</v>
      </c>
      <c r="P199" s="125">
        <v>1177.3989999999999</v>
      </c>
      <c r="Q199" s="127">
        <v>2600</v>
      </c>
      <c r="R199" s="125">
        <v>1176.9880000000001</v>
      </c>
      <c r="S199" s="127">
        <v>2600</v>
      </c>
      <c r="T199" s="125">
        <v>1177.4090000000001</v>
      </c>
      <c r="U199" s="127">
        <v>2590</v>
      </c>
      <c r="V199" s="125">
        <v>1175.7919999999999</v>
      </c>
      <c r="W199" s="127">
        <v>2600</v>
      </c>
      <c r="X199" s="125">
        <v>1175.6780000000001</v>
      </c>
      <c r="Y199" s="127">
        <v>2600</v>
      </c>
      <c r="Z199" s="125">
        <v>1174.309</v>
      </c>
      <c r="AA199" s="127">
        <v>2600</v>
      </c>
      <c r="AB199" s="125">
        <v>1173.7750000000001</v>
      </c>
      <c r="AC199" s="127">
        <v>2590</v>
      </c>
      <c r="AD199" s="125">
        <v>1098.0550000000001</v>
      </c>
      <c r="AE199" s="127">
        <v>2600</v>
      </c>
      <c r="AF199" s="125">
        <v>1099.134</v>
      </c>
      <c r="AG199" s="127">
        <v>2580</v>
      </c>
      <c r="AH199" s="125">
        <v>315.69400000000002</v>
      </c>
      <c r="AI199" s="127">
        <v>2580</v>
      </c>
      <c r="AJ199" s="125">
        <v>329.49099999999999</v>
      </c>
    </row>
    <row r="200" spans="1:36" ht="14.25">
      <c r="A200" s="128">
        <v>2610</v>
      </c>
      <c r="B200" s="124">
        <v>659.72400000000005</v>
      </c>
      <c r="C200" s="128">
        <v>2620</v>
      </c>
      <c r="D200" s="125">
        <v>654.86599999999999</v>
      </c>
      <c r="E200" s="126">
        <v>2610</v>
      </c>
      <c r="F200" s="125">
        <v>1380.8430000000001</v>
      </c>
      <c r="G200" s="127">
        <v>2610</v>
      </c>
      <c r="H200" s="125">
        <v>1379.384</v>
      </c>
      <c r="I200" s="127">
        <v>2610</v>
      </c>
      <c r="J200" s="125">
        <v>1175.336</v>
      </c>
      <c r="K200" s="127">
        <v>2610</v>
      </c>
      <c r="L200" s="125">
        <v>1175.126</v>
      </c>
      <c r="M200" s="127">
        <v>2610</v>
      </c>
      <c r="N200" s="125">
        <v>1175.114</v>
      </c>
      <c r="O200" s="127">
        <v>2590</v>
      </c>
      <c r="P200" s="125">
        <v>1176.222</v>
      </c>
      <c r="Q200" s="127">
        <v>2610</v>
      </c>
      <c r="R200" s="125">
        <v>1175.8109999999999</v>
      </c>
      <c r="S200" s="127">
        <v>2610</v>
      </c>
      <c r="T200" s="125">
        <v>1176.2329999999999</v>
      </c>
      <c r="U200" s="127">
        <v>2600</v>
      </c>
      <c r="V200" s="125">
        <v>1174.6179999999999</v>
      </c>
      <c r="W200" s="127">
        <v>2610</v>
      </c>
      <c r="X200" s="125">
        <v>1174.5029999999999</v>
      </c>
      <c r="Y200" s="127">
        <v>2610</v>
      </c>
      <c r="Z200" s="125">
        <v>1173.134</v>
      </c>
      <c r="AA200" s="127">
        <v>2610</v>
      </c>
      <c r="AB200" s="125">
        <v>1172.6020000000001</v>
      </c>
      <c r="AC200" s="127">
        <v>2600</v>
      </c>
      <c r="AD200" s="125">
        <v>1096.8800000000001</v>
      </c>
      <c r="AE200" s="127">
        <v>2610</v>
      </c>
      <c r="AF200" s="125">
        <v>1097.961</v>
      </c>
      <c r="AG200" s="127">
        <v>2590</v>
      </c>
      <c r="AH200" s="125">
        <v>315.31099999999998</v>
      </c>
      <c r="AI200" s="127">
        <v>2590</v>
      </c>
      <c r="AJ200" s="125">
        <v>329.09399999999999</v>
      </c>
    </row>
    <row r="201" spans="1:36" ht="14.25">
      <c r="A201" s="128">
        <v>2620</v>
      </c>
      <c r="B201" s="124">
        <v>658.94799999999998</v>
      </c>
      <c r="C201" s="128">
        <v>2630</v>
      </c>
      <c r="D201" s="125">
        <v>654.096</v>
      </c>
      <c r="E201" s="126">
        <v>2620</v>
      </c>
      <c r="F201" s="125">
        <v>1379.3789999999999</v>
      </c>
      <c r="G201" s="127">
        <v>2620</v>
      </c>
      <c r="H201" s="125">
        <v>1377.924</v>
      </c>
      <c r="I201" s="127">
        <v>2620</v>
      </c>
      <c r="J201" s="125">
        <v>1174.1579999999999</v>
      </c>
      <c r="K201" s="127">
        <v>2620</v>
      </c>
      <c r="L201" s="125">
        <v>1173.9480000000001</v>
      </c>
      <c r="M201" s="127">
        <v>2620</v>
      </c>
      <c r="N201" s="125">
        <v>1173.9359999999999</v>
      </c>
      <c r="O201" s="127">
        <v>2600</v>
      </c>
      <c r="P201" s="125">
        <v>1175.0450000000001</v>
      </c>
      <c r="Q201" s="127">
        <v>2620</v>
      </c>
      <c r="R201" s="125">
        <v>1174.634</v>
      </c>
      <c r="S201" s="127">
        <v>2620</v>
      </c>
      <c r="T201" s="125">
        <v>1175.057</v>
      </c>
      <c r="U201" s="127">
        <v>2610</v>
      </c>
      <c r="V201" s="125">
        <v>1173.444</v>
      </c>
      <c r="W201" s="127">
        <v>2620</v>
      </c>
      <c r="X201" s="125">
        <v>1173.329</v>
      </c>
      <c r="Y201" s="127">
        <v>2620</v>
      </c>
      <c r="Z201" s="125">
        <v>1171.9580000000001</v>
      </c>
      <c r="AA201" s="127">
        <v>2620</v>
      </c>
      <c r="AB201" s="125">
        <v>1171.4290000000001</v>
      </c>
      <c r="AC201" s="127">
        <v>2610</v>
      </c>
      <c r="AD201" s="125">
        <v>1095.7049999999999</v>
      </c>
      <c r="AE201" s="127">
        <v>2620</v>
      </c>
      <c r="AF201" s="125">
        <v>1096.787</v>
      </c>
      <c r="AG201" s="127">
        <v>2600</v>
      </c>
      <c r="AH201" s="125">
        <v>314.928</v>
      </c>
      <c r="AI201" s="127">
        <v>2600</v>
      </c>
      <c r="AJ201" s="125">
        <v>328.69799999999998</v>
      </c>
    </row>
    <row r="202" spans="1:36" ht="14.25">
      <c r="A202" s="128">
        <v>2630</v>
      </c>
      <c r="B202" s="124">
        <v>658.17200000000003</v>
      </c>
      <c r="C202" s="128">
        <v>2640</v>
      </c>
      <c r="D202" s="125">
        <v>653.327</v>
      </c>
      <c r="E202" s="126">
        <v>2630</v>
      </c>
      <c r="F202" s="125">
        <v>1377.915</v>
      </c>
      <c r="G202" s="127">
        <v>2630</v>
      </c>
      <c r="H202" s="125">
        <v>1376.4639999999999</v>
      </c>
      <c r="I202" s="127">
        <v>2630</v>
      </c>
      <c r="J202" s="125">
        <v>1172.98</v>
      </c>
      <c r="K202" s="127">
        <v>2630</v>
      </c>
      <c r="L202" s="125">
        <v>1172.77</v>
      </c>
      <c r="M202" s="127">
        <v>2630</v>
      </c>
      <c r="N202" s="125">
        <v>1172.759</v>
      </c>
      <c r="O202" s="127">
        <v>2610</v>
      </c>
      <c r="P202" s="125">
        <v>1173.867</v>
      </c>
      <c r="Q202" s="127">
        <v>2630</v>
      </c>
      <c r="R202" s="125">
        <v>1173.4559999999999</v>
      </c>
      <c r="S202" s="127">
        <v>2630</v>
      </c>
      <c r="T202" s="125">
        <v>1173.8800000000001</v>
      </c>
      <c r="U202" s="127">
        <v>2620</v>
      </c>
      <c r="V202" s="125">
        <v>1172.269</v>
      </c>
      <c r="W202" s="127">
        <v>2630</v>
      </c>
      <c r="X202" s="125">
        <v>1172.154</v>
      </c>
      <c r="Y202" s="127">
        <v>2630</v>
      </c>
      <c r="Z202" s="125">
        <v>1170.7819999999999</v>
      </c>
      <c r="AA202" s="127">
        <v>2630</v>
      </c>
      <c r="AB202" s="125">
        <v>1170.2560000000001</v>
      </c>
      <c r="AC202" s="127">
        <v>2620</v>
      </c>
      <c r="AD202" s="125">
        <v>1094.53</v>
      </c>
      <c r="AE202" s="127">
        <v>2630</v>
      </c>
      <c r="AF202" s="125">
        <v>1095.614</v>
      </c>
      <c r="AG202" s="127">
        <v>2610</v>
      </c>
      <c r="AH202" s="125">
        <v>314.54500000000002</v>
      </c>
      <c r="AI202" s="127">
        <v>2610</v>
      </c>
      <c r="AJ202" s="125">
        <v>328.30099999999999</v>
      </c>
    </row>
    <row r="203" spans="1:36" ht="14.25">
      <c r="A203" s="128">
        <v>2640</v>
      </c>
      <c r="B203" s="124">
        <v>657.39599999999996</v>
      </c>
      <c r="C203" s="128">
        <v>2650</v>
      </c>
      <c r="D203" s="125">
        <v>652.55700000000002</v>
      </c>
      <c r="E203" s="126">
        <v>2640</v>
      </c>
      <c r="F203" s="125">
        <v>1376.451</v>
      </c>
      <c r="G203" s="127">
        <v>2640</v>
      </c>
      <c r="H203" s="125">
        <v>1375.0039999999999</v>
      </c>
      <c r="I203" s="127">
        <v>2640</v>
      </c>
      <c r="J203" s="125">
        <v>1171.8009999999999</v>
      </c>
      <c r="K203" s="127">
        <v>2640</v>
      </c>
      <c r="L203" s="125">
        <v>1171.5920000000001</v>
      </c>
      <c r="M203" s="127">
        <v>2640</v>
      </c>
      <c r="N203" s="125">
        <v>1171.58</v>
      </c>
      <c r="O203" s="127">
        <v>2620</v>
      </c>
      <c r="P203" s="125">
        <v>1172.69</v>
      </c>
      <c r="Q203" s="127">
        <v>2640</v>
      </c>
      <c r="R203" s="125">
        <v>1172.279</v>
      </c>
      <c r="S203" s="127">
        <v>2640</v>
      </c>
      <c r="T203" s="125">
        <v>1172.703</v>
      </c>
      <c r="U203" s="127">
        <v>2630</v>
      </c>
      <c r="V203" s="125">
        <v>1171.095</v>
      </c>
      <c r="W203" s="127">
        <v>2640</v>
      </c>
      <c r="X203" s="125">
        <v>1170.979</v>
      </c>
      <c r="Y203" s="127">
        <v>2640</v>
      </c>
      <c r="Z203" s="125">
        <v>1169.606</v>
      </c>
      <c r="AA203" s="127">
        <v>2640</v>
      </c>
      <c r="AB203" s="125">
        <v>1169.0820000000001</v>
      </c>
      <c r="AC203" s="127">
        <v>2630</v>
      </c>
      <c r="AD203" s="125">
        <v>1093.354</v>
      </c>
      <c r="AE203" s="127">
        <v>2640</v>
      </c>
      <c r="AF203" s="125">
        <v>1094.44</v>
      </c>
      <c r="AG203" s="127">
        <v>2620</v>
      </c>
      <c r="AH203" s="125">
        <v>314.16199999999998</v>
      </c>
      <c r="AI203" s="127">
        <v>2620</v>
      </c>
      <c r="AJ203" s="125">
        <v>327.904</v>
      </c>
    </row>
    <row r="204" spans="1:36" ht="14.25">
      <c r="A204" s="128">
        <v>2650</v>
      </c>
      <c r="B204" s="124">
        <v>656.61900000000003</v>
      </c>
      <c r="C204" s="128">
        <v>2660</v>
      </c>
      <c r="D204" s="125">
        <v>651.78700000000003</v>
      </c>
      <c r="E204" s="126">
        <v>2650</v>
      </c>
      <c r="F204" s="125">
        <v>1374.9860000000001</v>
      </c>
      <c r="G204" s="127">
        <v>2650</v>
      </c>
      <c r="H204" s="125">
        <v>1373.5429999999999</v>
      </c>
      <c r="I204" s="127">
        <v>2650</v>
      </c>
      <c r="J204" s="125">
        <v>1170.6220000000001</v>
      </c>
      <c r="K204" s="127">
        <v>2650</v>
      </c>
      <c r="L204" s="125">
        <v>1170.413</v>
      </c>
      <c r="M204" s="127">
        <v>2650</v>
      </c>
      <c r="N204" s="125">
        <v>1170.402</v>
      </c>
      <c r="O204" s="127">
        <v>2630</v>
      </c>
      <c r="P204" s="125">
        <v>1171.5119999999999</v>
      </c>
      <c r="Q204" s="127">
        <v>2650</v>
      </c>
      <c r="R204" s="125">
        <v>1171.1010000000001</v>
      </c>
      <c r="S204" s="127">
        <v>2650</v>
      </c>
      <c r="T204" s="125">
        <v>1171.5260000000001</v>
      </c>
      <c r="U204" s="127">
        <v>2640</v>
      </c>
      <c r="V204" s="125">
        <v>1169.92</v>
      </c>
      <c r="W204" s="127">
        <v>2650</v>
      </c>
      <c r="X204" s="125">
        <v>1169.8030000000001</v>
      </c>
      <c r="Y204" s="127">
        <v>2650</v>
      </c>
      <c r="Z204" s="125">
        <v>1168.43</v>
      </c>
      <c r="AA204" s="127">
        <v>2650</v>
      </c>
      <c r="AB204" s="125">
        <v>1167.9079999999999</v>
      </c>
      <c r="AC204" s="127">
        <v>2640</v>
      </c>
      <c r="AD204" s="125">
        <v>1092.1780000000001</v>
      </c>
      <c r="AE204" s="127">
        <v>2650</v>
      </c>
      <c r="AF204" s="125">
        <v>1093.2660000000001</v>
      </c>
      <c r="AG204" s="127">
        <v>2630</v>
      </c>
      <c r="AH204" s="125">
        <v>313.779</v>
      </c>
      <c r="AI204" s="127">
        <v>2630</v>
      </c>
      <c r="AJ204" s="125">
        <v>327.50700000000001</v>
      </c>
    </row>
    <row r="205" spans="1:36" ht="14.25">
      <c r="A205" s="128">
        <v>2660</v>
      </c>
      <c r="B205" s="124">
        <v>655.84299999999996</v>
      </c>
      <c r="C205" s="128">
        <v>2670</v>
      </c>
      <c r="D205" s="125">
        <v>651.01700000000005</v>
      </c>
      <c r="E205" s="126">
        <v>2660</v>
      </c>
      <c r="F205" s="125">
        <v>1373.5219999999999</v>
      </c>
      <c r="G205" s="127">
        <v>2660</v>
      </c>
      <c r="H205" s="125">
        <v>1372.0830000000001</v>
      </c>
      <c r="I205" s="127">
        <v>2660</v>
      </c>
      <c r="J205" s="125">
        <v>1169.444</v>
      </c>
      <c r="K205" s="127">
        <v>2660</v>
      </c>
      <c r="L205" s="125">
        <v>1169.2339999999999</v>
      </c>
      <c r="M205" s="127">
        <v>2660</v>
      </c>
      <c r="N205" s="125">
        <v>1169.223</v>
      </c>
      <c r="O205" s="127">
        <v>2640</v>
      </c>
      <c r="P205" s="125">
        <v>1170.3340000000001</v>
      </c>
      <c r="Q205" s="127">
        <v>2660</v>
      </c>
      <c r="R205" s="125">
        <v>1169.923</v>
      </c>
      <c r="S205" s="127">
        <v>2660</v>
      </c>
      <c r="T205" s="125">
        <v>1170.3489999999999</v>
      </c>
      <c r="U205" s="127">
        <v>2650</v>
      </c>
      <c r="V205" s="125">
        <v>1168.7439999999999</v>
      </c>
      <c r="W205" s="127">
        <v>2660</v>
      </c>
      <c r="X205" s="125">
        <v>1168.6279999999999</v>
      </c>
      <c r="Y205" s="127">
        <v>2660</v>
      </c>
      <c r="Z205" s="125">
        <v>1167.2539999999999</v>
      </c>
      <c r="AA205" s="127">
        <v>2660</v>
      </c>
      <c r="AB205" s="125">
        <v>1166.7339999999999</v>
      </c>
      <c r="AC205" s="127">
        <v>2650</v>
      </c>
      <c r="AD205" s="125">
        <v>1091.0029999999999</v>
      </c>
      <c r="AE205" s="127">
        <v>2660</v>
      </c>
      <c r="AF205" s="125">
        <v>1092.0909999999999</v>
      </c>
      <c r="AG205" s="127">
        <v>2640</v>
      </c>
      <c r="AH205" s="125">
        <v>313.39600000000002</v>
      </c>
      <c r="AI205" s="127">
        <v>2640</v>
      </c>
      <c r="AJ205" s="125">
        <v>327.11</v>
      </c>
    </row>
    <row r="206" spans="1:36" ht="14.25">
      <c r="A206" s="128">
        <v>2670</v>
      </c>
      <c r="B206" s="124">
        <v>655.06600000000003</v>
      </c>
      <c r="C206" s="128">
        <v>2680</v>
      </c>
      <c r="D206" s="125">
        <v>650.24599999999998</v>
      </c>
      <c r="E206" s="126">
        <v>2670</v>
      </c>
      <c r="F206" s="125">
        <v>1372.057</v>
      </c>
      <c r="G206" s="127">
        <v>2670</v>
      </c>
      <c r="H206" s="125">
        <v>1370.6210000000001</v>
      </c>
      <c r="I206" s="127">
        <v>2670</v>
      </c>
      <c r="J206" s="125">
        <v>1168.2650000000001</v>
      </c>
      <c r="K206" s="127">
        <v>2670</v>
      </c>
      <c r="L206" s="125">
        <v>1168.0550000000001</v>
      </c>
      <c r="M206" s="127">
        <v>2670</v>
      </c>
      <c r="N206" s="125">
        <v>1168.0450000000001</v>
      </c>
      <c r="O206" s="127">
        <v>2650</v>
      </c>
      <c r="P206" s="125">
        <v>1169.1559999999999</v>
      </c>
      <c r="Q206" s="127">
        <v>2670</v>
      </c>
      <c r="R206" s="125">
        <v>1168.7439999999999</v>
      </c>
      <c r="S206" s="127">
        <v>2670</v>
      </c>
      <c r="T206" s="125">
        <v>1169.171</v>
      </c>
      <c r="U206" s="127">
        <v>2660</v>
      </c>
      <c r="V206" s="125">
        <v>1167.569</v>
      </c>
      <c r="W206" s="127">
        <v>2670</v>
      </c>
      <c r="X206" s="125">
        <v>1167.452</v>
      </c>
      <c r="Y206" s="127">
        <v>2670</v>
      </c>
      <c r="Z206" s="125">
        <v>1166.077</v>
      </c>
      <c r="AA206" s="127">
        <v>2670</v>
      </c>
      <c r="AB206" s="125">
        <v>1165.56</v>
      </c>
      <c r="AC206" s="127">
        <v>2660</v>
      </c>
      <c r="AD206" s="125">
        <v>1089.826</v>
      </c>
      <c r="AE206" s="127">
        <v>2670</v>
      </c>
      <c r="AF206" s="125">
        <v>1090.9159999999999</v>
      </c>
      <c r="AG206" s="127">
        <v>2650</v>
      </c>
      <c r="AH206" s="125">
        <v>313.01299999999998</v>
      </c>
      <c r="AI206" s="127">
        <v>2650</v>
      </c>
      <c r="AJ206" s="125">
        <v>326.71199999999999</v>
      </c>
    </row>
    <row r="207" spans="1:36" ht="14.25">
      <c r="A207" s="128">
        <v>2680</v>
      </c>
      <c r="B207" s="124">
        <v>654.28899999999999</v>
      </c>
      <c r="C207" s="128">
        <v>2690</v>
      </c>
      <c r="D207" s="125">
        <v>649.476</v>
      </c>
      <c r="E207" s="126">
        <v>2680</v>
      </c>
      <c r="F207" s="125">
        <v>1370.5909999999999</v>
      </c>
      <c r="G207" s="127">
        <v>2680</v>
      </c>
      <c r="H207" s="125">
        <v>1369.16</v>
      </c>
      <c r="I207" s="127">
        <v>2680</v>
      </c>
      <c r="J207" s="125">
        <v>1167.085</v>
      </c>
      <c r="K207" s="127">
        <v>2680</v>
      </c>
      <c r="L207" s="125">
        <v>1166.876</v>
      </c>
      <c r="M207" s="127">
        <v>2680</v>
      </c>
      <c r="N207" s="125">
        <v>1166.866</v>
      </c>
      <c r="O207" s="127">
        <v>2660</v>
      </c>
      <c r="P207" s="125">
        <v>1167.9770000000001</v>
      </c>
      <c r="Q207" s="127">
        <v>2680</v>
      </c>
      <c r="R207" s="125">
        <v>1167.566</v>
      </c>
      <c r="S207" s="127">
        <v>2680</v>
      </c>
      <c r="T207" s="125">
        <v>1167.9929999999999</v>
      </c>
      <c r="U207" s="127">
        <v>2670</v>
      </c>
      <c r="V207" s="125">
        <v>1166.393</v>
      </c>
      <c r="W207" s="127">
        <v>2680</v>
      </c>
      <c r="X207" s="125">
        <v>1166.2760000000001</v>
      </c>
      <c r="Y207" s="127">
        <v>2680</v>
      </c>
      <c r="Z207" s="125">
        <v>1164.9000000000001</v>
      </c>
      <c r="AA207" s="127">
        <v>2680</v>
      </c>
      <c r="AB207" s="125">
        <v>1164.385</v>
      </c>
      <c r="AC207" s="127">
        <v>2670</v>
      </c>
      <c r="AD207" s="125">
        <v>1088.6500000000001</v>
      </c>
      <c r="AE207" s="127">
        <v>2680</v>
      </c>
      <c r="AF207" s="125">
        <v>1089.742</v>
      </c>
      <c r="AG207" s="127">
        <v>2660</v>
      </c>
      <c r="AH207" s="125">
        <v>312.62900000000002</v>
      </c>
      <c r="AI207" s="127">
        <v>2660</v>
      </c>
      <c r="AJ207" s="125">
        <v>326.315</v>
      </c>
    </row>
    <row r="208" spans="1:36" ht="14.25">
      <c r="A208" s="128">
        <v>2690</v>
      </c>
      <c r="B208" s="124">
        <v>653.51099999999997</v>
      </c>
      <c r="C208" s="128">
        <v>2700</v>
      </c>
      <c r="D208" s="125">
        <v>648.70500000000004</v>
      </c>
      <c r="E208" s="126">
        <v>2690</v>
      </c>
      <c r="F208" s="125">
        <v>1369.126</v>
      </c>
      <c r="G208" s="127">
        <v>2690</v>
      </c>
      <c r="H208" s="125">
        <v>1367.6980000000001</v>
      </c>
      <c r="I208" s="127">
        <v>2690</v>
      </c>
      <c r="J208" s="125">
        <v>1165.9059999999999</v>
      </c>
      <c r="K208" s="127">
        <v>2690</v>
      </c>
      <c r="L208" s="125">
        <v>1165.6959999999999</v>
      </c>
      <c r="M208" s="127">
        <v>2690</v>
      </c>
      <c r="N208" s="125">
        <v>1165.6859999999999</v>
      </c>
      <c r="O208" s="127">
        <v>2670</v>
      </c>
      <c r="P208" s="125">
        <v>1166.798</v>
      </c>
      <c r="Q208" s="127">
        <v>2690</v>
      </c>
      <c r="R208" s="125">
        <v>1166.3869999999999</v>
      </c>
      <c r="S208" s="127">
        <v>2690</v>
      </c>
      <c r="T208" s="125">
        <v>1166.8150000000001</v>
      </c>
      <c r="U208" s="127">
        <v>2680</v>
      </c>
      <c r="V208" s="125">
        <v>1165.2180000000001</v>
      </c>
      <c r="W208" s="127">
        <v>2690</v>
      </c>
      <c r="X208" s="125">
        <v>1165.0999999999999</v>
      </c>
      <c r="Y208" s="127">
        <v>2690</v>
      </c>
      <c r="Z208" s="125">
        <v>1163.723</v>
      </c>
      <c r="AA208" s="127">
        <v>2690</v>
      </c>
      <c r="AB208" s="125">
        <v>1163.211</v>
      </c>
      <c r="AC208" s="127">
        <v>2680</v>
      </c>
      <c r="AD208" s="125">
        <v>1087.473</v>
      </c>
      <c r="AE208" s="127">
        <v>2690</v>
      </c>
      <c r="AF208" s="125">
        <v>1088.566</v>
      </c>
      <c r="AG208" s="127">
        <v>2670</v>
      </c>
      <c r="AH208" s="125">
        <v>312.24599999999998</v>
      </c>
      <c r="AI208" s="127">
        <v>2670</v>
      </c>
      <c r="AJ208" s="125">
        <v>325.91800000000001</v>
      </c>
    </row>
    <row r="209" spans="1:36" ht="14.25">
      <c r="A209" s="128">
        <v>2700</v>
      </c>
      <c r="B209" s="124">
        <v>652.73400000000004</v>
      </c>
      <c r="C209" s="128">
        <v>2710</v>
      </c>
      <c r="D209" s="125">
        <v>647.93399999999997</v>
      </c>
      <c r="E209" s="126">
        <v>2700</v>
      </c>
      <c r="F209" s="125">
        <v>1367.66</v>
      </c>
      <c r="G209" s="127">
        <v>2700</v>
      </c>
      <c r="H209" s="125">
        <v>1366.2360000000001</v>
      </c>
      <c r="I209" s="127">
        <v>2700</v>
      </c>
      <c r="J209" s="125">
        <v>1164.7260000000001</v>
      </c>
      <c r="K209" s="127">
        <v>2700</v>
      </c>
      <c r="L209" s="125">
        <v>1164.5170000000001</v>
      </c>
      <c r="M209" s="127">
        <v>2700</v>
      </c>
      <c r="N209" s="125">
        <v>1164.5070000000001</v>
      </c>
      <c r="O209" s="127">
        <v>2680</v>
      </c>
      <c r="P209" s="125">
        <v>1165.6189999999999</v>
      </c>
      <c r="Q209" s="127">
        <v>2700</v>
      </c>
      <c r="R209" s="125">
        <v>1165.2080000000001</v>
      </c>
      <c r="S209" s="127">
        <v>2700</v>
      </c>
      <c r="T209" s="125">
        <v>1165.6369999999999</v>
      </c>
      <c r="U209" s="127">
        <v>2690</v>
      </c>
      <c r="V209" s="125">
        <v>1164.0409999999999</v>
      </c>
      <c r="W209" s="127">
        <v>2700</v>
      </c>
      <c r="X209" s="125">
        <v>1163.923</v>
      </c>
      <c r="Y209" s="127">
        <v>2700</v>
      </c>
      <c r="Z209" s="125">
        <v>1162.5450000000001</v>
      </c>
      <c r="AA209" s="127">
        <v>2700</v>
      </c>
      <c r="AB209" s="125">
        <v>1162.0360000000001</v>
      </c>
      <c r="AC209" s="127">
        <v>2690</v>
      </c>
      <c r="AD209" s="125">
        <v>1086.296</v>
      </c>
      <c r="AE209" s="127">
        <v>2700</v>
      </c>
      <c r="AF209" s="125">
        <v>1087.3910000000001</v>
      </c>
      <c r="AG209" s="127">
        <v>2680</v>
      </c>
      <c r="AH209" s="125">
        <v>311.86200000000002</v>
      </c>
      <c r="AI209" s="127">
        <v>2680</v>
      </c>
      <c r="AJ209" s="125">
        <v>325.52</v>
      </c>
    </row>
    <row r="210" spans="1:36" ht="14.25">
      <c r="A210" s="128">
        <v>2710</v>
      </c>
      <c r="B210" s="124">
        <v>651.95600000000002</v>
      </c>
      <c r="C210" s="128">
        <v>2720</v>
      </c>
      <c r="D210" s="125">
        <v>647.16300000000001</v>
      </c>
      <c r="E210" s="126">
        <v>2710</v>
      </c>
      <c r="F210" s="125">
        <v>1366.193</v>
      </c>
      <c r="G210" s="127">
        <v>2710</v>
      </c>
      <c r="H210" s="125">
        <v>1364.7739999999999</v>
      </c>
      <c r="I210" s="127">
        <v>2710</v>
      </c>
      <c r="J210" s="125">
        <v>1163.546</v>
      </c>
      <c r="K210" s="127">
        <v>2710</v>
      </c>
      <c r="L210" s="125">
        <v>1163.337</v>
      </c>
      <c r="M210" s="127">
        <v>2710</v>
      </c>
      <c r="N210" s="125">
        <v>1163.327</v>
      </c>
      <c r="O210" s="127">
        <v>2690</v>
      </c>
      <c r="P210" s="125">
        <v>1164.44</v>
      </c>
      <c r="Q210" s="127">
        <v>2710</v>
      </c>
      <c r="R210" s="125">
        <v>1164.028</v>
      </c>
      <c r="S210" s="127">
        <v>2710</v>
      </c>
      <c r="T210" s="125">
        <v>1164.4580000000001</v>
      </c>
      <c r="U210" s="127">
        <v>2700</v>
      </c>
      <c r="V210" s="125">
        <v>1162.865</v>
      </c>
      <c r="W210" s="127">
        <v>2710</v>
      </c>
      <c r="X210" s="125">
        <v>1162.7460000000001</v>
      </c>
      <c r="Y210" s="127">
        <v>2710</v>
      </c>
      <c r="Z210" s="125">
        <v>1161.367</v>
      </c>
      <c r="AA210" s="127">
        <v>2710</v>
      </c>
      <c r="AB210" s="125">
        <v>1160.8599999999999</v>
      </c>
      <c r="AC210" s="127">
        <v>2700</v>
      </c>
      <c r="AD210" s="125">
        <v>1085.1189999999999</v>
      </c>
      <c r="AE210" s="127">
        <v>2710</v>
      </c>
      <c r="AF210" s="125">
        <v>1086.2149999999999</v>
      </c>
      <c r="AG210" s="127">
        <v>2690</v>
      </c>
      <c r="AH210" s="125">
        <v>311.47899999999998</v>
      </c>
      <c r="AI210" s="127">
        <v>2690</v>
      </c>
      <c r="AJ210" s="125">
        <v>325.12299999999999</v>
      </c>
    </row>
    <row r="211" spans="1:36" ht="14.25">
      <c r="A211" s="128">
        <v>2720</v>
      </c>
      <c r="B211" s="124">
        <v>651.178</v>
      </c>
      <c r="C211" s="128">
        <v>2730</v>
      </c>
      <c r="D211" s="125">
        <v>646.39200000000005</v>
      </c>
      <c r="E211" s="126">
        <v>2720</v>
      </c>
      <c r="F211" s="125">
        <v>1364.7270000000001</v>
      </c>
      <c r="G211" s="127">
        <v>2720</v>
      </c>
      <c r="H211" s="125">
        <v>1363.3109999999999</v>
      </c>
      <c r="I211" s="127">
        <v>2720</v>
      </c>
      <c r="J211" s="125">
        <v>1162.365</v>
      </c>
      <c r="K211" s="127">
        <v>2720</v>
      </c>
      <c r="L211" s="125">
        <v>1162.1559999999999</v>
      </c>
      <c r="M211" s="127">
        <v>2720</v>
      </c>
      <c r="N211" s="125">
        <v>1162.1469999999999</v>
      </c>
      <c r="O211" s="127">
        <v>2700</v>
      </c>
      <c r="P211" s="125">
        <v>1163.26</v>
      </c>
      <c r="Q211" s="127">
        <v>2720</v>
      </c>
      <c r="R211" s="125">
        <v>1162.8489999999999</v>
      </c>
      <c r="S211" s="127">
        <v>2720</v>
      </c>
      <c r="T211" s="125">
        <v>1163.279</v>
      </c>
      <c r="U211" s="127">
        <v>2710</v>
      </c>
      <c r="V211" s="125">
        <v>1161.6880000000001</v>
      </c>
      <c r="W211" s="127">
        <v>2720</v>
      </c>
      <c r="X211" s="125">
        <v>1161.569</v>
      </c>
      <c r="Y211" s="127">
        <v>2720</v>
      </c>
      <c r="Z211" s="125">
        <v>1160.19</v>
      </c>
      <c r="AA211" s="127">
        <v>2720</v>
      </c>
      <c r="AB211" s="125">
        <v>1159.6849999999999</v>
      </c>
      <c r="AC211" s="127">
        <v>2710</v>
      </c>
      <c r="AD211" s="125">
        <v>1083.942</v>
      </c>
      <c r="AE211" s="127">
        <v>2720</v>
      </c>
      <c r="AF211" s="125">
        <v>1085.04</v>
      </c>
      <c r="AG211" s="127">
        <v>2700</v>
      </c>
      <c r="AH211" s="125">
        <v>311.09500000000003</v>
      </c>
      <c r="AI211" s="127">
        <v>2700</v>
      </c>
      <c r="AJ211" s="125">
        <v>324.72500000000002</v>
      </c>
    </row>
    <row r="212" spans="1:36" ht="14.25">
      <c r="A212" s="128">
        <v>2730</v>
      </c>
      <c r="B212" s="124">
        <v>650.40099999999995</v>
      </c>
      <c r="C212" s="128">
        <v>2740</v>
      </c>
      <c r="D212" s="125">
        <v>645.62</v>
      </c>
      <c r="E212" s="126">
        <v>2730</v>
      </c>
      <c r="F212" s="125">
        <v>1363.26</v>
      </c>
      <c r="G212" s="127">
        <v>2730</v>
      </c>
      <c r="H212" s="125">
        <v>1361.848</v>
      </c>
      <c r="I212" s="127">
        <v>2730</v>
      </c>
      <c r="J212" s="125">
        <v>1161.1849999999999</v>
      </c>
      <c r="K212" s="127">
        <v>2730</v>
      </c>
      <c r="L212" s="125">
        <v>1160.9760000000001</v>
      </c>
      <c r="M212" s="127">
        <v>2730</v>
      </c>
      <c r="N212" s="125">
        <v>1160.9670000000001</v>
      </c>
      <c r="O212" s="127">
        <v>2710</v>
      </c>
      <c r="P212" s="125">
        <v>1162.0809999999999</v>
      </c>
      <c r="Q212" s="127">
        <v>2730</v>
      </c>
      <c r="R212" s="125">
        <v>1161.6690000000001</v>
      </c>
      <c r="S212" s="127">
        <v>2730</v>
      </c>
      <c r="T212" s="125">
        <v>1162.0999999999999</v>
      </c>
      <c r="U212" s="127">
        <v>2720</v>
      </c>
      <c r="V212" s="125">
        <v>1160.5119999999999</v>
      </c>
      <c r="W212" s="127">
        <v>2730</v>
      </c>
      <c r="X212" s="125">
        <v>1160.3920000000001</v>
      </c>
      <c r="Y212" s="127">
        <v>2730</v>
      </c>
      <c r="Z212" s="125">
        <v>1159.011</v>
      </c>
      <c r="AA212" s="127">
        <v>2730</v>
      </c>
      <c r="AB212" s="125">
        <v>1158.509</v>
      </c>
      <c r="AC212" s="127">
        <v>2720</v>
      </c>
      <c r="AD212" s="125">
        <v>1082.7639999999999</v>
      </c>
      <c r="AE212" s="127">
        <v>2730</v>
      </c>
      <c r="AF212" s="125">
        <v>1083.8630000000001</v>
      </c>
      <c r="AG212" s="127">
        <v>2710</v>
      </c>
      <c r="AH212" s="125">
        <v>310.71100000000001</v>
      </c>
      <c r="AI212" s="127">
        <v>2710</v>
      </c>
      <c r="AJ212" s="125">
        <v>324.327</v>
      </c>
    </row>
    <row r="213" spans="1:36" ht="14.25">
      <c r="A213" s="128">
        <v>2740</v>
      </c>
      <c r="B213" s="124">
        <v>649.62199999999996</v>
      </c>
      <c r="C213" s="128">
        <v>2750</v>
      </c>
      <c r="D213" s="125">
        <v>644.84799999999996</v>
      </c>
      <c r="E213" s="126">
        <v>2740</v>
      </c>
      <c r="F213" s="125">
        <v>1361.7929999999999</v>
      </c>
      <c r="G213" s="127">
        <v>2740</v>
      </c>
      <c r="H213" s="125">
        <v>1360.385</v>
      </c>
      <c r="I213" s="127">
        <v>2740</v>
      </c>
      <c r="J213" s="125">
        <v>1160.0039999999999</v>
      </c>
      <c r="K213" s="127">
        <v>2740</v>
      </c>
      <c r="L213" s="125">
        <v>1159.7950000000001</v>
      </c>
      <c r="M213" s="127">
        <v>2740</v>
      </c>
      <c r="N213" s="125">
        <v>1159.7860000000001</v>
      </c>
      <c r="O213" s="127">
        <v>2720</v>
      </c>
      <c r="P213" s="125">
        <v>1160.9010000000001</v>
      </c>
      <c r="Q213" s="127">
        <v>2740</v>
      </c>
      <c r="R213" s="125">
        <v>1160.489</v>
      </c>
      <c r="S213" s="127">
        <v>2740</v>
      </c>
      <c r="T213" s="125">
        <v>1160.921</v>
      </c>
      <c r="U213" s="127">
        <v>2730</v>
      </c>
      <c r="V213" s="125">
        <v>1159.3340000000001</v>
      </c>
      <c r="W213" s="127">
        <v>2740</v>
      </c>
      <c r="X213" s="125">
        <v>1159.2139999999999</v>
      </c>
      <c r="Y213" s="127">
        <v>2740</v>
      </c>
      <c r="Z213" s="125">
        <v>1157.8330000000001</v>
      </c>
      <c r="AA213" s="127">
        <v>2740</v>
      </c>
      <c r="AB213" s="125">
        <v>1157.3330000000001</v>
      </c>
      <c r="AC213" s="127">
        <v>2730</v>
      </c>
      <c r="AD213" s="125">
        <v>1081.586</v>
      </c>
      <c r="AE213" s="127">
        <v>2740</v>
      </c>
      <c r="AF213" s="125">
        <v>1082.6869999999999</v>
      </c>
      <c r="AG213" s="127">
        <v>2720</v>
      </c>
      <c r="AH213" s="125">
        <v>310.327</v>
      </c>
      <c r="AI213" s="127">
        <v>2720</v>
      </c>
      <c r="AJ213" s="125">
        <v>323.92899999999997</v>
      </c>
    </row>
    <row r="214" spans="1:36" ht="14.25">
      <c r="A214" s="128">
        <v>2750</v>
      </c>
      <c r="B214" s="124">
        <v>648.84400000000005</v>
      </c>
      <c r="C214" s="128">
        <v>2760</v>
      </c>
      <c r="D214" s="125">
        <v>644.07600000000002</v>
      </c>
      <c r="E214" s="126">
        <v>2750</v>
      </c>
      <c r="F214" s="125">
        <v>1360.325</v>
      </c>
      <c r="G214" s="127">
        <v>2750</v>
      </c>
      <c r="H214" s="125">
        <v>1358.921</v>
      </c>
      <c r="I214" s="127">
        <v>2750</v>
      </c>
      <c r="J214" s="125">
        <v>1158.8230000000001</v>
      </c>
      <c r="K214" s="127">
        <v>2750</v>
      </c>
      <c r="L214" s="125">
        <v>1158.614</v>
      </c>
      <c r="M214" s="127">
        <v>2750</v>
      </c>
      <c r="N214" s="125">
        <v>1158.605</v>
      </c>
      <c r="O214" s="127">
        <v>2730</v>
      </c>
      <c r="P214" s="125">
        <v>1159.72</v>
      </c>
      <c r="Q214" s="127">
        <v>2750</v>
      </c>
      <c r="R214" s="125">
        <v>1159.309</v>
      </c>
      <c r="S214" s="127">
        <v>2750</v>
      </c>
      <c r="T214" s="125">
        <v>1159.742</v>
      </c>
      <c r="U214" s="127">
        <v>2740</v>
      </c>
      <c r="V214" s="125">
        <v>1158.1569999999999</v>
      </c>
      <c r="W214" s="127">
        <v>2750</v>
      </c>
      <c r="X214" s="125">
        <v>1158.0360000000001</v>
      </c>
      <c r="Y214" s="127">
        <v>2750</v>
      </c>
      <c r="Z214" s="125">
        <v>1156.654</v>
      </c>
      <c r="AA214" s="127">
        <v>2750</v>
      </c>
      <c r="AB214" s="125">
        <v>1156.1569999999999</v>
      </c>
      <c r="AC214" s="127">
        <v>2740</v>
      </c>
      <c r="AD214" s="125">
        <v>1080.4079999999999</v>
      </c>
      <c r="AE214" s="127">
        <v>2750</v>
      </c>
      <c r="AF214" s="125">
        <v>1081.511</v>
      </c>
      <c r="AG214" s="127">
        <v>2730</v>
      </c>
      <c r="AH214" s="125">
        <v>309.94299999999998</v>
      </c>
      <c r="AI214" s="127">
        <v>2730</v>
      </c>
      <c r="AJ214" s="125">
        <v>323.53100000000001</v>
      </c>
    </row>
    <row r="215" spans="1:36" ht="14.25">
      <c r="A215" s="128">
        <v>2760</v>
      </c>
      <c r="B215" s="124">
        <v>648.06600000000003</v>
      </c>
      <c r="C215" s="128">
        <v>2770</v>
      </c>
      <c r="D215" s="125">
        <v>643.30399999999997</v>
      </c>
      <c r="E215" s="126">
        <v>2760</v>
      </c>
      <c r="F215" s="125">
        <v>1358.8579999999999</v>
      </c>
      <c r="G215" s="127">
        <v>2760</v>
      </c>
      <c r="H215" s="125">
        <v>1357.4580000000001</v>
      </c>
      <c r="I215" s="127">
        <v>2760</v>
      </c>
      <c r="J215" s="125">
        <v>1157.6420000000001</v>
      </c>
      <c r="K215" s="127">
        <v>2760</v>
      </c>
      <c r="L215" s="125">
        <v>1157.433</v>
      </c>
      <c r="M215" s="127">
        <v>2760</v>
      </c>
      <c r="N215" s="125">
        <v>1157.424</v>
      </c>
      <c r="O215" s="127">
        <v>2740</v>
      </c>
      <c r="P215" s="125">
        <v>1158.54</v>
      </c>
      <c r="Q215" s="127">
        <v>2760</v>
      </c>
      <c r="R215" s="125">
        <v>1158.1279999999999</v>
      </c>
      <c r="S215" s="127">
        <v>2760</v>
      </c>
      <c r="T215" s="125">
        <v>1158.5619999999999</v>
      </c>
      <c r="U215" s="127">
        <v>2750</v>
      </c>
      <c r="V215" s="125">
        <v>1156.98</v>
      </c>
      <c r="W215" s="127">
        <v>2760</v>
      </c>
      <c r="X215" s="125">
        <v>1156.8579999999999</v>
      </c>
      <c r="Y215" s="127">
        <v>2760</v>
      </c>
      <c r="Z215" s="125">
        <v>1155.4749999999999</v>
      </c>
      <c r="AA215" s="127">
        <v>2760</v>
      </c>
      <c r="AB215" s="125">
        <v>1154.98</v>
      </c>
      <c r="AC215" s="127">
        <v>2750</v>
      </c>
      <c r="AD215" s="125">
        <v>1079.23</v>
      </c>
      <c r="AE215" s="127">
        <v>2760</v>
      </c>
      <c r="AF215" s="125">
        <v>1080.3340000000001</v>
      </c>
      <c r="AG215" s="127">
        <v>2740</v>
      </c>
      <c r="AH215" s="125">
        <v>309.55900000000003</v>
      </c>
      <c r="AI215" s="127">
        <v>2740</v>
      </c>
      <c r="AJ215" s="125">
        <v>323.13299999999998</v>
      </c>
    </row>
    <row r="216" spans="1:36" ht="14.25">
      <c r="A216" s="128">
        <v>2770</v>
      </c>
      <c r="B216" s="124">
        <v>647.28700000000003</v>
      </c>
      <c r="C216" s="128">
        <v>2780</v>
      </c>
      <c r="D216" s="125">
        <v>642.53200000000004</v>
      </c>
      <c r="E216" s="126">
        <v>2770</v>
      </c>
      <c r="F216" s="125">
        <v>1357.3889999999999</v>
      </c>
      <c r="G216" s="127">
        <v>2770</v>
      </c>
      <c r="H216" s="125">
        <v>1355.9929999999999</v>
      </c>
      <c r="I216" s="127">
        <v>2770</v>
      </c>
      <c r="J216" s="125">
        <v>1156.46</v>
      </c>
      <c r="K216" s="127">
        <v>2770</v>
      </c>
      <c r="L216" s="125">
        <v>1156.251</v>
      </c>
      <c r="M216" s="127">
        <v>2770</v>
      </c>
      <c r="N216" s="125">
        <v>1156.2429999999999</v>
      </c>
      <c r="O216" s="127">
        <v>2750</v>
      </c>
      <c r="P216" s="125">
        <v>1157.3589999999999</v>
      </c>
      <c r="Q216" s="127">
        <v>2770</v>
      </c>
      <c r="R216" s="125">
        <v>1156.9469999999999</v>
      </c>
      <c r="S216" s="127">
        <v>2770</v>
      </c>
      <c r="T216" s="125">
        <v>1157.3820000000001</v>
      </c>
      <c r="U216" s="127">
        <v>2760</v>
      </c>
      <c r="V216" s="125">
        <v>1155.8019999999999</v>
      </c>
      <c r="W216" s="127">
        <v>2770</v>
      </c>
      <c r="X216" s="125">
        <v>1155.68</v>
      </c>
      <c r="Y216" s="127">
        <v>2770</v>
      </c>
      <c r="Z216" s="125">
        <v>1154.296</v>
      </c>
      <c r="AA216" s="127">
        <v>2770</v>
      </c>
      <c r="AB216" s="125">
        <v>1153.8030000000001</v>
      </c>
      <c r="AC216" s="127">
        <v>2760</v>
      </c>
      <c r="AD216" s="125">
        <v>1078.0509999999999</v>
      </c>
      <c r="AE216" s="127">
        <v>2770</v>
      </c>
      <c r="AF216" s="125">
        <v>1079.1569999999999</v>
      </c>
      <c r="AG216" s="127">
        <v>2750</v>
      </c>
      <c r="AH216" s="125">
        <v>309.17500000000001</v>
      </c>
      <c r="AI216" s="127">
        <v>2750</v>
      </c>
      <c r="AJ216" s="125">
        <v>322.73500000000001</v>
      </c>
    </row>
    <row r="217" spans="1:36" ht="14.25">
      <c r="A217" s="128">
        <v>2780</v>
      </c>
      <c r="B217" s="124">
        <v>646.50800000000004</v>
      </c>
      <c r="C217" s="128">
        <v>2790</v>
      </c>
      <c r="D217" s="125">
        <v>641.76</v>
      </c>
      <c r="E217" s="126">
        <v>2780</v>
      </c>
      <c r="F217" s="125">
        <v>1355.921</v>
      </c>
      <c r="G217" s="127">
        <v>2780</v>
      </c>
      <c r="H217" s="125">
        <v>1354.529</v>
      </c>
      <c r="I217" s="127">
        <v>2780</v>
      </c>
      <c r="J217" s="125">
        <v>1155.279</v>
      </c>
      <c r="K217" s="127">
        <v>2780</v>
      </c>
      <c r="L217" s="125">
        <v>1155.07</v>
      </c>
      <c r="M217" s="127">
        <v>2780</v>
      </c>
      <c r="N217" s="125">
        <v>1155.0619999999999</v>
      </c>
      <c r="O217" s="127">
        <v>2760</v>
      </c>
      <c r="P217" s="125">
        <v>1156.1780000000001</v>
      </c>
      <c r="Q217" s="127">
        <v>2780</v>
      </c>
      <c r="R217" s="125">
        <v>1155.7660000000001</v>
      </c>
      <c r="S217" s="127">
        <v>2780</v>
      </c>
      <c r="T217" s="125">
        <v>1156.201</v>
      </c>
      <c r="U217" s="127">
        <v>2770</v>
      </c>
      <c r="V217" s="125">
        <v>1154.624</v>
      </c>
      <c r="W217" s="127">
        <v>2780</v>
      </c>
      <c r="X217" s="125">
        <v>1154.501</v>
      </c>
      <c r="Y217" s="127">
        <v>2780</v>
      </c>
      <c r="Z217" s="125">
        <v>1153.117</v>
      </c>
      <c r="AA217" s="127">
        <v>2780</v>
      </c>
      <c r="AB217" s="125">
        <v>1152.626</v>
      </c>
      <c r="AC217" s="127">
        <v>2770</v>
      </c>
      <c r="AD217" s="125">
        <v>1076.8720000000001</v>
      </c>
      <c r="AE217" s="127">
        <v>2780</v>
      </c>
      <c r="AF217" s="125">
        <v>1077.979</v>
      </c>
      <c r="AG217" s="127">
        <v>2760</v>
      </c>
      <c r="AH217" s="125">
        <v>308.791</v>
      </c>
      <c r="AI217" s="127">
        <v>2760</v>
      </c>
      <c r="AJ217" s="125">
        <v>322.33699999999999</v>
      </c>
    </row>
    <row r="218" spans="1:36" ht="14.25">
      <c r="A218" s="128">
        <v>2790</v>
      </c>
      <c r="B218" s="124">
        <v>645.72900000000004</v>
      </c>
      <c r="C218" s="128">
        <v>2800</v>
      </c>
      <c r="D218" s="125">
        <v>640.98699999999997</v>
      </c>
      <c r="E218" s="126">
        <v>2790</v>
      </c>
      <c r="F218" s="125">
        <v>1354.452</v>
      </c>
      <c r="G218" s="127">
        <v>2790</v>
      </c>
      <c r="H218" s="125">
        <v>1353.0640000000001</v>
      </c>
      <c r="I218" s="127">
        <v>2790</v>
      </c>
      <c r="J218" s="125">
        <v>1154.097</v>
      </c>
      <c r="K218" s="127">
        <v>2790</v>
      </c>
      <c r="L218" s="125">
        <v>1153.8879999999999</v>
      </c>
      <c r="M218" s="127">
        <v>2790</v>
      </c>
      <c r="N218" s="125">
        <v>1153.8800000000001</v>
      </c>
      <c r="O218" s="127">
        <v>2770</v>
      </c>
      <c r="P218" s="125">
        <v>1154.9970000000001</v>
      </c>
      <c r="Q218" s="127">
        <v>2790</v>
      </c>
      <c r="R218" s="125">
        <v>1154.585</v>
      </c>
      <c r="S218" s="127">
        <v>2790</v>
      </c>
      <c r="T218" s="125">
        <v>1155.021</v>
      </c>
      <c r="U218" s="127">
        <v>2780</v>
      </c>
      <c r="V218" s="125">
        <v>1153.4449999999999</v>
      </c>
      <c r="W218" s="127">
        <v>2790</v>
      </c>
      <c r="X218" s="125">
        <v>1153.3219999999999</v>
      </c>
      <c r="Y218" s="127">
        <v>2790</v>
      </c>
      <c r="Z218" s="125">
        <v>1151.9369999999999</v>
      </c>
      <c r="AA218" s="127">
        <v>2790</v>
      </c>
      <c r="AB218" s="125">
        <v>1151.4490000000001</v>
      </c>
      <c r="AC218" s="127">
        <v>2780</v>
      </c>
      <c r="AD218" s="125">
        <v>1075.693</v>
      </c>
      <c r="AE218" s="127">
        <v>2790</v>
      </c>
      <c r="AF218" s="125">
        <v>1076.8019999999999</v>
      </c>
      <c r="AG218" s="127">
        <v>2770</v>
      </c>
      <c r="AH218" s="125">
        <v>308.40600000000001</v>
      </c>
      <c r="AI218" s="127">
        <v>2770</v>
      </c>
      <c r="AJ218" s="125">
        <v>321.93900000000002</v>
      </c>
    </row>
    <row r="219" spans="1:36" ht="14.25">
      <c r="A219" s="128">
        <v>2800</v>
      </c>
      <c r="B219" s="124">
        <v>644.95000000000005</v>
      </c>
      <c r="C219" s="128">
        <v>2810</v>
      </c>
      <c r="D219" s="125">
        <v>640.21400000000006</v>
      </c>
      <c r="E219" s="126">
        <v>2800</v>
      </c>
      <c r="F219" s="125">
        <v>1352.9839999999999</v>
      </c>
      <c r="G219" s="127">
        <v>2800</v>
      </c>
      <c r="H219" s="125">
        <v>1351.5989999999999</v>
      </c>
      <c r="I219" s="127">
        <v>2800</v>
      </c>
      <c r="J219" s="125">
        <v>1152.915</v>
      </c>
      <c r="K219" s="127">
        <v>2800</v>
      </c>
      <c r="L219" s="125">
        <v>1152.7049999999999</v>
      </c>
      <c r="M219" s="127">
        <v>2800</v>
      </c>
      <c r="N219" s="125">
        <v>1152.6980000000001</v>
      </c>
      <c r="O219" s="127">
        <v>2780</v>
      </c>
      <c r="P219" s="125">
        <v>1153.816</v>
      </c>
      <c r="Q219" s="127">
        <v>2800</v>
      </c>
      <c r="R219" s="125">
        <v>1153.403</v>
      </c>
      <c r="S219" s="127">
        <v>2800</v>
      </c>
      <c r="T219" s="125">
        <v>1153.8399999999999</v>
      </c>
      <c r="U219" s="127">
        <v>2790</v>
      </c>
      <c r="V219" s="125">
        <v>1152.2670000000001</v>
      </c>
      <c r="W219" s="127">
        <v>2800</v>
      </c>
      <c r="X219" s="125">
        <v>1152.143</v>
      </c>
      <c r="Y219" s="127">
        <v>2800</v>
      </c>
      <c r="Z219" s="125">
        <v>1150.758</v>
      </c>
      <c r="AA219" s="127">
        <v>2800</v>
      </c>
      <c r="AB219" s="125">
        <v>1150.271</v>
      </c>
      <c r="AC219" s="127">
        <v>2790</v>
      </c>
      <c r="AD219" s="125">
        <v>1074.5139999999999</v>
      </c>
      <c r="AE219" s="127">
        <v>2800</v>
      </c>
      <c r="AF219" s="125">
        <v>1075.624</v>
      </c>
      <c r="AG219" s="127">
        <v>2780</v>
      </c>
      <c r="AH219" s="125">
        <v>308.02199999999999</v>
      </c>
      <c r="AI219" s="127">
        <v>2780</v>
      </c>
      <c r="AJ219" s="125">
        <v>321.54000000000002</v>
      </c>
    </row>
    <row r="220" spans="1:36" ht="14.25">
      <c r="A220" s="128">
        <v>2810</v>
      </c>
      <c r="B220" s="124">
        <v>644.16999999999996</v>
      </c>
      <c r="C220" s="128">
        <v>2820</v>
      </c>
      <c r="D220" s="125">
        <v>639.44100000000003</v>
      </c>
      <c r="E220" s="126">
        <v>2810</v>
      </c>
      <c r="F220" s="125">
        <v>1351.5139999999999</v>
      </c>
      <c r="G220" s="127">
        <v>2810</v>
      </c>
      <c r="H220" s="125">
        <v>1350.134</v>
      </c>
      <c r="I220" s="127">
        <v>2810</v>
      </c>
      <c r="J220" s="125">
        <v>1151.732</v>
      </c>
      <c r="K220" s="127">
        <v>2810</v>
      </c>
      <c r="L220" s="125">
        <v>1151.5229999999999</v>
      </c>
      <c r="M220" s="127">
        <v>2810</v>
      </c>
      <c r="N220" s="125">
        <v>1151.5160000000001</v>
      </c>
      <c r="O220" s="127">
        <v>2790</v>
      </c>
      <c r="P220" s="125">
        <v>1152.634</v>
      </c>
      <c r="Q220" s="127">
        <v>2810</v>
      </c>
      <c r="R220" s="125">
        <v>1152.222</v>
      </c>
      <c r="S220" s="127">
        <v>2810</v>
      </c>
      <c r="T220" s="125">
        <v>1152.6590000000001</v>
      </c>
      <c r="U220" s="127">
        <v>2800</v>
      </c>
      <c r="V220" s="125">
        <v>1151.088</v>
      </c>
      <c r="W220" s="127">
        <v>2810</v>
      </c>
      <c r="X220" s="125">
        <v>1150.9639999999999</v>
      </c>
      <c r="Y220" s="127">
        <v>2810</v>
      </c>
      <c r="Z220" s="125">
        <v>1149.577</v>
      </c>
      <c r="AA220" s="127">
        <v>2810</v>
      </c>
      <c r="AB220" s="125">
        <v>1149.0940000000001</v>
      </c>
      <c r="AC220" s="127">
        <v>2800</v>
      </c>
      <c r="AD220" s="125">
        <v>1073.3340000000001</v>
      </c>
      <c r="AE220" s="127">
        <v>2810</v>
      </c>
      <c r="AF220" s="125">
        <v>1074.4459999999999</v>
      </c>
      <c r="AG220" s="127">
        <v>2790</v>
      </c>
      <c r="AH220" s="125">
        <v>307.637</v>
      </c>
      <c r="AI220" s="127">
        <v>2790</v>
      </c>
      <c r="AJ220" s="125">
        <v>321.142</v>
      </c>
    </row>
    <row r="221" spans="1:36" ht="14.25">
      <c r="A221" s="128">
        <v>2820</v>
      </c>
      <c r="B221" s="124">
        <v>643.39099999999996</v>
      </c>
      <c r="C221" s="128">
        <v>2830</v>
      </c>
      <c r="D221" s="125">
        <v>638.66800000000001</v>
      </c>
      <c r="E221" s="126">
        <v>2820</v>
      </c>
      <c r="F221" s="125">
        <v>1350.0450000000001</v>
      </c>
      <c r="G221" s="127">
        <v>2820</v>
      </c>
      <c r="H221" s="125">
        <v>1348.6679999999999</v>
      </c>
      <c r="I221" s="127">
        <v>2820</v>
      </c>
      <c r="J221" s="125">
        <v>1150.55</v>
      </c>
      <c r="K221" s="127">
        <v>2820</v>
      </c>
      <c r="L221" s="125">
        <v>1150.3399999999999</v>
      </c>
      <c r="M221" s="127">
        <v>2820</v>
      </c>
      <c r="N221" s="125">
        <v>1150.3330000000001</v>
      </c>
      <c r="O221" s="127">
        <v>2800</v>
      </c>
      <c r="P221" s="125">
        <v>1151.452</v>
      </c>
      <c r="Q221" s="127">
        <v>2820</v>
      </c>
      <c r="R221" s="125">
        <v>1151.04</v>
      </c>
      <c r="S221" s="127">
        <v>2820</v>
      </c>
      <c r="T221" s="125">
        <v>1151.4780000000001</v>
      </c>
      <c r="U221" s="127">
        <v>2810</v>
      </c>
      <c r="V221" s="125">
        <v>1149.9090000000001</v>
      </c>
      <c r="W221" s="127">
        <v>2820</v>
      </c>
      <c r="X221" s="125">
        <v>1149.7850000000001</v>
      </c>
      <c r="Y221" s="127">
        <v>2820</v>
      </c>
      <c r="Z221" s="125">
        <v>1148.3969999999999</v>
      </c>
      <c r="AA221" s="127">
        <v>2820</v>
      </c>
      <c r="AB221" s="125">
        <v>1147.9159999999999</v>
      </c>
      <c r="AC221" s="127">
        <v>2810</v>
      </c>
      <c r="AD221" s="125">
        <v>1072.155</v>
      </c>
      <c r="AE221" s="127">
        <v>2820</v>
      </c>
      <c r="AF221" s="125">
        <v>1073.268</v>
      </c>
      <c r="AG221" s="127">
        <v>2800</v>
      </c>
      <c r="AH221" s="125">
        <v>307.25299999999999</v>
      </c>
      <c r="AI221" s="127">
        <v>2800</v>
      </c>
      <c r="AJ221" s="125">
        <v>320.74299999999999</v>
      </c>
    </row>
    <row r="222" spans="1:36" ht="14.25">
      <c r="A222" s="128">
        <v>2830</v>
      </c>
      <c r="B222" s="124">
        <v>642.61099999999999</v>
      </c>
      <c r="C222" s="128">
        <v>2840</v>
      </c>
      <c r="D222" s="125">
        <v>637.89400000000001</v>
      </c>
      <c r="E222" s="126">
        <v>2830</v>
      </c>
      <c r="F222" s="125">
        <v>1348.575</v>
      </c>
      <c r="G222" s="127">
        <v>2830</v>
      </c>
      <c r="H222" s="125">
        <v>1347.202</v>
      </c>
      <c r="I222" s="127">
        <v>2830</v>
      </c>
      <c r="J222" s="125">
        <v>1149.367</v>
      </c>
      <c r="K222" s="127">
        <v>2830</v>
      </c>
      <c r="L222" s="125">
        <v>1149.1569999999999</v>
      </c>
      <c r="M222" s="127">
        <v>2830</v>
      </c>
      <c r="N222" s="131">
        <v>1149.1510000000001</v>
      </c>
      <c r="O222" s="127">
        <v>2810</v>
      </c>
      <c r="P222" s="125">
        <v>1150.27</v>
      </c>
      <c r="Q222" s="127">
        <v>2830</v>
      </c>
      <c r="R222" s="125">
        <v>1149.857</v>
      </c>
      <c r="S222" s="127">
        <v>2830</v>
      </c>
      <c r="T222" s="125">
        <v>1150.296</v>
      </c>
      <c r="U222" s="127">
        <v>2820</v>
      </c>
      <c r="V222" s="125">
        <v>1148.73</v>
      </c>
      <c r="W222" s="127">
        <v>2830</v>
      </c>
      <c r="X222" s="125">
        <v>1148.605</v>
      </c>
      <c r="Y222" s="127">
        <v>2830</v>
      </c>
      <c r="Z222" s="125">
        <v>1147.2170000000001</v>
      </c>
      <c r="AA222" s="127">
        <v>2830</v>
      </c>
      <c r="AB222" s="125">
        <v>1146.7370000000001</v>
      </c>
      <c r="AC222" s="127">
        <v>2820</v>
      </c>
      <c r="AD222" s="125">
        <v>1070.9749999999999</v>
      </c>
      <c r="AE222" s="127">
        <v>2830</v>
      </c>
      <c r="AF222" s="125">
        <v>1072.0889999999999</v>
      </c>
      <c r="AG222" s="127">
        <v>2810</v>
      </c>
      <c r="AH222" s="125">
        <v>306.86799999999999</v>
      </c>
      <c r="AI222" s="127">
        <v>2810</v>
      </c>
      <c r="AJ222" s="125">
        <v>320.34399999999999</v>
      </c>
    </row>
    <row r="223" spans="1:36" ht="14.25">
      <c r="A223" s="128">
        <v>2840</v>
      </c>
      <c r="B223" s="124">
        <v>641.83100000000002</v>
      </c>
      <c r="C223" s="128">
        <v>2850</v>
      </c>
      <c r="D223" s="125">
        <v>637.12099999999998</v>
      </c>
      <c r="E223" s="126">
        <v>2840</v>
      </c>
      <c r="F223" s="125">
        <v>1347.105</v>
      </c>
      <c r="G223" s="127">
        <v>2840</v>
      </c>
      <c r="H223" s="125">
        <v>1345.7360000000001</v>
      </c>
      <c r="I223" s="127">
        <v>2840</v>
      </c>
      <c r="J223" s="125">
        <v>1148.184</v>
      </c>
      <c r="K223" s="127">
        <v>2840</v>
      </c>
      <c r="L223" s="125">
        <v>1147.9739999999999</v>
      </c>
      <c r="M223" s="127">
        <v>2840</v>
      </c>
      <c r="N223" s="125">
        <v>1147.9680000000001</v>
      </c>
      <c r="O223" s="127">
        <v>2820</v>
      </c>
      <c r="P223" s="125">
        <v>1149.088</v>
      </c>
      <c r="Q223" s="127">
        <v>2840</v>
      </c>
      <c r="R223" s="125">
        <v>1148.675</v>
      </c>
      <c r="S223" s="127">
        <v>2840</v>
      </c>
      <c r="T223" s="125">
        <v>1149.115</v>
      </c>
      <c r="U223" s="127">
        <v>2830</v>
      </c>
      <c r="V223" s="125">
        <v>1147.55</v>
      </c>
      <c r="W223" s="127">
        <v>2840</v>
      </c>
      <c r="X223" s="125">
        <v>1147.425</v>
      </c>
      <c r="Y223" s="127">
        <v>2840</v>
      </c>
      <c r="Z223" s="125">
        <v>1146.0360000000001</v>
      </c>
      <c r="AA223" s="127">
        <v>2840</v>
      </c>
      <c r="AB223" s="125">
        <v>1145.559</v>
      </c>
      <c r="AC223" s="127">
        <v>2830</v>
      </c>
      <c r="AD223" s="125">
        <v>1069.7940000000001</v>
      </c>
      <c r="AE223" s="127">
        <v>2840</v>
      </c>
      <c r="AF223" s="125">
        <v>1070.9100000000001</v>
      </c>
      <c r="AG223" s="127">
        <v>2820</v>
      </c>
      <c r="AH223" s="125">
        <v>306.483</v>
      </c>
      <c r="AI223" s="127">
        <v>2820</v>
      </c>
      <c r="AJ223" s="125">
        <v>319.94600000000003</v>
      </c>
    </row>
    <row r="224" spans="1:36" ht="14.25">
      <c r="A224" s="128">
        <v>2850</v>
      </c>
      <c r="B224" s="124">
        <v>641.05100000000004</v>
      </c>
      <c r="C224" s="128">
        <v>2860</v>
      </c>
      <c r="D224" s="125">
        <v>636.34699999999998</v>
      </c>
      <c r="E224" s="126">
        <v>2850</v>
      </c>
      <c r="F224" s="125">
        <v>1345.635</v>
      </c>
      <c r="G224" s="127">
        <v>2850</v>
      </c>
      <c r="H224" s="125">
        <v>1344.269</v>
      </c>
      <c r="I224" s="127">
        <v>2850</v>
      </c>
      <c r="J224" s="125">
        <v>1147</v>
      </c>
      <c r="K224" s="127">
        <v>2850</v>
      </c>
      <c r="L224" s="125">
        <v>1146.7909999999999</v>
      </c>
      <c r="M224" s="127">
        <v>2850</v>
      </c>
      <c r="N224" s="125">
        <v>1146.7840000000001</v>
      </c>
      <c r="O224" s="127">
        <v>2830</v>
      </c>
      <c r="P224" s="125">
        <v>1147.905</v>
      </c>
      <c r="Q224" s="127">
        <v>2850</v>
      </c>
      <c r="R224" s="125">
        <v>1147.492</v>
      </c>
      <c r="S224" s="127">
        <v>2850</v>
      </c>
      <c r="T224" s="125">
        <v>1147.933</v>
      </c>
      <c r="U224" s="127">
        <v>2840</v>
      </c>
      <c r="V224" s="125">
        <v>1146.3699999999999</v>
      </c>
      <c r="W224" s="127">
        <v>2850</v>
      </c>
      <c r="X224" s="125">
        <v>1146.2449999999999</v>
      </c>
      <c r="Y224" s="127">
        <v>2850</v>
      </c>
      <c r="Z224" s="125">
        <v>1144.855</v>
      </c>
      <c r="AA224" s="127">
        <v>2850</v>
      </c>
      <c r="AB224" s="125">
        <v>1144.3800000000001</v>
      </c>
      <c r="AC224" s="127">
        <v>2840</v>
      </c>
      <c r="AD224" s="125">
        <v>1068.614</v>
      </c>
      <c r="AE224" s="127">
        <v>2850</v>
      </c>
      <c r="AF224" s="125">
        <v>1069.731</v>
      </c>
      <c r="AG224" s="127">
        <v>2830</v>
      </c>
      <c r="AH224" s="125">
        <v>306.09800000000001</v>
      </c>
      <c r="AI224" s="127">
        <v>2830</v>
      </c>
      <c r="AJ224" s="125">
        <v>319.54700000000003</v>
      </c>
    </row>
    <row r="225" spans="1:36" ht="14.25">
      <c r="A225" s="128">
        <v>2860</v>
      </c>
      <c r="B225" s="124">
        <v>640.27099999999996</v>
      </c>
      <c r="C225" s="128">
        <v>2870</v>
      </c>
      <c r="D225" s="125">
        <v>635.57299999999998</v>
      </c>
      <c r="E225" s="126">
        <v>2860</v>
      </c>
      <c r="F225" s="125">
        <v>1344.164</v>
      </c>
      <c r="G225" s="127">
        <v>2860</v>
      </c>
      <c r="H225" s="125">
        <v>1342.8019999999999</v>
      </c>
      <c r="I225" s="127">
        <v>2860</v>
      </c>
      <c r="J225" s="125">
        <v>1145.817</v>
      </c>
      <c r="K225" s="127">
        <v>2860</v>
      </c>
      <c r="L225" s="125">
        <v>1145.607</v>
      </c>
      <c r="M225" s="127">
        <v>2860</v>
      </c>
      <c r="N225" s="125">
        <v>1145.6010000000001</v>
      </c>
      <c r="O225" s="127">
        <v>2840</v>
      </c>
      <c r="P225" s="125">
        <v>1146.722</v>
      </c>
      <c r="Q225" s="127">
        <v>2860</v>
      </c>
      <c r="R225" s="125">
        <v>1146.309</v>
      </c>
      <c r="S225" s="127">
        <v>2860</v>
      </c>
      <c r="T225" s="125">
        <v>1146.75</v>
      </c>
      <c r="U225" s="127">
        <v>2850</v>
      </c>
      <c r="V225" s="125">
        <v>1145.19</v>
      </c>
      <c r="W225" s="127">
        <v>2860</v>
      </c>
      <c r="X225" s="125">
        <v>1145.0640000000001</v>
      </c>
      <c r="Y225" s="127">
        <v>2860</v>
      </c>
      <c r="Z225" s="125">
        <v>1143.673</v>
      </c>
      <c r="AA225" s="127">
        <v>2860</v>
      </c>
      <c r="AB225" s="125">
        <v>1143.201</v>
      </c>
      <c r="AC225" s="127">
        <v>2850</v>
      </c>
      <c r="AD225" s="125">
        <v>1067.433</v>
      </c>
      <c r="AE225" s="127">
        <v>2860</v>
      </c>
      <c r="AF225" s="125">
        <v>1068.5519999999999</v>
      </c>
      <c r="AG225" s="127">
        <v>2840</v>
      </c>
      <c r="AH225" s="125">
        <v>305.71300000000002</v>
      </c>
      <c r="AI225" s="127">
        <v>2840</v>
      </c>
      <c r="AJ225" s="125">
        <v>319.14800000000002</v>
      </c>
    </row>
    <row r="226" spans="1:36" ht="14.25">
      <c r="A226" s="128">
        <v>2870</v>
      </c>
      <c r="B226" s="124">
        <v>639.49</v>
      </c>
      <c r="C226" s="128">
        <v>2880</v>
      </c>
      <c r="D226" s="125">
        <v>634.79899999999998</v>
      </c>
      <c r="E226" s="126">
        <v>2870</v>
      </c>
      <c r="F226" s="125">
        <v>1342.693</v>
      </c>
      <c r="G226" s="127">
        <v>2870</v>
      </c>
      <c r="H226" s="125">
        <v>1341.335</v>
      </c>
      <c r="I226" s="127">
        <v>2870</v>
      </c>
      <c r="J226" s="125">
        <v>1144.633</v>
      </c>
      <c r="K226" s="127">
        <v>2870</v>
      </c>
      <c r="L226" s="125">
        <v>1144.423</v>
      </c>
      <c r="M226" s="127">
        <v>2870</v>
      </c>
      <c r="N226" s="125">
        <v>1144.4169999999999</v>
      </c>
      <c r="O226" s="127">
        <v>2850</v>
      </c>
      <c r="P226" s="125">
        <v>1145.539</v>
      </c>
      <c r="Q226" s="127">
        <v>2870</v>
      </c>
      <c r="R226" s="125">
        <v>1145.126</v>
      </c>
      <c r="S226" s="127">
        <v>2870</v>
      </c>
      <c r="T226" s="125">
        <v>1145.568</v>
      </c>
      <c r="U226" s="127">
        <v>2860</v>
      </c>
      <c r="V226" s="125">
        <v>1144.01</v>
      </c>
      <c r="W226" s="127">
        <v>2870</v>
      </c>
      <c r="X226" s="125">
        <v>1143.883</v>
      </c>
      <c r="Y226" s="127">
        <v>2870</v>
      </c>
      <c r="Z226" s="125">
        <v>1142.492</v>
      </c>
      <c r="AA226" s="127">
        <v>2870</v>
      </c>
      <c r="AB226" s="125">
        <v>1142.0219999999999</v>
      </c>
      <c r="AC226" s="127">
        <v>2860</v>
      </c>
      <c r="AD226" s="125">
        <v>1066.252</v>
      </c>
      <c r="AE226" s="127">
        <v>2870</v>
      </c>
      <c r="AF226" s="125">
        <v>1067.3720000000001</v>
      </c>
      <c r="AG226" s="127">
        <v>2850</v>
      </c>
      <c r="AH226" s="125">
        <v>305.32799999999997</v>
      </c>
      <c r="AI226" s="127">
        <v>2850</v>
      </c>
      <c r="AJ226" s="125">
        <v>318.74900000000002</v>
      </c>
    </row>
    <row r="227" spans="1:36" ht="14.25">
      <c r="A227" s="128">
        <v>2880</v>
      </c>
      <c r="B227" s="124">
        <v>638.70899999999995</v>
      </c>
      <c r="C227" s="128">
        <v>2890</v>
      </c>
      <c r="D227" s="125">
        <v>634.024</v>
      </c>
      <c r="E227" s="126">
        <v>2880</v>
      </c>
      <c r="F227" s="125">
        <v>1341.222</v>
      </c>
      <c r="G227" s="127">
        <v>2880</v>
      </c>
      <c r="H227" s="125">
        <v>1339.8679999999999</v>
      </c>
      <c r="I227" s="127">
        <v>2880</v>
      </c>
      <c r="J227" s="125">
        <v>1143.4490000000001</v>
      </c>
      <c r="K227" s="127">
        <v>2880</v>
      </c>
      <c r="L227" s="125">
        <v>1143.239</v>
      </c>
      <c r="M227" s="127">
        <v>2880</v>
      </c>
      <c r="N227" s="125">
        <v>1143.2339999999999</v>
      </c>
      <c r="O227" s="127">
        <v>2860</v>
      </c>
      <c r="P227" s="125">
        <v>1144.356</v>
      </c>
      <c r="Q227" s="127">
        <v>2880</v>
      </c>
      <c r="R227" s="125">
        <v>1143.943</v>
      </c>
      <c r="S227" s="127">
        <v>2880</v>
      </c>
      <c r="T227" s="125">
        <v>1144.385</v>
      </c>
      <c r="U227" s="127">
        <v>2870</v>
      </c>
      <c r="V227" s="125">
        <v>1142.829</v>
      </c>
      <c r="W227" s="127">
        <v>2880</v>
      </c>
      <c r="X227" s="125">
        <v>1142.702</v>
      </c>
      <c r="Y227" s="127">
        <v>2880</v>
      </c>
      <c r="Z227" s="125">
        <v>1141.31</v>
      </c>
      <c r="AA227" s="127">
        <v>2880</v>
      </c>
      <c r="AB227" s="125">
        <v>1140.8430000000001</v>
      </c>
      <c r="AC227" s="127">
        <v>2870</v>
      </c>
      <c r="AD227" s="125">
        <v>1065.0709999999999</v>
      </c>
      <c r="AE227" s="127">
        <v>2880</v>
      </c>
      <c r="AF227" s="125">
        <v>1066.193</v>
      </c>
      <c r="AG227" s="127">
        <v>2860</v>
      </c>
      <c r="AH227" s="125">
        <v>304.94299999999998</v>
      </c>
      <c r="AI227" s="127">
        <v>2860</v>
      </c>
      <c r="AJ227" s="125">
        <v>318.35000000000002</v>
      </c>
    </row>
    <row r="228" spans="1:36" ht="14.25">
      <c r="A228" s="128">
        <v>2890</v>
      </c>
      <c r="B228" s="124">
        <v>637.928</v>
      </c>
      <c r="C228" s="128">
        <v>2900</v>
      </c>
      <c r="D228" s="125">
        <v>633.25</v>
      </c>
      <c r="E228" s="126">
        <v>2890</v>
      </c>
      <c r="F228" s="125">
        <v>1339.75</v>
      </c>
      <c r="G228" s="127">
        <v>2890</v>
      </c>
      <c r="H228" s="125">
        <v>1338.4</v>
      </c>
      <c r="I228" s="127">
        <v>2890</v>
      </c>
      <c r="J228" s="125">
        <v>1142.2639999999999</v>
      </c>
      <c r="K228" s="127">
        <v>2890</v>
      </c>
      <c r="L228" s="125">
        <v>1142.0540000000001</v>
      </c>
      <c r="M228" s="127">
        <v>2890</v>
      </c>
      <c r="N228" s="125">
        <v>1142.049</v>
      </c>
      <c r="O228" s="127">
        <v>2870</v>
      </c>
      <c r="P228" s="125">
        <v>1143.172</v>
      </c>
      <c r="Q228" s="127">
        <v>2890</v>
      </c>
      <c r="R228" s="125">
        <v>1142.759</v>
      </c>
      <c r="S228" s="127">
        <v>2890</v>
      </c>
      <c r="T228" s="125">
        <v>1143.202</v>
      </c>
      <c r="U228" s="127">
        <v>2880</v>
      </c>
      <c r="V228" s="125">
        <v>1141.6489999999999</v>
      </c>
      <c r="W228" s="127">
        <v>2890</v>
      </c>
      <c r="X228" s="125">
        <v>1141.521</v>
      </c>
      <c r="Y228" s="127">
        <v>2890</v>
      </c>
      <c r="Z228" s="125">
        <v>1140.1279999999999</v>
      </c>
      <c r="AA228" s="127">
        <v>2890</v>
      </c>
      <c r="AB228" s="125">
        <v>1139.663</v>
      </c>
      <c r="AC228" s="127">
        <v>2880</v>
      </c>
      <c r="AD228" s="125">
        <v>1063.8889999999999</v>
      </c>
      <c r="AE228" s="127">
        <v>2890</v>
      </c>
      <c r="AF228" s="125">
        <v>1065.0129999999999</v>
      </c>
      <c r="AG228" s="127">
        <v>2870</v>
      </c>
      <c r="AH228" s="125">
        <v>304.55700000000002</v>
      </c>
      <c r="AI228" s="127">
        <v>2870</v>
      </c>
      <c r="AJ228" s="125">
        <v>317.95</v>
      </c>
    </row>
    <row r="229" spans="1:36" ht="14.25">
      <c r="A229" s="128">
        <v>2900</v>
      </c>
      <c r="B229" s="124">
        <v>637.14700000000005</v>
      </c>
      <c r="C229" s="128">
        <v>2910</v>
      </c>
      <c r="D229" s="125">
        <v>632.47500000000002</v>
      </c>
      <c r="E229" s="126">
        <v>2900</v>
      </c>
      <c r="F229" s="125">
        <v>1338.278</v>
      </c>
      <c r="G229" s="127">
        <v>2900</v>
      </c>
      <c r="H229" s="125">
        <v>1336.932</v>
      </c>
      <c r="I229" s="127">
        <v>2900</v>
      </c>
      <c r="J229" s="125">
        <v>1141.08</v>
      </c>
      <c r="K229" s="127">
        <v>2900</v>
      </c>
      <c r="L229" s="125">
        <v>1140.8699999999999</v>
      </c>
      <c r="M229" s="127">
        <v>2900</v>
      </c>
      <c r="N229" s="125">
        <v>1140.865</v>
      </c>
      <c r="O229" s="127">
        <v>2880</v>
      </c>
      <c r="P229" s="125">
        <v>1141.9880000000001</v>
      </c>
      <c r="Q229" s="127">
        <v>2900</v>
      </c>
      <c r="R229" s="125">
        <v>1141.575</v>
      </c>
      <c r="S229" s="127">
        <v>2900</v>
      </c>
      <c r="T229" s="125">
        <v>1142.019</v>
      </c>
      <c r="U229" s="127">
        <v>2890</v>
      </c>
      <c r="V229" s="125">
        <v>1140.4680000000001</v>
      </c>
      <c r="W229" s="127">
        <v>2900</v>
      </c>
      <c r="X229" s="125">
        <v>1140.3389999999999</v>
      </c>
      <c r="Y229" s="127">
        <v>2900</v>
      </c>
      <c r="Z229" s="125">
        <v>1138.9459999999999</v>
      </c>
      <c r="AA229" s="127">
        <v>2900</v>
      </c>
      <c r="AB229" s="125">
        <v>1138.4829999999999</v>
      </c>
      <c r="AC229" s="127">
        <v>2890</v>
      </c>
      <c r="AD229" s="125">
        <v>1062.7080000000001</v>
      </c>
      <c r="AE229" s="127">
        <v>2900</v>
      </c>
      <c r="AF229" s="125">
        <v>1063.8320000000001</v>
      </c>
      <c r="AG229" s="127">
        <v>2880</v>
      </c>
      <c r="AH229" s="125">
        <v>304.17200000000003</v>
      </c>
      <c r="AI229" s="127">
        <v>2880</v>
      </c>
      <c r="AJ229" s="125">
        <v>317.55099999999999</v>
      </c>
    </row>
    <row r="230" spans="1:36" ht="14.25">
      <c r="A230" s="128">
        <v>2910</v>
      </c>
      <c r="B230" s="124">
        <v>636.36599999999999</v>
      </c>
      <c r="C230" s="128">
        <v>2920</v>
      </c>
      <c r="D230" s="125">
        <v>631.70000000000005</v>
      </c>
      <c r="E230" s="126">
        <v>2910</v>
      </c>
      <c r="F230" s="125">
        <v>1336.806</v>
      </c>
      <c r="G230" s="127">
        <v>2910</v>
      </c>
      <c r="H230" s="125">
        <v>1335.463</v>
      </c>
      <c r="I230" s="127">
        <v>2910</v>
      </c>
      <c r="J230" s="125">
        <v>1139.895</v>
      </c>
      <c r="K230" s="127">
        <v>2910</v>
      </c>
      <c r="L230" s="125">
        <v>1139.6849999999999</v>
      </c>
      <c r="M230" s="127">
        <v>2910</v>
      </c>
      <c r="N230" s="125">
        <v>1139.68</v>
      </c>
      <c r="O230" s="127">
        <v>2890</v>
      </c>
      <c r="P230" s="125">
        <v>1140.8040000000001</v>
      </c>
      <c r="Q230" s="127">
        <v>2910</v>
      </c>
      <c r="R230" s="125">
        <v>1140.3910000000001</v>
      </c>
      <c r="S230" s="127">
        <v>2910</v>
      </c>
      <c r="T230" s="125">
        <v>1140.836</v>
      </c>
      <c r="U230" s="127">
        <v>2900</v>
      </c>
      <c r="V230" s="125">
        <v>1139.2860000000001</v>
      </c>
      <c r="W230" s="127">
        <v>2910</v>
      </c>
      <c r="X230" s="125">
        <v>1139.1579999999999</v>
      </c>
      <c r="Y230" s="127">
        <v>2910</v>
      </c>
      <c r="Z230" s="125">
        <v>1137.7629999999999</v>
      </c>
      <c r="AA230" s="127">
        <v>2910</v>
      </c>
      <c r="AB230" s="125">
        <v>1137.3030000000001</v>
      </c>
      <c r="AC230" s="127">
        <v>2900</v>
      </c>
      <c r="AD230" s="125">
        <v>1061.5260000000001</v>
      </c>
      <c r="AE230" s="127">
        <v>2910</v>
      </c>
      <c r="AF230" s="125">
        <v>1062.652</v>
      </c>
      <c r="AG230" s="127">
        <v>2890</v>
      </c>
      <c r="AH230" s="125">
        <v>303.78699999999998</v>
      </c>
      <c r="AI230" s="127">
        <v>2890</v>
      </c>
      <c r="AJ230" s="125">
        <v>317.15100000000001</v>
      </c>
    </row>
    <row r="231" spans="1:36" ht="14.25">
      <c r="A231" s="128">
        <v>2920</v>
      </c>
      <c r="B231" s="124">
        <v>635.58500000000004</v>
      </c>
      <c r="C231" s="128">
        <v>2930</v>
      </c>
      <c r="D231" s="125">
        <v>630.92499999999995</v>
      </c>
      <c r="E231" s="126">
        <v>2920</v>
      </c>
      <c r="F231" s="125">
        <v>1335.3330000000001</v>
      </c>
      <c r="G231" s="127">
        <v>2920</v>
      </c>
      <c r="H231" s="125">
        <v>1333.9949999999999</v>
      </c>
      <c r="I231" s="127">
        <v>2920</v>
      </c>
      <c r="J231" s="125">
        <v>1138.71</v>
      </c>
      <c r="K231" s="127">
        <v>2920</v>
      </c>
      <c r="L231" s="125">
        <v>1138.5</v>
      </c>
      <c r="M231" s="127">
        <v>2920</v>
      </c>
      <c r="N231" s="125">
        <v>1138.4960000000001</v>
      </c>
      <c r="O231" s="127">
        <v>2900</v>
      </c>
      <c r="P231" s="125">
        <v>1139.6199999999999</v>
      </c>
      <c r="Q231" s="127">
        <v>2920</v>
      </c>
      <c r="R231" s="125">
        <v>1139.2070000000001</v>
      </c>
      <c r="S231" s="127">
        <v>2920</v>
      </c>
      <c r="T231" s="125">
        <v>1139.652</v>
      </c>
      <c r="U231" s="127">
        <v>2910</v>
      </c>
      <c r="V231" s="125">
        <v>1138.105</v>
      </c>
      <c r="W231" s="127">
        <v>2920</v>
      </c>
      <c r="X231" s="125">
        <v>1137.9760000000001</v>
      </c>
      <c r="Y231" s="127">
        <v>2920</v>
      </c>
      <c r="Z231" s="125">
        <v>1136.58</v>
      </c>
      <c r="AA231" s="127">
        <v>2920</v>
      </c>
      <c r="AB231" s="125">
        <v>1136.1220000000001</v>
      </c>
      <c r="AC231" s="127">
        <v>2910</v>
      </c>
      <c r="AD231" s="125">
        <v>1060.3430000000001</v>
      </c>
      <c r="AE231" s="127">
        <v>2920</v>
      </c>
      <c r="AF231" s="125">
        <v>1061.471</v>
      </c>
      <c r="AG231" s="127">
        <v>2900</v>
      </c>
      <c r="AH231" s="125">
        <v>303.40100000000001</v>
      </c>
      <c r="AI231" s="127">
        <v>2900</v>
      </c>
      <c r="AJ231" s="125">
        <v>316.75200000000001</v>
      </c>
    </row>
    <row r="232" spans="1:36" ht="14.25">
      <c r="A232" s="128">
        <v>2930</v>
      </c>
      <c r="B232" s="124">
        <v>634.803</v>
      </c>
      <c r="C232" s="128">
        <v>2940</v>
      </c>
      <c r="D232" s="125">
        <v>630.15</v>
      </c>
      <c r="E232" s="126">
        <v>2930</v>
      </c>
      <c r="F232" s="125">
        <v>1333.86</v>
      </c>
      <c r="G232" s="127">
        <v>2930</v>
      </c>
      <c r="H232" s="125">
        <v>1332.5260000000001</v>
      </c>
      <c r="I232" s="127">
        <v>2930</v>
      </c>
      <c r="J232" s="125">
        <v>1137.5250000000001</v>
      </c>
      <c r="K232" s="127">
        <v>2930</v>
      </c>
      <c r="L232" s="125">
        <v>1137.3140000000001</v>
      </c>
      <c r="M232" s="127">
        <v>2930</v>
      </c>
      <c r="N232" s="125">
        <v>1137.31</v>
      </c>
      <c r="O232" s="127">
        <v>2910</v>
      </c>
      <c r="P232" s="125">
        <v>1138.4349999999999</v>
      </c>
      <c r="Q232" s="127">
        <v>2930</v>
      </c>
      <c r="R232" s="125">
        <v>1138.0219999999999</v>
      </c>
      <c r="S232" s="127">
        <v>2930</v>
      </c>
      <c r="T232" s="125">
        <v>1138.4680000000001</v>
      </c>
      <c r="U232" s="127">
        <v>2920</v>
      </c>
      <c r="V232" s="125">
        <v>1136.923</v>
      </c>
      <c r="W232" s="127">
        <v>2930</v>
      </c>
      <c r="X232" s="125">
        <v>1136.7929999999999</v>
      </c>
      <c r="Y232" s="127">
        <v>2930</v>
      </c>
      <c r="Z232" s="125">
        <v>1135.3979999999999</v>
      </c>
      <c r="AA232" s="127">
        <v>2930</v>
      </c>
      <c r="AB232" s="125">
        <v>1134.941</v>
      </c>
      <c r="AC232" s="127">
        <v>2920</v>
      </c>
      <c r="AD232" s="125">
        <v>1059.1610000000001</v>
      </c>
      <c r="AE232" s="127">
        <v>2930</v>
      </c>
      <c r="AF232" s="125">
        <v>1060.29</v>
      </c>
      <c r="AG232" s="127">
        <v>2910</v>
      </c>
      <c r="AH232" s="125">
        <v>303.01499999999999</v>
      </c>
      <c r="AI232" s="127">
        <v>2910</v>
      </c>
      <c r="AJ232" s="125">
        <v>316.35199999999998</v>
      </c>
    </row>
    <row r="233" spans="1:36" ht="14.25">
      <c r="A233" s="128">
        <v>2940</v>
      </c>
      <c r="B233" s="124">
        <v>634.02099999999996</v>
      </c>
      <c r="C233" s="128">
        <v>2950</v>
      </c>
      <c r="D233" s="125">
        <v>629.37400000000002</v>
      </c>
      <c r="E233" s="126">
        <v>2940</v>
      </c>
      <c r="F233" s="125">
        <v>1332.3869999999999</v>
      </c>
      <c r="G233" s="127">
        <v>2940</v>
      </c>
      <c r="H233" s="125">
        <v>1331.056</v>
      </c>
      <c r="I233" s="127">
        <v>2940</v>
      </c>
      <c r="J233" s="125">
        <v>1136.3389999999999</v>
      </c>
      <c r="K233" s="127">
        <v>2940</v>
      </c>
      <c r="L233" s="125">
        <v>1136.1289999999999</v>
      </c>
      <c r="M233" s="127">
        <v>2940</v>
      </c>
      <c r="N233" s="125">
        <v>1136.125</v>
      </c>
      <c r="O233" s="127">
        <v>2920</v>
      </c>
      <c r="P233" s="125">
        <v>1137.25</v>
      </c>
      <c r="Q233" s="127">
        <v>2940</v>
      </c>
      <c r="R233" s="125">
        <v>1136.837</v>
      </c>
      <c r="S233" s="127">
        <v>2940</v>
      </c>
      <c r="T233" s="125">
        <v>1137.2840000000001</v>
      </c>
      <c r="U233" s="127">
        <v>2930</v>
      </c>
      <c r="V233" s="125">
        <v>1135.741</v>
      </c>
      <c r="W233" s="127">
        <v>2940</v>
      </c>
      <c r="X233" s="125">
        <v>1135.6110000000001</v>
      </c>
      <c r="Y233" s="127">
        <v>2940</v>
      </c>
      <c r="Z233" s="125">
        <v>1134.2139999999999</v>
      </c>
      <c r="AA233" s="127">
        <v>2940</v>
      </c>
      <c r="AB233" s="125">
        <v>1133.76</v>
      </c>
      <c r="AC233" s="127">
        <v>2930</v>
      </c>
      <c r="AD233" s="125">
        <v>1057.9780000000001</v>
      </c>
      <c r="AE233" s="127">
        <v>2940</v>
      </c>
      <c r="AF233" s="125">
        <v>1059.1089999999999</v>
      </c>
      <c r="AG233" s="127">
        <v>2920</v>
      </c>
      <c r="AH233" s="125">
        <v>302.63</v>
      </c>
      <c r="AI233" s="127">
        <v>2920</v>
      </c>
      <c r="AJ233" s="125">
        <v>315.95299999999997</v>
      </c>
    </row>
    <row r="234" spans="1:36" ht="14.25">
      <c r="A234" s="128">
        <v>2950</v>
      </c>
      <c r="B234" s="124">
        <v>633.23900000000003</v>
      </c>
      <c r="C234" s="128">
        <v>2960</v>
      </c>
      <c r="D234" s="125">
        <v>628.59799999999996</v>
      </c>
      <c r="E234" s="126">
        <v>2950</v>
      </c>
      <c r="F234" s="125">
        <v>1330.914</v>
      </c>
      <c r="G234" s="127">
        <v>2950</v>
      </c>
      <c r="H234" s="125">
        <v>1329.587</v>
      </c>
      <c r="I234" s="127">
        <v>2950</v>
      </c>
      <c r="J234" s="125">
        <v>1135.153</v>
      </c>
      <c r="K234" s="127">
        <v>2950</v>
      </c>
      <c r="L234" s="125">
        <v>1134.943</v>
      </c>
      <c r="M234" s="127">
        <v>2950</v>
      </c>
      <c r="N234" s="125">
        <v>1134.94</v>
      </c>
      <c r="O234" s="127">
        <v>2930</v>
      </c>
      <c r="P234" s="125">
        <v>1136.0650000000001</v>
      </c>
      <c r="Q234" s="127">
        <v>2950</v>
      </c>
      <c r="R234" s="125">
        <v>1135.652</v>
      </c>
      <c r="S234" s="127">
        <v>2950</v>
      </c>
      <c r="T234" s="125">
        <v>1136.0989999999999</v>
      </c>
      <c r="U234" s="127">
        <v>2940</v>
      </c>
      <c r="V234" s="125">
        <v>1134.559</v>
      </c>
      <c r="W234" s="127">
        <v>2950</v>
      </c>
      <c r="X234" s="125">
        <v>1134.4280000000001</v>
      </c>
      <c r="Y234" s="127">
        <v>2950</v>
      </c>
      <c r="Z234" s="125">
        <v>1133.0309999999999</v>
      </c>
      <c r="AA234" s="127">
        <v>2950</v>
      </c>
      <c r="AB234" s="125">
        <v>1132.579</v>
      </c>
      <c r="AC234" s="127">
        <v>2940</v>
      </c>
      <c r="AD234" s="125">
        <v>1056.7950000000001</v>
      </c>
      <c r="AE234" s="127">
        <v>2950</v>
      </c>
      <c r="AF234" s="125">
        <v>1057.9269999999999</v>
      </c>
      <c r="AG234" s="127">
        <v>2930</v>
      </c>
      <c r="AH234" s="125">
        <v>302.24400000000003</v>
      </c>
      <c r="AI234" s="127">
        <v>2930</v>
      </c>
      <c r="AJ234" s="125">
        <v>315.553</v>
      </c>
    </row>
    <row r="235" spans="1:36" ht="14.25">
      <c r="A235" s="128">
        <v>2960</v>
      </c>
      <c r="B235" s="124">
        <v>632.45699999999999</v>
      </c>
      <c r="C235" s="128">
        <v>2970</v>
      </c>
      <c r="D235" s="125">
        <v>627.82299999999998</v>
      </c>
      <c r="E235" s="126">
        <v>2960</v>
      </c>
      <c r="F235" s="125">
        <v>1329.44</v>
      </c>
      <c r="G235" s="127">
        <v>2960</v>
      </c>
      <c r="H235" s="125">
        <v>1328.117</v>
      </c>
      <c r="I235" s="127">
        <v>2960</v>
      </c>
      <c r="J235" s="125">
        <v>1133.9670000000001</v>
      </c>
      <c r="K235" s="127">
        <v>2960</v>
      </c>
      <c r="L235" s="125">
        <v>1133.7560000000001</v>
      </c>
      <c r="M235" s="127">
        <v>2960</v>
      </c>
      <c r="N235" s="125">
        <v>1133.7539999999999</v>
      </c>
      <c r="O235" s="127">
        <v>2940</v>
      </c>
      <c r="P235" s="125">
        <v>1134.8800000000001</v>
      </c>
      <c r="Q235" s="127">
        <v>2960</v>
      </c>
      <c r="R235" s="125">
        <v>1134.4670000000001</v>
      </c>
      <c r="S235" s="127">
        <v>2960</v>
      </c>
      <c r="T235" s="125">
        <v>1134.915</v>
      </c>
      <c r="U235" s="127">
        <v>2950</v>
      </c>
      <c r="V235" s="125">
        <v>1133.376</v>
      </c>
      <c r="W235" s="127">
        <v>2960</v>
      </c>
      <c r="X235" s="125">
        <v>1133.2449999999999</v>
      </c>
      <c r="Y235" s="127">
        <v>2960</v>
      </c>
      <c r="Z235" s="129">
        <v>1131.847</v>
      </c>
      <c r="AA235" s="127">
        <v>2960</v>
      </c>
      <c r="AB235" s="125">
        <v>1131.3979999999999</v>
      </c>
      <c r="AC235" s="127">
        <v>2950</v>
      </c>
      <c r="AD235" s="125">
        <v>1055.6120000000001</v>
      </c>
      <c r="AE235" s="127">
        <v>2960</v>
      </c>
      <c r="AF235" s="125">
        <v>1056.7460000000001</v>
      </c>
      <c r="AG235" s="127">
        <v>2940</v>
      </c>
      <c r="AH235" s="125">
        <v>301.858</v>
      </c>
      <c r="AI235" s="127">
        <v>2940</v>
      </c>
      <c r="AJ235" s="125">
        <v>315.15300000000002</v>
      </c>
    </row>
    <row r="236" spans="1:36" ht="14.25">
      <c r="A236" s="128">
        <v>2970</v>
      </c>
      <c r="B236" s="124">
        <v>631.67499999999995</v>
      </c>
      <c r="C236" s="128">
        <v>2980</v>
      </c>
      <c r="D236" s="125">
        <v>627.04700000000003</v>
      </c>
      <c r="E236" s="126">
        <v>2970</v>
      </c>
      <c r="F236" s="125">
        <v>1327.9659999999999</v>
      </c>
      <c r="G236" s="127">
        <v>2970</v>
      </c>
      <c r="H236" s="125">
        <v>1326.646</v>
      </c>
      <c r="I236" s="127">
        <v>2970</v>
      </c>
      <c r="J236" s="125">
        <v>1132.7809999999999</v>
      </c>
      <c r="K236" s="127">
        <v>2970</v>
      </c>
      <c r="L236" s="125">
        <v>1132.57</v>
      </c>
      <c r="M236" s="127">
        <v>2970</v>
      </c>
      <c r="N236" s="125">
        <v>1132.568</v>
      </c>
      <c r="O236" s="127">
        <v>2950</v>
      </c>
      <c r="P236" s="125">
        <v>1133.694</v>
      </c>
      <c r="Q236" s="127">
        <v>2970</v>
      </c>
      <c r="R236" s="125">
        <v>1133.2809999999999</v>
      </c>
      <c r="S236" s="127">
        <v>2970</v>
      </c>
      <c r="T236" s="125">
        <v>1133.73</v>
      </c>
      <c r="U236" s="127">
        <v>2960</v>
      </c>
      <c r="V236" s="125">
        <v>1132.194</v>
      </c>
      <c r="W236" s="127">
        <v>2970</v>
      </c>
      <c r="X236" s="125">
        <v>1132.0619999999999</v>
      </c>
      <c r="Y236" s="127">
        <v>2970</v>
      </c>
      <c r="Z236" s="129">
        <v>1130.663</v>
      </c>
      <c r="AA236" s="127">
        <v>2970</v>
      </c>
      <c r="AB236" s="125">
        <v>1130.2159999999999</v>
      </c>
      <c r="AC236" s="127">
        <v>2960</v>
      </c>
      <c r="AD236" s="125">
        <v>1054.4290000000001</v>
      </c>
      <c r="AE236" s="127">
        <v>2970</v>
      </c>
      <c r="AF236" s="125">
        <v>1055.5640000000001</v>
      </c>
      <c r="AG236" s="127">
        <v>2950</v>
      </c>
      <c r="AH236" s="125">
        <v>301.47199999999998</v>
      </c>
      <c r="AI236" s="127">
        <v>2950</v>
      </c>
      <c r="AJ236" s="125">
        <v>314.75299999999999</v>
      </c>
    </row>
    <row r="237" spans="1:36" ht="14.25">
      <c r="A237" s="128">
        <v>2980</v>
      </c>
      <c r="B237" s="124">
        <v>630.89200000000005</v>
      </c>
      <c r="C237" s="128">
        <v>2990</v>
      </c>
      <c r="D237" s="125">
        <v>626.27</v>
      </c>
      <c r="E237" s="126">
        <v>2980</v>
      </c>
      <c r="F237" s="125">
        <v>1326.492</v>
      </c>
      <c r="G237" s="127">
        <v>2980</v>
      </c>
      <c r="H237" s="125">
        <v>1325.1759999999999</v>
      </c>
      <c r="I237" s="127">
        <v>2980</v>
      </c>
      <c r="J237" s="125">
        <v>1131.595</v>
      </c>
      <c r="K237" s="127">
        <v>2980</v>
      </c>
      <c r="L237" s="125">
        <v>1131.383</v>
      </c>
      <c r="M237" s="127">
        <v>2980</v>
      </c>
      <c r="N237" s="125">
        <v>1131.3810000000001</v>
      </c>
      <c r="O237" s="127">
        <v>2960</v>
      </c>
      <c r="P237" s="125">
        <v>1132.509</v>
      </c>
      <c r="Q237" s="127">
        <v>2980</v>
      </c>
      <c r="R237" s="125">
        <v>1132.095</v>
      </c>
      <c r="S237" s="127">
        <v>2980</v>
      </c>
      <c r="T237" s="125">
        <v>1132.5450000000001</v>
      </c>
      <c r="U237" s="127">
        <v>2970</v>
      </c>
      <c r="V237" s="125">
        <v>1131.011</v>
      </c>
      <c r="W237" s="127">
        <v>2980</v>
      </c>
      <c r="X237" s="125">
        <v>1130.8779999999999</v>
      </c>
      <c r="Y237" s="127">
        <v>2980</v>
      </c>
      <c r="Z237" s="125">
        <v>1129.479</v>
      </c>
      <c r="AA237" s="127">
        <v>2980</v>
      </c>
      <c r="AB237" s="125">
        <v>1129.0340000000001</v>
      </c>
      <c r="AC237" s="127">
        <v>2970</v>
      </c>
      <c r="AD237" s="125">
        <v>1053.2449999999999</v>
      </c>
      <c r="AE237" s="127">
        <v>2980</v>
      </c>
      <c r="AF237" s="125">
        <v>1054.3820000000001</v>
      </c>
      <c r="AG237" s="127">
        <v>2960</v>
      </c>
      <c r="AH237" s="125">
        <v>301.08600000000001</v>
      </c>
      <c r="AI237" s="127">
        <v>2960</v>
      </c>
      <c r="AJ237" s="125">
        <v>314.35300000000001</v>
      </c>
    </row>
    <row r="238" spans="1:36" ht="14.25">
      <c r="A238" s="128">
        <v>2990</v>
      </c>
      <c r="B238" s="124">
        <v>630.11</v>
      </c>
      <c r="C238" s="128">
        <v>3000</v>
      </c>
      <c r="D238" s="125">
        <v>625.49400000000003</v>
      </c>
      <c r="E238" s="126">
        <v>2990</v>
      </c>
      <c r="F238" s="125">
        <v>1325.0170000000001</v>
      </c>
      <c r="G238" s="127">
        <v>2990</v>
      </c>
      <c r="H238" s="125">
        <v>1323.7049999999999</v>
      </c>
      <c r="I238" s="127">
        <v>2990</v>
      </c>
      <c r="J238" s="125">
        <v>1130.4079999999999</v>
      </c>
      <c r="K238" s="127">
        <v>2990</v>
      </c>
      <c r="L238" s="125">
        <v>1130.1969999999999</v>
      </c>
      <c r="M238" s="127">
        <v>2990</v>
      </c>
      <c r="N238" s="125">
        <v>1130.1949999999999</v>
      </c>
      <c r="O238" s="127">
        <v>2970</v>
      </c>
      <c r="P238" s="125">
        <v>1131.3230000000001</v>
      </c>
      <c r="Q238" s="127">
        <v>2990</v>
      </c>
      <c r="R238" s="125">
        <v>1130.9090000000001</v>
      </c>
      <c r="S238" s="127">
        <v>2990</v>
      </c>
      <c r="T238" s="125">
        <v>1131.3589999999999</v>
      </c>
      <c r="U238" s="127">
        <v>2980</v>
      </c>
      <c r="V238" s="125">
        <v>1129.827</v>
      </c>
      <c r="W238" s="127">
        <v>2990</v>
      </c>
      <c r="X238" s="125">
        <v>1129.6949999999999</v>
      </c>
      <c r="Y238" s="127">
        <v>2990</v>
      </c>
      <c r="Z238" s="125">
        <v>1128.2950000000001</v>
      </c>
      <c r="AA238" s="127">
        <v>2990</v>
      </c>
      <c r="AB238" s="125">
        <v>1127.8520000000001</v>
      </c>
      <c r="AC238" s="127">
        <v>2980</v>
      </c>
      <c r="AD238" s="125">
        <v>1052.0609999999999</v>
      </c>
      <c r="AE238" s="127">
        <v>2990</v>
      </c>
      <c r="AF238" s="125">
        <v>1053.1990000000001</v>
      </c>
      <c r="AG238" s="127">
        <v>2970</v>
      </c>
      <c r="AH238" s="125">
        <v>300.69900000000001</v>
      </c>
      <c r="AI238" s="127">
        <v>2970</v>
      </c>
      <c r="AJ238" s="125">
        <v>313.95299999999997</v>
      </c>
    </row>
    <row r="239" spans="1:36" ht="14.25">
      <c r="A239" s="128">
        <v>3000</v>
      </c>
      <c r="B239" s="124">
        <v>629.327</v>
      </c>
      <c r="C239" s="128">
        <v>3010</v>
      </c>
      <c r="D239" s="125">
        <v>624.71699999999998</v>
      </c>
      <c r="E239" s="126">
        <v>3000</v>
      </c>
      <c r="F239" s="125">
        <v>1323.5419999999999</v>
      </c>
      <c r="G239" s="127">
        <v>3000</v>
      </c>
      <c r="H239" s="125">
        <v>1322.2339999999999</v>
      </c>
      <c r="I239" s="127">
        <v>3000</v>
      </c>
      <c r="J239" s="125">
        <v>1129.221</v>
      </c>
      <c r="K239" s="127">
        <v>3000</v>
      </c>
      <c r="L239" s="125">
        <v>1129.009</v>
      </c>
      <c r="M239" s="127">
        <v>3000</v>
      </c>
      <c r="N239" s="125">
        <v>1129.008</v>
      </c>
      <c r="O239" s="127">
        <v>2980</v>
      </c>
      <c r="P239" s="125">
        <v>1130.136</v>
      </c>
      <c r="Q239" s="127">
        <v>3000</v>
      </c>
      <c r="R239" s="125">
        <v>1129.723</v>
      </c>
      <c r="S239" s="127">
        <v>3000</v>
      </c>
      <c r="T239" s="125">
        <v>1130.174</v>
      </c>
      <c r="U239" s="127">
        <v>2990</v>
      </c>
      <c r="V239" s="125">
        <v>1128.644</v>
      </c>
      <c r="W239" s="127">
        <v>3000</v>
      </c>
      <c r="X239" s="125">
        <v>1128.511</v>
      </c>
      <c r="Y239" s="127">
        <v>3000</v>
      </c>
      <c r="Z239" s="125">
        <v>1127.1099999999999</v>
      </c>
      <c r="AA239" s="127">
        <v>3000</v>
      </c>
      <c r="AB239" s="125">
        <v>1126.67</v>
      </c>
      <c r="AC239" s="127">
        <v>2990</v>
      </c>
      <c r="AD239" s="125">
        <v>1050.877</v>
      </c>
      <c r="AE239" s="127">
        <v>3000</v>
      </c>
      <c r="AF239" s="125">
        <v>1052.0160000000001</v>
      </c>
      <c r="AG239" s="127">
        <v>2980</v>
      </c>
      <c r="AH239" s="125">
        <v>300.31299999999999</v>
      </c>
      <c r="AI239" s="127">
        <v>2980</v>
      </c>
      <c r="AJ239" s="125">
        <v>313.55200000000002</v>
      </c>
    </row>
    <row r="240" spans="1:36" ht="14.25">
      <c r="A240" s="128">
        <v>3010</v>
      </c>
      <c r="B240" s="124">
        <v>628.54399999999998</v>
      </c>
      <c r="C240" s="128">
        <v>3020</v>
      </c>
      <c r="D240" s="125">
        <v>623.94000000000005</v>
      </c>
      <c r="E240" s="126">
        <v>3010</v>
      </c>
      <c r="F240" s="125">
        <v>1322.067</v>
      </c>
      <c r="G240" s="127">
        <v>3010</v>
      </c>
      <c r="H240" s="125">
        <v>1320.7619999999999</v>
      </c>
      <c r="I240" s="127">
        <v>3010</v>
      </c>
      <c r="J240" s="125">
        <v>1128.0340000000001</v>
      </c>
      <c r="K240" s="127">
        <v>3010</v>
      </c>
      <c r="L240" s="125">
        <v>1127.8219999999999</v>
      </c>
      <c r="M240" s="127">
        <v>3010</v>
      </c>
      <c r="N240" s="125">
        <v>1127.8209999999999</v>
      </c>
      <c r="O240" s="127">
        <v>2990</v>
      </c>
      <c r="P240" s="125">
        <v>1128.95</v>
      </c>
      <c r="Q240" s="127">
        <v>3010</v>
      </c>
      <c r="R240" s="125">
        <v>1128.5360000000001</v>
      </c>
      <c r="S240" s="127">
        <v>3010</v>
      </c>
      <c r="T240" s="125">
        <v>1128.9880000000001</v>
      </c>
      <c r="U240" s="127">
        <v>3000</v>
      </c>
      <c r="V240" s="125">
        <v>1127.46</v>
      </c>
      <c r="W240" s="127">
        <v>3010</v>
      </c>
      <c r="X240" s="125">
        <v>1127.327</v>
      </c>
      <c r="Y240" s="127">
        <v>3010</v>
      </c>
      <c r="Z240" s="125">
        <v>1125.925</v>
      </c>
      <c r="AA240" s="127">
        <v>3010</v>
      </c>
      <c r="AB240" s="125">
        <v>1125.4870000000001</v>
      </c>
      <c r="AC240" s="127">
        <v>3000</v>
      </c>
      <c r="AD240" s="125">
        <v>1049.692</v>
      </c>
      <c r="AE240" s="127">
        <v>3010</v>
      </c>
      <c r="AF240" s="125">
        <v>1050.8340000000001</v>
      </c>
      <c r="AG240" s="127">
        <v>2990</v>
      </c>
      <c r="AH240" s="125">
        <v>299.92700000000002</v>
      </c>
      <c r="AI240" s="127">
        <v>2990</v>
      </c>
      <c r="AJ240" s="125">
        <v>313.15199999999999</v>
      </c>
    </row>
    <row r="241" spans="1:36" ht="14.25">
      <c r="A241" s="128">
        <v>3020</v>
      </c>
      <c r="B241" s="124">
        <v>627.76099999999997</v>
      </c>
      <c r="C241" s="128">
        <v>3030</v>
      </c>
      <c r="D241" s="125">
        <v>623.16300000000001</v>
      </c>
      <c r="E241" s="126">
        <v>3020</v>
      </c>
      <c r="F241" s="125">
        <v>1320.5920000000001</v>
      </c>
      <c r="G241" s="127">
        <v>3020</v>
      </c>
      <c r="H241" s="125">
        <v>1319.29</v>
      </c>
      <c r="I241" s="127">
        <v>3020</v>
      </c>
      <c r="J241" s="125">
        <v>1126.847</v>
      </c>
      <c r="K241" s="127">
        <v>3020</v>
      </c>
      <c r="L241" s="125">
        <v>1126.634</v>
      </c>
      <c r="M241" s="127">
        <v>3020</v>
      </c>
      <c r="N241" s="125">
        <v>1126.634</v>
      </c>
      <c r="O241" s="127">
        <v>3000</v>
      </c>
      <c r="P241" s="125">
        <v>1127.7629999999999</v>
      </c>
      <c r="Q241" s="127">
        <v>3020</v>
      </c>
      <c r="R241" s="125">
        <v>1127.3489999999999</v>
      </c>
      <c r="S241" s="127">
        <v>3020</v>
      </c>
      <c r="T241" s="125">
        <v>1127.8019999999999</v>
      </c>
      <c r="U241" s="127">
        <v>3010</v>
      </c>
      <c r="V241" s="125">
        <v>1126.2760000000001</v>
      </c>
      <c r="W241" s="127">
        <v>3020</v>
      </c>
      <c r="X241" s="125">
        <v>1126.1420000000001</v>
      </c>
      <c r="Y241" s="127">
        <v>3020</v>
      </c>
      <c r="Z241" s="125">
        <v>1124.74</v>
      </c>
      <c r="AA241" s="127">
        <v>3020</v>
      </c>
      <c r="AB241" s="125">
        <v>1124.3040000000001</v>
      </c>
      <c r="AC241" s="127">
        <v>3010</v>
      </c>
      <c r="AD241" s="125">
        <v>1048.508</v>
      </c>
      <c r="AE241" s="127">
        <v>3020</v>
      </c>
      <c r="AF241" s="125">
        <v>1049.6500000000001</v>
      </c>
      <c r="AG241" s="127">
        <v>3000</v>
      </c>
      <c r="AH241" s="125">
        <v>299.54000000000002</v>
      </c>
      <c r="AI241" s="127">
        <v>3000</v>
      </c>
      <c r="AJ241" s="125">
        <v>312.75200000000001</v>
      </c>
    </row>
    <row r="242" spans="1:36" ht="14.25">
      <c r="A242" s="128">
        <v>3030</v>
      </c>
      <c r="B242" s="124">
        <v>626.97699999999998</v>
      </c>
      <c r="C242" s="128">
        <v>3040</v>
      </c>
      <c r="D242" s="125">
        <v>622.38599999999997</v>
      </c>
      <c r="E242" s="126">
        <v>3030</v>
      </c>
      <c r="F242" s="125">
        <v>1319.116</v>
      </c>
      <c r="G242" s="127">
        <v>3030</v>
      </c>
      <c r="H242" s="125">
        <v>1317.818</v>
      </c>
      <c r="I242" s="127">
        <v>3030</v>
      </c>
      <c r="J242" s="125">
        <v>1125.6590000000001</v>
      </c>
      <c r="K242" s="127">
        <v>3030</v>
      </c>
      <c r="L242" s="125">
        <v>1125.4469999999999</v>
      </c>
      <c r="M242" s="127">
        <v>3030</v>
      </c>
      <c r="N242" s="125">
        <v>1125.4459999999999</v>
      </c>
      <c r="O242" s="127">
        <v>3010</v>
      </c>
      <c r="P242" s="125">
        <v>1126.576</v>
      </c>
      <c r="Q242" s="127">
        <v>3030</v>
      </c>
      <c r="R242" s="125">
        <v>1126.162</v>
      </c>
      <c r="S242" s="127">
        <v>3030</v>
      </c>
      <c r="T242" s="125">
        <v>1126.615</v>
      </c>
      <c r="U242" s="127">
        <v>3020</v>
      </c>
      <c r="V242" s="125">
        <v>1125.0920000000001</v>
      </c>
      <c r="W242" s="127">
        <v>3030</v>
      </c>
      <c r="X242" s="125">
        <v>1124.9570000000001</v>
      </c>
      <c r="Y242" s="127">
        <v>3030</v>
      </c>
      <c r="Z242" s="125">
        <v>1123.5540000000001</v>
      </c>
      <c r="AA242" s="127">
        <v>3030</v>
      </c>
      <c r="AB242" s="125">
        <v>1123.1210000000001</v>
      </c>
      <c r="AC242" s="127">
        <v>3020</v>
      </c>
      <c r="AD242" s="125">
        <v>1047.3230000000001</v>
      </c>
      <c r="AE242" s="127">
        <v>3030</v>
      </c>
      <c r="AF242" s="125">
        <v>1048.4670000000001</v>
      </c>
      <c r="AG242" s="127">
        <v>3010</v>
      </c>
      <c r="AH242" s="125">
        <v>299.154</v>
      </c>
      <c r="AI242" s="127">
        <v>3010</v>
      </c>
      <c r="AJ242" s="125">
        <v>312.351</v>
      </c>
    </row>
    <row r="243" spans="1:36" ht="14.25">
      <c r="A243" s="128">
        <v>3040</v>
      </c>
      <c r="B243" s="124">
        <v>626.19399999999996</v>
      </c>
      <c r="C243" s="128">
        <v>3050</v>
      </c>
      <c r="D243" s="125">
        <v>621.60900000000004</v>
      </c>
      <c r="E243" s="126">
        <v>3040</v>
      </c>
      <c r="F243" s="125">
        <v>1317.64</v>
      </c>
      <c r="G243" s="127">
        <v>3040</v>
      </c>
      <c r="H243" s="125">
        <v>1316.346</v>
      </c>
      <c r="I243" s="127">
        <v>3040</v>
      </c>
      <c r="J243" s="125">
        <v>1124.471</v>
      </c>
      <c r="K243" s="127">
        <v>3040</v>
      </c>
      <c r="L243" s="125">
        <v>1124.258</v>
      </c>
      <c r="M243" s="127">
        <v>3040</v>
      </c>
      <c r="N243" s="125">
        <v>1124.259</v>
      </c>
      <c r="O243" s="127">
        <v>3020</v>
      </c>
      <c r="P243" s="125">
        <v>1125.3889999999999</v>
      </c>
      <c r="Q243" s="127">
        <v>3040</v>
      </c>
      <c r="R243" s="125">
        <v>1124.9749999999999</v>
      </c>
      <c r="S243" s="127">
        <v>3040</v>
      </c>
      <c r="T243" s="125">
        <v>1125.4290000000001</v>
      </c>
      <c r="U243" s="127">
        <v>3030</v>
      </c>
      <c r="V243" s="125">
        <v>1123.9079999999999</v>
      </c>
      <c r="W243" s="127">
        <v>3040</v>
      </c>
      <c r="X243" s="125">
        <v>1123.7719999999999</v>
      </c>
      <c r="Y243" s="127">
        <v>3040</v>
      </c>
      <c r="Z243" s="125">
        <v>1122.3689999999999</v>
      </c>
      <c r="AA243" s="127">
        <v>3040</v>
      </c>
      <c r="AB243" s="125">
        <v>1121.9369999999999</v>
      </c>
      <c r="AC243" s="127">
        <v>3030</v>
      </c>
      <c r="AD243" s="125">
        <v>1046.1379999999999</v>
      </c>
      <c r="AE243" s="127">
        <v>3040</v>
      </c>
      <c r="AF243" s="125">
        <v>1047.2829999999999</v>
      </c>
      <c r="AG243" s="127">
        <v>3020</v>
      </c>
      <c r="AH243" s="125">
        <v>298.767</v>
      </c>
      <c r="AI243" s="127">
        <v>3020</v>
      </c>
      <c r="AJ243" s="125">
        <v>311.95</v>
      </c>
    </row>
    <row r="244" spans="1:36" ht="14.25">
      <c r="A244" s="128">
        <v>3050</v>
      </c>
      <c r="B244" s="124">
        <v>625.41</v>
      </c>
      <c r="C244" s="128">
        <v>3060</v>
      </c>
      <c r="D244" s="125">
        <v>620.83100000000002</v>
      </c>
      <c r="E244" s="126">
        <v>3050</v>
      </c>
      <c r="F244" s="125">
        <v>1316.163</v>
      </c>
      <c r="G244" s="127">
        <v>3050</v>
      </c>
      <c r="H244" s="125">
        <v>1314.873</v>
      </c>
      <c r="I244" s="127">
        <v>3050</v>
      </c>
      <c r="J244" s="125">
        <v>1123.2829999999999</v>
      </c>
      <c r="K244" s="127">
        <v>3050</v>
      </c>
      <c r="L244" s="125">
        <v>1123.07</v>
      </c>
      <c r="M244" s="127">
        <v>3050</v>
      </c>
      <c r="N244" s="125">
        <v>1123.0709999999999</v>
      </c>
      <c r="O244" s="127">
        <v>3030</v>
      </c>
      <c r="P244" s="125">
        <v>1124.202</v>
      </c>
      <c r="Q244" s="127">
        <v>3050</v>
      </c>
      <c r="R244" s="125">
        <v>1123.787</v>
      </c>
      <c r="S244" s="127">
        <v>3050</v>
      </c>
      <c r="T244" s="125">
        <v>1124.242</v>
      </c>
      <c r="U244" s="127">
        <v>3040</v>
      </c>
      <c r="V244" s="125">
        <v>1122.723</v>
      </c>
      <c r="W244" s="127">
        <v>3050</v>
      </c>
      <c r="X244" s="125">
        <v>1122.587</v>
      </c>
      <c r="Y244" s="127">
        <v>3050</v>
      </c>
      <c r="Z244" s="125">
        <v>1121.183</v>
      </c>
      <c r="AA244" s="127">
        <v>3050</v>
      </c>
      <c r="AB244" s="125">
        <v>1120.7539999999999</v>
      </c>
      <c r="AC244" s="127">
        <v>3040</v>
      </c>
      <c r="AD244" s="125">
        <v>1044.953</v>
      </c>
      <c r="AE244" s="127">
        <v>3050</v>
      </c>
      <c r="AF244" s="125">
        <v>1046.0989999999999</v>
      </c>
      <c r="AG244" s="127">
        <v>3030</v>
      </c>
      <c r="AH244" s="125">
        <v>298.38</v>
      </c>
      <c r="AI244" s="127">
        <v>3030</v>
      </c>
      <c r="AJ244" s="125">
        <v>311.55</v>
      </c>
    </row>
    <row r="245" spans="1:36" ht="14.25">
      <c r="A245" s="128">
        <v>3060</v>
      </c>
      <c r="B245" s="124">
        <v>624.62599999999998</v>
      </c>
      <c r="C245" s="128">
        <v>3070</v>
      </c>
      <c r="D245" s="125">
        <v>620.05399999999997</v>
      </c>
      <c r="E245" s="126">
        <v>3060</v>
      </c>
      <c r="F245" s="125">
        <v>1314.6869999999999</v>
      </c>
      <c r="G245" s="127">
        <v>3060</v>
      </c>
      <c r="H245" s="125">
        <v>1313.4</v>
      </c>
      <c r="I245" s="127">
        <v>3060</v>
      </c>
      <c r="J245" s="125">
        <v>1122.095</v>
      </c>
      <c r="K245" s="127">
        <v>3060</v>
      </c>
      <c r="L245" s="125">
        <v>1121.8810000000001</v>
      </c>
      <c r="M245" s="127">
        <v>3060</v>
      </c>
      <c r="N245" s="125">
        <v>1121.8820000000001</v>
      </c>
      <c r="O245" s="127">
        <v>3040</v>
      </c>
      <c r="P245" s="125">
        <v>1123.0139999999999</v>
      </c>
      <c r="Q245" s="127">
        <v>3060</v>
      </c>
      <c r="R245" s="125">
        <v>1122.5999999999999</v>
      </c>
      <c r="S245" s="127">
        <v>3060</v>
      </c>
      <c r="T245" s="125">
        <v>1123.0550000000001</v>
      </c>
      <c r="U245" s="127">
        <v>3050</v>
      </c>
      <c r="V245" s="125">
        <v>1121.538</v>
      </c>
      <c r="W245" s="127">
        <v>3060</v>
      </c>
      <c r="X245" s="125">
        <v>1121.402</v>
      </c>
      <c r="Y245" s="127">
        <v>3060</v>
      </c>
      <c r="Z245" s="125">
        <v>1119.9970000000001</v>
      </c>
      <c r="AA245" s="127">
        <v>3060</v>
      </c>
      <c r="AB245" s="125">
        <v>1119.57</v>
      </c>
      <c r="AC245" s="127">
        <v>3050</v>
      </c>
      <c r="AD245" s="125">
        <v>1043.7670000000001</v>
      </c>
      <c r="AE245" s="127">
        <v>3060</v>
      </c>
      <c r="AF245" s="125">
        <v>1044.915</v>
      </c>
      <c r="AG245" s="127">
        <v>3040</v>
      </c>
      <c r="AH245" s="125">
        <v>297.99299999999999</v>
      </c>
      <c r="AI245" s="127">
        <v>3040</v>
      </c>
      <c r="AJ245" s="125">
        <v>311.149</v>
      </c>
    </row>
    <row r="246" spans="1:36" ht="14.25">
      <c r="A246" s="128">
        <v>3070</v>
      </c>
      <c r="B246" s="124">
        <v>623.84199999999998</v>
      </c>
      <c r="C246" s="128">
        <v>3080</v>
      </c>
      <c r="D246" s="125">
        <v>619.27599999999995</v>
      </c>
      <c r="E246" s="126">
        <v>3070</v>
      </c>
      <c r="F246" s="125">
        <v>1313.21</v>
      </c>
      <c r="G246" s="127">
        <v>3070</v>
      </c>
      <c r="H246" s="125">
        <v>1311.9269999999999</v>
      </c>
      <c r="I246" s="127">
        <v>3070</v>
      </c>
      <c r="J246" s="125">
        <v>1120.9059999999999</v>
      </c>
      <c r="K246" s="127">
        <v>3070</v>
      </c>
      <c r="L246" s="125">
        <v>1120.693</v>
      </c>
      <c r="M246" s="127">
        <v>3070</v>
      </c>
      <c r="N246" s="125">
        <v>1120.694</v>
      </c>
      <c r="O246" s="127">
        <v>3050</v>
      </c>
      <c r="P246" s="125">
        <v>1121.826</v>
      </c>
      <c r="Q246" s="127">
        <v>3070</v>
      </c>
      <c r="R246" s="125">
        <v>1121.412</v>
      </c>
      <c r="S246" s="127">
        <v>3070</v>
      </c>
      <c r="T246" s="125">
        <v>1121.867</v>
      </c>
      <c r="U246" s="127">
        <v>3060</v>
      </c>
      <c r="V246" s="125">
        <v>1120.3530000000001</v>
      </c>
      <c r="W246" s="127">
        <v>3070</v>
      </c>
      <c r="X246" s="125">
        <v>1120.2159999999999</v>
      </c>
      <c r="Y246" s="127">
        <v>3070</v>
      </c>
      <c r="Z246" s="125">
        <v>1118.81</v>
      </c>
      <c r="AA246" s="127">
        <v>3070</v>
      </c>
      <c r="AB246" s="125">
        <v>1118.386</v>
      </c>
      <c r="AC246" s="127">
        <v>3060</v>
      </c>
      <c r="AD246" s="125">
        <v>1042.5809999999999</v>
      </c>
      <c r="AE246" s="127">
        <v>3070</v>
      </c>
      <c r="AF246" s="125">
        <v>1043.731</v>
      </c>
      <c r="AG246" s="127">
        <v>3050</v>
      </c>
      <c r="AH246" s="125">
        <v>297.60599999999999</v>
      </c>
      <c r="AI246" s="127">
        <v>3050</v>
      </c>
      <c r="AJ246" s="125">
        <v>310.74799999999999</v>
      </c>
    </row>
    <row r="247" spans="1:36" ht="14.25">
      <c r="A247" s="128">
        <v>3080</v>
      </c>
      <c r="B247" s="124">
        <v>623.05799999999999</v>
      </c>
      <c r="C247" s="128">
        <v>3090</v>
      </c>
      <c r="D247" s="125">
        <v>618.49699999999996</v>
      </c>
      <c r="E247" s="126">
        <v>3080</v>
      </c>
      <c r="F247" s="125">
        <v>1311.7329999999999</v>
      </c>
      <c r="G247" s="127">
        <v>3080</v>
      </c>
      <c r="H247" s="125">
        <v>1310.453</v>
      </c>
      <c r="I247" s="127">
        <v>3080</v>
      </c>
      <c r="J247" s="125">
        <v>1119.7170000000001</v>
      </c>
      <c r="K247" s="127">
        <v>3080</v>
      </c>
      <c r="L247" s="125">
        <v>1119.5029999999999</v>
      </c>
      <c r="M247" s="127">
        <v>3080</v>
      </c>
      <c r="N247" s="125">
        <v>1119.5050000000001</v>
      </c>
      <c r="O247" s="127">
        <v>3060</v>
      </c>
      <c r="P247" s="125">
        <v>1120.6379999999999</v>
      </c>
      <c r="Q247" s="127">
        <v>3080</v>
      </c>
      <c r="R247" s="125">
        <v>1120.223</v>
      </c>
      <c r="S247" s="127">
        <v>3080</v>
      </c>
      <c r="T247" s="125">
        <v>1120.68</v>
      </c>
      <c r="U247" s="127">
        <v>3070</v>
      </c>
      <c r="V247" s="125">
        <v>1119.1679999999999</v>
      </c>
      <c r="W247" s="127">
        <v>3080</v>
      </c>
      <c r="X247" s="125">
        <v>1119.03</v>
      </c>
      <c r="Y247" s="127">
        <v>3080</v>
      </c>
      <c r="Z247" s="125">
        <v>1117.624</v>
      </c>
      <c r="AA247" s="127">
        <v>3080</v>
      </c>
      <c r="AB247" s="125">
        <v>1117.201</v>
      </c>
      <c r="AC247" s="127">
        <v>3070</v>
      </c>
      <c r="AD247" s="125">
        <v>1041.395</v>
      </c>
      <c r="AE247" s="127">
        <v>3080</v>
      </c>
      <c r="AF247" s="125">
        <v>1042.546</v>
      </c>
      <c r="AG247" s="127">
        <v>3060</v>
      </c>
      <c r="AH247" s="125">
        <v>297.21899999999999</v>
      </c>
      <c r="AI247" s="127">
        <v>3060</v>
      </c>
      <c r="AJ247" s="125">
        <v>310.34699999999998</v>
      </c>
    </row>
    <row r="248" spans="1:36" ht="14.25">
      <c r="A248" s="128">
        <v>3090</v>
      </c>
      <c r="B248" s="124">
        <v>622.27300000000002</v>
      </c>
      <c r="C248" s="128">
        <v>3100</v>
      </c>
      <c r="D248" s="125">
        <v>617.71900000000005</v>
      </c>
      <c r="E248" s="126">
        <v>3090</v>
      </c>
      <c r="F248" s="125">
        <v>1310.2550000000001</v>
      </c>
      <c r="G248" s="127">
        <v>3090</v>
      </c>
      <c r="H248" s="125">
        <v>1308.979</v>
      </c>
      <c r="I248" s="127">
        <v>3090</v>
      </c>
      <c r="J248" s="125">
        <v>1118.528</v>
      </c>
      <c r="K248" s="127">
        <v>3090</v>
      </c>
      <c r="L248" s="125">
        <v>1118.3140000000001</v>
      </c>
      <c r="M248" s="127">
        <v>3090</v>
      </c>
      <c r="N248" s="125">
        <v>1118.317</v>
      </c>
      <c r="O248" s="127">
        <v>3070</v>
      </c>
      <c r="P248" s="125">
        <v>1119.4490000000001</v>
      </c>
      <c r="Q248" s="127">
        <v>3090</v>
      </c>
      <c r="R248" s="125">
        <v>1119.0350000000001</v>
      </c>
      <c r="S248" s="127">
        <v>3090</v>
      </c>
      <c r="T248" s="125">
        <v>1119.492</v>
      </c>
      <c r="U248" s="127">
        <v>3080</v>
      </c>
      <c r="V248" s="125">
        <v>1117.982</v>
      </c>
      <c r="W248" s="127">
        <v>3090</v>
      </c>
      <c r="X248" s="125">
        <v>1117.8440000000001</v>
      </c>
      <c r="Y248" s="127">
        <v>3090</v>
      </c>
      <c r="Z248" s="125">
        <v>1116.4369999999999</v>
      </c>
      <c r="AA248" s="127">
        <v>3090</v>
      </c>
      <c r="AB248" s="125">
        <v>1116.0170000000001</v>
      </c>
      <c r="AC248" s="127">
        <v>3080</v>
      </c>
      <c r="AD248" s="125">
        <v>1040.2090000000001</v>
      </c>
      <c r="AE248" s="127">
        <v>3090</v>
      </c>
      <c r="AF248" s="125">
        <v>1041.3610000000001</v>
      </c>
      <c r="AG248" s="127">
        <v>3070</v>
      </c>
      <c r="AH248" s="125">
        <v>296.83199999999999</v>
      </c>
      <c r="AI248" s="127">
        <v>3070</v>
      </c>
      <c r="AJ248" s="125">
        <v>309.94600000000003</v>
      </c>
    </row>
    <row r="249" spans="1:36" ht="14.25">
      <c r="A249" s="128">
        <v>3100</v>
      </c>
      <c r="B249" s="124">
        <v>621.48900000000003</v>
      </c>
      <c r="C249" s="128">
        <v>3110</v>
      </c>
      <c r="D249" s="125">
        <v>616.94100000000003</v>
      </c>
      <c r="E249" s="126">
        <v>3100</v>
      </c>
      <c r="F249" s="125">
        <v>1308.777</v>
      </c>
      <c r="G249" s="127">
        <v>3100</v>
      </c>
      <c r="H249" s="125">
        <v>1307.5050000000001</v>
      </c>
      <c r="I249" s="127">
        <v>3100</v>
      </c>
      <c r="J249" s="125">
        <v>1117.3389999999999</v>
      </c>
      <c r="K249" s="127">
        <v>3100</v>
      </c>
      <c r="L249" s="125">
        <v>1117.125</v>
      </c>
      <c r="M249" s="127">
        <v>3100</v>
      </c>
      <c r="N249" s="125">
        <v>1117.127</v>
      </c>
      <c r="O249" s="127">
        <v>3080</v>
      </c>
      <c r="P249" s="125">
        <v>1118.261</v>
      </c>
      <c r="Q249" s="127">
        <v>3100</v>
      </c>
      <c r="R249" s="125">
        <v>1117.846</v>
      </c>
      <c r="S249" s="127">
        <v>3100</v>
      </c>
      <c r="T249" s="125">
        <v>1118.3040000000001</v>
      </c>
      <c r="U249" s="127">
        <v>3090</v>
      </c>
      <c r="V249" s="125">
        <v>1116.796</v>
      </c>
      <c r="W249" s="127">
        <v>3100</v>
      </c>
      <c r="X249" s="125">
        <v>1116.6579999999999</v>
      </c>
      <c r="Y249" s="127">
        <v>3100</v>
      </c>
      <c r="Z249" s="125">
        <v>1115.25</v>
      </c>
      <c r="AA249" s="127">
        <v>3100</v>
      </c>
      <c r="AB249" s="125">
        <v>1114.8320000000001</v>
      </c>
      <c r="AC249" s="127">
        <v>3090</v>
      </c>
      <c r="AD249" s="125">
        <v>1039.0219999999999</v>
      </c>
      <c r="AE249" s="127">
        <v>3100</v>
      </c>
      <c r="AF249" s="125">
        <v>1040.1759999999999</v>
      </c>
      <c r="AG249" s="127">
        <v>3080</v>
      </c>
      <c r="AH249" s="125">
        <v>296.44499999999999</v>
      </c>
      <c r="AI249" s="127">
        <v>3080</v>
      </c>
      <c r="AJ249" s="125">
        <v>309.54500000000002</v>
      </c>
    </row>
    <row r="250" spans="1:36" ht="14.25">
      <c r="A250" s="128">
        <v>3110</v>
      </c>
      <c r="B250" s="124">
        <v>620.70399999999995</v>
      </c>
      <c r="C250" s="128">
        <v>3120</v>
      </c>
      <c r="D250" s="125">
        <v>616.16200000000003</v>
      </c>
      <c r="E250" s="126">
        <v>3110</v>
      </c>
      <c r="F250" s="125">
        <v>1307.299</v>
      </c>
      <c r="G250" s="127">
        <v>3110</v>
      </c>
      <c r="H250" s="125">
        <v>1306.0309999999999</v>
      </c>
      <c r="I250" s="127">
        <v>3110</v>
      </c>
      <c r="J250" s="125">
        <v>1116.1489999999999</v>
      </c>
      <c r="K250" s="127">
        <v>3110</v>
      </c>
      <c r="L250" s="125">
        <v>1115.9349999999999</v>
      </c>
      <c r="M250" s="127">
        <v>3110</v>
      </c>
      <c r="N250" s="125">
        <v>1115.9380000000001</v>
      </c>
      <c r="O250" s="127">
        <v>3090</v>
      </c>
      <c r="P250" s="125">
        <v>1117.0719999999999</v>
      </c>
      <c r="Q250" s="127">
        <v>3110</v>
      </c>
      <c r="R250" s="125">
        <v>1116.6569999999999</v>
      </c>
      <c r="S250" s="127">
        <v>3110</v>
      </c>
      <c r="T250" s="125">
        <v>1117.116</v>
      </c>
      <c r="U250" s="127">
        <v>3100</v>
      </c>
      <c r="V250" s="125">
        <v>1115.6099999999999</v>
      </c>
      <c r="W250" s="127">
        <v>3110</v>
      </c>
      <c r="X250" s="125">
        <v>1115.471</v>
      </c>
      <c r="Y250" s="127">
        <v>3110</v>
      </c>
      <c r="Z250" s="125">
        <v>1114.0630000000001</v>
      </c>
      <c r="AA250" s="127">
        <v>3110</v>
      </c>
      <c r="AB250" s="125">
        <v>1113.6469999999999</v>
      </c>
      <c r="AC250" s="127">
        <v>3100</v>
      </c>
      <c r="AD250" s="125">
        <v>1037.835</v>
      </c>
      <c r="AE250" s="127">
        <v>3110</v>
      </c>
      <c r="AF250" s="125">
        <v>1038.991</v>
      </c>
      <c r="AG250" s="127">
        <v>3090</v>
      </c>
      <c r="AH250" s="125">
        <v>296.05799999999999</v>
      </c>
      <c r="AI250" s="127">
        <v>3090</v>
      </c>
      <c r="AJ250" s="125">
        <v>309.14299999999997</v>
      </c>
    </row>
    <row r="251" spans="1:36" ht="14.25">
      <c r="A251" s="128">
        <v>3120</v>
      </c>
      <c r="B251" s="124">
        <v>619.91899999999998</v>
      </c>
      <c r="C251" s="128">
        <v>3130</v>
      </c>
      <c r="D251" s="125">
        <v>615.38300000000004</v>
      </c>
      <c r="E251" s="126">
        <v>3120</v>
      </c>
      <c r="F251" s="125">
        <v>1305.82</v>
      </c>
      <c r="G251" s="127">
        <v>3120</v>
      </c>
      <c r="H251" s="125">
        <v>1304.556</v>
      </c>
      <c r="I251" s="127">
        <v>3120</v>
      </c>
      <c r="J251" s="125">
        <v>1114.96</v>
      </c>
      <c r="K251" s="127">
        <v>3120</v>
      </c>
      <c r="L251" s="125">
        <v>1114.7449999999999</v>
      </c>
      <c r="M251" s="127">
        <v>3120</v>
      </c>
      <c r="N251" s="125">
        <v>1114.748</v>
      </c>
      <c r="O251" s="127">
        <v>3100</v>
      </c>
      <c r="P251" s="125">
        <v>1115.883</v>
      </c>
      <c r="Q251" s="127">
        <v>3120</v>
      </c>
      <c r="R251" s="125">
        <v>1115.4680000000001</v>
      </c>
      <c r="S251" s="127">
        <v>3120</v>
      </c>
      <c r="T251" s="125">
        <v>1115.9269999999999</v>
      </c>
      <c r="U251" s="127">
        <v>3110</v>
      </c>
      <c r="V251" s="125">
        <v>1114.423</v>
      </c>
      <c r="W251" s="127">
        <v>3120</v>
      </c>
      <c r="X251" s="125">
        <v>1114.2840000000001</v>
      </c>
      <c r="Y251" s="127">
        <v>3120</v>
      </c>
      <c r="Z251" s="125">
        <v>1112.875</v>
      </c>
      <c r="AA251" s="127">
        <v>3120</v>
      </c>
      <c r="AB251" s="125">
        <v>1112.461</v>
      </c>
      <c r="AC251" s="127">
        <v>3110</v>
      </c>
      <c r="AD251" s="125">
        <v>1036.6479999999999</v>
      </c>
      <c r="AE251" s="127">
        <v>3120</v>
      </c>
      <c r="AF251" s="125">
        <v>1037.8050000000001</v>
      </c>
      <c r="AG251" s="127">
        <v>3100</v>
      </c>
      <c r="AH251" s="125">
        <v>295.67</v>
      </c>
      <c r="AI251" s="127">
        <v>3100</v>
      </c>
      <c r="AJ251" s="125">
        <v>308.74200000000002</v>
      </c>
    </row>
    <row r="252" spans="1:36" ht="14.25">
      <c r="A252" s="128">
        <v>3130</v>
      </c>
      <c r="B252" s="124">
        <v>619.13400000000001</v>
      </c>
      <c r="C252" s="128">
        <v>3140</v>
      </c>
      <c r="D252" s="125">
        <v>614.60400000000004</v>
      </c>
      <c r="E252" s="126">
        <v>3130</v>
      </c>
      <c r="F252" s="125">
        <v>1304.3420000000001</v>
      </c>
      <c r="G252" s="127">
        <v>3130</v>
      </c>
      <c r="H252" s="125">
        <v>1303.0809999999999</v>
      </c>
      <c r="I252" s="127">
        <v>3130</v>
      </c>
      <c r="J252" s="125">
        <v>1113.77</v>
      </c>
      <c r="K252" s="127">
        <v>3130</v>
      </c>
      <c r="L252" s="125">
        <v>1113.5540000000001</v>
      </c>
      <c r="M252" s="127">
        <v>3130</v>
      </c>
      <c r="N252" s="125">
        <v>1113.558</v>
      </c>
      <c r="O252" s="127">
        <v>3110</v>
      </c>
      <c r="P252" s="125">
        <v>1114.694</v>
      </c>
      <c r="Q252" s="127">
        <v>3130</v>
      </c>
      <c r="R252" s="125">
        <v>1114.279</v>
      </c>
      <c r="S252" s="127">
        <v>3130</v>
      </c>
      <c r="T252" s="125">
        <v>1114.7380000000001</v>
      </c>
      <c r="U252" s="127">
        <v>3120</v>
      </c>
      <c r="V252" s="125">
        <v>1113.2370000000001</v>
      </c>
      <c r="W252" s="127">
        <v>3130</v>
      </c>
      <c r="X252" s="125">
        <v>1113.097</v>
      </c>
      <c r="Y252" s="127">
        <v>3130</v>
      </c>
      <c r="Z252" s="125">
        <v>1111.6869999999999</v>
      </c>
      <c r="AA252" s="127">
        <v>3130</v>
      </c>
      <c r="AB252" s="125">
        <v>1111.2760000000001</v>
      </c>
      <c r="AC252" s="127">
        <v>3120</v>
      </c>
      <c r="AD252" s="125">
        <v>1035.461</v>
      </c>
      <c r="AE252" s="127">
        <v>3130</v>
      </c>
      <c r="AF252" s="125">
        <v>1036.6189999999999</v>
      </c>
      <c r="AG252" s="127">
        <v>3110</v>
      </c>
      <c r="AH252" s="125">
        <v>295.28300000000002</v>
      </c>
      <c r="AI252" s="127">
        <v>3110</v>
      </c>
      <c r="AJ252" s="125">
        <v>308.33999999999997</v>
      </c>
    </row>
    <row r="253" spans="1:36" ht="14.25">
      <c r="A253" s="128">
        <v>3140</v>
      </c>
      <c r="B253" s="124">
        <v>618.34799999999996</v>
      </c>
      <c r="C253" s="128">
        <v>3150</v>
      </c>
      <c r="D253" s="125">
        <v>613.82500000000005</v>
      </c>
      <c r="E253" s="126">
        <v>3140</v>
      </c>
      <c r="F253" s="125">
        <v>1302.8630000000001</v>
      </c>
      <c r="G253" s="127">
        <v>3140</v>
      </c>
      <c r="H253" s="125">
        <v>1301.605</v>
      </c>
      <c r="I253" s="127">
        <v>3140</v>
      </c>
      <c r="J253" s="125">
        <v>1112.579</v>
      </c>
      <c r="K253" s="127">
        <v>3140</v>
      </c>
      <c r="L253" s="125">
        <v>1112.364</v>
      </c>
      <c r="M253" s="127">
        <v>3140</v>
      </c>
      <c r="N253" s="125">
        <v>1112.3679999999999</v>
      </c>
      <c r="O253" s="127">
        <v>3120</v>
      </c>
      <c r="P253" s="125">
        <v>1113.5039999999999</v>
      </c>
      <c r="Q253" s="127">
        <v>3140</v>
      </c>
      <c r="R253" s="125">
        <v>1113.0889999999999</v>
      </c>
      <c r="S253" s="127">
        <v>3140</v>
      </c>
      <c r="T253" s="125">
        <v>1113.549</v>
      </c>
      <c r="U253" s="127">
        <v>3130</v>
      </c>
      <c r="V253" s="125">
        <v>1112.05</v>
      </c>
      <c r="W253" s="127">
        <v>3140</v>
      </c>
      <c r="X253" s="125">
        <v>1111.9100000000001</v>
      </c>
      <c r="Y253" s="127">
        <v>3140</v>
      </c>
      <c r="Z253" s="125">
        <v>1110.499</v>
      </c>
      <c r="AA253" s="127">
        <v>3140</v>
      </c>
      <c r="AB253" s="125">
        <v>1110.0899999999999</v>
      </c>
      <c r="AC253" s="127">
        <v>3130</v>
      </c>
      <c r="AD253" s="125">
        <v>1034.2739999999999</v>
      </c>
      <c r="AE253" s="127">
        <v>3140</v>
      </c>
      <c r="AF253" s="125">
        <v>1035.433</v>
      </c>
      <c r="AG253" s="127">
        <v>3120</v>
      </c>
      <c r="AH253" s="125">
        <v>294.89499999999998</v>
      </c>
      <c r="AI253" s="127">
        <v>3120</v>
      </c>
      <c r="AJ253" s="125">
        <v>307.93900000000002</v>
      </c>
    </row>
    <row r="254" spans="1:36" ht="14.25">
      <c r="A254" s="128">
        <v>3150</v>
      </c>
      <c r="B254" s="124">
        <v>617.56299999999999</v>
      </c>
      <c r="C254" s="128">
        <v>3160</v>
      </c>
      <c r="D254" s="125">
        <v>613.04499999999996</v>
      </c>
      <c r="E254" s="126">
        <v>3150</v>
      </c>
      <c r="F254" s="125">
        <v>1301.383</v>
      </c>
      <c r="G254" s="127">
        <v>3150</v>
      </c>
      <c r="H254" s="125">
        <v>1300.1300000000001</v>
      </c>
      <c r="I254" s="127">
        <v>3150</v>
      </c>
      <c r="J254" s="125">
        <v>1111.3889999999999</v>
      </c>
      <c r="K254" s="127">
        <v>3150</v>
      </c>
      <c r="L254" s="125">
        <v>1111.173</v>
      </c>
      <c r="M254" s="127">
        <v>3150</v>
      </c>
      <c r="N254" s="125">
        <v>1111.1780000000001</v>
      </c>
      <c r="O254" s="127">
        <v>3130</v>
      </c>
      <c r="P254" s="125">
        <v>1112.3140000000001</v>
      </c>
      <c r="Q254" s="127">
        <v>3150</v>
      </c>
      <c r="R254" s="125">
        <v>1111.8989999999999</v>
      </c>
      <c r="S254" s="127">
        <v>3150</v>
      </c>
      <c r="T254" s="125">
        <v>1112.3599999999999</v>
      </c>
      <c r="U254" s="127">
        <v>3140</v>
      </c>
      <c r="V254" s="125">
        <v>1110.8630000000001</v>
      </c>
      <c r="W254" s="127">
        <v>3150</v>
      </c>
      <c r="X254" s="125">
        <v>1110.722</v>
      </c>
      <c r="Y254" s="127">
        <v>3150</v>
      </c>
      <c r="Z254" s="125">
        <v>1109.3109999999999</v>
      </c>
      <c r="AA254" s="127">
        <v>3150</v>
      </c>
      <c r="AB254" s="125">
        <v>1108.904</v>
      </c>
      <c r="AC254" s="127">
        <v>3140</v>
      </c>
      <c r="AD254" s="125">
        <v>1033.086</v>
      </c>
      <c r="AE254" s="127">
        <v>3150</v>
      </c>
      <c r="AF254" s="125">
        <v>1034.2470000000001</v>
      </c>
      <c r="AG254" s="127">
        <v>3130</v>
      </c>
      <c r="AH254" s="125">
        <v>294.50700000000001</v>
      </c>
      <c r="AI254" s="127">
        <v>3130</v>
      </c>
      <c r="AJ254" s="125">
        <v>307.53699999999998</v>
      </c>
    </row>
    <row r="255" spans="1:36" ht="14.25">
      <c r="A255" s="128">
        <v>3160</v>
      </c>
      <c r="B255" s="124">
        <v>616.77700000000004</v>
      </c>
      <c r="C255" s="128">
        <v>3170</v>
      </c>
      <c r="D255" s="125">
        <v>612.26599999999996</v>
      </c>
      <c r="E255" s="126">
        <v>3160</v>
      </c>
      <c r="F255" s="125">
        <v>1299.904</v>
      </c>
      <c r="G255" s="127">
        <v>3160</v>
      </c>
      <c r="H255" s="125">
        <v>1298.653</v>
      </c>
      <c r="I255" s="127">
        <v>3160</v>
      </c>
      <c r="J255" s="125">
        <v>1110.1980000000001</v>
      </c>
      <c r="K255" s="127">
        <v>3160</v>
      </c>
      <c r="L255" s="125">
        <v>1109.982</v>
      </c>
      <c r="M255" s="127">
        <v>3160</v>
      </c>
      <c r="N255" s="125">
        <v>1109.9870000000001</v>
      </c>
      <c r="O255" s="127">
        <v>3140</v>
      </c>
      <c r="P255" s="125">
        <v>1111.124</v>
      </c>
      <c r="Q255" s="127">
        <v>3160</v>
      </c>
      <c r="R255" s="125">
        <v>1110.7090000000001</v>
      </c>
      <c r="S255" s="127">
        <v>3160</v>
      </c>
      <c r="T255" s="125">
        <v>1111.171</v>
      </c>
      <c r="U255" s="127">
        <v>3150</v>
      </c>
      <c r="V255" s="125">
        <v>1109.6759999999999</v>
      </c>
      <c r="W255" s="127">
        <v>3160</v>
      </c>
      <c r="X255" s="125">
        <v>1109.5340000000001</v>
      </c>
      <c r="Y255" s="127">
        <v>3160</v>
      </c>
      <c r="Z255" s="125">
        <v>1108.1220000000001</v>
      </c>
      <c r="AA255" s="127">
        <v>3160</v>
      </c>
      <c r="AB255" s="125">
        <v>1107.7180000000001</v>
      </c>
      <c r="AC255" s="127">
        <v>3150</v>
      </c>
      <c r="AD255" s="125">
        <v>1031.8979999999999</v>
      </c>
      <c r="AE255" s="127">
        <v>3160</v>
      </c>
      <c r="AF255" s="125">
        <v>1033.06</v>
      </c>
      <c r="AG255" s="127">
        <v>3140</v>
      </c>
      <c r="AH255" s="125">
        <v>294.12</v>
      </c>
      <c r="AI255" s="127">
        <v>3140</v>
      </c>
      <c r="AJ255" s="125">
        <v>307.13499999999999</v>
      </c>
    </row>
    <row r="256" spans="1:36" ht="14.25">
      <c r="A256" s="128">
        <v>3170</v>
      </c>
      <c r="B256" s="124">
        <v>615.99099999999999</v>
      </c>
      <c r="C256" s="128">
        <v>3180</v>
      </c>
      <c r="D256" s="125">
        <v>611.48599999999999</v>
      </c>
      <c r="E256" s="126">
        <v>3170</v>
      </c>
      <c r="F256" s="125">
        <v>1298.424</v>
      </c>
      <c r="G256" s="127">
        <v>3170</v>
      </c>
      <c r="H256" s="125">
        <v>1297.1769999999999</v>
      </c>
      <c r="I256" s="127">
        <v>3170</v>
      </c>
      <c r="J256" s="125">
        <v>1109.0070000000001</v>
      </c>
      <c r="K256" s="127">
        <v>3170</v>
      </c>
      <c r="L256" s="125">
        <v>1108.7909999999999</v>
      </c>
      <c r="M256" s="127">
        <v>3170</v>
      </c>
      <c r="N256" s="125">
        <v>1108.797</v>
      </c>
      <c r="O256" s="127">
        <v>3150</v>
      </c>
      <c r="P256" s="125">
        <v>1109.934</v>
      </c>
      <c r="Q256" s="127">
        <v>3170</v>
      </c>
      <c r="R256" s="125">
        <v>1109.518</v>
      </c>
      <c r="S256" s="127">
        <v>3170</v>
      </c>
      <c r="T256" s="125">
        <v>1109.981</v>
      </c>
      <c r="U256" s="127">
        <v>3160</v>
      </c>
      <c r="V256" s="125">
        <v>1108.4880000000001</v>
      </c>
      <c r="W256" s="127">
        <v>3170</v>
      </c>
      <c r="X256" s="125">
        <v>1108.346</v>
      </c>
      <c r="Y256" s="127">
        <v>3170</v>
      </c>
      <c r="Z256" s="125">
        <v>1106.934</v>
      </c>
      <c r="AA256" s="127">
        <v>3170</v>
      </c>
      <c r="AB256" s="125">
        <v>1106.5309999999999</v>
      </c>
      <c r="AC256" s="127">
        <v>3160</v>
      </c>
      <c r="AD256" s="125">
        <v>1030.71</v>
      </c>
      <c r="AE256" s="127">
        <v>3170</v>
      </c>
      <c r="AF256" s="125">
        <v>1031.874</v>
      </c>
      <c r="AG256" s="127">
        <v>3150</v>
      </c>
      <c r="AH256" s="125">
        <v>293.73200000000003</v>
      </c>
      <c r="AI256" s="127">
        <v>3150</v>
      </c>
      <c r="AJ256" s="125">
        <v>306.73399999999998</v>
      </c>
    </row>
    <row r="257" spans="1:36" ht="14.25">
      <c r="A257" s="128">
        <v>3180</v>
      </c>
      <c r="B257" s="124">
        <v>615.20500000000004</v>
      </c>
      <c r="C257" s="128">
        <v>3190</v>
      </c>
      <c r="D257" s="125">
        <v>610.70600000000002</v>
      </c>
      <c r="E257" s="126">
        <v>3180</v>
      </c>
      <c r="F257" s="125">
        <v>1296.943</v>
      </c>
      <c r="G257" s="127">
        <v>3180</v>
      </c>
      <c r="H257" s="125">
        <v>1295.7</v>
      </c>
      <c r="I257" s="127">
        <v>3180</v>
      </c>
      <c r="J257" s="125">
        <v>1107.816</v>
      </c>
      <c r="K257" s="127">
        <v>3180</v>
      </c>
      <c r="L257" s="125">
        <v>1107.5989999999999</v>
      </c>
      <c r="M257" s="127">
        <v>3180</v>
      </c>
      <c r="N257" s="125">
        <v>1107.606</v>
      </c>
      <c r="O257" s="127">
        <v>3160</v>
      </c>
      <c r="P257" s="125">
        <v>1108.7429999999999</v>
      </c>
      <c r="Q257" s="127">
        <v>3180</v>
      </c>
      <c r="R257" s="125">
        <v>1108.328</v>
      </c>
      <c r="S257" s="127">
        <v>3180</v>
      </c>
      <c r="T257" s="125">
        <v>1108.7909999999999</v>
      </c>
      <c r="U257" s="127">
        <v>3170</v>
      </c>
      <c r="V257" s="125">
        <v>1107.3</v>
      </c>
      <c r="W257" s="127">
        <v>3180</v>
      </c>
      <c r="X257" s="125">
        <v>1107.1579999999999</v>
      </c>
      <c r="Y257" s="127">
        <v>3180</v>
      </c>
      <c r="Z257" s="125">
        <v>1105.7449999999999</v>
      </c>
      <c r="AA257" s="127">
        <v>3180</v>
      </c>
      <c r="AB257" s="125">
        <v>1105.3440000000001</v>
      </c>
      <c r="AC257" s="127">
        <v>3170</v>
      </c>
      <c r="AD257" s="125">
        <v>1029.521</v>
      </c>
      <c r="AE257" s="127">
        <v>3180</v>
      </c>
      <c r="AF257" s="125">
        <v>1030.6869999999999</v>
      </c>
      <c r="AG257" s="127">
        <v>3160</v>
      </c>
      <c r="AH257" s="125">
        <v>293.34399999999999</v>
      </c>
      <c r="AI257" s="127">
        <v>3160</v>
      </c>
      <c r="AJ257" s="125">
        <v>306.33199999999999</v>
      </c>
    </row>
    <row r="258" spans="1:36" ht="14.25">
      <c r="A258" s="128">
        <v>3190</v>
      </c>
      <c r="B258" s="124">
        <v>614.41899999999998</v>
      </c>
      <c r="C258" s="128">
        <v>3200</v>
      </c>
      <c r="D258" s="125">
        <v>609.92600000000004</v>
      </c>
      <c r="E258" s="126">
        <v>3190</v>
      </c>
      <c r="F258" s="125">
        <v>1295.463</v>
      </c>
      <c r="G258" s="127">
        <v>3190</v>
      </c>
      <c r="H258" s="125">
        <v>1294.223</v>
      </c>
      <c r="I258" s="127">
        <v>3190</v>
      </c>
      <c r="J258" s="125">
        <v>1106.625</v>
      </c>
      <c r="K258" s="127">
        <v>3190</v>
      </c>
      <c r="L258" s="125">
        <v>1106.4069999999999</v>
      </c>
      <c r="M258" s="127">
        <v>3190</v>
      </c>
      <c r="N258" s="125">
        <v>1106.414</v>
      </c>
      <c r="O258" s="127">
        <v>3170</v>
      </c>
      <c r="P258" s="125">
        <v>1107.5519999999999</v>
      </c>
      <c r="Q258" s="127">
        <v>3190</v>
      </c>
      <c r="R258" s="125">
        <v>1107.1369999999999</v>
      </c>
      <c r="S258" s="127">
        <v>3190</v>
      </c>
      <c r="T258" s="125">
        <v>1107.6010000000001</v>
      </c>
      <c r="U258" s="127">
        <v>3180</v>
      </c>
      <c r="V258" s="125">
        <v>1106.1120000000001</v>
      </c>
      <c r="W258" s="127">
        <v>3190</v>
      </c>
      <c r="X258" s="125">
        <v>1105.9690000000001</v>
      </c>
      <c r="Y258" s="127">
        <v>3190</v>
      </c>
      <c r="Z258" s="125">
        <v>1104.5550000000001</v>
      </c>
      <c r="AA258" s="127">
        <v>3190</v>
      </c>
      <c r="AB258" s="125">
        <v>1104.1569999999999</v>
      </c>
      <c r="AC258" s="127">
        <v>3180</v>
      </c>
      <c r="AD258" s="125">
        <v>1028.3330000000001</v>
      </c>
      <c r="AE258" s="127">
        <v>3190</v>
      </c>
      <c r="AF258" s="125">
        <v>1029.499</v>
      </c>
      <c r="AG258" s="127">
        <v>3170</v>
      </c>
      <c r="AH258" s="125">
        <v>292.95600000000002</v>
      </c>
      <c r="AI258" s="127">
        <v>3170</v>
      </c>
      <c r="AJ258" s="125">
        <v>305.93</v>
      </c>
    </row>
    <row r="259" spans="1:36" ht="14.25">
      <c r="A259" s="128">
        <v>3200</v>
      </c>
      <c r="B259" s="124">
        <v>613.63199999999995</v>
      </c>
      <c r="C259" s="128">
        <v>3210</v>
      </c>
      <c r="D259" s="125">
        <v>609.14599999999996</v>
      </c>
      <c r="E259" s="126">
        <v>3200</v>
      </c>
      <c r="F259" s="125">
        <v>1293.982</v>
      </c>
      <c r="G259" s="127">
        <v>3200</v>
      </c>
      <c r="H259" s="125">
        <v>1292.7460000000001</v>
      </c>
      <c r="I259" s="127">
        <v>3200</v>
      </c>
      <c r="J259" s="125">
        <v>1105.433</v>
      </c>
      <c r="K259" s="127">
        <v>3200</v>
      </c>
      <c r="L259" s="125">
        <v>1105.2149999999999</v>
      </c>
      <c r="M259" s="127">
        <v>3200</v>
      </c>
      <c r="N259" s="125">
        <v>1105.223</v>
      </c>
      <c r="O259" s="127">
        <v>3180</v>
      </c>
      <c r="P259" s="125">
        <v>1106.3610000000001</v>
      </c>
      <c r="Q259" s="127">
        <v>3200</v>
      </c>
      <c r="R259" s="125">
        <v>1105.9459999999999</v>
      </c>
      <c r="S259" s="127">
        <v>3200</v>
      </c>
      <c r="T259" s="125">
        <v>1106.4100000000001</v>
      </c>
      <c r="U259" s="127">
        <v>3190</v>
      </c>
      <c r="V259" s="125">
        <v>1104.924</v>
      </c>
      <c r="W259" s="127">
        <v>3200</v>
      </c>
      <c r="X259" s="125">
        <v>1104.78</v>
      </c>
      <c r="Y259" s="127">
        <v>3200</v>
      </c>
      <c r="Z259" s="125">
        <v>1103.366</v>
      </c>
      <c r="AA259" s="127">
        <v>3200</v>
      </c>
      <c r="AB259" s="125">
        <v>1102.97</v>
      </c>
      <c r="AC259" s="127">
        <v>3190</v>
      </c>
      <c r="AD259" s="125">
        <v>1027.144</v>
      </c>
      <c r="AE259" s="127">
        <v>3200</v>
      </c>
      <c r="AF259" s="125">
        <v>1028.3119999999999</v>
      </c>
      <c r="AG259" s="127">
        <v>3180</v>
      </c>
      <c r="AH259" s="125">
        <v>292.56799999999998</v>
      </c>
      <c r="AI259" s="127">
        <v>3180</v>
      </c>
      <c r="AJ259" s="125">
        <v>305.52800000000002</v>
      </c>
    </row>
    <row r="260" spans="1:36" ht="14.25">
      <c r="A260" s="128">
        <v>3210</v>
      </c>
      <c r="B260" s="124">
        <v>612.846</v>
      </c>
      <c r="C260" s="128">
        <v>3220</v>
      </c>
      <c r="D260" s="125">
        <v>608.36500000000001</v>
      </c>
      <c r="E260" s="126">
        <v>3210</v>
      </c>
      <c r="F260" s="125">
        <v>1292.501</v>
      </c>
      <c r="G260" s="127">
        <v>3210</v>
      </c>
      <c r="H260" s="125">
        <v>1291.269</v>
      </c>
      <c r="I260" s="127">
        <v>3210</v>
      </c>
      <c r="J260" s="125">
        <v>1104.241</v>
      </c>
      <c r="K260" s="127">
        <v>3210</v>
      </c>
      <c r="L260" s="125">
        <v>1104.0229999999999</v>
      </c>
      <c r="M260" s="127">
        <v>3210</v>
      </c>
      <c r="N260" s="125">
        <v>1104.0309999999999</v>
      </c>
      <c r="O260" s="127">
        <v>3190</v>
      </c>
      <c r="P260" s="125">
        <v>1105.17</v>
      </c>
      <c r="Q260" s="127">
        <v>3210</v>
      </c>
      <c r="R260" s="125">
        <v>1104.7539999999999</v>
      </c>
      <c r="S260" s="127">
        <v>3210</v>
      </c>
      <c r="T260" s="125">
        <v>1105.2190000000001</v>
      </c>
      <c r="U260" s="127">
        <v>3200</v>
      </c>
      <c r="V260" s="125">
        <v>1103.7349999999999</v>
      </c>
      <c r="W260" s="127">
        <v>3210</v>
      </c>
      <c r="X260" s="125">
        <v>1103.5909999999999</v>
      </c>
      <c r="Y260" s="127">
        <v>3210</v>
      </c>
      <c r="Z260" s="125">
        <v>1102.1759999999999</v>
      </c>
      <c r="AA260" s="127">
        <v>3210</v>
      </c>
      <c r="AB260" s="125">
        <v>1101.7819999999999</v>
      </c>
      <c r="AC260" s="127">
        <v>3200</v>
      </c>
      <c r="AD260" s="125">
        <v>1025.954</v>
      </c>
      <c r="AE260" s="127">
        <v>3210</v>
      </c>
      <c r="AF260" s="125">
        <v>1027.124</v>
      </c>
      <c r="AG260" s="127">
        <v>3190</v>
      </c>
      <c r="AH260" s="125">
        <v>292.17899999999997</v>
      </c>
      <c r="AI260" s="127">
        <v>3190</v>
      </c>
      <c r="AJ260" s="125">
        <v>305.125</v>
      </c>
    </row>
    <row r="261" spans="1:36" ht="14.25">
      <c r="A261" s="128">
        <v>3220</v>
      </c>
      <c r="B261" s="124">
        <v>612.05899999999997</v>
      </c>
      <c r="C261" s="128">
        <v>3230</v>
      </c>
      <c r="D261" s="125">
        <v>607.58399999999995</v>
      </c>
      <c r="E261" s="126">
        <v>3220</v>
      </c>
      <c r="F261" s="125">
        <v>1291.02</v>
      </c>
      <c r="G261" s="127">
        <v>3220</v>
      </c>
      <c r="H261" s="125">
        <v>1289.7909999999999</v>
      </c>
      <c r="I261" s="127">
        <v>3220</v>
      </c>
      <c r="J261" s="125">
        <v>1103.049</v>
      </c>
      <c r="K261" s="127">
        <v>3220</v>
      </c>
      <c r="L261" s="125">
        <v>1102.83</v>
      </c>
      <c r="M261" s="127">
        <v>3220</v>
      </c>
      <c r="N261" s="125">
        <v>1102.8389999999999</v>
      </c>
      <c r="O261" s="127">
        <v>3200</v>
      </c>
      <c r="P261" s="125">
        <v>1103.979</v>
      </c>
      <c r="Q261" s="127">
        <v>3220</v>
      </c>
      <c r="R261" s="125">
        <v>1103.5630000000001</v>
      </c>
      <c r="S261" s="127">
        <v>3220</v>
      </c>
      <c r="T261" s="125">
        <v>1104.028</v>
      </c>
      <c r="U261" s="127">
        <v>3210</v>
      </c>
      <c r="V261" s="125">
        <v>1102.546</v>
      </c>
      <c r="W261" s="127">
        <v>3220</v>
      </c>
      <c r="X261" s="125">
        <v>1102.402</v>
      </c>
      <c r="Y261" s="127">
        <v>3220</v>
      </c>
      <c r="Z261" s="125">
        <v>1100.9860000000001</v>
      </c>
      <c r="AA261" s="127">
        <v>3220</v>
      </c>
      <c r="AB261" s="125">
        <v>1100.5940000000001</v>
      </c>
      <c r="AC261" s="127">
        <v>3210</v>
      </c>
      <c r="AD261" s="125">
        <v>1024.7650000000001</v>
      </c>
      <c r="AE261" s="127">
        <v>3220</v>
      </c>
      <c r="AF261" s="125">
        <v>1025.9359999999999</v>
      </c>
      <c r="AG261" s="127">
        <v>3200</v>
      </c>
      <c r="AH261" s="125">
        <v>291.791</v>
      </c>
      <c r="AI261" s="127">
        <v>3200</v>
      </c>
      <c r="AJ261" s="125">
        <v>304.72300000000001</v>
      </c>
    </row>
    <row r="262" spans="1:36" ht="14.25">
      <c r="A262" s="128">
        <v>3230</v>
      </c>
      <c r="B262" s="124">
        <v>611.27200000000005</v>
      </c>
      <c r="C262" s="128">
        <v>3240</v>
      </c>
      <c r="D262" s="125">
        <v>606.803</v>
      </c>
      <c r="E262" s="126">
        <v>3230</v>
      </c>
      <c r="F262" s="125">
        <v>1289.538</v>
      </c>
      <c r="G262" s="127">
        <v>3230</v>
      </c>
      <c r="H262" s="125">
        <v>1288.3130000000001</v>
      </c>
      <c r="I262" s="127">
        <v>3230</v>
      </c>
      <c r="J262" s="125">
        <v>1101.857</v>
      </c>
      <c r="K262" s="127">
        <v>3230</v>
      </c>
      <c r="L262" s="125">
        <v>1101.6379999999999</v>
      </c>
      <c r="M262" s="127">
        <v>3230</v>
      </c>
      <c r="N262" s="125">
        <v>1101.6469999999999</v>
      </c>
      <c r="O262" s="127">
        <v>3210</v>
      </c>
      <c r="P262" s="125">
        <v>1102.787</v>
      </c>
      <c r="Q262" s="127">
        <v>3230</v>
      </c>
      <c r="R262" s="125">
        <v>1102.3710000000001</v>
      </c>
      <c r="S262" s="127">
        <v>3230</v>
      </c>
      <c r="T262" s="125">
        <v>1102.837</v>
      </c>
      <c r="U262" s="127">
        <v>3220</v>
      </c>
      <c r="V262" s="125">
        <v>1101.357</v>
      </c>
      <c r="W262" s="127">
        <v>3230</v>
      </c>
      <c r="X262" s="125">
        <v>1101.212</v>
      </c>
      <c r="Y262" s="127">
        <v>3230</v>
      </c>
      <c r="Z262" s="125">
        <v>1099.796</v>
      </c>
      <c r="AA262" s="127">
        <v>3230</v>
      </c>
      <c r="AB262" s="125">
        <v>1099.4059999999999</v>
      </c>
      <c r="AC262" s="127">
        <v>3220</v>
      </c>
      <c r="AD262" s="125">
        <v>1023.575</v>
      </c>
      <c r="AE262" s="127">
        <v>3230</v>
      </c>
      <c r="AF262" s="125">
        <v>1024.748</v>
      </c>
      <c r="AG262" s="127">
        <v>3210</v>
      </c>
      <c r="AH262" s="125">
        <v>291.40300000000002</v>
      </c>
      <c r="AI262" s="127">
        <v>3210</v>
      </c>
      <c r="AJ262" s="125">
        <v>304.32100000000003</v>
      </c>
    </row>
    <row r="263" spans="1:36" ht="14.25">
      <c r="A263" s="128">
        <v>3240</v>
      </c>
      <c r="B263" s="124">
        <v>610.48500000000001</v>
      </c>
      <c r="C263" s="128">
        <v>3250</v>
      </c>
      <c r="D263" s="125">
        <v>606.02200000000005</v>
      </c>
      <c r="E263" s="126">
        <v>3240</v>
      </c>
      <c r="F263" s="125">
        <v>1288.056</v>
      </c>
      <c r="G263" s="127">
        <v>3240</v>
      </c>
      <c r="H263" s="125">
        <v>1286.8340000000001</v>
      </c>
      <c r="I263" s="127">
        <v>3240</v>
      </c>
      <c r="J263" s="125">
        <v>1100.664</v>
      </c>
      <c r="K263" s="127">
        <v>3240</v>
      </c>
      <c r="L263" s="125">
        <v>1100.4449999999999</v>
      </c>
      <c r="M263" s="127">
        <v>3240</v>
      </c>
      <c r="N263" s="125">
        <v>1100.454</v>
      </c>
      <c r="O263" s="127">
        <v>3220</v>
      </c>
      <c r="P263" s="125">
        <v>1101.595</v>
      </c>
      <c r="Q263" s="127">
        <v>3240</v>
      </c>
      <c r="R263" s="125">
        <v>1101.1790000000001</v>
      </c>
      <c r="S263" s="127">
        <v>3240</v>
      </c>
      <c r="T263" s="125">
        <v>1101.646</v>
      </c>
      <c r="U263" s="127">
        <v>3230</v>
      </c>
      <c r="V263" s="125">
        <v>1100.1679999999999</v>
      </c>
      <c r="W263" s="127">
        <v>3240</v>
      </c>
      <c r="X263" s="125">
        <v>1100.0219999999999</v>
      </c>
      <c r="Y263" s="127">
        <v>3240</v>
      </c>
      <c r="Z263" s="125">
        <v>1098.606</v>
      </c>
      <c r="AA263" s="127">
        <v>3240</v>
      </c>
      <c r="AB263" s="125">
        <v>1098.2180000000001</v>
      </c>
      <c r="AC263" s="127">
        <v>3230</v>
      </c>
      <c r="AD263" s="125">
        <v>1022.385</v>
      </c>
      <c r="AE263" s="127">
        <v>3240</v>
      </c>
      <c r="AF263" s="125">
        <v>1023.559</v>
      </c>
      <c r="AG263" s="127">
        <v>3220</v>
      </c>
      <c r="AH263" s="125">
        <v>291.01400000000001</v>
      </c>
      <c r="AI263" s="127">
        <v>3220</v>
      </c>
      <c r="AJ263" s="125">
        <v>303.91800000000001</v>
      </c>
    </row>
    <row r="264" spans="1:36" ht="14.25">
      <c r="A264" s="128">
        <v>3250</v>
      </c>
      <c r="B264" s="124">
        <v>609.69799999999998</v>
      </c>
      <c r="C264" s="128">
        <v>3260</v>
      </c>
      <c r="D264" s="125">
        <v>605.24099999999999</v>
      </c>
      <c r="E264" s="126">
        <v>3250</v>
      </c>
      <c r="F264" s="125">
        <v>1286.5730000000001</v>
      </c>
      <c r="G264" s="127">
        <v>3250</v>
      </c>
      <c r="H264" s="125">
        <v>1285.355</v>
      </c>
      <c r="I264" s="127">
        <v>3250</v>
      </c>
      <c r="J264" s="125">
        <v>1099.471</v>
      </c>
      <c r="K264" s="127">
        <v>3250</v>
      </c>
      <c r="L264" s="125">
        <v>1099.251</v>
      </c>
      <c r="M264" s="127">
        <v>3250</v>
      </c>
      <c r="N264" s="125">
        <v>1099.261</v>
      </c>
      <c r="O264" s="127">
        <v>3230</v>
      </c>
      <c r="P264" s="125">
        <v>1100.402</v>
      </c>
      <c r="Q264" s="127">
        <v>3250</v>
      </c>
      <c r="R264" s="125">
        <v>1099.9860000000001</v>
      </c>
      <c r="S264" s="127">
        <v>3250</v>
      </c>
      <c r="T264" s="125">
        <v>1100.454</v>
      </c>
      <c r="U264" s="127">
        <v>3240</v>
      </c>
      <c r="V264" s="125">
        <v>1098.9780000000001</v>
      </c>
      <c r="W264" s="127">
        <v>3250</v>
      </c>
      <c r="X264" s="125">
        <v>1098.8320000000001</v>
      </c>
      <c r="Y264" s="127">
        <v>3250</v>
      </c>
      <c r="Z264" s="125">
        <v>1097.415</v>
      </c>
      <c r="AA264" s="127">
        <v>3250</v>
      </c>
      <c r="AB264" s="125">
        <v>1097.03</v>
      </c>
      <c r="AC264" s="127">
        <v>3240</v>
      </c>
      <c r="AD264" s="125">
        <v>1021.1950000000001</v>
      </c>
      <c r="AE264" s="127">
        <v>3250</v>
      </c>
      <c r="AF264" s="125">
        <v>1022.37</v>
      </c>
      <c r="AG264" s="127">
        <v>3230</v>
      </c>
      <c r="AH264" s="125">
        <v>290.62599999999998</v>
      </c>
      <c r="AI264" s="127">
        <v>3230</v>
      </c>
      <c r="AJ264" s="125">
        <v>303.51600000000002</v>
      </c>
    </row>
    <row r="265" spans="1:36" ht="14.25">
      <c r="A265" s="128">
        <v>3260</v>
      </c>
      <c r="B265" s="124">
        <v>608.91</v>
      </c>
      <c r="C265" s="128">
        <v>3270</v>
      </c>
      <c r="D265" s="125">
        <v>604.46</v>
      </c>
      <c r="E265" s="126">
        <v>3260</v>
      </c>
      <c r="F265" s="125">
        <v>1285.0909999999999</v>
      </c>
      <c r="G265" s="127">
        <v>3260</v>
      </c>
      <c r="H265" s="125">
        <v>1283.876</v>
      </c>
      <c r="I265" s="127">
        <v>3260</v>
      </c>
      <c r="J265" s="125">
        <v>1098.278</v>
      </c>
      <c r="K265" s="127">
        <v>3260</v>
      </c>
      <c r="L265" s="125">
        <v>1098.058</v>
      </c>
      <c r="M265" s="127">
        <v>3260</v>
      </c>
      <c r="N265" s="125">
        <v>1098.068</v>
      </c>
      <c r="O265" s="127">
        <v>3240</v>
      </c>
      <c r="P265" s="125">
        <v>1099.21</v>
      </c>
      <c r="Q265" s="127">
        <v>3260</v>
      </c>
      <c r="R265" s="125">
        <v>1098.7940000000001</v>
      </c>
      <c r="S265" s="127">
        <v>3260</v>
      </c>
      <c r="T265" s="125">
        <v>1099.2619999999999</v>
      </c>
      <c r="U265" s="127">
        <v>3250</v>
      </c>
      <c r="V265" s="125">
        <v>1097.789</v>
      </c>
      <c r="W265" s="127">
        <v>3260</v>
      </c>
      <c r="X265" s="125">
        <v>1097.6420000000001</v>
      </c>
      <c r="Y265" s="127">
        <v>3260</v>
      </c>
      <c r="Z265" s="125">
        <v>1096.2239999999999</v>
      </c>
      <c r="AA265" s="127">
        <v>3260</v>
      </c>
      <c r="AB265" s="125">
        <v>1095.8409999999999</v>
      </c>
      <c r="AC265" s="127">
        <v>3250</v>
      </c>
      <c r="AD265" s="125">
        <v>1020.005</v>
      </c>
      <c r="AE265" s="127">
        <v>3260</v>
      </c>
      <c r="AF265" s="125">
        <v>1021.181</v>
      </c>
      <c r="AG265" s="127">
        <v>3240</v>
      </c>
      <c r="AH265" s="125">
        <v>290.23700000000002</v>
      </c>
      <c r="AI265" s="127">
        <v>3240</v>
      </c>
      <c r="AJ265" s="125">
        <v>303.113</v>
      </c>
    </row>
    <row r="266" spans="1:36" ht="14.25">
      <c r="A266" s="128">
        <v>3270</v>
      </c>
      <c r="B266" s="124">
        <v>608.12300000000005</v>
      </c>
      <c r="C266" s="128">
        <v>3280</v>
      </c>
      <c r="D266" s="125">
        <v>603.678</v>
      </c>
      <c r="E266" s="126">
        <v>3270</v>
      </c>
      <c r="F266" s="125">
        <v>1283.6079999999999</v>
      </c>
      <c r="G266" s="127">
        <v>3270</v>
      </c>
      <c r="H266" s="125">
        <v>1282.3969999999999</v>
      </c>
      <c r="I266" s="127">
        <v>3270</v>
      </c>
      <c r="J266" s="125">
        <v>1097.085</v>
      </c>
      <c r="K266" s="127">
        <v>3270</v>
      </c>
      <c r="L266" s="125">
        <v>1096.864</v>
      </c>
      <c r="M266" s="127">
        <v>3270</v>
      </c>
      <c r="N266" s="125">
        <v>1096.875</v>
      </c>
      <c r="O266" s="127">
        <v>3250</v>
      </c>
      <c r="P266" s="125">
        <v>1098.0170000000001</v>
      </c>
      <c r="Q266" s="127">
        <v>3270</v>
      </c>
      <c r="R266" s="125">
        <v>1097.6010000000001</v>
      </c>
      <c r="S266" s="127">
        <v>3270</v>
      </c>
      <c r="T266" s="125">
        <v>1098.07</v>
      </c>
      <c r="U266" s="127">
        <v>3260</v>
      </c>
      <c r="V266" s="125">
        <v>1096.5989999999999</v>
      </c>
      <c r="W266" s="127">
        <v>3270</v>
      </c>
      <c r="X266" s="125">
        <v>1096.451</v>
      </c>
      <c r="Y266" s="127">
        <v>3270</v>
      </c>
      <c r="Z266" s="125">
        <v>1095.0329999999999</v>
      </c>
      <c r="AA266" s="127">
        <v>3270</v>
      </c>
      <c r="AB266" s="125">
        <v>1094.652</v>
      </c>
      <c r="AC266" s="127">
        <v>3260</v>
      </c>
      <c r="AD266" s="125">
        <v>1018.814</v>
      </c>
      <c r="AE266" s="127">
        <v>3270</v>
      </c>
      <c r="AF266" s="125">
        <v>1019.992</v>
      </c>
      <c r="AG266" s="127">
        <v>3250</v>
      </c>
      <c r="AH266" s="125">
        <v>289.84800000000001</v>
      </c>
      <c r="AI266" s="127">
        <v>3250</v>
      </c>
      <c r="AJ266" s="125">
        <v>302.70999999999998</v>
      </c>
    </row>
    <row r="267" spans="1:36" ht="14.25">
      <c r="A267" s="128">
        <v>3280</v>
      </c>
      <c r="B267" s="124">
        <v>607.33500000000004</v>
      </c>
      <c r="C267" s="128">
        <v>3290</v>
      </c>
      <c r="D267" s="125">
        <v>602.89599999999996</v>
      </c>
      <c r="E267" s="126">
        <v>3280</v>
      </c>
      <c r="F267" s="125">
        <v>1282.125</v>
      </c>
      <c r="G267" s="127">
        <v>3280</v>
      </c>
      <c r="H267" s="125">
        <v>1280.9169999999999</v>
      </c>
      <c r="I267" s="127">
        <v>3280</v>
      </c>
      <c r="J267" s="125">
        <v>1095.8910000000001</v>
      </c>
      <c r="K267" s="127">
        <v>3280</v>
      </c>
      <c r="L267" s="125">
        <v>1095.67</v>
      </c>
      <c r="M267" s="127">
        <v>3280</v>
      </c>
      <c r="N267" s="125">
        <v>1095.682</v>
      </c>
      <c r="O267" s="127">
        <v>3260</v>
      </c>
      <c r="P267" s="125">
        <v>1096.8240000000001</v>
      </c>
      <c r="Q267" s="127">
        <v>3280</v>
      </c>
      <c r="R267" s="125">
        <v>1096.4079999999999</v>
      </c>
      <c r="S267" s="127">
        <v>3280</v>
      </c>
      <c r="T267" s="125">
        <v>1096.8779999999999</v>
      </c>
      <c r="U267" s="127">
        <v>3270</v>
      </c>
      <c r="V267" s="125">
        <v>1095.4079999999999</v>
      </c>
      <c r="W267" s="127">
        <v>3280</v>
      </c>
      <c r="X267" s="125">
        <v>1095.261</v>
      </c>
      <c r="Y267" s="127">
        <v>3280</v>
      </c>
      <c r="Z267" s="125">
        <v>1093.8409999999999</v>
      </c>
      <c r="AA267" s="127">
        <v>3280</v>
      </c>
      <c r="AB267" s="125">
        <v>1093.462</v>
      </c>
      <c r="AC267" s="127">
        <v>3270</v>
      </c>
      <c r="AD267" s="125">
        <v>1017.623</v>
      </c>
      <c r="AE267" s="127">
        <v>3280</v>
      </c>
      <c r="AF267" s="125">
        <v>1018.803</v>
      </c>
      <c r="AG267" s="127">
        <v>3260</v>
      </c>
      <c r="AH267" s="125">
        <v>289.459</v>
      </c>
      <c r="AI267" s="127">
        <v>3260</v>
      </c>
      <c r="AJ267" s="125">
        <v>302.30700000000002</v>
      </c>
    </row>
    <row r="268" spans="1:36" ht="14.25">
      <c r="A268" s="128">
        <v>3290</v>
      </c>
      <c r="B268" s="124">
        <v>606.54700000000003</v>
      </c>
      <c r="C268" s="128">
        <v>3300</v>
      </c>
      <c r="D268" s="125">
        <v>602.11400000000003</v>
      </c>
      <c r="E268" s="126">
        <v>3290</v>
      </c>
      <c r="F268" s="125">
        <v>1280.6410000000001</v>
      </c>
      <c r="G268" s="127">
        <v>3290</v>
      </c>
      <c r="H268" s="125">
        <v>1279.4369999999999</v>
      </c>
      <c r="I268" s="127">
        <v>3290</v>
      </c>
      <c r="J268" s="125">
        <v>1094.6969999999999</v>
      </c>
      <c r="K268" s="127">
        <v>3290</v>
      </c>
      <c r="L268" s="125">
        <v>1094.4760000000001</v>
      </c>
      <c r="M268" s="127">
        <v>3290</v>
      </c>
      <c r="N268" s="125">
        <v>1094.4880000000001</v>
      </c>
      <c r="O268" s="127">
        <v>3270</v>
      </c>
      <c r="P268" s="125">
        <v>1095.6310000000001</v>
      </c>
      <c r="Q268" s="127">
        <v>3290</v>
      </c>
      <c r="R268" s="125">
        <v>1095.2149999999999</v>
      </c>
      <c r="S268" s="127">
        <v>3290</v>
      </c>
      <c r="T268" s="125">
        <v>1095.6849999999999</v>
      </c>
      <c r="U268" s="127">
        <v>3280</v>
      </c>
      <c r="V268" s="125">
        <v>1094.2180000000001</v>
      </c>
      <c r="W268" s="127">
        <v>3290</v>
      </c>
      <c r="X268" s="125">
        <v>1094.069</v>
      </c>
      <c r="Y268" s="127">
        <v>3290</v>
      </c>
      <c r="Z268" s="125">
        <v>1092.6500000000001</v>
      </c>
      <c r="AA268" s="127">
        <v>3290</v>
      </c>
      <c r="AB268" s="125">
        <v>1092.2729999999999</v>
      </c>
      <c r="AC268" s="127">
        <v>3280</v>
      </c>
      <c r="AD268" s="125">
        <v>1016.432</v>
      </c>
      <c r="AE268" s="127">
        <v>3290</v>
      </c>
      <c r="AF268" s="125">
        <v>1017.6130000000001</v>
      </c>
      <c r="AG268" s="127">
        <v>3270</v>
      </c>
      <c r="AH268" s="125">
        <v>289.07</v>
      </c>
      <c r="AI268" s="127">
        <v>3270</v>
      </c>
      <c r="AJ268" s="125">
        <v>301.90499999999997</v>
      </c>
    </row>
    <row r="269" spans="1:36" ht="14.25">
      <c r="A269" s="128">
        <v>3300</v>
      </c>
      <c r="B269" s="124">
        <v>605.75900000000001</v>
      </c>
      <c r="C269" s="128">
        <v>3310</v>
      </c>
      <c r="D269" s="125">
        <v>601.33199999999999</v>
      </c>
      <c r="E269" s="126">
        <v>3300</v>
      </c>
      <c r="F269" s="125">
        <v>1279.1569999999999</v>
      </c>
      <c r="G269" s="127">
        <v>3300</v>
      </c>
      <c r="H269" s="125">
        <v>1277.9570000000001</v>
      </c>
      <c r="I269" s="127">
        <v>3300</v>
      </c>
      <c r="J269" s="125">
        <v>1093.5029999999999</v>
      </c>
      <c r="K269" s="127">
        <v>3300</v>
      </c>
      <c r="L269" s="125">
        <v>1093.2809999999999</v>
      </c>
      <c r="M269" s="127">
        <v>3300</v>
      </c>
      <c r="N269" s="125">
        <v>1093.2940000000001</v>
      </c>
      <c r="O269" s="127">
        <v>3280</v>
      </c>
      <c r="P269" s="125">
        <v>1094.4380000000001</v>
      </c>
      <c r="Q269" s="127">
        <v>3300</v>
      </c>
      <c r="R269" s="125">
        <v>1094.021</v>
      </c>
      <c r="S269" s="127">
        <v>3300</v>
      </c>
      <c r="T269" s="125">
        <v>1094.492</v>
      </c>
      <c r="U269" s="127">
        <v>3290</v>
      </c>
      <c r="V269" s="125">
        <v>1093.027</v>
      </c>
      <c r="W269" s="127">
        <v>3300</v>
      </c>
      <c r="X269" s="125">
        <v>1092.8779999999999</v>
      </c>
      <c r="Y269" s="127">
        <v>3300</v>
      </c>
      <c r="Z269" s="125">
        <v>1091.4580000000001</v>
      </c>
      <c r="AA269" s="127">
        <v>3300</v>
      </c>
      <c r="AB269" s="125">
        <v>1091.0830000000001</v>
      </c>
      <c r="AC269" s="127">
        <v>3290</v>
      </c>
      <c r="AD269" s="125">
        <v>1015.241</v>
      </c>
      <c r="AE269" s="127">
        <v>3300</v>
      </c>
      <c r="AF269" s="125">
        <v>1016.423</v>
      </c>
      <c r="AG269" s="127">
        <v>3280</v>
      </c>
      <c r="AH269" s="125">
        <v>288.68099999999998</v>
      </c>
      <c r="AI269" s="127">
        <v>3280</v>
      </c>
      <c r="AJ269" s="125">
        <v>301.50200000000001</v>
      </c>
    </row>
    <row r="270" spans="1:36" ht="14.25">
      <c r="A270" s="128">
        <v>3310</v>
      </c>
      <c r="B270" s="124">
        <v>604.97</v>
      </c>
      <c r="C270" s="128">
        <v>3320</v>
      </c>
      <c r="D270" s="125">
        <v>600.54999999999995</v>
      </c>
      <c r="E270" s="126">
        <v>3310</v>
      </c>
      <c r="F270" s="125">
        <v>1277.673</v>
      </c>
      <c r="G270" s="127">
        <v>3310</v>
      </c>
      <c r="H270" s="125">
        <v>1276.4760000000001</v>
      </c>
      <c r="I270" s="127">
        <v>3310</v>
      </c>
      <c r="J270" s="125">
        <v>1092.309</v>
      </c>
      <c r="K270" s="127">
        <v>3310</v>
      </c>
      <c r="L270" s="125">
        <v>1092.087</v>
      </c>
      <c r="M270" s="127">
        <v>3310</v>
      </c>
      <c r="N270" s="125">
        <v>1092.0999999999999</v>
      </c>
      <c r="O270" s="127">
        <v>3290</v>
      </c>
      <c r="P270" s="125">
        <v>1093.2439999999999</v>
      </c>
      <c r="Q270" s="127">
        <v>3310</v>
      </c>
      <c r="R270" s="125">
        <v>1092.827</v>
      </c>
      <c r="S270" s="127">
        <v>3310</v>
      </c>
      <c r="T270" s="125">
        <v>1093.299</v>
      </c>
      <c r="U270" s="127">
        <v>3300</v>
      </c>
      <c r="V270" s="125">
        <v>1091.836</v>
      </c>
      <c r="W270" s="127">
        <v>3310</v>
      </c>
      <c r="X270" s="125">
        <v>1091.6869999999999</v>
      </c>
      <c r="Y270" s="127">
        <v>3310</v>
      </c>
      <c r="Z270" s="125">
        <v>1090.2660000000001</v>
      </c>
      <c r="AA270" s="127">
        <v>3310</v>
      </c>
      <c r="AB270" s="125">
        <v>1089.893</v>
      </c>
      <c r="AC270" s="127">
        <v>3300</v>
      </c>
      <c r="AD270" s="125">
        <v>1014.049</v>
      </c>
      <c r="AE270" s="127">
        <v>3310</v>
      </c>
      <c r="AF270" s="125">
        <v>1015.2329999999999</v>
      </c>
      <c r="AG270" s="127">
        <v>3290</v>
      </c>
      <c r="AH270" s="125">
        <v>288.29199999999997</v>
      </c>
      <c r="AI270" s="127">
        <v>3290</v>
      </c>
      <c r="AJ270" s="125">
        <v>301.09800000000001</v>
      </c>
    </row>
    <row r="271" spans="1:36" ht="14.25">
      <c r="A271" s="128">
        <v>3320</v>
      </c>
      <c r="B271" s="124">
        <v>604.18200000000002</v>
      </c>
      <c r="C271" s="128">
        <v>3330</v>
      </c>
      <c r="D271" s="125">
        <v>599.76700000000005</v>
      </c>
      <c r="E271" s="126">
        <v>3320</v>
      </c>
      <c r="F271" s="125">
        <v>1276.1890000000001</v>
      </c>
      <c r="G271" s="127">
        <v>3320</v>
      </c>
      <c r="H271" s="125">
        <v>1274.9949999999999</v>
      </c>
      <c r="I271" s="127">
        <v>3320</v>
      </c>
      <c r="J271" s="125">
        <v>1091.115</v>
      </c>
      <c r="K271" s="127">
        <v>3320</v>
      </c>
      <c r="L271" s="125">
        <v>1090.8920000000001</v>
      </c>
      <c r="M271" s="127">
        <v>3320</v>
      </c>
      <c r="N271" s="125">
        <v>1090.905</v>
      </c>
      <c r="O271" s="127">
        <v>3300</v>
      </c>
      <c r="P271" s="125">
        <v>1092.05</v>
      </c>
      <c r="Q271" s="127">
        <v>3320</v>
      </c>
      <c r="R271" s="125">
        <v>1091.633</v>
      </c>
      <c r="S271" s="127">
        <v>3320</v>
      </c>
      <c r="T271" s="125">
        <v>1092.105</v>
      </c>
      <c r="U271" s="127">
        <v>3310</v>
      </c>
      <c r="V271" s="125">
        <v>1090.645</v>
      </c>
      <c r="W271" s="127">
        <v>3320</v>
      </c>
      <c r="X271" s="125">
        <v>1090.4949999999999</v>
      </c>
      <c r="Y271" s="127">
        <v>3320</v>
      </c>
      <c r="Z271" s="125">
        <v>1089.0730000000001</v>
      </c>
      <c r="AA271" s="127">
        <v>3320</v>
      </c>
      <c r="AB271" s="125">
        <v>1088.703</v>
      </c>
      <c r="AC271" s="127">
        <v>3310</v>
      </c>
      <c r="AD271" s="125">
        <v>1012.857</v>
      </c>
      <c r="AE271" s="127">
        <v>3320</v>
      </c>
      <c r="AF271" s="125">
        <v>1014.042</v>
      </c>
      <c r="AG271" s="127">
        <v>3300</v>
      </c>
      <c r="AH271" s="125">
        <v>287.90300000000002</v>
      </c>
      <c r="AI271" s="127">
        <v>3300</v>
      </c>
      <c r="AJ271" s="125">
        <v>300.69499999999999</v>
      </c>
    </row>
    <row r="272" spans="1:36" ht="14.25">
      <c r="A272" s="128">
        <v>3330</v>
      </c>
      <c r="B272" s="124">
        <v>603.39300000000003</v>
      </c>
      <c r="C272" s="128">
        <v>3340</v>
      </c>
      <c r="D272" s="125">
        <v>598.98400000000004</v>
      </c>
      <c r="E272" s="126">
        <v>3330</v>
      </c>
      <c r="F272" s="125">
        <v>1274.704</v>
      </c>
      <c r="G272" s="127">
        <v>3330</v>
      </c>
      <c r="H272" s="125">
        <v>1273.5139999999999</v>
      </c>
      <c r="I272" s="127">
        <v>3330</v>
      </c>
      <c r="J272" s="125">
        <v>1089.92</v>
      </c>
      <c r="K272" s="127">
        <v>3330</v>
      </c>
      <c r="L272" s="125">
        <v>1089.6969999999999</v>
      </c>
      <c r="M272" s="127">
        <v>3330</v>
      </c>
      <c r="N272" s="125">
        <v>1089.711</v>
      </c>
      <c r="O272" s="127">
        <v>3310</v>
      </c>
      <c r="P272" s="125">
        <v>1090.856</v>
      </c>
      <c r="Q272" s="127">
        <v>3330</v>
      </c>
      <c r="R272" s="125">
        <v>1090.4390000000001</v>
      </c>
      <c r="S272" s="127">
        <v>3330</v>
      </c>
      <c r="T272" s="125">
        <v>1090.912</v>
      </c>
      <c r="U272" s="127">
        <v>3320</v>
      </c>
      <c r="V272" s="125">
        <v>1089.453</v>
      </c>
      <c r="W272" s="127">
        <v>3330</v>
      </c>
      <c r="X272" s="125">
        <v>1089.3030000000001</v>
      </c>
      <c r="Y272" s="127">
        <v>3330</v>
      </c>
      <c r="Z272" s="125">
        <v>1087.8810000000001</v>
      </c>
      <c r="AA272" s="127">
        <v>3330</v>
      </c>
      <c r="AB272" s="125">
        <v>1087.5119999999999</v>
      </c>
      <c r="AC272" s="127">
        <v>3320</v>
      </c>
      <c r="AD272" s="125">
        <v>1011.665</v>
      </c>
      <c r="AE272" s="127">
        <v>3330</v>
      </c>
      <c r="AF272" s="125">
        <v>1012.851</v>
      </c>
      <c r="AG272" s="127">
        <v>3310</v>
      </c>
      <c r="AH272" s="125">
        <v>287.51400000000001</v>
      </c>
      <c r="AI272" s="127">
        <v>3310</v>
      </c>
      <c r="AJ272" s="125">
        <v>300.29199999999997</v>
      </c>
    </row>
    <row r="273" spans="1:36" ht="14.25">
      <c r="A273" s="128">
        <v>3340</v>
      </c>
      <c r="B273" s="124">
        <v>602.60400000000004</v>
      </c>
      <c r="C273" s="128">
        <v>3350</v>
      </c>
      <c r="D273" s="125">
        <v>598.202</v>
      </c>
      <c r="E273" s="126">
        <v>3340</v>
      </c>
      <c r="F273" s="125">
        <v>1273.2190000000001</v>
      </c>
      <c r="G273" s="127">
        <v>3340</v>
      </c>
      <c r="H273" s="125">
        <v>1272.0319999999999</v>
      </c>
      <c r="I273" s="127">
        <v>3340</v>
      </c>
      <c r="J273" s="125">
        <v>1088.7249999999999</v>
      </c>
      <c r="K273" s="127">
        <v>3340</v>
      </c>
      <c r="L273" s="125">
        <v>1088.501</v>
      </c>
      <c r="M273" s="127">
        <v>3340</v>
      </c>
      <c r="N273" s="125">
        <v>1088.5160000000001</v>
      </c>
      <c r="O273" s="127">
        <v>3320</v>
      </c>
      <c r="P273" s="125">
        <v>1089.662</v>
      </c>
      <c r="Q273" s="127">
        <v>3340</v>
      </c>
      <c r="R273" s="125">
        <v>1089.2449999999999</v>
      </c>
      <c r="S273" s="127">
        <v>3340</v>
      </c>
      <c r="T273" s="125">
        <v>1089.7180000000001</v>
      </c>
      <c r="U273" s="127">
        <v>3330</v>
      </c>
      <c r="V273" s="125">
        <v>1088.2619999999999</v>
      </c>
      <c r="W273" s="127">
        <v>3340</v>
      </c>
      <c r="X273" s="125">
        <v>1088.1099999999999</v>
      </c>
      <c r="Y273" s="127">
        <v>3340</v>
      </c>
      <c r="Z273" s="125">
        <v>1086.6880000000001</v>
      </c>
      <c r="AA273" s="127">
        <v>3340</v>
      </c>
      <c r="AB273" s="125">
        <v>1086.3219999999999</v>
      </c>
      <c r="AC273" s="127">
        <v>3330</v>
      </c>
      <c r="AD273" s="125">
        <v>1010.473</v>
      </c>
      <c r="AE273" s="127">
        <v>3340</v>
      </c>
      <c r="AF273" s="125">
        <v>1011.66</v>
      </c>
      <c r="AG273" s="127">
        <v>3320</v>
      </c>
      <c r="AH273" s="125">
        <v>287.12400000000002</v>
      </c>
      <c r="AI273" s="127">
        <v>3320</v>
      </c>
      <c r="AJ273" s="125">
        <v>299.88799999999998</v>
      </c>
    </row>
    <row r="274" spans="1:36" ht="14.25">
      <c r="A274" s="128">
        <v>3350</v>
      </c>
      <c r="B274" s="124">
        <v>601.81500000000005</v>
      </c>
      <c r="C274" s="128">
        <v>3360</v>
      </c>
      <c r="D274" s="125">
        <v>597.41800000000001</v>
      </c>
      <c r="E274" s="126">
        <v>3350</v>
      </c>
      <c r="F274" s="125">
        <v>1271.7339999999999</v>
      </c>
      <c r="G274" s="127">
        <v>3350</v>
      </c>
      <c r="H274" s="125">
        <v>1270.5509999999999</v>
      </c>
      <c r="I274" s="127">
        <v>3350</v>
      </c>
      <c r="J274" s="125">
        <v>1087.53</v>
      </c>
      <c r="K274" s="127">
        <v>3350</v>
      </c>
      <c r="L274" s="125">
        <v>1087.3050000000001</v>
      </c>
      <c r="M274" s="127">
        <v>3350</v>
      </c>
      <c r="N274" s="125">
        <v>1087.3209999999999</v>
      </c>
      <c r="O274" s="127">
        <v>3330</v>
      </c>
      <c r="P274" s="125">
        <v>1088.4670000000001</v>
      </c>
      <c r="Q274" s="127">
        <v>3350</v>
      </c>
      <c r="R274" s="125">
        <v>1088.05</v>
      </c>
      <c r="S274" s="127">
        <v>3350</v>
      </c>
      <c r="T274" s="125">
        <v>1088.5239999999999</v>
      </c>
      <c r="U274" s="127">
        <v>3340</v>
      </c>
      <c r="V274" s="125">
        <v>1087.07</v>
      </c>
      <c r="W274" s="127">
        <v>3350</v>
      </c>
      <c r="X274" s="125">
        <v>1086.9179999999999</v>
      </c>
      <c r="Y274" s="127">
        <v>3350</v>
      </c>
      <c r="Z274" s="125">
        <v>1085.4949999999999</v>
      </c>
      <c r="AA274" s="127">
        <v>3350</v>
      </c>
      <c r="AB274" s="125">
        <v>1085.1310000000001</v>
      </c>
      <c r="AC274" s="127">
        <v>3340</v>
      </c>
      <c r="AD274" s="125">
        <v>1009.28</v>
      </c>
      <c r="AE274" s="127">
        <v>3350</v>
      </c>
      <c r="AF274" s="125">
        <v>1010.4690000000001</v>
      </c>
      <c r="AG274" s="127">
        <v>3330</v>
      </c>
      <c r="AH274" s="125">
        <v>286.73500000000001</v>
      </c>
      <c r="AI274" s="127">
        <v>3330</v>
      </c>
      <c r="AJ274" s="125">
        <v>299.48500000000001</v>
      </c>
    </row>
    <row r="275" spans="1:36" ht="14.25">
      <c r="A275" s="128">
        <v>3360</v>
      </c>
      <c r="B275" s="124">
        <v>601.02599999999995</v>
      </c>
      <c r="C275" s="128">
        <v>3370</v>
      </c>
      <c r="D275" s="125">
        <v>596.63499999999999</v>
      </c>
      <c r="E275" s="126">
        <v>3360</v>
      </c>
      <c r="F275" s="125">
        <v>1270.248</v>
      </c>
      <c r="G275" s="127">
        <v>3360</v>
      </c>
      <c r="H275" s="125">
        <v>1269.068</v>
      </c>
      <c r="I275" s="127">
        <v>3360</v>
      </c>
      <c r="J275" s="125">
        <v>1086.3340000000001</v>
      </c>
      <c r="K275" s="127">
        <v>3360</v>
      </c>
      <c r="L275" s="125">
        <v>1086.1089999999999</v>
      </c>
      <c r="M275" s="127">
        <v>3360</v>
      </c>
      <c r="N275" s="125">
        <v>1086.125</v>
      </c>
      <c r="O275" s="127">
        <v>3340</v>
      </c>
      <c r="P275" s="125">
        <v>1087.2719999999999</v>
      </c>
      <c r="Q275" s="127">
        <v>3360</v>
      </c>
      <c r="R275" s="125">
        <v>1086.855</v>
      </c>
      <c r="S275" s="127">
        <v>3360</v>
      </c>
      <c r="T275" s="125">
        <v>1087.33</v>
      </c>
      <c r="U275" s="127">
        <v>3350</v>
      </c>
      <c r="V275" s="125">
        <v>1085.877</v>
      </c>
      <c r="W275" s="127">
        <v>3360</v>
      </c>
      <c r="X275" s="125">
        <v>1085.7249999999999</v>
      </c>
      <c r="Y275" s="127">
        <v>3360</v>
      </c>
      <c r="Z275" s="125">
        <v>1084.3009999999999</v>
      </c>
      <c r="AA275" s="127">
        <v>3360</v>
      </c>
      <c r="AB275" s="125">
        <v>1083.94</v>
      </c>
      <c r="AC275" s="127">
        <v>3350</v>
      </c>
      <c r="AD275" s="125">
        <v>1008.088</v>
      </c>
      <c r="AE275" s="127">
        <v>3360</v>
      </c>
      <c r="AF275" s="125">
        <v>1009.278</v>
      </c>
      <c r="AG275" s="127">
        <v>3340</v>
      </c>
      <c r="AH275" s="125">
        <v>286.34500000000003</v>
      </c>
      <c r="AI275" s="127">
        <v>3340</v>
      </c>
      <c r="AJ275" s="125">
        <v>299.08100000000002</v>
      </c>
    </row>
    <row r="276" spans="1:36" ht="14.25">
      <c r="A276" s="128">
        <v>3370</v>
      </c>
      <c r="B276" s="124">
        <v>600.23699999999997</v>
      </c>
      <c r="C276" s="128">
        <v>3380</v>
      </c>
      <c r="D276" s="125">
        <v>595.85199999999998</v>
      </c>
      <c r="E276" s="126">
        <v>3370</v>
      </c>
      <c r="F276" s="125">
        <v>1268.7629999999999</v>
      </c>
      <c r="G276" s="127">
        <v>3370</v>
      </c>
      <c r="H276" s="125">
        <v>1267.586</v>
      </c>
      <c r="I276" s="127">
        <v>3370</v>
      </c>
      <c r="J276" s="125">
        <v>1085.1389999999999</v>
      </c>
      <c r="K276" s="127">
        <v>3370</v>
      </c>
      <c r="L276" s="125">
        <v>1084.913</v>
      </c>
      <c r="M276" s="127">
        <v>3370</v>
      </c>
      <c r="N276" s="125">
        <v>1084.93</v>
      </c>
      <c r="O276" s="127">
        <v>3350</v>
      </c>
      <c r="P276" s="125">
        <v>1086.077</v>
      </c>
      <c r="Q276" s="127">
        <v>3370</v>
      </c>
      <c r="R276" s="125">
        <v>1085.6600000000001</v>
      </c>
      <c r="S276" s="127">
        <v>3370</v>
      </c>
      <c r="T276" s="125">
        <v>1086.135</v>
      </c>
      <c r="U276" s="127">
        <v>3360</v>
      </c>
      <c r="V276" s="125">
        <v>1084.6849999999999</v>
      </c>
      <c r="W276" s="127">
        <v>3370</v>
      </c>
      <c r="X276" s="125">
        <v>1084.5319999999999</v>
      </c>
      <c r="Y276" s="127">
        <v>3370</v>
      </c>
      <c r="Z276" s="125">
        <v>1083.1079999999999</v>
      </c>
      <c r="AA276" s="127">
        <v>3370</v>
      </c>
      <c r="AB276" s="125">
        <v>1082.748</v>
      </c>
      <c r="AC276" s="127">
        <v>3360</v>
      </c>
      <c r="AD276" s="125">
        <v>1006.895</v>
      </c>
      <c r="AE276" s="127">
        <v>3370</v>
      </c>
      <c r="AF276" s="125">
        <v>1008.086</v>
      </c>
      <c r="AG276" s="127">
        <v>3350</v>
      </c>
      <c r="AH276" s="125">
        <v>285.95600000000002</v>
      </c>
      <c r="AI276" s="127">
        <v>3350</v>
      </c>
      <c r="AJ276" s="125">
        <v>298.678</v>
      </c>
    </row>
    <row r="277" spans="1:36" ht="14.25">
      <c r="A277" s="128">
        <v>3380</v>
      </c>
      <c r="B277" s="124">
        <v>599.447</v>
      </c>
      <c r="C277" s="128">
        <v>3390</v>
      </c>
      <c r="D277" s="125">
        <v>595.06799999999998</v>
      </c>
      <c r="E277" s="126">
        <v>3380</v>
      </c>
      <c r="F277" s="125">
        <v>1267.2760000000001</v>
      </c>
      <c r="G277" s="127">
        <v>3380</v>
      </c>
      <c r="H277" s="125">
        <v>1266.1030000000001</v>
      </c>
      <c r="I277" s="127">
        <v>3380</v>
      </c>
      <c r="J277" s="125">
        <v>1083.943</v>
      </c>
      <c r="K277" s="127">
        <v>3380</v>
      </c>
      <c r="L277" s="125">
        <v>1083.7170000000001</v>
      </c>
      <c r="M277" s="127">
        <v>3380</v>
      </c>
      <c r="N277" s="125">
        <v>1083.7339999999999</v>
      </c>
      <c r="O277" s="127">
        <v>3360</v>
      </c>
      <c r="P277" s="125">
        <v>1084.8820000000001</v>
      </c>
      <c r="Q277" s="127">
        <v>3380</v>
      </c>
      <c r="R277" s="125">
        <v>1084.4639999999999</v>
      </c>
      <c r="S277" s="127">
        <v>3380</v>
      </c>
      <c r="T277" s="125">
        <v>1084.94</v>
      </c>
      <c r="U277" s="127">
        <v>3370</v>
      </c>
      <c r="V277" s="125">
        <v>1083.492</v>
      </c>
      <c r="W277" s="127">
        <v>3380</v>
      </c>
      <c r="X277" s="125">
        <v>1083.3389999999999</v>
      </c>
      <c r="Y277" s="127">
        <v>3380</v>
      </c>
      <c r="Z277" s="125">
        <v>1081.914</v>
      </c>
      <c r="AA277" s="127">
        <v>3380</v>
      </c>
      <c r="AB277" s="125">
        <v>1081.556</v>
      </c>
      <c r="AC277" s="127">
        <v>3370</v>
      </c>
      <c r="AD277" s="125">
        <v>1005.701</v>
      </c>
      <c r="AE277" s="127">
        <v>3380</v>
      </c>
      <c r="AF277" s="125">
        <v>1006.894</v>
      </c>
      <c r="AG277" s="127">
        <v>3360</v>
      </c>
      <c r="AH277" s="125">
        <v>285.56599999999997</v>
      </c>
      <c r="AI277" s="127">
        <v>3360</v>
      </c>
      <c r="AJ277" s="125">
        <v>298.274</v>
      </c>
    </row>
    <row r="278" spans="1:36" ht="14.25">
      <c r="A278" s="128">
        <v>3390</v>
      </c>
      <c r="B278" s="124">
        <v>598.65700000000004</v>
      </c>
      <c r="C278" s="128">
        <v>3400</v>
      </c>
      <c r="D278" s="125">
        <v>594.28399999999999</v>
      </c>
      <c r="E278" s="126">
        <v>3390</v>
      </c>
      <c r="F278" s="125">
        <v>1265.79</v>
      </c>
      <c r="G278" s="127">
        <v>3390</v>
      </c>
      <c r="H278" s="125">
        <v>1264.6199999999999</v>
      </c>
      <c r="I278" s="127">
        <v>3390</v>
      </c>
      <c r="J278" s="125">
        <v>1082.7470000000001</v>
      </c>
      <c r="K278" s="127">
        <v>3390</v>
      </c>
      <c r="L278" s="125">
        <v>1082.52</v>
      </c>
      <c r="M278" s="127">
        <v>3390</v>
      </c>
      <c r="N278" s="125">
        <v>1082.538</v>
      </c>
      <c r="O278" s="127">
        <v>3370</v>
      </c>
      <c r="P278" s="125">
        <v>1083.6859999999999</v>
      </c>
      <c r="Q278" s="127">
        <v>3390</v>
      </c>
      <c r="R278" s="125">
        <v>1083.269</v>
      </c>
      <c r="S278" s="127">
        <v>3390</v>
      </c>
      <c r="T278" s="125">
        <v>1083.7449999999999</v>
      </c>
      <c r="U278" s="127">
        <v>3380</v>
      </c>
      <c r="V278" s="125">
        <v>1082.299</v>
      </c>
      <c r="W278" s="127">
        <v>3390</v>
      </c>
      <c r="X278" s="125">
        <v>1082.145</v>
      </c>
      <c r="Y278" s="127">
        <v>3390</v>
      </c>
      <c r="Z278" s="125">
        <v>1080.72</v>
      </c>
      <c r="AA278" s="127">
        <v>3390</v>
      </c>
      <c r="AB278" s="125">
        <v>1080.364</v>
      </c>
      <c r="AC278" s="127">
        <v>3380</v>
      </c>
      <c r="AD278" s="125">
        <v>1004.508</v>
      </c>
      <c r="AE278" s="127">
        <v>3390</v>
      </c>
      <c r="AF278" s="125">
        <v>1005.702</v>
      </c>
      <c r="AG278" s="127">
        <v>3370</v>
      </c>
      <c r="AH278" s="125">
        <v>285.17599999999999</v>
      </c>
      <c r="AI278" s="127">
        <v>3370</v>
      </c>
      <c r="AJ278" s="125">
        <v>297.87</v>
      </c>
    </row>
    <row r="279" spans="1:36" ht="14.25">
      <c r="A279" s="128">
        <v>3400</v>
      </c>
      <c r="B279" s="124">
        <v>597.86800000000005</v>
      </c>
      <c r="C279" s="128">
        <v>3410</v>
      </c>
      <c r="D279" s="125">
        <v>593.5</v>
      </c>
      <c r="E279" s="126">
        <v>3400</v>
      </c>
      <c r="F279" s="125">
        <v>1264.3030000000001</v>
      </c>
      <c r="G279" s="127">
        <v>3400</v>
      </c>
      <c r="H279" s="125">
        <v>1263.1369999999999</v>
      </c>
      <c r="I279" s="127">
        <v>3400</v>
      </c>
      <c r="J279" s="125">
        <v>1081.55</v>
      </c>
      <c r="K279" s="127">
        <v>3400</v>
      </c>
      <c r="L279" s="125">
        <v>1081.3230000000001</v>
      </c>
      <c r="M279" s="127">
        <v>3400</v>
      </c>
      <c r="N279" s="125">
        <v>1081.3420000000001</v>
      </c>
      <c r="O279" s="127">
        <v>3380</v>
      </c>
      <c r="P279" s="125">
        <v>1082.49</v>
      </c>
      <c r="Q279" s="127">
        <v>3400</v>
      </c>
      <c r="R279" s="125">
        <v>1082.0730000000001</v>
      </c>
      <c r="S279" s="127">
        <v>3400</v>
      </c>
      <c r="T279" s="125">
        <v>1082.55</v>
      </c>
      <c r="U279" s="127">
        <v>3390</v>
      </c>
      <c r="V279" s="125">
        <v>1081.106</v>
      </c>
      <c r="W279" s="127">
        <v>3400</v>
      </c>
      <c r="X279" s="125">
        <v>1080.952</v>
      </c>
      <c r="Y279" s="127">
        <v>3400</v>
      </c>
      <c r="Z279" s="125">
        <v>1079.5260000000001</v>
      </c>
      <c r="AA279" s="127">
        <v>3400</v>
      </c>
      <c r="AB279" s="125">
        <v>1079.172</v>
      </c>
      <c r="AC279" s="127">
        <v>3390</v>
      </c>
      <c r="AD279" s="125">
        <v>1003.314</v>
      </c>
      <c r="AE279" s="127">
        <v>3400</v>
      </c>
      <c r="AF279" s="125">
        <v>1004.51</v>
      </c>
      <c r="AG279" s="127">
        <v>3380</v>
      </c>
      <c r="AH279" s="125">
        <v>284.786</v>
      </c>
      <c r="AI279" s="127">
        <v>3380</v>
      </c>
      <c r="AJ279" s="125">
        <v>297.46600000000001</v>
      </c>
    </row>
    <row r="280" spans="1:36" ht="14.25">
      <c r="A280" s="128">
        <v>3410</v>
      </c>
      <c r="B280" s="124">
        <v>597.077</v>
      </c>
      <c r="C280" s="128">
        <v>3420</v>
      </c>
      <c r="D280" s="125">
        <v>592.71600000000001</v>
      </c>
      <c r="E280" s="126">
        <v>3410</v>
      </c>
      <c r="F280" s="125">
        <v>1262.816</v>
      </c>
      <c r="G280" s="127">
        <v>3410</v>
      </c>
      <c r="H280" s="125">
        <v>1261.653</v>
      </c>
      <c r="I280" s="127">
        <v>3410</v>
      </c>
      <c r="J280" s="125">
        <v>1080.354</v>
      </c>
      <c r="K280" s="127">
        <v>3410</v>
      </c>
      <c r="L280" s="125">
        <v>1080.126</v>
      </c>
      <c r="M280" s="127">
        <v>3410</v>
      </c>
      <c r="N280" s="125">
        <v>1080.145</v>
      </c>
      <c r="O280" s="127">
        <v>3390</v>
      </c>
      <c r="P280" s="125">
        <v>1081.2940000000001</v>
      </c>
      <c r="Q280" s="127">
        <v>3410</v>
      </c>
      <c r="R280" s="125">
        <v>1080.876</v>
      </c>
      <c r="S280" s="127">
        <v>3410</v>
      </c>
      <c r="T280" s="125">
        <v>1081.354</v>
      </c>
      <c r="U280" s="127">
        <v>3400</v>
      </c>
      <c r="V280" s="125">
        <v>1079.913</v>
      </c>
      <c r="W280" s="127">
        <v>3410</v>
      </c>
      <c r="X280" s="125">
        <v>1079.758</v>
      </c>
      <c r="Y280" s="127">
        <v>3410</v>
      </c>
      <c r="Z280" s="125">
        <v>1078.3309999999999</v>
      </c>
      <c r="AA280" s="127">
        <v>3410</v>
      </c>
      <c r="AB280" s="125">
        <v>1077.98</v>
      </c>
      <c r="AC280" s="127">
        <v>3400</v>
      </c>
      <c r="AD280" s="125">
        <v>1002.12</v>
      </c>
      <c r="AE280" s="127">
        <v>3410</v>
      </c>
      <c r="AF280" s="125">
        <v>1003.317</v>
      </c>
      <c r="AG280" s="127">
        <v>3390</v>
      </c>
      <c r="AH280" s="125">
        <v>284.39600000000002</v>
      </c>
      <c r="AI280" s="127">
        <v>3390</v>
      </c>
      <c r="AJ280" s="125">
        <v>297.06200000000001</v>
      </c>
    </row>
    <row r="281" spans="1:36" ht="14.25">
      <c r="A281" s="128">
        <v>3420</v>
      </c>
      <c r="B281" s="124">
        <v>596.28700000000003</v>
      </c>
      <c r="C281" s="128">
        <v>3430</v>
      </c>
      <c r="D281" s="125">
        <v>591.93200000000002</v>
      </c>
      <c r="E281" s="126">
        <v>3420</v>
      </c>
      <c r="F281" s="125">
        <v>1261.329</v>
      </c>
      <c r="G281" s="127">
        <v>3420</v>
      </c>
      <c r="H281" s="125">
        <v>1260.1690000000001</v>
      </c>
      <c r="I281" s="127">
        <v>3420</v>
      </c>
      <c r="J281" s="125">
        <v>1079.1569999999999</v>
      </c>
      <c r="K281" s="127">
        <v>3420</v>
      </c>
      <c r="L281" s="125">
        <v>1078.9290000000001</v>
      </c>
      <c r="M281" s="127">
        <v>3420</v>
      </c>
      <c r="N281" s="125">
        <v>1078.9480000000001</v>
      </c>
      <c r="O281" s="127">
        <v>3400</v>
      </c>
      <c r="P281" s="125">
        <v>1080.098</v>
      </c>
      <c r="Q281" s="127">
        <v>3420</v>
      </c>
      <c r="R281" s="125">
        <v>1079.68</v>
      </c>
      <c r="S281" s="127">
        <v>3420</v>
      </c>
      <c r="T281" s="125">
        <v>1080.1579999999999</v>
      </c>
      <c r="U281" s="127">
        <v>3410</v>
      </c>
      <c r="V281" s="125">
        <v>1078.7190000000001</v>
      </c>
      <c r="W281" s="127">
        <v>3420</v>
      </c>
      <c r="X281" s="125">
        <v>1078.5630000000001</v>
      </c>
      <c r="Y281" s="127">
        <v>3420</v>
      </c>
      <c r="Z281" s="125">
        <v>1077.1369999999999</v>
      </c>
      <c r="AA281" s="127">
        <v>3420</v>
      </c>
      <c r="AB281" s="125">
        <v>1076.787</v>
      </c>
      <c r="AC281" s="127">
        <v>3410</v>
      </c>
      <c r="AD281" s="125">
        <v>1000.926</v>
      </c>
      <c r="AE281" s="127">
        <v>3420</v>
      </c>
      <c r="AF281" s="125">
        <v>1002.124</v>
      </c>
      <c r="AG281" s="127">
        <v>3400</v>
      </c>
      <c r="AH281" s="125">
        <v>284.00599999999997</v>
      </c>
      <c r="AI281" s="127">
        <v>3400</v>
      </c>
      <c r="AJ281" s="125">
        <v>296.65800000000002</v>
      </c>
    </row>
    <row r="282" spans="1:36" ht="14.25">
      <c r="A282" s="128">
        <v>3430</v>
      </c>
      <c r="B282" s="124">
        <v>595.49699999999996</v>
      </c>
      <c r="C282" s="128">
        <v>3440</v>
      </c>
      <c r="D282" s="125">
        <v>591.14700000000005</v>
      </c>
      <c r="E282" s="126">
        <v>3430</v>
      </c>
      <c r="F282" s="125">
        <v>1259.8409999999999</v>
      </c>
      <c r="G282" s="127">
        <v>3430</v>
      </c>
      <c r="H282" s="125">
        <v>1258.6849999999999</v>
      </c>
      <c r="I282" s="127">
        <v>3430</v>
      </c>
      <c r="J282" s="125">
        <v>1077.96</v>
      </c>
      <c r="K282" s="127">
        <v>3430</v>
      </c>
      <c r="L282" s="125">
        <v>1077.731</v>
      </c>
      <c r="M282" s="127">
        <v>3430</v>
      </c>
      <c r="N282" s="125">
        <v>1077.751</v>
      </c>
      <c r="O282" s="127">
        <v>3410</v>
      </c>
      <c r="P282" s="125">
        <v>1078.9010000000001</v>
      </c>
      <c r="Q282" s="127">
        <v>3430</v>
      </c>
      <c r="R282" s="125">
        <v>1078.4829999999999</v>
      </c>
      <c r="S282" s="127">
        <v>3430</v>
      </c>
      <c r="T282" s="125">
        <v>1078.962</v>
      </c>
      <c r="U282" s="127">
        <v>3420</v>
      </c>
      <c r="V282" s="125">
        <v>1077.5250000000001</v>
      </c>
      <c r="W282" s="127">
        <v>3430</v>
      </c>
      <c r="X282" s="125">
        <v>1077.3689999999999</v>
      </c>
      <c r="Y282" s="127">
        <v>3430</v>
      </c>
      <c r="Z282" s="125">
        <v>1075.942</v>
      </c>
      <c r="AA282" s="127">
        <v>3430</v>
      </c>
      <c r="AB282" s="125">
        <v>1075.5940000000001</v>
      </c>
      <c r="AC282" s="127">
        <v>3420</v>
      </c>
      <c r="AD282" s="125">
        <v>999.73099999999999</v>
      </c>
      <c r="AE282" s="127">
        <v>3430</v>
      </c>
      <c r="AF282" s="125">
        <v>1000.931</v>
      </c>
      <c r="AG282" s="127">
        <v>3410</v>
      </c>
      <c r="AH282" s="125">
        <v>283.61500000000001</v>
      </c>
      <c r="AI282" s="127">
        <v>3410</v>
      </c>
      <c r="AJ282" s="125">
        <v>296.25400000000002</v>
      </c>
    </row>
    <row r="283" spans="1:36" ht="14.25">
      <c r="A283" s="128">
        <v>3440</v>
      </c>
      <c r="B283" s="124">
        <v>594.70600000000002</v>
      </c>
      <c r="C283" s="128">
        <v>3450</v>
      </c>
      <c r="D283" s="125">
        <v>590.36199999999997</v>
      </c>
      <c r="E283" s="126">
        <v>3440</v>
      </c>
      <c r="F283" s="125">
        <v>1258.3530000000001</v>
      </c>
      <c r="G283" s="127">
        <v>3440</v>
      </c>
      <c r="H283" s="125">
        <v>1257.2</v>
      </c>
      <c r="I283" s="127">
        <v>3440</v>
      </c>
      <c r="J283" s="125">
        <v>1076.7619999999999</v>
      </c>
      <c r="K283" s="127">
        <v>3440</v>
      </c>
      <c r="L283" s="125">
        <v>1076.5329999999999</v>
      </c>
      <c r="M283" s="127">
        <v>3440</v>
      </c>
      <c r="N283" s="125">
        <v>1076.5540000000001</v>
      </c>
      <c r="O283" s="127">
        <v>3420</v>
      </c>
      <c r="P283" s="125">
        <v>1077.7049999999999</v>
      </c>
      <c r="Q283" s="127">
        <v>3440</v>
      </c>
      <c r="R283" s="125">
        <v>1077.287</v>
      </c>
      <c r="S283" s="127">
        <v>3440</v>
      </c>
      <c r="T283" s="125">
        <v>1077.7660000000001</v>
      </c>
      <c r="U283" s="127">
        <v>3430</v>
      </c>
      <c r="V283" s="125">
        <v>1076.3309999999999</v>
      </c>
      <c r="W283" s="127">
        <v>3440</v>
      </c>
      <c r="X283" s="125">
        <v>1076.174</v>
      </c>
      <c r="Y283" s="127">
        <v>3440</v>
      </c>
      <c r="Z283" s="125">
        <v>1074.7460000000001</v>
      </c>
      <c r="AA283" s="127">
        <v>3440</v>
      </c>
      <c r="AB283" s="125">
        <v>1074.4010000000001</v>
      </c>
      <c r="AC283" s="127">
        <v>3430</v>
      </c>
      <c r="AD283" s="125">
        <v>998.53700000000003</v>
      </c>
      <c r="AE283" s="127">
        <v>3440</v>
      </c>
      <c r="AF283" s="125">
        <v>999.73800000000006</v>
      </c>
      <c r="AG283" s="127">
        <v>3420</v>
      </c>
      <c r="AH283" s="125">
        <v>283.22500000000002</v>
      </c>
      <c r="AI283" s="127">
        <v>3420</v>
      </c>
      <c r="AJ283" s="125">
        <v>295.85000000000002</v>
      </c>
    </row>
    <row r="284" spans="1:36" ht="14.25">
      <c r="A284" s="128">
        <v>3450</v>
      </c>
      <c r="B284" s="124">
        <v>593.91499999999996</v>
      </c>
      <c r="C284" s="128">
        <v>3460</v>
      </c>
      <c r="D284" s="125">
        <v>589.577</v>
      </c>
      <c r="E284" s="126">
        <v>3450</v>
      </c>
      <c r="F284" s="125">
        <v>1256.865</v>
      </c>
      <c r="G284" s="127">
        <v>3450</v>
      </c>
      <c r="H284" s="125">
        <v>1255.7149999999999</v>
      </c>
      <c r="I284" s="127">
        <v>3450</v>
      </c>
      <c r="J284" s="125">
        <v>1075.5650000000001</v>
      </c>
      <c r="K284" s="127">
        <v>3450</v>
      </c>
      <c r="L284" s="125">
        <v>1075.335</v>
      </c>
      <c r="M284" s="127">
        <v>3450</v>
      </c>
      <c r="N284" s="125">
        <v>1075.356</v>
      </c>
      <c r="O284" s="127">
        <v>3430</v>
      </c>
      <c r="P284" s="125">
        <v>1076.508</v>
      </c>
      <c r="Q284" s="127">
        <v>3450</v>
      </c>
      <c r="R284" s="125">
        <v>1076.0889999999999</v>
      </c>
      <c r="S284" s="127">
        <v>3450</v>
      </c>
      <c r="T284" s="125">
        <v>1076.569</v>
      </c>
      <c r="U284" s="127">
        <v>3440</v>
      </c>
      <c r="V284" s="125">
        <v>1075.1369999999999</v>
      </c>
      <c r="W284" s="127">
        <v>3450</v>
      </c>
      <c r="X284" s="125">
        <v>1074.979</v>
      </c>
      <c r="Y284" s="127">
        <v>3450</v>
      </c>
      <c r="Z284" s="125">
        <v>1073.5509999999999</v>
      </c>
      <c r="AA284" s="127">
        <v>3450</v>
      </c>
      <c r="AB284" s="125">
        <v>1073.2080000000001</v>
      </c>
      <c r="AC284" s="127">
        <v>3440</v>
      </c>
      <c r="AD284" s="125">
        <v>997.34199999999998</v>
      </c>
      <c r="AE284" s="127">
        <v>3450</v>
      </c>
      <c r="AF284" s="125">
        <v>998.54399999999998</v>
      </c>
      <c r="AG284" s="127">
        <v>3430</v>
      </c>
      <c r="AH284" s="125">
        <v>282.83499999999998</v>
      </c>
      <c r="AI284" s="127">
        <v>3430</v>
      </c>
      <c r="AJ284" s="125">
        <v>295.44499999999999</v>
      </c>
    </row>
    <row r="285" spans="1:36" ht="14.25">
      <c r="A285" s="128">
        <v>3460</v>
      </c>
      <c r="B285" s="124">
        <v>593.12400000000002</v>
      </c>
      <c r="C285" s="128">
        <v>3470</v>
      </c>
      <c r="D285" s="125">
        <v>588.79200000000003</v>
      </c>
      <c r="E285" s="126">
        <v>3460</v>
      </c>
      <c r="F285" s="125">
        <v>1255.376</v>
      </c>
      <c r="G285" s="127">
        <v>3460</v>
      </c>
      <c r="H285" s="125">
        <v>1254.23</v>
      </c>
      <c r="I285" s="127">
        <v>3460</v>
      </c>
      <c r="J285" s="125">
        <v>1074.367</v>
      </c>
      <c r="K285" s="127">
        <v>3460</v>
      </c>
      <c r="L285" s="125">
        <v>1074.1369999999999</v>
      </c>
      <c r="M285" s="127">
        <v>3460</v>
      </c>
      <c r="N285" s="125">
        <v>1074.1590000000001</v>
      </c>
      <c r="O285" s="127">
        <v>3440</v>
      </c>
      <c r="P285" s="125">
        <v>1075.31</v>
      </c>
      <c r="Q285" s="127">
        <v>3460</v>
      </c>
      <c r="R285" s="125">
        <v>1074.8920000000001</v>
      </c>
      <c r="S285" s="127">
        <v>3460</v>
      </c>
      <c r="T285" s="125">
        <v>1075.373</v>
      </c>
      <c r="U285" s="127">
        <v>3450</v>
      </c>
      <c r="V285" s="125">
        <v>1073.942</v>
      </c>
      <c r="W285" s="127">
        <v>3460</v>
      </c>
      <c r="X285" s="125">
        <v>1073.7840000000001</v>
      </c>
      <c r="Y285" s="127">
        <v>3460</v>
      </c>
      <c r="Z285" s="125">
        <v>1072.355</v>
      </c>
      <c r="AA285" s="127">
        <v>3460</v>
      </c>
      <c r="AB285" s="125">
        <v>1072.0139999999999</v>
      </c>
      <c r="AC285" s="127">
        <v>3450</v>
      </c>
      <c r="AD285" s="125">
        <v>996.14700000000005</v>
      </c>
      <c r="AE285" s="127">
        <v>3460</v>
      </c>
      <c r="AF285" s="125">
        <v>997.35</v>
      </c>
      <c r="AG285" s="127">
        <v>3440</v>
      </c>
      <c r="AH285" s="125">
        <v>282.44400000000002</v>
      </c>
      <c r="AI285" s="127">
        <v>3440</v>
      </c>
      <c r="AJ285" s="125">
        <v>295.041</v>
      </c>
    </row>
    <row r="286" spans="1:36" ht="14.25">
      <c r="A286" s="128">
        <v>3470</v>
      </c>
      <c r="B286" s="124">
        <v>592.33299999999997</v>
      </c>
      <c r="C286" s="128">
        <v>3480</v>
      </c>
      <c r="D286" s="132">
        <v>588.00699999999995</v>
      </c>
      <c r="E286" s="126">
        <v>3470</v>
      </c>
      <c r="F286" s="125">
        <v>1253.8869999999999</v>
      </c>
      <c r="G286" s="127">
        <v>3470</v>
      </c>
      <c r="H286" s="125">
        <v>1252.7449999999999</v>
      </c>
      <c r="I286" s="127">
        <v>3470</v>
      </c>
      <c r="J286" s="125">
        <v>1073.1690000000001</v>
      </c>
      <c r="K286" s="127">
        <v>3470</v>
      </c>
      <c r="L286" s="125">
        <v>1072.9380000000001</v>
      </c>
      <c r="M286" s="127">
        <v>3470</v>
      </c>
      <c r="N286" s="125">
        <v>1072.961</v>
      </c>
      <c r="O286" s="127">
        <v>3450</v>
      </c>
      <c r="P286" s="125">
        <v>1074.1130000000001</v>
      </c>
      <c r="Q286" s="127">
        <v>3470</v>
      </c>
      <c r="R286" s="125">
        <v>1073.694</v>
      </c>
      <c r="S286" s="127">
        <v>3470</v>
      </c>
      <c r="T286" s="125">
        <v>1074.1759999999999</v>
      </c>
      <c r="U286" s="127">
        <v>3460</v>
      </c>
      <c r="V286" s="125">
        <v>1072.7470000000001</v>
      </c>
      <c r="W286" s="127">
        <v>3470</v>
      </c>
      <c r="X286" s="125">
        <v>1072.5889999999999</v>
      </c>
      <c r="Y286" s="127">
        <v>3470</v>
      </c>
      <c r="Z286" s="125">
        <v>1071.1590000000001</v>
      </c>
      <c r="AA286" s="127">
        <v>3470</v>
      </c>
      <c r="AB286" s="125">
        <v>1070.82</v>
      </c>
      <c r="AC286" s="127">
        <v>3460</v>
      </c>
      <c r="AD286" s="125">
        <v>994.95100000000002</v>
      </c>
      <c r="AE286" s="127">
        <v>3470</v>
      </c>
      <c r="AF286" s="125">
        <v>996.15599999999995</v>
      </c>
      <c r="AG286" s="127">
        <v>3450</v>
      </c>
      <c r="AH286" s="125">
        <v>282.05399999999997</v>
      </c>
      <c r="AI286" s="127">
        <v>3450</v>
      </c>
      <c r="AJ286" s="125">
        <v>294.63600000000002</v>
      </c>
    </row>
    <row r="287" spans="1:36" ht="14.25">
      <c r="A287" s="128">
        <v>3480</v>
      </c>
      <c r="B287" s="124">
        <v>591.54200000000003</v>
      </c>
      <c r="C287" s="128">
        <v>3490</v>
      </c>
      <c r="D287" s="125">
        <v>587.22199999999998</v>
      </c>
      <c r="E287" s="126">
        <v>3480</v>
      </c>
      <c r="F287" s="125">
        <v>1252.3979999999999</v>
      </c>
      <c r="G287" s="127">
        <v>3480</v>
      </c>
      <c r="H287" s="125">
        <v>1251.259</v>
      </c>
      <c r="I287" s="127">
        <v>3480</v>
      </c>
      <c r="J287" s="125">
        <v>1071.971</v>
      </c>
      <c r="K287" s="127">
        <v>3480</v>
      </c>
      <c r="L287" s="125">
        <v>1071.739</v>
      </c>
      <c r="M287" s="127">
        <v>3480</v>
      </c>
      <c r="N287" s="125">
        <v>1071.7619999999999</v>
      </c>
      <c r="O287" s="127">
        <v>3460</v>
      </c>
      <c r="P287" s="125">
        <v>1072.915</v>
      </c>
      <c r="Q287" s="127">
        <v>3480</v>
      </c>
      <c r="R287" s="125">
        <v>1072.4970000000001</v>
      </c>
      <c r="S287" s="127">
        <v>3480</v>
      </c>
      <c r="T287" s="125">
        <v>1072.9780000000001</v>
      </c>
      <c r="U287" s="127">
        <v>3470</v>
      </c>
      <c r="V287" s="125">
        <v>1071.5519999999999</v>
      </c>
      <c r="W287" s="127">
        <v>3480</v>
      </c>
      <c r="X287" s="125">
        <v>1071.393</v>
      </c>
      <c r="Y287" s="127">
        <v>3480</v>
      </c>
      <c r="Z287" s="125">
        <v>1069.963</v>
      </c>
      <c r="AA287" s="127">
        <v>3480</v>
      </c>
      <c r="AB287" s="125">
        <v>1069.626</v>
      </c>
      <c r="AC287" s="127">
        <v>3470</v>
      </c>
      <c r="AD287" s="125">
        <v>993.755</v>
      </c>
      <c r="AE287" s="127">
        <v>3480</v>
      </c>
      <c r="AF287" s="125">
        <v>994.96199999999999</v>
      </c>
      <c r="AG287" s="127">
        <v>3460</v>
      </c>
      <c r="AH287" s="125">
        <v>281.66300000000001</v>
      </c>
      <c r="AI287" s="127">
        <v>3460</v>
      </c>
      <c r="AJ287" s="125">
        <v>294.23099999999999</v>
      </c>
    </row>
    <row r="288" spans="1:36" ht="14.25">
      <c r="A288" s="128">
        <v>3490</v>
      </c>
      <c r="B288" s="124">
        <v>590.75</v>
      </c>
      <c r="C288" s="128">
        <v>3500</v>
      </c>
      <c r="D288" s="125">
        <v>586.43600000000004</v>
      </c>
      <c r="E288" s="126">
        <v>3490</v>
      </c>
      <c r="F288" s="125">
        <v>1250.9090000000001</v>
      </c>
      <c r="G288" s="127">
        <v>3490</v>
      </c>
      <c r="H288" s="125">
        <v>1249.7729999999999</v>
      </c>
      <c r="I288" s="127">
        <v>3490</v>
      </c>
      <c r="J288" s="125">
        <v>1070.7719999999999</v>
      </c>
      <c r="K288" s="127">
        <v>3490</v>
      </c>
      <c r="L288" s="125">
        <v>1070.54</v>
      </c>
      <c r="M288" s="127">
        <v>3490</v>
      </c>
      <c r="N288" s="125">
        <v>1070.5640000000001</v>
      </c>
      <c r="O288" s="127">
        <v>3470</v>
      </c>
      <c r="P288" s="125">
        <v>1071.7170000000001</v>
      </c>
      <c r="Q288" s="127">
        <v>3490</v>
      </c>
      <c r="R288" s="125">
        <v>1071.298</v>
      </c>
      <c r="S288" s="127">
        <v>3490</v>
      </c>
      <c r="T288" s="125">
        <v>1071.7809999999999</v>
      </c>
      <c r="U288" s="127">
        <v>3480</v>
      </c>
      <c r="V288" s="125">
        <v>1070.357</v>
      </c>
      <c r="W288" s="127">
        <v>3490</v>
      </c>
      <c r="X288" s="125">
        <v>1070.1969999999999</v>
      </c>
      <c r="Y288" s="127">
        <v>3490</v>
      </c>
      <c r="Z288" s="125">
        <v>1068.7660000000001</v>
      </c>
      <c r="AA288" s="127">
        <v>3490</v>
      </c>
      <c r="AB288" s="125">
        <v>1068.432</v>
      </c>
      <c r="AC288" s="127">
        <v>3480</v>
      </c>
      <c r="AD288" s="125">
        <v>992.56</v>
      </c>
      <c r="AE288" s="127">
        <v>3490</v>
      </c>
      <c r="AF288" s="125">
        <v>993.76700000000005</v>
      </c>
      <c r="AG288" s="127">
        <v>3470</v>
      </c>
      <c r="AH288" s="125">
        <v>281.27199999999999</v>
      </c>
      <c r="AI288" s="127">
        <v>3470</v>
      </c>
      <c r="AJ288" s="125">
        <v>293.827</v>
      </c>
    </row>
    <row r="289" spans="1:36" ht="14.25">
      <c r="A289" s="128">
        <v>3500</v>
      </c>
      <c r="B289" s="124">
        <v>589.95899999999995</v>
      </c>
      <c r="C289" s="128">
        <v>3510</v>
      </c>
      <c r="D289" s="125">
        <v>585.65</v>
      </c>
      <c r="E289" s="126">
        <v>3500</v>
      </c>
      <c r="F289" s="125">
        <v>1249.4190000000001</v>
      </c>
      <c r="G289" s="127">
        <v>3500</v>
      </c>
      <c r="H289" s="125">
        <v>1248.2860000000001</v>
      </c>
      <c r="I289" s="127">
        <v>3500</v>
      </c>
      <c r="J289" s="125">
        <v>1069.5730000000001</v>
      </c>
      <c r="K289" s="127">
        <v>3500</v>
      </c>
      <c r="L289" s="125">
        <v>1069.3409999999999</v>
      </c>
      <c r="M289" s="127">
        <v>3500</v>
      </c>
      <c r="N289" s="125">
        <v>1069.365</v>
      </c>
      <c r="O289" s="127">
        <v>3480</v>
      </c>
      <c r="P289" s="125">
        <v>1070.519</v>
      </c>
      <c r="Q289" s="127">
        <v>3500</v>
      </c>
      <c r="R289" s="125">
        <v>1070.0999999999999</v>
      </c>
      <c r="S289" s="127">
        <v>3500</v>
      </c>
      <c r="T289" s="125">
        <v>1070.5830000000001</v>
      </c>
      <c r="U289" s="127">
        <v>3490</v>
      </c>
      <c r="V289" s="125">
        <v>1069.1610000000001</v>
      </c>
      <c r="W289" s="127">
        <v>3500</v>
      </c>
      <c r="X289" s="125">
        <v>1069.001</v>
      </c>
      <c r="Y289" s="127">
        <v>3500</v>
      </c>
      <c r="Z289" s="125">
        <v>1067.57</v>
      </c>
      <c r="AA289" s="127">
        <v>3500</v>
      </c>
      <c r="AB289" s="125">
        <v>1067.2370000000001</v>
      </c>
      <c r="AC289" s="127">
        <v>3490</v>
      </c>
      <c r="AD289" s="125">
        <v>991.36300000000006</v>
      </c>
      <c r="AE289" s="127">
        <v>3500</v>
      </c>
      <c r="AF289" s="125">
        <v>992.572</v>
      </c>
      <c r="AG289" s="127">
        <v>3480</v>
      </c>
      <c r="AH289" s="125">
        <v>280.88099999999997</v>
      </c>
      <c r="AI289" s="127">
        <v>3480</v>
      </c>
      <c r="AJ289" s="125">
        <v>293.42200000000003</v>
      </c>
    </row>
    <row r="290" spans="1:36" ht="14.25">
      <c r="A290" s="128">
        <v>3510</v>
      </c>
      <c r="B290" s="124">
        <v>589.16700000000003</v>
      </c>
      <c r="C290" s="128">
        <v>3520</v>
      </c>
      <c r="D290" s="125">
        <v>584.86400000000003</v>
      </c>
      <c r="E290" s="126">
        <v>3510</v>
      </c>
      <c r="F290" s="125">
        <v>1247.9290000000001</v>
      </c>
      <c r="G290" s="127">
        <v>3510</v>
      </c>
      <c r="H290" s="125">
        <v>1246.8</v>
      </c>
      <c r="I290" s="127">
        <v>3510</v>
      </c>
      <c r="J290" s="125">
        <v>1068.374</v>
      </c>
      <c r="K290" s="127">
        <v>3510</v>
      </c>
      <c r="L290" s="125">
        <v>1068.1410000000001</v>
      </c>
      <c r="M290" s="127">
        <v>3510</v>
      </c>
      <c r="N290" s="125">
        <v>1068.1659999999999</v>
      </c>
      <c r="O290" s="127">
        <v>3490</v>
      </c>
      <c r="P290" s="125">
        <v>1069.32</v>
      </c>
      <c r="Q290" s="127">
        <v>3510</v>
      </c>
      <c r="R290" s="125">
        <v>1068.9010000000001</v>
      </c>
      <c r="S290" s="127">
        <v>3510</v>
      </c>
      <c r="T290" s="125">
        <v>1069.385</v>
      </c>
      <c r="U290" s="127">
        <v>3500</v>
      </c>
      <c r="V290" s="125">
        <v>1067.9649999999999</v>
      </c>
      <c r="W290" s="127">
        <v>3510</v>
      </c>
      <c r="X290" s="125">
        <v>1067.8040000000001</v>
      </c>
      <c r="Y290" s="127">
        <v>3510</v>
      </c>
      <c r="Z290" s="125">
        <v>1066.373</v>
      </c>
      <c r="AA290" s="127">
        <v>3510</v>
      </c>
      <c r="AB290" s="125">
        <v>1066.0419999999999</v>
      </c>
      <c r="AC290" s="127">
        <v>3500</v>
      </c>
      <c r="AD290" s="125">
        <v>990.16700000000003</v>
      </c>
      <c r="AE290" s="127">
        <v>3510</v>
      </c>
      <c r="AF290" s="125">
        <v>991.37699999999995</v>
      </c>
      <c r="AG290" s="127">
        <v>3490</v>
      </c>
      <c r="AH290" s="125">
        <v>280.49</v>
      </c>
      <c r="AI290" s="127">
        <v>3490</v>
      </c>
      <c r="AJ290" s="125">
        <v>293.017</v>
      </c>
    </row>
    <row r="291" spans="1:36" ht="14.25">
      <c r="A291" s="128">
        <v>3520</v>
      </c>
      <c r="B291" s="124">
        <v>588.375</v>
      </c>
      <c r="C291" s="128">
        <v>3530</v>
      </c>
      <c r="D291" s="125">
        <v>584.07799999999997</v>
      </c>
      <c r="E291" s="126">
        <v>3520</v>
      </c>
      <c r="F291" s="125">
        <v>1246.4390000000001</v>
      </c>
      <c r="G291" s="127">
        <v>3520</v>
      </c>
      <c r="H291" s="125">
        <v>1245.3119999999999</v>
      </c>
      <c r="I291" s="127">
        <v>3520</v>
      </c>
      <c r="J291" s="125">
        <v>1067.175</v>
      </c>
      <c r="K291" s="127">
        <v>3520</v>
      </c>
      <c r="L291" s="125">
        <v>1066.941</v>
      </c>
      <c r="M291" s="127">
        <v>3520</v>
      </c>
      <c r="N291" s="125">
        <v>1066.9670000000001</v>
      </c>
      <c r="O291" s="127">
        <v>3500</v>
      </c>
      <c r="P291" s="125">
        <v>1068.1220000000001</v>
      </c>
      <c r="Q291" s="127">
        <v>3520</v>
      </c>
      <c r="R291" s="125">
        <v>1067.703</v>
      </c>
      <c r="S291" s="127">
        <v>3520</v>
      </c>
      <c r="T291" s="125">
        <v>1068.1869999999999</v>
      </c>
      <c r="U291" s="127">
        <v>3510</v>
      </c>
      <c r="V291" s="125">
        <v>1066.769</v>
      </c>
      <c r="W291" s="127">
        <v>3520</v>
      </c>
      <c r="X291" s="125">
        <v>1066.6079999999999</v>
      </c>
      <c r="Y291" s="127">
        <v>3520</v>
      </c>
      <c r="Z291" s="125">
        <v>1065.1759999999999</v>
      </c>
      <c r="AA291" s="127">
        <v>3520</v>
      </c>
      <c r="AB291" s="125">
        <v>1064.847</v>
      </c>
      <c r="AC291" s="127">
        <v>3510</v>
      </c>
      <c r="AD291" s="125">
        <v>988.97</v>
      </c>
      <c r="AE291" s="127">
        <v>3520</v>
      </c>
      <c r="AF291" s="125">
        <v>990.18200000000002</v>
      </c>
      <c r="AG291" s="127">
        <v>3500</v>
      </c>
      <c r="AH291" s="125">
        <v>280.09899999999999</v>
      </c>
      <c r="AI291" s="127">
        <v>3500</v>
      </c>
      <c r="AJ291" s="125">
        <v>292.61200000000002</v>
      </c>
    </row>
    <row r="292" spans="1:36" ht="14.25">
      <c r="A292" s="128">
        <v>3530</v>
      </c>
      <c r="B292" s="124">
        <v>587.58299999999997</v>
      </c>
      <c r="C292" s="128">
        <v>3540</v>
      </c>
      <c r="D292" s="125">
        <v>583.29200000000003</v>
      </c>
      <c r="E292" s="126">
        <v>3530</v>
      </c>
      <c r="F292" s="125">
        <v>1244.9480000000001</v>
      </c>
      <c r="G292" s="127">
        <v>3530</v>
      </c>
      <c r="H292" s="125">
        <v>1243.825</v>
      </c>
      <c r="I292" s="127">
        <v>3530</v>
      </c>
      <c r="J292" s="125">
        <v>1065.9760000000001</v>
      </c>
      <c r="K292" s="127">
        <v>3530</v>
      </c>
      <c r="L292" s="125">
        <v>1065.741</v>
      </c>
      <c r="M292" s="127">
        <v>3530</v>
      </c>
      <c r="N292" s="125">
        <v>1065.768</v>
      </c>
      <c r="O292" s="127">
        <v>3510</v>
      </c>
      <c r="P292" s="125">
        <v>1066.923</v>
      </c>
      <c r="Q292" s="127">
        <v>3530</v>
      </c>
      <c r="R292" s="125">
        <v>1066.5039999999999</v>
      </c>
      <c r="S292" s="127">
        <v>3530</v>
      </c>
      <c r="T292" s="125">
        <v>1066.989</v>
      </c>
      <c r="U292" s="127">
        <v>3520</v>
      </c>
      <c r="V292" s="125">
        <v>1065.5730000000001</v>
      </c>
      <c r="W292" s="127">
        <v>3530</v>
      </c>
      <c r="X292" s="125">
        <v>1065.4110000000001</v>
      </c>
      <c r="Y292" s="127">
        <v>3530</v>
      </c>
      <c r="Z292" s="125">
        <v>1063.9780000000001</v>
      </c>
      <c r="AA292" s="127">
        <v>3530</v>
      </c>
      <c r="AB292" s="125">
        <v>1063.652</v>
      </c>
      <c r="AC292" s="127">
        <v>3520</v>
      </c>
      <c r="AD292" s="125">
        <v>987.77300000000002</v>
      </c>
      <c r="AE292" s="127">
        <v>3530</v>
      </c>
      <c r="AF292" s="125">
        <v>988.98599999999999</v>
      </c>
      <c r="AG292" s="127">
        <v>3510</v>
      </c>
      <c r="AH292" s="125">
        <v>279.70800000000003</v>
      </c>
      <c r="AI292" s="127">
        <v>3510</v>
      </c>
      <c r="AJ292" s="125">
        <v>292.20699999999999</v>
      </c>
    </row>
    <row r="293" spans="1:36" ht="14.25">
      <c r="A293" s="128">
        <v>3540</v>
      </c>
      <c r="B293" s="124">
        <v>586.79</v>
      </c>
      <c r="C293" s="128">
        <v>3550</v>
      </c>
      <c r="D293" s="125">
        <v>582.505</v>
      </c>
      <c r="E293" s="126">
        <v>3540</v>
      </c>
      <c r="F293" s="125">
        <v>1243.4570000000001</v>
      </c>
      <c r="G293" s="127">
        <v>3540</v>
      </c>
      <c r="H293" s="125">
        <v>1242.337</v>
      </c>
      <c r="I293" s="127">
        <v>3540</v>
      </c>
      <c r="J293" s="125">
        <v>1064.7760000000001</v>
      </c>
      <c r="K293" s="127">
        <v>3540</v>
      </c>
      <c r="L293" s="125">
        <v>1064.5409999999999</v>
      </c>
      <c r="M293" s="127">
        <v>3540</v>
      </c>
      <c r="N293" s="125">
        <v>1064.568</v>
      </c>
      <c r="O293" s="127">
        <v>3520</v>
      </c>
      <c r="P293" s="125">
        <v>1065.7239999999999</v>
      </c>
      <c r="Q293" s="127">
        <v>3540</v>
      </c>
      <c r="R293" s="125">
        <v>1065.3040000000001</v>
      </c>
      <c r="S293" s="127">
        <v>3540</v>
      </c>
      <c r="T293" s="125">
        <v>1065.79</v>
      </c>
      <c r="U293" s="127">
        <v>3530</v>
      </c>
      <c r="V293" s="125">
        <v>1064.376</v>
      </c>
      <c r="W293" s="127">
        <v>3540</v>
      </c>
      <c r="X293" s="125">
        <v>1064.2139999999999</v>
      </c>
      <c r="Y293" s="127">
        <v>3540</v>
      </c>
      <c r="Z293" s="125">
        <v>1062.7809999999999</v>
      </c>
      <c r="AA293" s="127">
        <v>3540</v>
      </c>
      <c r="AB293" s="125">
        <v>1062.4559999999999</v>
      </c>
      <c r="AC293" s="127">
        <v>3530</v>
      </c>
      <c r="AD293" s="125">
        <v>986.57600000000002</v>
      </c>
      <c r="AE293" s="127">
        <v>3540</v>
      </c>
      <c r="AF293" s="125">
        <v>987.79100000000005</v>
      </c>
      <c r="AG293" s="127">
        <v>3520</v>
      </c>
      <c r="AH293" s="125">
        <v>279.31700000000001</v>
      </c>
      <c r="AI293" s="127">
        <v>3520</v>
      </c>
      <c r="AJ293" s="125">
        <v>291.80099999999999</v>
      </c>
    </row>
    <row r="294" spans="1:36" ht="14.25">
      <c r="A294" s="128">
        <v>3550</v>
      </c>
      <c r="B294" s="124">
        <v>585.99800000000005</v>
      </c>
      <c r="C294" s="128">
        <v>3560</v>
      </c>
      <c r="D294" s="125">
        <v>581.71799999999996</v>
      </c>
      <c r="E294" s="126">
        <v>3550</v>
      </c>
      <c r="F294" s="125">
        <v>1241.9659999999999</v>
      </c>
      <c r="G294" s="127">
        <v>3550</v>
      </c>
      <c r="H294" s="125">
        <v>1240.8499999999999</v>
      </c>
      <c r="I294" s="127">
        <v>3550</v>
      </c>
      <c r="J294" s="125">
        <v>1063.576</v>
      </c>
      <c r="K294" s="127">
        <v>3550</v>
      </c>
      <c r="L294" s="125">
        <v>1063.3399999999999</v>
      </c>
      <c r="M294" s="127">
        <v>3550</v>
      </c>
      <c r="N294" s="125">
        <v>1063.3679999999999</v>
      </c>
      <c r="O294" s="127">
        <v>3530</v>
      </c>
      <c r="P294" s="125">
        <v>1064.5239999999999</v>
      </c>
      <c r="Q294" s="127">
        <v>3550</v>
      </c>
      <c r="R294" s="125">
        <v>1064.105</v>
      </c>
      <c r="S294" s="127">
        <v>3550</v>
      </c>
      <c r="T294" s="125">
        <v>1064.5909999999999</v>
      </c>
      <c r="U294" s="127">
        <v>3540</v>
      </c>
      <c r="V294" s="125">
        <v>1063.1790000000001</v>
      </c>
      <c r="W294" s="127">
        <v>3550</v>
      </c>
      <c r="X294" s="125">
        <v>1063.0160000000001</v>
      </c>
      <c r="Y294" s="127">
        <v>3550</v>
      </c>
      <c r="Z294" s="125">
        <v>1061.5830000000001</v>
      </c>
      <c r="AA294" s="127">
        <v>3550</v>
      </c>
      <c r="AB294" s="125">
        <v>1061.26</v>
      </c>
      <c r="AC294" s="127">
        <v>3540</v>
      </c>
      <c r="AD294" s="125">
        <v>985.37900000000002</v>
      </c>
      <c r="AE294" s="127">
        <v>3550</v>
      </c>
      <c r="AF294" s="125">
        <v>986.59400000000005</v>
      </c>
      <c r="AG294" s="127">
        <v>3530</v>
      </c>
      <c r="AH294" s="125">
        <v>278.92599999999999</v>
      </c>
      <c r="AI294" s="127">
        <v>3530</v>
      </c>
      <c r="AJ294" s="125">
        <v>291.39600000000002</v>
      </c>
    </row>
    <row r="295" spans="1:36" ht="14.25">
      <c r="A295" s="128">
        <v>3560</v>
      </c>
      <c r="B295" s="124">
        <v>585.20500000000004</v>
      </c>
      <c r="C295" s="128">
        <v>3570</v>
      </c>
      <c r="D295" s="125">
        <v>580.93100000000004</v>
      </c>
      <c r="E295" s="126">
        <v>3560</v>
      </c>
      <c r="F295" s="125">
        <v>1240.4739999999999</v>
      </c>
      <c r="G295" s="127">
        <v>3560</v>
      </c>
      <c r="H295" s="125">
        <v>1239.3610000000001</v>
      </c>
      <c r="I295" s="127">
        <v>3560</v>
      </c>
      <c r="J295" s="125">
        <v>1062.376</v>
      </c>
      <c r="K295" s="127">
        <v>3560</v>
      </c>
      <c r="L295" s="125">
        <v>1062.1389999999999</v>
      </c>
      <c r="M295" s="127">
        <v>3560</v>
      </c>
      <c r="N295" s="125">
        <v>1062.1679999999999</v>
      </c>
      <c r="O295" s="127">
        <v>3540</v>
      </c>
      <c r="P295" s="125">
        <v>1063.325</v>
      </c>
      <c r="Q295" s="127">
        <v>3560</v>
      </c>
      <c r="R295" s="125">
        <v>1062.905</v>
      </c>
      <c r="S295" s="127">
        <v>3560</v>
      </c>
      <c r="T295" s="125">
        <v>1063.3920000000001</v>
      </c>
      <c r="U295" s="127">
        <v>3550</v>
      </c>
      <c r="V295" s="125">
        <v>1061.982</v>
      </c>
      <c r="W295" s="127">
        <v>3560</v>
      </c>
      <c r="X295" s="125">
        <v>1061.818</v>
      </c>
      <c r="Y295" s="127">
        <v>3560</v>
      </c>
      <c r="Z295" s="125">
        <v>1060.385</v>
      </c>
      <c r="AA295" s="127">
        <v>3560</v>
      </c>
      <c r="AB295" s="125">
        <v>1060.0640000000001</v>
      </c>
      <c r="AC295" s="127">
        <v>3550</v>
      </c>
      <c r="AD295" s="125">
        <v>984.18100000000004</v>
      </c>
      <c r="AE295" s="127">
        <v>3560</v>
      </c>
      <c r="AF295" s="125">
        <v>985.39800000000002</v>
      </c>
      <c r="AG295" s="127">
        <v>3540</v>
      </c>
      <c r="AH295" s="125">
        <v>278.53399999999999</v>
      </c>
      <c r="AI295" s="127">
        <v>3540</v>
      </c>
      <c r="AJ295" s="125">
        <v>290.99099999999999</v>
      </c>
    </row>
    <row r="296" spans="1:36" ht="14.25">
      <c r="A296" s="128">
        <v>3570</v>
      </c>
      <c r="B296" s="124">
        <v>584.41200000000003</v>
      </c>
      <c r="C296" s="128">
        <v>3580</v>
      </c>
      <c r="D296" s="125">
        <v>580.14400000000001</v>
      </c>
      <c r="E296" s="126">
        <v>3570</v>
      </c>
      <c r="F296" s="125">
        <v>1238.9829999999999</v>
      </c>
      <c r="G296" s="127">
        <v>3570</v>
      </c>
      <c r="H296" s="125">
        <v>1237.873</v>
      </c>
      <c r="I296" s="127">
        <v>3570</v>
      </c>
      <c r="J296" s="125">
        <v>1061.1759999999999</v>
      </c>
      <c r="K296" s="127">
        <v>3570</v>
      </c>
      <c r="L296" s="125">
        <v>1060.9380000000001</v>
      </c>
      <c r="M296" s="127">
        <v>3570</v>
      </c>
      <c r="N296" s="125">
        <v>1060.9680000000001</v>
      </c>
      <c r="O296" s="127">
        <v>3550</v>
      </c>
      <c r="P296" s="125">
        <v>1062.125</v>
      </c>
      <c r="Q296" s="127">
        <v>3570</v>
      </c>
      <c r="R296" s="125">
        <v>1061.7049999999999</v>
      </c>
      <c r="S296" s="127">
        <v>3570</v>
      </c>
      <c r="T296" s="125">
        <v>1062.192</v>
      </c>
      <c r="U296" s="127">
        <v>3560</v>
      </c>
      <c r="V296" s="125">
        <v>1060.7850000000001</v>
      </c>
      <c r="W296" s="127">
        <v>3570</v>
      </c>
      <c r="X296" s="125">
        <v>1060.6210000000001</v>
      </c>
      <c r="Y296" s="127">
        <v>3570</v>
      </c>
      <c r="Z296" s="125">
        <v>1059.1859999999999</v>
      </c>
      <c r="AA296" s="127">
        <v>3570</v>
      </c>
      <c r="AB296" s="125">
        <v>1058.8679999999999</v>
      </c>
      <c r="AC296" s="127">
        <v>3560</v>
      </c>
      <c r="AD296" s="125">
        <v>982.98400000000004</v>
      </c>
      <c r="AE296" s="127">
        <v>3570</v>
      </c>
      <c r="AF296" s="125">
        <v>984.202</v>
      </c>
      <c r="AG296" s="127">
        <v>3550</v>
      </c>
      <c r="AH296" s="125">
        <v>278.14299999999997</v>
      </c>
      <c r="AI296" s="127">
        <v>3550</v>
      </c>
      <c r="AJ296" s="125">
        <v>290.58499999999998</v>
      </c>
    </row>
    <row r="297" spans="1:36" ht="14.25">
      <c r="A297" s="128">
        <v>3580</v>
      </c>
      <c r="B297" s="124">
        <v>583.61900000000003</v>
      </c>
      <c r="C297" s="128">
        <v>3590</v>
      </c>
      <c r="D297" s="125">
        <v>579.35699999999997</v>
      </c>
      <c r="E297" s="126">
        <v>3580</v>
      </c>
      <c r="F297" s="125">
        <v>1237.49</v>
      </c>
      <c r="G297" s="127">
        <v>3580</v>
      </c>
      <c r="H297" s="125">
        <v>1236.384</v>
      </c>
      <c r="I297" s="127">
        <v>3580</v>
      </c>
      <c r="J297" s="125">
        <v>1059.9749999999999</v>
      </c>
      <c r="K297" s="127">
        <v>3580</v>
      </c>
      <c r="L297" s="125">
        <v>1059.7370000000001</v>
      </c>
      <c r="M297" s="127">
        <v>3580</v>
      </c>
      <c r="N297" s="125">
        <v>1059.7670000000001</v>
      </c>
      <c r="O297" s="127">
        <v>3560</v>
      </c>
      <c r="P297" s="125">
        <v>1060.925</v>
      </c>
      <c r="Q297" s="127">
        <v>3580</v>
      </c>
      <c r="R297" s="125">
        <v>1060.5050000000001</v>
      </c>
      <c r="S297" s="127">
        <v>3580</v>
      </c>
      <c r="T297" s="125">
        <v>1060.9929999999999</v>
      </c>
      <c r="U297" s="127">
        <v>3570</v>
      </c>
      <c r="V297" s="125">
        <v>1059.587</v>
      </c>
      <c r="W297" s="127">
        <v>3580</v>
      </c>
      <c r="X297" s="125">
        <v>1059.422</v>
      </c>
      <c r="Y297" s="127">
        <v>3580</v>
      </c>
      <c r="Z297" s="125">
        <v>1057.9880000000001</v>
      </c>
      <c r="AA297" s="127">
        <v>3580</v>
      </c>
      <c r="AB297" s="125">
        <v>1057.671</v>
      </c>
      <c r="AC297" s="127">
        <v>3570</v>
      </c>
      <c r="AD297" s="125">
        <v>981.78499999999997</v>
      </c>
      <c r="AE297" s="127">
        <v>3580</v>
      </c>
      <c r="AF297" s="125">
        <v>983.005</v>
      </c>
      <c r="AG297" s="127">
        <v>3560</v>
      </c>
      <c r="AH297" s="125">
        <v>277.75099999999998</v>
      </c>
      <c r="AI297" s="127">
        <v>3560</v>
      </c>
      <c r="AJ297" s="125">
        <v>290.18</v>
      </c>
    </row>
    <row r="298" spans="1:36" ht="14.25">
      <c r="A298" s="128">
        <v>3590</v>
      </c>
      <c r="B298" s="124">
        <v>582.82600000000002</v>
      </c>
      <c r="C298" s="128">
        <v>3600</v>
      </c>
      <c r="D298" s="125">
        <v>578.56899999999996</v>
      </c>
      <c r="E298" s="126">
        <v>3590</v>
      </c>
      <c r="F298" s="125">
        <v>1235.998</v>
      </c>
      <c r="G298" s="127">
        <v>3590</v>
      </c>
      <c r="H298" s="125">
        <v>1234.895</v>
      </c>
      <c r="I298" s="127">
        <v>3590</v>
      </c>
      <c r="J298" s="125">
        <v>1058.7739999999999</v>
      </c>
      <c r="K298" s="127">
        <v>3590</v>
      </c>
      <c r="L298" s="125">
        <v>1058.5350000000001</v>
      </c>
      <c r="M298" s="127">
        <v>3590</v>
      </c>
      <c r="N298" s="125">
        <v>1058.566</v>
      </c>
      <c r="O298" s="127">
        <v>3570</v>
      </c>
      <c r="P298" s="125">
        <v>1059.7239999999999</v>
      </c>
      <c r="Q298" s="127">
        <v>3590</v>
      </c>
      <c r="R298" s="125">
        <v>1059.3040000000001</v>
      </c>
      <c r="S298" s="127">
        <v>3590</v>
      </c>
      <c r="T298" s="125">
        <v>1059.7929999999999</v>
      </c>
      <c r="U298" s="127">
        <v>3580</v>
      </c>
      <c r="V298" s="125">
        <v>1058.3889999999999</v>
      </c>
      <c r="W298" s="127">
        <v>3590</v>
      </c>
      <c r="X298" s="125">
        <v>1058.2239999999999</v>
      </c>
      <c r="Y298" s="127">
        <v>3590</v>
      </c>
      <c r="Z298" s="125">
        <v>1056.789</v>
      </c>
      <c r="AA298" s="127">
        <v>3590</v>
      </c>
      <c r="AB298" s="125">
        <v>1056.4739999999999</v>
      </c>
      <c r="AC298" s="127">
        <v>3580</v>
      </c>
      <c r="AD298" s="125">
        <v>980.58699999999999</v>
      </c>
      <c r="AE298" s="127">
        <v>3590</v>
      </c>
      <c r="AF298" s="125">
        <v>981.80799999999999</v>
      </c>
      <c r="AG298" s="127">
        <v>3570</v>
      </c>
      <c r="AH298" s="125">
        <v>277.35899999999998</v>
      </c>
      <c r="AI298" s="127">
        <v>3570</v>
      </c>
      <c r="AJ298" s="125">
        <v>289.774</v>
      </c>
    </row>
    <row r="299" spans="1:36" ht="14.25">
      <c r="A299" s="128">
        <v>3600</v>
      </c>
      <c r="B299" s="124">
        <v>582.03300000000002</v>
      </c>
      <c r="C299" s="128">
        <v>3610</v>
      </c>
      <c r="D299" s="125">
        <v>577.78200000000004</v>
      </c>
      <c r="E299" s="126">
        <v>3600</v>
      </c>
      <c r="F299" s="125">
        <v>1234.5050000000001</v>
      </c>
      <c r="G299" s="127">
        <v>3600</v>
      </c>
      <c r="H299" s="125">
        <v>1233.405</v>
      </c>
      <c r="I299" s="127">
        <v>3600</v>
      </c>
      <c r="J299" s="125">
        <v>1057.5730000000001</v>
      </c>
      <c r="K299" s="127">
        <v>3600</v>
      </c>
      <c r="L299" s="125">
        <v>1057.3330000000001</v>
      </c>
      <c r="M299" s="127">
        <v>3600</v>
      </c>
      <c r="N299" s="125">
        <v>1057.365</v>
      </c>
      <c r="O299" s="127">
        <v>3580</v>
      </c>
      <c r="P299" s="125">
        <v>1058.5239999999999</v>
      </c>
      <c r="Q299" s="127">
        <v>3600</v>
      </c>
      <c r="R299" s="125">
        <v>1058.1030000000001</v>
      </c>
      <c r="S299" s="127">
        <v>3600</v>
      </c>
      <c r="T299" s="125">
        <v>1058.5920000000001</v>
      </c>
      <c r="U299" s="127">
        <v>3590</v>
      </c>
      <c r="V299" s="125">
        <v>1057.191</v>
      </c>
      <c r="W299" s="127">
        <v>3600</v>
      </c>
      <c r="X299" s="125">
        <v>1057.0250000000001</v>
      </c>
      <c r="Y299" s="127">
        <v>3600</v>
      </c>
      <c r="Z299" s="125">
        <v>1055.5899999999999</v>
      </c>
      <c r="AA299" s="127">
        <v>3600</v>
      </c>
      <c r="AB299" s="125">
        <v>1055.277</v>
      </c>
      <c r="AC299" s="127">
        <v>3590</v>
      </c>
      <c r="AD299" s="125">
        <v>979.38900000000001</v>
      </c>
      <c r="AE299" s="127">
        <v>3600</v>
      </c>
      <c r="AF299" s="125">
        <v>980.61099999999999</v>
      </c>
      <c r="AG299" s="127">
        <v>3580</v>
      </c>
      <c r="AH299" s="125">
        <v>276.96800000000002</v>
      </c>
      <c r="AI299" s="127">
        <v>3580</v>
      </c>
      <c r="AJ299" s="125">
        <v>289.36799999999999</v>
      </c>
    </row>
    <row r="300" spans="1:36" ht="14.25">
      <c r="A300" s="128">
        <v>3610</v>
      </c>
      <c r="B300" s="124">
        <v>581.23900000000003</v>
      </c>
      <c r="C300" s="128">
        <v>3620</v>
      </c>
      <c r="D300" s="125">
        <v>576.99400000000003</v>
      </c>
      <c r="E300" s="126">
        <v>3610</v>
      </c>
      <c r="F300" s="125">
        <v>1233.0119999999999</v>
      </c>
      <c r="G300" s="127">
        <v>3610</v>
      </c>
      <c r="H300" s="125">
        <v>1231.915</v>
      </c>
      <c r="I300" s="127">
        <v>3610</v>
      </c>
      <c r="J300" s="125">
        <v>1056.3720000000001</v>
      </c>
      <c r="K300" s="127">
        <v>3610</v>
      </c>
      <c r="L300" s="125">
        <v>1056.1310000000001</v>
      </c>
      <c r="M300" s="127">
        <v>3610</v>
      </c>
      <c r="N300" s="125">
        <v>1056.164</v>
      </c>
      <c r="O300" s="127">
        <v>3590</v>
      </c>
      <c r="P300" s="125">
        <v>1057.3230000000001</v>
      </c>
      <c r="Q300" s="127">
        <v>3610</v>
      </c>
      <c r="R300" s="125">
        <v>1056.903</v>
      </c>
      <c r="S300" s="127">
        <v>3610</v>
      </c>
      <c r="T300" s="125">
        <v>1057.3920000000001</v>
      </c>
      <c r="U300" s="127">
        <v>3600</v>
      </c>
      <c r="V300" s="125">
        <v>1055.9929999999999</v>
      </c>
      <c r="W300" s="127">
        <v>3610</v>
      </c>
      <c r="X300" s="125">
        <v>1055.826</v>
      </c>
      <c r="Y300" s="127">
        <v>3610</v>
      </c>
      <c r="Z300" s="125">
        <v>1054.3900000000001</v>
      </c>
      <c r="AA300" s="127">
        <v>3610</v>
      </c>
      <c r="AB300" s="125">
        <v>1054.08</v>
      </c>
      <c r="AC300" s="127">
        <v>3600</v>
      </c>
      <c r="AD300" s="125">
        <v>978.19</v>
      </c>
      <c r="AE300" s="127">
        <v>3610</v>
      </c>
      <c r="AF300" s="125">
        <v>979.41300000000001</v>
      </c>
      <c r="AG300" s="127">
        <v>3590</v>
      </c>
      <c r="AH300" s="125">
        <v>276.57600000000002</v>
      </c>
      <c r="AI300" s="127">
        <v>3590</v>
      </c>
      <c r="AJ300" s="125">
        <v>288.96199999999999</v>
      </c>
    </row>
    <row r="301" spans="1:36" ht="14.25">
      <c r="A301" s="128">
        <v>3620</v>
      </c>
      <c r="B301" s="124">
        <v>580.44500000000005</v>
      </c>
      <c r="C301" s="128">
        <v>3630</v>
      </c>
      <c r="D301" s="125">
        <v>576.20600000000002</v>
      </c>
      <c r="E301" s="126">
        <v>3620</v>
      </c>
      <c r="F301" s="125">
        <v>1231.519</v>
      </c>
      <c r="G301" s="127">
        <v>3620</v>
      </c>
      <c r="H301" s="125">
        <v>1230.425</v>
      </c>
      <c r="I301" s="127">
        <v>3620</v>
      </c>
      <c r="J301" s="125">
        <v>1055.17</v>
      </c>
      <c r="K301" s="127">
        <v>3620</v>
      </c>
      <c r="L301" s="125">
        <v>1054.9290000000001</v>
      </c>
      <c r="M301" s="127">
        <v>3620</v>
      </c>
      <c r="N301" s="125">
        <v>1054.962</v>
      </c>
      <c r="O301" s="127">
        <v>3600</v>
      </c>
      <c r="P301" s="125">
        <v>1056.1220000000001</v>
      </c>
      <c r="Q301" s="127">
        <v>3620</v>
      </c>
      <c r="R301" s="125">
        <v>1055.701</v>
      </c>
      <c r="S301" s="127">
        <v>3620</v>
      </c>
      <c r="T301" s="125">
        <v>1056.191</v>
      </c>
      <c r="U301" s="127">
        <v>3610</v>
      </c>
      <c r="V301" s="125">
        <v>1054.7940000000001</v>
      </c>
      <c r="W301" s="127">
        <v>3620</v>
      </c>
      <c r="X301" s="125">
        <v>1054.627</v>
      </c>
      <c r="Y301" s="127">
        <v>3620</v>
      </c>
      <c r="Z301" s="125">
        <v>1053.191</v>
      </c>
      <c r="AA301" s="127">
        <v>3620</v>
      </c>
      <c r="AB301" s="125">
        <v>1052.8820000000001</v>
      </c>
      <c r="AC301" s="127">
        <v>3610</v>
      </c>
      <c r="AD301" s="125">
        <v>976.99099999999999</v>
      </c>
      <c r="AE301" s="127">
        <v>3620</v>
      </c>
      <c r="AF301" s="125">
        <v>978.21500000000003</v>
      </c>
      <c r="AG301" s="127">
        <v>3600</v>
      </c>
      <c r="AH301" s="125">
        <v>276.18400000000003</v>
      </c>
      <c r="AI301" s="127">
        <v>3600</v>
      </c>
      <c r="AJ301" s="125">
        <v>288.55599999999998</v>
      </c>
    </row>
    <row r="302" spans="1:36" ht="14.25">
      <c r="A302" s="128">
        <v>3630</v>
      </c>
      <c r="B302" s="124">
        <v>579.65200000000004</v>
      </c>
      <c r="C302" s="128">
        <v>3640</v>
      </c>
      <c r="D302" s="125">
        <v>575.41800000000001</v>
      </c>
      <c r="E302" s="126">
        <v>3630</v>
      </c>
      <c r="F302" s="125">
        <v>1230.0250000000001</v>
      </c>
      <c r="G302" s="127">
        <v>3630</v>
      </c>
      <c r="H302" s="125">
        <v>1228.9349999999999</v>
      </c>
      <c r="I302" s="127">
        <v>3630</v>
      </c>
      <c r="J302" s="125">
        <v>1053.9680000000001</v>
      </c>
      <c r="K302" s="127">
        <v>3630</v>
      </c>
      <c r="L302" s="125">
        <v>1053.7260000000001</v>
      </c>
      <c r="M302" s="127">
        <v>3630</v>
      </c>
      <c r="N302" s="125">
        <v>1053.76</v>
      </c>
      <c r="O302" s="127">
        <v>3610</v>
      </c>
      <c r="P302" s="125">
        <v>1054.92</v>
      </c>
      <c r="Q302" s="127">
        <v>3630</v>
      </c>
      <c r="R302" s="125">
        <v>1054.5</v>
      </c>
      <c r="S302" s="127">
        <v>3630</v>
      </c>
      <c r="T302" s="125">
        <v>1054.99</v>
      </c>
      <c r="U302" s="127">
        <v>3620</v>
      </c>
      <c r="V302" s="125">
        <v>1053.596</v>
      </c>
      <c r="W302" s="127">
        <v>3630</v>
      </c>
      <c r="X302" s="125">
        <v>1053.4280000000001</v>
      </c>
      <c r="Y302" s="127">
        <v>3630</v>
      </c>
      <c r="Z302" s="125">
        <v>1051.991</v>
      </c>
      <c r="AA302" s="127">
        <v>3630</v>
      </c>
      <c r="AB302" s="125">
        <v>1051.684</v>
      </c>
      <c r="AC302" s="127">
        <v>3620</v>
      </c>
      <c r="AD302" s="125">
        <v>975.79100000000005</v>
      </c>
      <c r="AE302" s="127">
        <v>3630</v>
      </c>
      <c r="AF302" s="125">
        <v>977.01700000000005</v>
      </c>
      <c r="AG302" s="127">
        <v>3610</v>
      </c>
      <c r="AH302" s="125">
        <v>275.79199999999997</v>
      </c>
      <c r="AI302" s="127">
        <v>3610</v>
      </c>
      <c r="AJ302" s="125">
        <v>288.14999999999998</v>
      </c>
    </row>
    <row r="303" spans="1:36" ht="14.25">
      <c r="A303" s="128">
        <v>3640</v>
      </c>
      <c r="B303" s="124">
        <v>578.85699999999997</v>
      </c>
      <c r="C303" s="128">
        <v>3650</v>
      </c>
      <c r="D303" s="125">
        <v>574.63</v>
      </c>
      <c r="E303" s="126">
        <v>3640</v>
      </c>
      <c r="F303" s="125">
        <v>1228.5309999999999</v>
      </c>
      <c r="G303" s="127">
        <v>3640</v>
      </c>
      <c r="H303" s="125">
        <v>1227.444</v>
      </c>
      <c r="I303" s="127">
        <v>3640</v>
      </c>
      <c r="J303" s="125">
        <v>1052.7660000000001</v>
      </c>
      <c r="K303" s="127">
        <v>3640</v>
      </c>
      <c r="L303" s="125">
        <v>1052.5239999999999</v>
      </c>
      <c r="M303" s="127">
        <v>3640</v>
      </c>
      <c r="N303" s="125">
        <v>1052.558</v>
      </c>
      <c r="O303" s="127">
        <v>3620</v>
      </c>
      <c r="P303" s="125">
        <v>1053.7190000000001</v>
      </c>
      <c r="Q303" s="127">
        <v>3640</v>
      </c>
      <c r="R303" s="125">
        <v>1053.298</v>
      </c>
      <c r="S303" s="127">
        <v>3640</v>
      </c>
      <c r="T303" s="125">
        <v>1053.789</v>
      </c>
      <c r="U303" s="127">
        <v>3630</v>
      </c>
      <c r="V303" s="125">
        <v>1052.3969999999999</v>
      </c>
      <c r="W303" s="127">
        <v>3640</v>
      </c>
      <c r="X303" s="125">
        <v>1052.2280000000001</v>
      </c>
      <c r="Y303" s="127">
        <v>3640</v>
      </c>
      <c r="Z303" s="125">
        <v>1050.7909999999999</v>
      </c>
      <c r="AA303" s="127">
        <v>3640</v>
      </c>
      <c r="AB303" s="125">
        <v>1050.4860000000001</v>
      </c>
      <c r="AC303" s="127">
        <v>3630</v>
      </c>
      <c r="AD303" s="125">
        <v>974.59199999999998</v>
      </c>
      <c r="AE303" s="127">
        <v>3640</v>
      </c>
      <c r="AF303" s="125">
        <v>975.81899999999996</v>
      </c>
      <c r="AG303" s="127">
        <v>3620</v>
      </c>
      <c r="AH303" s="125">
        <v>275.39999999999998</v>
      </c>
      <c r="AI303" s="127">
        <v>3620</v>
      </c>
      <c r="AJ303" s="125">
        <v>287.74400000000003</v>
      </c>
    </row>
    <row r="304" spans="1:36" ht="14.25">
      <c r="A304" s="128">
        <v>3650</v>
      </c>
      <c r="B304" s="124">
        <v>578.06299999999999</v>
      </c>
      <c r="C304" s="128">
        <v>3660</v>
      </c>
      <c r="D304" s="125">
        <v>573.84100000000001</v>
      </c>
      <c r="E304" s="126">
        <v>3650</v>
      </c>
      <c r="F304" s="125">
        <v>1227.037</v>
      </c>
      <c r="G304" s="127">
        <v>3650</v>
      </c>
      <c r="H304" s="125">
        <v>1225.953</v>
      </c>
      <c r="I304" s="127">
        <v>3650</v>
      </c>
      <c r="J304" s="125">
        <v>1051.5640000000001</v>
      </c>
      <c r="K304" s="127">
        <v>3650</v>
      </c>
      <c r="L304" s="125">
        <v>1051.3209999999999</v>
      </c>
      <c r="M304" s="127">
        <v>3650</v>
      </c>
      <c r="N304" s="125">
        <v>1051.356</v>
      </c>
      <c r="O304" s="127">
        <v>3630</v>
      </c>
      <c r="P304" s="125">
        <v>1052.5170000000001</v>
      </c>
      <c r="Q304" s="127">
        <v>3650</v>
      </c>
      <c r="R304" s="125">
        <v>1052.096</v>
      </c>
      <c r="S304" s="127">
        <v>3650</v>
      </c>
      <c r="T304" s="125">
        <v>1052.588</v>
      </c>
      <c r="U304" s="127">
        <v>3640</v>
      </c>
      <c r="V304" s="125">
        <v>1051.1969999999999</v>
      </c>
      <c r="W304" s="127">
        <v>3650</v>
      </c>
      <c r="X304" s="125">
        <v>1051.029</v>
      </c>
      <c r="Y304" s="127">
        <v>3650</v>
      </c>
      <c r="Z304" s="125">
        <v>1049.5909999999999</v>
      </c>
      <c r="AA304" s="127">
        <v>3650</v>
      </c>
      <c r="AB304" s="125">
        <v>1049.288</v>
      </c>
      <c r="AC304" s="127">
        <v>3640</v>
      </c>
      <c r="AD304" s="125">
        <v>973.39200000000005</v>
      </c>
      <c r="AE304" s="127">
        <v>3650</v>
      </c>
      <c r="AF304" s="125">
        <v>974.62099999999998</v>
      </c>
      <c r="AG304" s="127">
        <v>3630</v>
      </c>
      <c r="AH304" s="125">
        <v>275.00700000000001</v>
      </c>
      <c r="AI304" s="127">
        <v>3630</v>
      </c>
      <c r="AJ304" s="125">
        <v>287.33800000000002</v>
      </c>
    </row>
    <row r="305" spans="1:36" ht="14.25">
      <c r="A305" s="128">
        <v>3660</v>
      </c>
      <c r="B305" s="124">
        <v>577.26900000000001</v>
      </c>
      <c r="C305" s="128">
        <v>3670</v>
      </c>
      <c r="D305" s="125">
        <v>573.05200000000002</v>
      </c>
      <c r="E305" s="126">
        <v>3660</v>
      </c>
      <c r="F305" s="125">
        <v>1225.5429999999999</v>
      </c>
      <c r="G305" s="127">
        <v>3660</v>
      </c>
      <c r="H305" s="125">
        <v>1224.462</v>
      </c>
      <c r="I305" s="127">
        <v>3660</v>
      </c>
      <c r="J305" s="125">
        <v>1050.3610000000001</v>
      </c>
      <c r="K305" s="127">
        <v>3660</v>
      </c>
      <c r="L305" s="125">
        <v>1050.117</v>
      </c>
      <c r="M305" s="127">
        <v>3660</v>
      </c>
      <c r="N305" s="125">
        <v>1050.153</v>
      </c>
      <c r="O305" s="127">
        <v>3640</v>
      </c>
      <c r="P305" s="125">
        <v>1051.3150000000001</v>
      </c>
      <c r="Q305" s="127">
        <v>3660</v>
      </c>
      <c r="R305" s="125">
        <v>1050.894</v>
      </c>
      <c r="S305" s="127">
        <v>3660</v>
      </c>
      <c r="T305" s="125">
        <v>1051.386</v>
      </c>
      <c r="U305" s="127">
        <v>3650</v>
      </c>
      <c r="V305" s="125">
        <v>1049.998</v>
      </c>
      <c r="W305" s="127">
        <v>3660</v>
      </c>
      <c r="X305" s="125">
        <v>1049.828</v>
      </c>
      <c r="Y305" s="127">
        <v>3660</v>
      </c>
      <c r="Z305" s="125">
        <v>1048.3900000000001</v>
      </c>
      <c r="AA305" s="127">
        <v>3660</v>
      </c>
      <c r="AB305" s="125">
        <v>1048.0889999999999</v>
      </c>
      <c r="AC305" s="127">
        <v>3650</v>
      </c>
      <c r="AD305" s="125">
        <v>972.19200000000001</v>
      </c>
      <c r="AE305" s="127">
        <v>3660</v>
      </c>
      <c r="AF305" s="125">
        <v>973.42200000000003</v>
      </c>
      <c r="AG305" s="127">
        <v>3640</v>
      </c>
      <c r="AH305" s="125">
        <v>274.61500000000001</v>
      </c>
      <c r="AI305" s="127">
        <v>3640</v>
      </c>
      <c r="AJ305" s="125">
        <v>286.93099999999998</v>
      </c>
    </row>
    <row r="306" spans="1:36" ht="14.25">
      <c r="A306" s="128">
        <v>3670</v>
      </c>
      <c r="B306" s="124">
        <v>576.47400000000005</v>
      </c>
      <c r="C306" s="128">
        <v>3680</v>
      </c>
      <c r="D306" s="125">
        <v>572.26300000000003</v>
      </c>
      <c r="E306" s="126">
        <v>3670</v>
      </c>
      <c r="F306" s="125">
        <v>1224.048</v>
      </c>
      <c r="G306" s="127">
        <v>3670</v>
      </c>
      <c r="H306" s="125">
        <v>1222.97</v>
      </c>
      <c r="I306" s="127">
        <v>3670</v>
      </c>
      <c r="J306" s="125">
        <v>1049.1590000000001</v>
      </c>
      <c r="K306" s="127">
        <v>3670</v>
      </c>
      <c r="L306" s="125">
        <v>1048.914</v>
      </c>
      <c r="M306" s="127">
        <v>3670</v>
      </c>
      <c r="N306" s="125">
        <v>1048.95</v>
      </c>
      <c r="O306" s="127">
        <v>3650</v>
      </c>
      <c r="P306" s="125">
        <v>1050.1130000000001</v>
      </c>
      <c r="Q306" s="127">
        <v>3670</v>
      </c>
      <c r="R306" s="125">
        <v>1049.692</v>
      </c>
      <c r="S306" s="127">
        <v>3670</v>
      </c>
      <c r="T306" s="125">
        <v>1050.184</v>
      </c>
      <c r="U306" s="127">
        <v>3660</v>
      </c>
      <c r="V306" s="125">
        <v>1048.798</v>
      </c>
      <c r="W306" s="127">
        <v>3670</v>
      </c>
      <c r="X306" s="125">
        <v>1048.6279999999999</v>
      </c>
      <c r="Y306" s="127">
        <v>3670</v>
      </c>
      <c r="Z306" s="125">
        <v>1047.1890000000001</v>
      </c>
      <c r="AA306" s="127">
        <v>3670</v>
      </c>
      <c r="AB306" s="125">
        <v>1046.8910000000001</v>
      </c>
      <c r="AC306" s="127">
        <v>3660</v>
      </c>
      <c r="AD306" s="125">
        <v>970.99199999999996</v>
      </c>
      <c r="AE306" s="127">
        <v>3670</v>
      </c>
      <c r="AF306" s="125">
        <v>972.22299999999996</v>
      </c>
      <c r="AG306" s="127">
        <v>3650</v>
      </c>
      <c r="AH306" s="125">
        <v>274.22300000000001</v>
      </c>
      <c r="AI306" s="127">
        <v>3650</v>
      </c>
      <c r="AJ306" s="125">
        <v>286.52499999999998</v>
      </c>
    </row>
    <row r="307" spans="1:36" ht="14.25">
      <c r="A307" s="128">
        <v>3680</v>
      </c>
      <c r="B307" s="124">
        <v>575.67999999999995</v>
      </c>
      <c r="C307" s="128">
        <v>3690</v>
      </c>
      <c r="D307" s="125">
        <v>571.47400000000005</v>
      </c>
      <c r="E307" s="126">
        <v>3680</v>
      </c>
      <c r="F307" s="125">
        <v>1222.5530000000001</v>
      </c>
      <c r="G307" s="127">
        <v>3680</v>
      </c>
      <c r="H307" s="125">
        <v>1221.479</v>
      </c>
      <c r="I307" s="127">
        <v>3680</v>
      </c>
      <c r="J307" s="125">
        <v>1047.9559999999999</v>
      </c>
      <c r="K307" s="127">
        <v>3680</v>
      </c>
      <c r="L307" s="125">
        <v>1047.71</v>
      </c>
      <c r="M307" s="127">
        <v>3680</v>
      </c>
      <c r="N307" s="125">
        <v>1047.748</v>
      </c>
      <c r="O307" s="127">
        <v>3660</v>
      </c>
      <c r="P307" s="125">
        <v>1048.9100000000001</v>
      </c>
      <c r="Q307" s="127">
        <v>3680</v>
      </c>
      <c r="R307" s="125">
        <v>1048.489</v>
      </c>
      <c r="S307" s="127">
        <v>3680</v>
      </c>
      <c r="T307" s="125">
        <v>1048.982</v>
      </c>
      <c r="U307" s="127">
        <v>3670</v>
      </c>
      <c r="V307" s="125">
        <v>1047.598</v>
      </c>
      <c r="W307" s="127">
        <v>3680</v>
      </c>
      <c r="X307" s="125">
        <v>1047.4269999999999</v>
      </c>
      <c r="Y307" s="127">
        <v>3680</v>
      </c>
      <c r="Z307" s="125">
        <v>1045.9880000000001</v>
      </c>
      <c r="AA307" s="127">
        <v>3680</v>
      </c>
      <c r="AB307" s="125">
        <v>1045.692</v>
      </c>
      <c r="AC307" s="127">
        <v>3670</v>
      </c>
      <c r="AD307" s="125">
        <v>969.79100000000005</v>
      </c>
      <c r="AE307" s="127">
        <v>3680</v>
      </c>
      <c r="AF307" s="125">
        <v>971.024</v>
      </c>
      <c r="AG307" s="127">
        <v>3660</v>
      </c>
      <c r="AH307" s="125">
        <v>273.83</v>
      </c>
      <c r="AI307" s="127">
        <v>3660</v>
      </c>
      <c r="AJ307" s="125">
        <v>286.11799999999999</v>
      </c>
    </row>
    <row r="308" spans="1:36" ht="14.25">
      <c r="A308" s="128">
        <v>3690</v>
      </c>
      <c r="B308" s="124">
        <v>574.88499999999999</v>
      </c>
      <c r="C308" s="128">
        <v>3700</v>
      </c>
      <c r="D308" s="125">
        <v>570.68499999999995</v>
      </c>
      <c r="E308" s="126">
        <v>3690</v>
      </c>
      <c r="F308" s="125">
        <v>1221.058</v>
      </c>
      <c r="G308" s="127">
        <v>3690</v>
      </c>
      <c r="H308" s="125">
        <v>1219.9860000000001</v>
      </c>
      <c r="I308" s="127">
        <v>3690</v>
      </c>
      <c r="J308" s="125">
        <v>1046.752</v>
      </c>
      <c r="K308" s="127">
        <v>3690</v>
      </c>
      <c r="L308" s="125">
        <v>1046.5060000000001</v>
      </c>
      <c r="M308" s="127">
        <v>3690</v>
      </c>
      <c r="N308" s="125">
        <v>1046.5440000000001</v>
      </c>
      <c r="O308" s="127">
        <v>3670</v>
      </c>
      <c r="P308" s="125">
        <v>1047.7070000000001</v>
      </c>
      <c r="Q308" s="127">
        <v>3690</v>
      </c>
      <c r="R308" s="125">
        <v>1047.2860000000001</v>
      </c>
      <c r="S308" s="127">
        <v>3690</v>
      </c>
      <c r="T308" s="125">
        <v>1047.78</v>
      </c>
      <c r="U308" s="127">
        <v>3680</v>
      </c>
      <c r="V308" s="125">
        <v>1046.3979999999999</v>
      </c>
      <c r="W308" s="127">
        <v>3690</v>
      </c>
      <c r="X308" s="125">
        <v>1046.2270000000001</v>
      </c>
      <c r="Y308" s="127">
        <v>3690</v>
      </c>
      <c r="Z308" s="125">
        <v>1044.787</v>
      </c>
      <c r="AA308" s="127">
        <v>3690</v>
      </c>
      <c r="AB308" s="125">
        <v>1044.492</v>
      </c>
      <c r="AC308" s="127">
        <v>3680</v>
      </c>
      <c r="AD308" s="125">
        <v>968.59100000000001</v>
      </c>
      <c r="AE308" s="127">
        <v>3690</v>
      </c>
      <c r="AF308" s="125">
        <v>969.82399999999996</v>
      </c>
      <c r="AG308" s="127">
        <v>3670</v>
      </c>
      <c r="AH308" s="125">
        <v>273.43799999999999</v>
      </c>
      <c r="AI308" s="127">
        <v>3670</v>
      </c>
      <c r="AJ308" s="125">
        <v>285.71199999999999</v>
      </c>
    </row>
    <row r="309" spans="1:36" ht="14.25">
      <c r="A309" s="128">
        <v>3700</v>
      </c>
      <c r="B309" s="124">
        <v>574.08900000000006</v>
      </c>
      <c r="C309" s="128">
        <v>3710</v>
      </c>
      <c r="D309" s="125">
        <v>569.89599999999996</v>
      </c>
      <c r="E309" s="126">
        <v>3700</v>
      </c>
      <c r="F309" s="125">
        <v>1219.5619999999999</v>
      </c>
      <c r="G309" s="127">
        <v>3700</v>
      </c>
      <c r="H309" s="125">
        <v>1218.4939999999999</v>
      </c>
      <c r="I309" s="127">
        <v>3700</v>
      </c>
      <c r="J309" s="125">
        <v>1045.549</v>
      </c>
      <c r="K309" s="127">
        <v>3700</v>
      </c>
      <c r="L309" s="125">
        <v>1045.3019999999999</v>
      </c>
      <c r="M309" s="127">
        <v>3700</v>
      </c>
      <c r="N309" s="125">
        <v>1045.3409999999999</v>
      </c>
      <c r="O309" s="127">
        <v>3680</v>
      </c>
      <c r="P309" s="125">
        <v>1046.5039999999999</v>
      </c>
      <c r="Q309" s="127">
        <v>3700</v>
      </c>
      <c r="R309" s="125">
        <v>1046.0830000000001</v>
      </c>
      <c r="S309" s="127">
        <v>3700</v>
      </c>
      <c r="T309" s="125">
        <v>1046.578</v>
      </c>
      <c r="U309" s="127">
        <v>3690</v>
      </c>
      <c r="V309" s="125">
        <v>1045.1969999999999</v>
      </c>
      <c r="W309" s="127">
        <v>3700</v>
      </c>
      <c r="X309" s="125">
        <v>1045.0260000000001</v>
      </c>
      <c r="Y309" s="127">
        <v>3700</v>
      </c>
      <c r="Z309" s="125">
        <v>1043.586</v>
      </c>
      <c r="AA309" s="127">
        <v>3700</v>
      </c>
      <c r="AB309" s="125">
        <v>1043.2929999999999</v>
      </c>
      <c r="AC309" s="127">
        <v>3690</v>
      </c>
      <c r="AD309" s="125">
        <v>967.39</v>
      </c>
      <c r="AE309" s="127">
        <v>3700</v>
      </c>
      <c r="AF309" s="125">
        <v>968.625</v>
      </c>
      <c r="AG309" s="127">
        <v>3680</v>
      </c>
      <c r="AH309" s="125">
        <v>273.04500000000002</v>
      </c>
      <c r="AI309" s="127">
        <v>3680</v>
      </c>
      <c r="AJ309" s="125">
        <v>285.30500000000001</v>
      </c>
    </row>
    <row r="310" spans="1:36" ht="14.25">
      <c r="A310" s="128">
        <v>3710</v>
      </c>
      <c r="B310" s="124">
        <v>573.29399999999998</v>
      </c>
      <c r="C310" s="128">
        <v>3720</v>
      </c>
      <c r="D310" s="125">
        <v>569.10599999999999</v>
      </c>
      <c r="E310" s="126">
        <v>3710</v>
      </c>
      <c r="F310" s="125">
        <v>1218.066</v>
      </c>
      <c r="G310" s="127">
        <v>3710</v>
      </c>
      <c r="H310" s="125">
        <v>1217.001</v>
      </c>
      <c r="I310" s="127">
        <v>3710</v>
      </c>
      <c r="J310" s="125">
        <v>1044.345</v>
      </c>
      <c r="K310" s="127">
        <v>3710</v>
      </c>
      <c r="L310" s="125">
        <v>1044.097</v>
      </c>
      <c r="M310" s="127">
        <v>3710</v>
      </c>
      <c r="N310" s="125">
        <v>1044.1369999999999</v>
      </c>
      <c r="O310" s="127">
        <v>3690</v>
      </c>
      <c r="P310" s="125">
        <v>1045.3009999999999</v>
      </c>
      <c r="Q310" s="127">
        <v>3710</v>
      </c>
      <c r="R310" s="125">
        <v>1044.8800000000001</v>
      </c>
      <c r="S310" s="127">
        <v>3710</v>
      </c>
      <c r="T310" s="125">
        <v>1045.375</v>
      </c>
      <c r="U310" s="127">
        <v>3700</v>
      </c>
      <c r="V310" s="125">
        <v>1043.9970000000001</v>
      </c>
      <c r="W310" s="127">
        <v>3710</v>
      </c>
      <c r="X310" s="125">
        <v>1043.8240000000001</v>
      </c>
      <c r="Y310" s="127">
        <v>3710</v>
      </c>
      <c r="Z310" s="125">
        <v>1042.384</v>
      </c>
      <c r="AA310" s="127">
        <v>3710</v>
      </c>
      <c r="AB310" s="125">
        <v>1042.0930000000001</v>
      </c>
      <c r="AC310" s="127">
        <v>3700</v>
      </c>
      <c r="AD310" s="125">
        <v>966.18899999999996</v>
      </c>
      <c r="AE310" s="127">
        <v>3710</v>
      </c>
      <c r="AF310" s="125">
        <v>967.42499999999995</v>
      </c>
      <c r="AG310" s="127">
        <v>3690</v>
      </c>
      <c r="AH310" s="125">
        <v>272.65199999999999</v>
      </c>
      <c r="AI310" s="127">
        <v>3690</v>
      </c>
      <c r="AJ310" s="125">
        <v>284.89800000000002</v>
      </c>
    </row>
    <row r="311" spans="1:36" ht="14.25">
      <c r="A311" s="128">
        <v>3720</v>
      </c>
      <c r="B311" s="124">
        <v>572.49900000000002</v>
      </c>
      <c r="C311" s="128">
        <v>3730</v>
      </c>
      <c r="D311" s="125">
        <v>568.31600000000003</v>
      </c>
      <c r="E311" s="126">
        <v>3720</v>
      </c>
      <c r="F311" s="125">
        <v>1216.3699999999999</v>
      </c>
      <c r="G311" s="127">
        <v>3720</v>
      </c>
      <c r="H311" s="125">
        <v>1215.508</v>
      </c>
      <c r="I311" s="127">
        <v>3720</v>
      </c>
      <c r="J311" s="125">
        <v>1043.1410000000001</v>
      </c>
      <c r="K311" s="127">
        <v>3720</v>
      </c>
      <c r="L311" s="125">
        <v>1042.8920000000001</v>
      </c>
      <c r="M311" s="127">
        <v>3720</v>
      </c>
      <c r="N311" s="125">
        <v>1042.933</v>
      </c>
      <c r="O311" s="127">
        <v>3700</v>
      </c>
      <c r="P311" s="125">
        <v>1044.098</v>
      </c>
      <c r="Q311" s="127">
        <v>3720</v>
      </c>
      <c r="R311" s="125">
        <v>1043.6759999999999</v>
      </c>
      <c r="S311" s="127">
        <v>3720</v>
      </c>
      <c r="T311" s="125">
        <v>1044.172</v>
      </c>
      <c r="U311" s="127">
        <v>3710</v>
      </c>
      <c r="V311" s="125">
        <v>1042.796</v>
      </c>
      <c r="W311" s="127">
        <v>3720</v>
      </c>
      <c r="X311" s="125">
        <v>1042.623</v>
      </c>
      <c r="Y311" s="127">
        <v>3720</v>
      </c>
      <c r="Z311" s="125">
        <v>1041.182</v>
      </c>
      <c r="AA311" s="127">
        <v>3720</v>
      </c>
      <c r="AB311" s="125">
        <v>1040.893</v>
      </c>
      <c r="AC311" s="127">
        <v>3710</v>
      </c>
      <c r="AD311" s="125">
        <v>964.98699999999997</v>
      </c>
      <c r="AE311" s="127">
        <v>3720</v>
      </c>
      <c r="AF311" s="125">
        <v>966.22500000000002</v>
      </c>
      <c r="AG311" s="127">
        <v>3700</v>
      </c>
      <c r="AH311" s="125">
        <v>272.25900000000001</v>
      </c>
      <c r="AI311" s="127">
        <v>3700</v>
      </c>
      <c r="AJ311" s="125">
        <v>284.49200000000002</v>
      </c>
    </row>
    <row r="312" spans="1:36" ht="14.25">
      <c r="A312" s="128">
        <v>3730</v>
      </c>
      <c r="B312" s="124">
        <v>571.70299999999997</v>
      </c>
      <c r="C312" s="128">
        <v>3740</v>
      </c>
      <c r="D312" s="125">
        <v>567.52599999999995</v>
      </c>
      <c r="E312" s="126">
        <v>3730</v>
      </c>
      <c r="F312" s="125">
        <v>1215.0730000000001</v>
      </c>
      <c r="G312" s="127">
        <v>3730</v>
      </c>
      <c r="H312" s="125">
        <v>1214.0139999999999</v>
      </c>
      <c r="I312" s="127">
        <v>3730</v>
      </c>
      <c r="J312" s="125">
        <v>1041.9369999999999</v>
      </c>
      <c r="K312" s="127">
        <v>3730</v>
      </c>
      <c r="L312" s="125">
        <v>1041.6869999999999</v>
      </c>
      <c r="M312" s="127">
        <v>3730</v>
      </c>
      <c r="N312" s="125">
        <v>1041.729</v>
      </c>
      <c r="O312" s="127">
        <v>3710</v>
      </c>
      <c r="P312" s="125">
        <v>1042.894</v>
      </c>
      <c r="Q312" s="127">
        <v>3730</v>
      </c>
      <c r="R312" s="125">
        <v>1042.472</v>
      </c>
      <c r="S312" s="127">
        <v>3730</v>
      </c>
      <c r="T312" s="125">
        <v>1042.9680000000001</v>
      </c>
      <c r="U312" s="127">
        <v>3720</v>
      </c>
      <c r="V312" s="125">
        <v>1041.5940000000001</v>
      </c>
      <c r="W312" s="127">
        <v>3730</v>
      </c>
      <c r="X312" s="125">
        <v>1041.421</v>
      </c>
      <c r="Y312" s="127">
        <v>3730</v>
      </c>
      <c r="Z312" s="125">
        <v>1039.98</v>
      </c>
      <c r="AA312" s="127">
        <v>3730</v>
      </c>
      <c r="AB312" s="125">
        <v>1039.693</v>
      </c>
      <c r="AC312" s="127">
        <v>3720</v>
      </c>
      <c r="AD312" s="125">
        <v>963.78499999999997</v>
      </c>
      <c r="AE312" s="127">
        <v>3730</v>
      </c>
      <c r="AF312" s="125">
        <v>965.024</v>
      </c>
      <c r="AG312" s="127">
        <v>3710</v>
      </c>
      <c r="AH312" s="125">
        <v>271.86599999999999</v>
      </c>
      <c r="AI312" s="127">
        <v>3710</v>
      </c>
      <c r="AJ312" s="125">
        <v>284.08499999999998</v>
      </c>
    </row>
    <row r="313" spans="1:36" ht="14.25">
      <c r="A313" s="128">
        <v>3740</v>
      </c>
      <c r="B313" s="124">
        <v>570.90700000000004</v>
      </c>
      <c r="C313" s="128">
        <v>3750</v>
      </c>
      <c r="D313" s="125">
        <v>566.73599999999999</v>
      </c>
      <c r="E313" s="126">
        <v>3740</v>
      </c>
      <c r="F313" s="125">
        <v>1213.576</v>
      </c>
      <c r="G313" s="127">
        <v>3740</v>
      </c>
      <c r="H313" s="125">
        <v>1212.521</v>
      </c>
      <c r="I313" s="127">
        <v>3740</v>
      </c>
      <c r="J313" s="125">
        <v>1040.7329999999999</v>
      </c>
      <c r="K313" s="127">
        <v>3740</v>
      </c>
      <c r="L313" s="125">
        <v>1040.482</v>
      </c>
      <c r="M313" s="127">
        <v>3740</v>
      </c>
      <c r="N313" s="125">
        <v>1040.5239999999999</v>
      </c>
      <c r="O313" s="127">
        <v>3720</v>
      </c>
      <c r="P313" s="125">
        <v>1041.69</v>
      </c>
      <c r="Q313" s="127">
        <v>3740</v>
      </c>
      <c r="R313" s="125">
        <v>1041.268</v>
      </c>
      <c r="S313" s="127">
        <v>3740</v>
      </c>
      <c r="T313" s="125">
        <v>1041.7650000000001</v>
      </c>
      <c r="U313" s="127">
        <v>3730</v>
      </c>
      <c r="V313" s="125">
        <v>1040.393</v>
      </c>
      <c r="W313" s="127">
        <v>3740</v>
      </c>
      <c r="X313" s="125">
        <v>1040.2190000000001</v>
      </c>
      <c r="Y313" s="127">
        <v>3740</v>
      </c>
      <c r="Z313" s="125">
        <v>1038.777</v>
      </c>
      <c r="AA313" s="127">
        <v>3740</v>
      </c>
      <c r="AB313" s="125">
        <v>1038.492</v>
      </c>
      <c r="AC313" s="127">
        <v>3730</v>
      </c>
      <c r="AD313" s="125">
        <v>962.58299999999997</v>
      </c>
      <c r="AE313" s="127">
        <v>3740</v>
      </c>
      <c r="AF313" s="125">
        <v>963.82299999999998</v>
      </c>
      <c r="AG313" s="127">
        <v>3720</v>
      </c>
      <c r="AH313" s="125">
        <v>271.47300000000001</v>
      </c>
      <c r="AI313" s="127">
        <v>3720</v>
      </c>
      <c r="AJ313" s="125">
        <v>283.678</v>
      </c>
    </row>
    <row r="314" spans="1:36" ht="14.25">
      <c r="A314" s="128">
        <v>3750</v>
      </c>
      <c r="B314" s="124">
        <v>570.11099999999999</v>
      </c>
      <c r="C314" s="128">
        <v>3760</v>
      </c>
      <c r="D314" s="125">
        <v>565.94600000000003</v>
      </c>
      <c r="E314" s="126">
        <v>3750</v>
      </c>
      <c r="F314" s="125">
        <v>1212.079</v>
      </c>
      <c r="G314" s="127">
        <v>3750</v>
      </c>
      <c r="H314" s="125">
        <v>1211.027</v>
      </c>
      <c r="I314" s="127">
        <v>3750</v>
      </c>
      <c r="J314" s="125">
        <v>1039.528</v>
      </c>
      <c r="K314" s="127">
        <v>3750</v>
      </c>
      <c r="L314" s="125">
        <v>1039.277</v>
      </c>
      <c r="M314" s="127">
        <v>3750</v>
      </c>
      <c r="N314" s="125">
        <v>1039.32</v>
      </c>
      <c r="O314" s="127">
        <v>3730</v>
      </c>
      <c r="P314" s="125">
        <v>1040.4860000000001</v>
      </c>
      <c r="Q314" s="127">
        <v>3750</v>
      </c>
      <c r="R314" s="125">
        <v>1040.0640000000001</v>
      </c>
      <c r="S314" s="127">
        <v>3750</v>
      </c>
      <c r="T314" s="125">
        <v>1040.5609999999999</v>
      </c>
      <c r="U314" s="127">
        <v>3740</v>
      </c>
      <c r="V314" s="125">
        <v>1039.191</v>
      </c>
      <c r="W314" s="127">
        <v>3750</v>
      </c>
      <c r="X314" s="125">
        <v>1039.0170000000001</v>
      </c>
      <c r="Y314" s="127">
        <v>3750</v>
      </c>
      <c r="Z314" s="125">
        <v>1037.575</v>
      </c>
      <c r="AA314" s="127">
        <v>3750</v>
      </c>
      <c r="AB314" s="125">
        <v>1037.2919999999999</v>
      </c>
      <c r="AC314" s="127">
        <v>3740</v>
      </c>
      <c r="AD314" s="125">
        <v>961.38099999999997</v>
      </c>
      <c r="AE314" s="127">
        <v>3750</v>
      </c>
      <c r="AF314" s="125">
        <v>962.62300000000005</v>
      </c>
      <c r="AG314" s="127">
        <v>3730</v>
      </c>
      <c r="AH314" s="125">
        <v>271.08</v>
      </c>
      <c r="AI314" s="127">
        <v>3730</v>
      </c>
      <c r="AJ314" s="125">
        <v>283.27</v>
      </c>
    </row>
    <row r="315" spans="1:36" ht="14.25">
      <c r="A315" s="128">
        <v>3760</v>
      </c>
      <c r="B315" s="124">
        <v>569.31500000000005</v>
      </c>
      <c r="C315" s="128">
        <v>3770</v>
      </c>
      <c r="D315" s="125">
        <v>565.15499999999997</v>
      </c>
      <c r="E315" s="126">
        <v>3760</v>
      </c>
      <c r="F315" s="125">
        <v>1210.5820000000001</v>
      </c>
      <c r="G315" s="127">
        <v>3760</v>
      </c>
      <c r="H315" s="125">
        <v>1209.5319999999999</v>
      </c>
      <c r="I315" s="127">
        <v>3760</v>
      </c>
      <c r="J315" s="125">
        <v>1038.3230000000001</v>
      </c>
      <c r="K315" s="127">
        <v>3760</v>
      </c>
      <c r="L315" s="125">
        <v>1038.0709999999999</v>
      </c>
      <c r="M315" s="127">
        <v>3760</v>
      </c>
      <c r="N315" s="125">
        <v>1038.115</v>
      </c>
      <c r="O315" s="127">
        <v>3740</v>
      </c>
      <c r="P315" s="125">
        <v>1039.2809999999999</v>
      </c>
      <c r="Q315" s="127">
        <v>3760</v>
      </c>
      <c r="R315" s="125">
        <v>1038.8589999999999</v>
      </c>
      <c r="S315" s="127">
        <v>3760</v>
      </c>
      <c r="T315" s="125">
        <v>1039.357</v>
      </c>
      <c r="U315" s="127">
        <v>3750</v>
      </c>
      <c r="V315" s="125">
        <v>1037.989</v>
      </c>
      <c r="W315" s="127">
        <v>3760</v>
      </c>
      <c r="X315" s="125">
        <v>1037.8140000000001</v>
      </c>
      <c r="Y315" s="127">
        <v>3760</v>
      </c>
      <c r="Z315" s="125">
        <v>1036.3720000000001</v>
      </c>
      <c r="AA315" s="127">
        <v>3760</v>
      </c>
      <c r="AB315" s="125">
        <v>1036.0909999999999</v>
      </c>
      <c r="AC315" s="127">
        <v>3750</v>
      </c>
      <c r="AD315" s="125">
        <v>960.17899999999997</v>
      </c>
      <c r="AE315" s="127">
        <v>3760</v>
      </c>
      <c r="AF315" s="125">
        <v>961.42100000000005</v>
      </c>
      <c r="AG315" s="127">
        <v>3740</v>
      </c>
      <c r="AH315" s="125">
        <v>270.68700000000001</v>
      </c>
      <c r="AI315" s="127">
        <v>3740</v>
      </c>
      <c r="AJ315" s="125">
        <v>282.863</v>
      </c>
    </row>
    <row r="316" spans="1:36" ht="14.25">
      <c r="A316" s="128">
        <v>3770</v>
      </c>
      <c r="B316" s="124">
        <v>568.51900000000001</v>
      </c>
      <c r="C316" s="128">
        <v>3780</v>
      </c>
      <c r="D316" s="125">
        <v>564.36500000000001</v>
      </c>
      <c r="E316" s="126">
        <v>3770</v>
      </c>
      <c r="F316" s="125">
        <v>1209.0840000000001</v>
      </c>
      <c r="G316" s="127">
        <v>3770</v>
      </c>
      <c r="H316" s="125">
        <v>1208.038</v>
      </c>
      <c r="I316" s="127">
        <v>3770</v>
      </c>
      <c r="J316" s="125">
        <v>1037.1179999999999</v>
      </c>
      <c r="K316" s="127">
        <v>3770</v>
      </c>
      <c r="L316" s="125">
        <v>1036.865</v>
      </c>
      <c r="M316" s="127">
        <v>3770</v>
      </c>
      <c r="N316" s="125">
        <v>1036.9100000000001</v>
      </c>
      <c r="O316" s="127">
        <v>3750</v>
      </c>
      <c r="P316" s="125">
        <v>1038.077</v>
      </c>
      <c r="Q316" s="127">
        <v>3770</v>
      </c>
      <c r="R316" s="125">
        <v>1037.654</v>
      </c>
      <c r="S316" s="127">
        <v>3770</v>
      </c>
      <c r="T316" s="125">
        <v>1038.153</v>
      </c>
      <c r="U316" s="127">
        <v>3760</v>
      </c>
      <c r="V316" s="125">
        <v>1036.787</v>
      </c>
      <c r="W316" s="127">
        <v>3770</v>
      </c>
      <c r="X316" s="125">
        <v>1036.6110000000001</v>
      </c>
      <c r="Y316" s="127">
        <v>3770</v>
      </c>
      <c r="Z316" s="125">
        <v>1035.1679999999999</v>
      </c>
      <c r="AA316" s="127">
        <v>3770</v>
      </c>
      <c r="AB316" s="125">
        <v>1034.8889999999999</v>
      </c>
      <c r="AC316" s="127">
        <v>3760</v>
      </c>
      <c r="AD316" s="125">
        <v>958.976</v>
      </c>
      <c r="AE316" s="127">
        <v>3770</v>
      </c>
      <c r="AF316" s="125">
        <v>960.22</v>
      </c>
      <c r="AG316" s="127">
        <v>3750</v>
      </c>
      <c r="AH316" s="125">
        <v>270.29399999999998</v>
      </c>
      <c r="AI316" s="127">
        <v>3750</v>
      </c>
      <c r="AJ316" s="125">
        <v>282.45600000000002</v>
      </c>
    </row>
    <row r="317" spans="1:36" ht="14.25">
      <c r="A317" s="128">
        <v>3780</v>
      </c>
      <c r="B317" s="124">
        <v>567.72199999999998</v>
      </c>
      <c r="C317" s="128">
        <v>3790</v>
      </c>
      <c r="D317" s="125">
        <v>563.57399999999996</v>
      </c>
      <c r="E317" s="126">
        <v>3780</v>
      </c>
      <c r="F317" s="125">
        <v>1207.586</v>
      </c>
      <c r="G317" s="127">
        <v>3780</v>
      </c>
      <c r="H317" s="125">
        <v>1206.5429999999999</v>
      </c>
      <c r="I317" s="127">
        <v>3780</v>
      </c>
      <c r="J317" s="125">
        <v>1035.913</v>
      </c>
      <c r="K317" s="127">
        <v>3780</v>
      </c>
      <c r="L317" s="125">
        <v>1035.6590000000001</v>
      </c>
      <c r="M317" s="127">
        <v>3780</v>
      </c>
      <c r="N317" s="125">
        <v>1035.704</v>
      </c>
      <c r="O317" s="127">
        <v>3760</v>
      </c>
      <c r="P317" s="125">
        <v>1036.8720000000001</v>
      </c>
      <c r="Q317" s="127">
        <v>3780</v>
      </c>
      <c r="R317" s="125">
        <v>1036.4490000000001</v>
      </c>
      <c r="S317" s="127">
        <v>3780</v>
      </c>
      <c r="T317" s="125">
        <v>1036.9480000000001</v>
      </c>
      <c r="U317" s="127">
        <v>3770</v>
      </c>
      <c r="V317" s="125">
        <v>1035.585</v>
      </c>
      <c r="W317" s="127">
        <v>3780</v>
      </c>
      <c r="X317" s="125">
        <v>1035.4079999999999</v>
      </c>
      <c r="Y317" s="127">
        <v>3780</v>
      </c>
      <c r="Z317" s="125">
        <v>1033.9649999999999</v>
      </c>
      <c r="AA317" s="127">
        <v>3780</v>
      </c>
      <c r="AB317" s="125">
        <v>1033.6880000000001</v>
      </c>
      <c r="AC317" s="127">
        <v>3770</v>
      </c>
      <c r="AD317" s="125">
        <v>957.77300000000002</v>
      </c>
      <c r="AE317" s="127">
        <v>3780</v>
      </c>
      <c r="AF317" s="125">
        <v>959.01800000000003</v>
      </c>
      <c r="AG317" s="127">
        <v>3760</v>
      </c>
      <c r="AH317" s="125">
        <v>269.89999999999998</v>
      </c>
      <c r="AI317" s="127">
        <v>3760</v>
      </c>
      <c r="AJ317" s="125">
        <v>282.048</v>
      </c>
    </row>
    <row r="318" spans="1:36" ht="14.25">
      <c r="A318" s="128">
        <v>3790</v>
      </c>
      <c r="B318" s="124">
        <v>566.92600000000004</v>
      </c>
      <c r="C318" s="128">
        <v>3800</v>
      </c>
      <c r="D318" s="125">
        <v>562.78300000000002</v>
      </c>
      <c r="E318" s="126">
        <v>3790</v>
      </c>
      <c r="F318" s="125">
        <v>1206.087</v>
      </c>
      <c r="G318" s="127">
        <v>3790</v>
      </c>
      <c r="H318" s="125">
        <v>1205.047</v>
      </c>
      <c r="I318" s="127">
        <v>3790</v>
      </c>
      <c r="J318" s="125">
        <v>1034.7070000000001</v>
      </c>
      <c r="K318" s="127">
        <v>3790</v>
      </c>
      <c r="L318" s="125">
        <v>1034.452</v>
      </c>
      <c r="M318" s="127">
        <v>3790</v>
      </c>
      <c r="N318" s="125">
        <v>1034.499</v>
      </c>
      <c r="O318" s="127">
        <v>3770</v>
      </c>
      <c r="P318" s="125">
        <v>1035.6669999999999</v>
      </c>
      <c r="Q318" s="127">
        <v>3790</v>
      </c>
      <c r="R318" s="125">
        <v>1035.2439999999999</v>
      </c>
      <c r="S318" s="127">
        <v>3790</v>
      </c>
      <c r="T318" s="125">
        <v>1035.7429999999999</v>
      </c>
      <c r="U318" s="127">
        <v>3780</v>
      </c>
      <c r="V318" s="125">
        <v>1034.3820000000001</v>
      </c>
      <c r="W318" s="127">
        <v>3790</v>
      </c>
      <c r="X318" s="125">
        <v>1034.2049999999999</v>
      </c>
      <c r="Y318" s="127">
        <v>3790</v>
      </c>
      <c r="Z318" s="125">
        <v>1032.761</v>
      </c>
      <c r="AA318" s="127">
        <v>3790</v>
      </c>
      <c r="AB318" s="125">
        <v>1032.4860000000001</v>
      </c>
      <c r="AC318" s="127">
        <v>3780</v>
      </c>
      <c r="AD318" s="125">
        <v>956.57</v>
      </c>
      <c r="AE318" s="127">
        <v>3790</v>
      </c>
      <c r="AF318" s="125">
        <v>957.81700000000001</v>
      </c>
      <c r="AG318" s="127">
        <v>3770</v>
      </c>
      <c r="AH318" s="125">
        <v>269.50700000000001</v>
      </c>
      <c r="AI318" s="127">
        <v>3770</v>
      </c>
      <c r="AJ318" s="125">
        <v>281.64100000000002</v>
      </c>
    </row>
    <row r="319" spans="1:36" ht="14.25">
      <c r="A319" s="128">
        <v>3800</v>
      </c>
      <c r="B319" s="124">
        <v>566.12900000000002</v>
      </c>
      <c r="C319" s="128">
        <v>3810</v>
      </c>
      <c r="D319" s="125">
        <v>561.99199999999996</v>
      </c>
      <c r="E319" s="126">
        <v>3800</v>
      </c>
      <c r="F319" s="125">
        <v>1204.5889999999999</v>
      </c>
      <c r="G319" s="127">
        <v>3800</v>
      </c>
      <c r="H319" s="125">
        <v>1203.5519999999999</v>
      </c>
      <c r="I319" s="127">
        <v>3800</v>
      </c>
      <c r="J319" s="125">
        <v>1033.501</v>
      </c>
      <c r="K319" s="127">
        <v>3800</v>
      </c>
      <c r="L319" s="125">
        <v>1033.2460000000001</v>
      </c>
      <c r="M319" s="127">
        <v>3800</v>
      </c>
      <c r="N319" s="125">
        <v>1033.2929999999999</v>
      </c>
      <c r="O319" s="127">
        <v>3780</v>
      </c>
      <c r="P319" s="125">
        <v>1034.461</v>
      </c>
      <c r="Q319" s="127">
        <v>3800</v>
      </c>
      <c r="R319" s="125">
        <v>1034.038</v>
      </c>
      <c r="S319" s="127">
        <v>3800</v>
      </c>
      <c r="T319" s="125">
        <v>1034.538</v>
      </c>
      <c r="U319" s="127">
        <v>3790</v>
      </c>
      <c r="V319" s="125">
        <v>1033.1790000000001</v>
      </c>
      <c r="W319" s="127">
        <v>3800</v>
      </c>
      <c r="X319" s="125">
        <v>1033.001</v>
      </c>
      <c r="Y319" s="127">
        <v>3800</v>
      </c>
      <c r="Z319" s="125">
        <v>1031.557</v>
      </c>
      <c r="AA319" s="127">
        <v>3800</v>
      </c>
      <c r="AB319" s="125">
        <v>1031.2840000000001</v>
      </c>
      <c r="AC319" s="127">
        <v>3790</v>
      </c>
      <c r="AD319" s="125">
        <v>955.36699999999996</v>
      </c>
      <c r="AE319" s="127">
        <v>3800</v>
      </c>
      <c r="AF319" s="125">
        <v>956.61400000000003</v>
      </c>
      <c r="AG319" s="127">
        <v>3780</v>
      </c>
      <c r="AH319" s="125">
        <v>269.113</v>
      </c>
      <c r="AI319" s="127">
        <v>3780</v>
      </c>
      <c r="AJ319" s="125">
        <v>281.233</v>
      </c>
    </row>
    <row r="320" spans="1:36" ht="14.25">
      <c r="A320" s="128">
        <v>3810</v>
      </c>
      <c r="B320" s="124">
        <v>565.33199999999999</v>
      </c>
      <c r="C320" s="128">
        <v>3820</v>
      </c>
      <c r="D320" s="125">
        <v>561.20000000000005</v>
      </c>
      <c r="E320" s="126">
        <v>3810</v>
      </c>
      <c r="F320" s="125">
        <v>1203.0899999999999</v>
      </c>
      <c r="G320" s="127">
        <v>3810</v>
      </c>
      <c r="H320" s="125">
        <v>1202.056</v>
      </c>
      <c r="I320" s="127">
        <v>3810</v>
      </c>
      <c r="J320" s="125">
        <v>1032.2950000000001</v>
      </c>
      <c r="K320" s="127">
        <v>3810</v>
      </c>
      <c r="L320" s="125">
        <v>1032.039</v>
      </c>
      <c r="M320" s="127">
        <v>3810</v>
      </c>
      <c r="N320" s="125">
        <v>1032.086</v>
      </c>
      <c r="O320" s="127">
        <v>3790</v>
      </c>
      <c r="P320" s="125">
        <v>1033.2550000000001</v>
      </c>
      <c r="Q320" s="127">
        <v>3810</v>
      </c>
      <c r="R320" s="125">
        <v>1032.8330000000001</v>
      </c>
      <c r="S320" s="127">
        <v>3810</v>
      </c>
      <c r="T320" s="125">
        <v>1033.3330000000001</v>
      </c>
      <c r="U320" s="127">
        <v>3800</v>
      </c>
      <c r="V320" s="125">
        <v>1031.9760000000001</v>
      </c>
      <c r="W320" s="127">
        <v>3810</v>
      </c>
      <c r="X320" s="125">
        <v>1031.798</v>
      </c>
      <c r="Y320" s="127">
        <v>3810</v>
      </c>
      <c r="Z320" s="125">
        <v>1030.3530000000001</v>
      </c>
      <c r="AA320" s="127">
        <v>3810</v>
      </c>
      <c r="AB320" s="125">
        <v>1030.0820000000001</v>
      </c>
      <c r="AC320" s="127">
        <v>3800</v>
      </c>
      <c r="AD320" s="125">
        <v>954.16300000000001</v>
      </c>
      <c r="AE320" s="127">
        <v>3810</v>
      </c>
      <c r="AF320" s="125">
        <v>955.41200000000003</v>
      </c>
      <c r="AG320" s="127">
        <v>3790</v>
      </c>
      <c r="AH320" s="125">
        <v>268.71899999999999</v>
      </c>
      <c r="AI320" s="127">
        <v>3790</v>
      </c>
      <c r="AJ320" s="125">
        <v>280.82499999999999</v>
      </c>
    </row>
    <row r="321" spans="1:36" ht="14.25">
      <c r="A321" s="128">
        <v>3820</v>
      </c>
      <c r="B321" s="124">
        <v>564.53499999999997</v>
      </c>
      <c r="C321" s="128">
        <v>3830</v>
      </c>
      <c r="D321" s="125">
        <v>560.40899999999999</v>
      </c>
      <c r="E321" s="126">
        <v>3820</v>
      </c>
      <c r="F321" s="125">
        <v>1201.5909999999999</v>
      </c>
      <c r="G321" s="127">
        <v>3820</v>
      </c>
      <c r="H321" s="125">
        <v>1200.56</v>
      </c>
      <c r="I321" s="127">
        <v>3820</v>
      </c>
      <c r="J321" s="125">
        <v>1031.0889999999999</v>
      </c>
      <c r="K321" s="127">
        <v>3820</v>
      </c>
      <c r="L321" s="125">
        <v>1030.8309999999999</v>
      </c>
      <c r="M321" s="127">
        <v>3820</v>
      </c>
      <c r="N321" s="125">
        <v>1030.8800000000001</v>
      </c>
      <c r="O321" s="127">
        <v>3800</v>
      </c>
      <c r="P321" s="125">
        <v>1032.05</v>
      </c>
      <c r="Q321" s="127">
        <v>3820</v>
      </c>
      <c r="R321" s="125">
        <v>1031.626</v>
      </c>
      <c r="S321" s="127">
        <v>3820</v>
      </c>
      <c r="T321" s="125">
        <v>1032.127</v>
      </c>
      <c r="U321" s="127">
        <v>3810</v>
      </c>
      <c r="V321" s="125">
        <v>1030.7729999999999</v>
      </c>
      <c r="W321" s="127">
        <v>3820</v>
      </c>
      <c r="X321" s="125">
        <v>1030.5940000000001</v>
      </c>
      <c r="Y321" s="127">
        <v>3820</v>
      </c>
      <c r="Z321" s="125">
        <v>1029.1489999999999</v>
      </c>
      <c r="AA321" s="127">
        <v>3820</v>
      </c>
      <c r="AB321" s="125">
        <v>1028.8800000000001</v>
      </c>
      <c r="AC321" s="127">
        <v>3810</v>
      </c>
      <c r="AD321" s="125">
        <v>952.95899999999995</v>
      </c>
      <c r="AE321" s="127">
        <v>3820</v>
      </c>
      <c r="AF321" s="125">
        <v>954.20899999999995</v>
      </c>
      <c r="AG321" s="127">
        <v>3800</v>
      </c>
      <c r="AH321" s="125">
        <v>268.32600000000002</v>
      </c>
      <c r="AI321" s="127">
        <v>3800</v>
      </c>
      <c r="AJ321" s="125">
        <v>280.41800000000001</v>
      </c>
    </row>
    <row r="322" spans="1:36" ht="14.25">
      <c r="A322" s="128">
        <v>3830</v>
      </c>
      <c r="B322" s="124">
        <v>563.73699999999997</v>
      </c>
      <c r="C322" s="128">
        <v>3840</v>
      </c>
      <c r="D322" s="125">
        <v>559.61699999999996</v>
      </c>
      <c r="E322" s="126">
        <v>3830</v>
      </c>
      <c r="F322" s="125">
        <v>1200.0909999999999</v>
      </c>
      <c r="G322" s="127">
        <v>3830</v>
      </c>
      <c r="H322" s="125">
        <v>1199.0630000000001</v>
      </c>
      <c r="I322" s="127">
        <v>3830</v>
      </c>
      <c r="J322" s="125">
        <v>1029.8820000000001</v>
      </c>
      <c r="K322" s="127">
        <v>3830</v>
      </c>
      <c r="L322" s="125">
        <v>1029.624</v>
      </c>
      <c r="M322" s="127">
        <v>3830</v>
      </c>
      <c r="N322" s="125">
        <v>1029.674</v>
      </c>
      <c r="O322" s="127">
        <v>3810</v>
      </c>
      <c r="P322" s="125">
        <v>1030.8430000000001</v>
      </c>
      <c r="Q322" s="127">
        <v>3830</v>
      </c>
      <c r="R322" s="125">
        <v>1030.42</v>
      </c>
      <c r="S322" s="127">
        <v>3830</v>
      </c>
      <c r="T322" s="125">
        <v>1030.922</v>
      </c>
      <c r="U322" s="127">
        <v>3820</v>
      </c>
      <c r="V322" s="125">
        <v>1029.569</v>
      </c>
      <c r="W322" s="127">
        <v>3830</v>
      </c>
      <c r="X322" s="125">
        <v>1029.3889999999999</v>
      </c>
      <c r="Y322" s="127">
        <v>3830</v>
      </c>
      <c r="Z322" s="125">
        <v>1027.944</v>
      </c>
      <c r="AA322" s="127">
        <v>3830</v>
      </c>
      <c r="AB322" s="125">
        <v>1027.6769999999999</v>
      </c>
      <c r="AC322" s="127">
        <v>3820</v>
      </c>
      <c r="AD322" s="125">
        <v>951.755</v>
      </c>
      <c r="AE322" s="127">
        <v>3830</v>
      </c>
      <c r="AF322" s="125">
        <v>953.00699999999995</v>
      </c>
      <c r="AG322" s="127">
        <v>3810</v>
      </c>
      <c r="AH322" s="125">
        <v>267.93200000000002</v>
      </c>
      <c r="AI322" s="127">
        <v>3810</v>
      </c>
      <c r="AJ322" s="125">
        <v>280.01</v>
      </c>
    </row>
    <row r="323" spans="1:36" ht="14.25">
      <c r="A323" s="128">
        <v>3840</v>
      </c>
      <c r="B323" s="124">
        <v>562.94000000000005</v>
      </c>
      <c r="C323" s="128">
        <v>3850</v>
      </c>
      <c r="D323" s="125">
        <v>558.82500000000005</v>
      </c>
      <c r="E323" s="126">
        <v>3840</v>
      </c>
      <c r="F323" s="125">
        <v>1198.5909999999999</v>
      </c>
      <c r="G323" s="127">
        <v>3840</v>
      </c>
      <c r="H323" s="125">
        <v>1197.567</v>
      </c>
      <c r="I323" s="127">
        <v>3840</v>
      </c>
      <c r="J323" s="125">
        <v>1028.6759999999999</v>
      </c>
      <c r="K323" s="127">
        <v>3840</v>
      </c>
      <c r="L323" s="125">
        <v>1028.4159999999999</v>
      </c>
      <c r="M323" s="127">
        <v>3840</v>
      </c>
      <c r="N323" s="125">
        <v>1028.4670000000001</v>
      </c>
      <c r="O323" s="127">
        <v>3820</v>
      </c>
      <c r="P323" s="125">
        <v>1029.6369999999999</v>
      </c>
      <c r="Q323" s="127">
        <v>3840</v>
      </c>
      <c r="R323" s="125">
        <v>1029.2139999999999</v>
      </c>
      <c r="S323" s="127">
        <v>3840</v>
      </c>
      <c r="T323" s="125">
        <v>1029.7159999999999</v>
      </c>
      <c r="U323" s="127">
        <v>3830</v>
      </c>
      <c r="V323" s="125">
        <v>1028.365</v>
      </c>
      <c r="W323" s="127">
        <v>3840</v>
      </c>
      <c r="X323" s="125">
        <v>1028.1849999999999</v>
      </c>
      <c r="Y323" s="127">
        <v>3840</v>
      </c>
      <c r="Z323" s="125">
        <v>1026.74</v>
      </c>
      <c r="AA323" s="127">
        <v>3840</v>
      </c>
      <c r="AB323" s="125">
        <v>1026.4739999999999</v>
      </c>
      <c r="AC323" s="127">
        <v>3830</v>
      </c>
      <c r="AD323" s="125">
        <v>950.55100000000004</v>
      </c>
      <c r="AE323" s="127">
        <v>3840</v>
      </c>
      <c r="AF323" s="125">
        <v>951.803</v>
      </c>
      <c r="AG323" s="127">
        <v>3820</v>
      </c>
      <c r="AH323" s="125">
        <v>267.53800000000001</v>
      </c>
      <c r="AI323" s="127">
        <v>3820</v>
      </c>
      <c r="AJ323" s="125">
        <v>279.60199999999998</v>
      </c>
    </row>
    <row r="324" spans="1:36" ht="14.25">
      <c r="A324" s="128">
        <v>3850</v>
      </c>
      <c r="B324" s="124">
        <v>562.14200000000005</v>
      </c>
      <c r="C324" s="128">
        <v>3860</v>
      </c>
      <c r="D324" s="125">
        <v>558.03300000000002</v>
      </c>
      <c r="E324" s="126">
        <v>3850</v>
      </c>
      <c r="F324" s="125">
        <v>1197.0909999999999</v>
      </c>
      <c r="G324" s="127">
        <v>3850</v>
      </c>
      <c r="H324" s="125">
        <v>1196.07</v>
      </c>
      <c r="I324" s="127">
        <v>3850</v>
      </c>
      <c r="J324" s="125">
        <v>1027.4680000000001</v>
      </c>
      <c r="K324" s="127">
        <v>3850</v>
      </c>
      <c r="L324" s="125">
        <v>1027.2080000000001</v>
      </c>
      <c r="M324" s="127">
        <v>3850</v>
      </c>
      <c r="N324" s="125">
        <v>1027.26</v>
      </c>
      <c r="O324" s="127">
        <v>3830</v>
      </c>
      <c r="P324" s="125">
        <v>1028.43</v>
      </c>
      <c r="Q324" s="127">
        <v>3850</v>
      </c>
      <c r="R324" s="125">
        <v>1028.0070000000001</v>
      </c>
      <c r="S324" s="127">
        <v>3850</v>
      </c>
      <c r="T324" s="125">
        <v>1028.51</v>
      </c>
      <c r="U324" s="127">
        <v>3840</v>
      </c>
      <c r="V324" s="125">
        <v>1027.1610000000001</v>
      </c>
      <c r="W324" s="127">
        <v>3850</v>
      </c>
      <c r="X324" s="125">
        <v>1026.98</v>
      </c>
      <c r="Y324" s="127">
        <v>3850</v>
      </c>
      <c r="Z324" s="125">
        <v>1025.5340000000001</v>
      </c>
      <c r="AA324" s="127">
        <v>3850</v>
      </c>
      <c r="AB324" s="125">
        <v>1025.271</v>
      </c>
      <c r="AC324" s="127">
        <v>3840</v>
      </c>
      <c r="AD324" s="125">
        <v>949.346</v>
      </c>
      <c r="AE324" s="127">
        <v>3850</v>
      </c>
      <c r="AF324" s="125">
        <v>950.6</v>
      </c>
      <c r="AG324" s="127">
        <v>3830</v>
      </c>
      <c r="AH324" s="125">
        <v>267.14400000000001</v>
      </c>
      <c r="AI324" s="127">
        <v>3830</v>
      </c>
      <c r="AJ324" s="125">
        <v>279.19400000000002</v>
      </c>
    </row>
    <row r="325" spans="1:36" ht="14.25">
      <c r="A325" s="128">
        <v>3860</v>
      </c>
      <c r="B325" s="124">
        <v>561.34400000000005</v>
      </c>
      <c r="C325" s="128">
        <v>3870</v>
      </c>
      <c r="D325" s="125">
        <v>557.24</v>
      </c>
      <c r="E325" s="126">
        <v>3860</v>
      </c>
      <c r="F325" s="125">
        <v>1195.5909999999999</v>
      </c>
      <c r="G325" s="127">
        <v>3860</v>
      </c>
      <c r="H325" s="125">
        <v>1194.5719999999999</v>
      </c>
      <c r="I325" s="127">
        <v>3860</v>
      </c>
      <c r="J325" s="125">
        <v>1026.261</v>
      </c>
      <c r="K325" s="127">
        <v>3860</v>
      </c>
      <c r="L325" s="125">
        <v>1026</v>
      </c>
      <c r="M325" s="127">
        <v>3860</v>
      </c>
      <c r="N325" s="125">
        <v>1026.0519999999999</v>
      </c>
      <c r="O325" s="127">
        <v>3840</v>
      </c>
      <c r="P325" s="125">
        <v>1027.2239999999999</v>
      </c>
      <c r="Q325" s="127">
        <v>3860</v>
      </c>
      <c r="R325" s="125">
        <v>1026.8</v>
      </c>
      <c r="S325" s="127">
        <v>3860</v>
      </c>
      <c r="T325" s="125">
        <v>1027.3030000000001</v>
      </c>
      <c r="U325" s="127">
        <v>3850</v>
      </c>
      <c r="V325" s="125">
        <v>1025.9570000000001</v>
      </c>
      <c r="W325" s="127">
        <v>3860</v>
      </c>
      <c r="X325" s="125">
        <v>1025.7750000000001</v>
      </c>
      <c r="Y325" s="127">
        <v>3860</v>
      </c>
      <c r="Z325" s="125">
        <v>1024.329</v>
      </c>
      <c r="AA325" s="127">
        <v>3860</v>
      </c>
      <c r="AB325" s="125">
        <v>1024.067</v>
      </c>
      <c r="AC325" s="127">
        <v>3850</v>
      </c>
      <c r="AD325" s="125">
        <v>948.14200000000005</v>
      </c>
      <c r="AE325" s="127">
        <v>3860</v>
      </c>
      <c r="AF325" s="125">
        <v>949.39700000000005</v>
      </c>
      <c r="AG325" s="127">
        <v>3840</v>
      </c>
      <c r="AH325" s="125">
        <v>266.74900000000002</v>
      </c>
      <c r="AI325" s="127">
        <v>3840</v>
      </c>
      <c r="AJ325" s="125">
        <v>278.786</v>
      </c>
    </row>
    <row r="326" spans="1:36" ht="14.25">
      <c r="A326" s="128">
        <v>3870</v>
      </c>
      <c r="B326" s="124">
        <v>560.54600000000005</v>
      </c>
      <c r="C326" s="128">
        <v>3880</v>
      </c>
      <c r="D326" s="125">
        <v>556.44799999999998</v>
      </c>
      <c r="E326" s="126">
        <v>3870</v>
      </c>
      <c r="F326" s="125">
        <v>1194.0899999999999</v>
      </c>
      <c r="G326" s="127">
        <v>3870</v>
      </c>
      <c r="H326" s="125">
        <v>1193.0740000000001</v>
      </c>
      <c r="I326" s="127">
        <v>3870</v>
      </c>
      <c r="J326" s="125">
        <v>1025.0540000000001</v>
      </c>
      <c r="K326" s="127">
        <v>3870</v>
      </c>
      <c r="L326" s="125">
        <v>1024.7919999999999</v>
      </c>
      <c r="M326" s="127">
        <v>3870</v>
      </c>
      <c r="N326" s="125">
        <v>1024.845</v>
      </c>
      <c r="O326" s="127">
        <v>3850</v>
      </c>
      <c r="P326" s="125">
        <v>1026.0170000000001</v>
      </c>
      <c r="Q326" s="127">
        <v>3870</v>
      </c>
      <c r="R326" s="125">
        <v>1025.5930000000001</v>
      </c>
      <c r="S326" s="127">
        <v>3870</v>
      </c>
      <c r="T326" s="125">
        <v>1026.096</v>
      </c>
      <c r="U326" s="127">
        <v>3860</v>
      </c>
      <c r="V326" s="125">
        <v>1024.752</v>
      </c>
      <c r="W326" s="127">
        <v>3870</v>
      </c>
      <c r="X326" s="125">
        <v>1024.57</v>
      </c>
      <c r="Y326" s="127">
        <v>3870</v>
      </c>
      <c r="Z326" s="125">
        <v>1023.124</v>
      </c>
      <c r="AA326" s="127">
        <v>3870</v>
      </c>
      <c r="AB326" s="125">
        <v>1022.864</v>
      </c>
      <c r="AC326" s="127">
        <v>3860</v>
      </c>
      <c r="AD326" s="125">
        <v>946.93700000000001</v>
      </c>
      <c r="AE326" s="127">
        <v>3870</v>
      </c>
      <c r="AF326" s="125">
        <v>948.19299999999998</v>
      </c>
      <c r="AG326" s="127">
        <v>3850</v>
      </c>
      <c r="AH326" s="125">
        <v>266.35500000000002</v>
      </c>
      <c r="AI326" s="127">
        <v>3850</v>
      </c>
      <c r="AJ326" s="125">
        <v>278.37700000000001</v>
      </c>
    </row>
    <row r="327" spans="1:36" ht="14.25">
      <c r="A327" s="128">
        <v>3880</v>
      </c>
      <c r="B327" s="124">
        <v>559.74800000000005</v>
      </c>
      <c r="C327" s="128">
        <v>3890</v>
      </c>
      <c r="D327" s="125">
        <v>555.65499999999997</v>
      </c>
      <c r="E327" s="126">
        <v>3880</v>
      </c>
      <c r="F327" s="125">
        <v>1192.5889999999999</v>
      </c>
      <c r="G327" s="127">
        <v>3880</v>
      </c>
      <c r="H327" s="125">
        <v>1191.576</v>
      </c>
      <c r="I327" s="127">
        <v>3880</v>
      </c>
      <c r="J327" s="125">
        <v>1023.846</v>
      </c>
      <c r="K327" s="127">
        <v>3880</v>
      </c>
      <c r="L327" s="125">
        <v>1023.583</v>
      </c>
      <c r="M327" s="127">
        <v>3880</v>
      </c>
      <c r="N327" s="125">
        <v>1023.6369999999999</v>
      </c>
      <c r="O327" s="127">
        <v>3860</v>
      </c>
      <c r="P327" s="125">
        <v>1024.809</v>
      </c>
      <c r="Q327" s="127">
        <v>3880</v>
      </c>
      <c r="R327" s="125">
        <v>1024.385</v>
      </c>
      <c r="S327" s="127">
        <v>3880</v>
      </c>
      <c r="T327" s="125">
        <v>1024.8900000000001</v>
      </c>
      <c r="U327" s="127">
        <v>3870</v>
      </c>
      <c r="V327" s="125">
        <v>1023.547</v>
      </c>
      <c r="W327" s="127">
        <v>3880</v>
      </c>
      <c r="X327" s="125">
        <v>1023.364</v>
      </c>
      <c r="Y327" s="127">
        <v>3880</v>
      </c>
      <c r="Z327" s="125">
        <v>1021.918</v>
      </c>
      <c r="AA327" s="127">
        <v>3880</v>
      </c>
      <c r="AB327" s="125">
        <v>1021.66</v>
      </c>
      <c r="AC327" s="127">
        <v>3870</v>
      </c>
      <c r="AD327" s="125">
        <v>945.73099999999999</v>
      </c>
      <c r="AE327" s="127">
        <v>3880</v>
      </c>
      <c r="AF327" s="125">
        <v>946.98900000000003</v>
      </c>
      <c r="AG327" s="127">
        <v>3860</v>
      </c>
      <c r="AH327" s="125">
        <v>265.96100000000001</v>
      </c>
      <c r="AI327" s="127">
        <v>3860</v>
      </c>
      <c r="AJ327" s="125">
        <v>277.96899999999999</v>
      </c>
    </row>
    <row r="328" spans="1:36" ht="14.25">
      <c r="A328" s="128">
        <v>3890</v>
      </c>
      <c r="B328" s="124">
        <v>558.95000000000005</v>
      </c>
      <c r="C328" s="128">
        <v>3900</v>
      </c>
      <c r="D328" s="125">
        <v>554.86300000000006</v>
      </c>
      <c r="E328" s="126">
        <v>3890</v>
      </c>
      <c r="F328" s="125">
        <v>1191.088</v>
      </c>
      <c r="G328" s="127">
        <v>3890</v>
      </c>
      <c r="H328" s="125">
        <v>1190.078</v>
      </c>
      <c r="I328" s="127">
        <v>3890</v>
      </c>
      <c r="J328" s="125">
        <v>1022.638</v>
      </c>
      <c r="K328" s="127">
        <v>3890</v>
      </c>
      <c r="L328" s="125">
        <v>1022.374</v>
      </c>
      <c r="M328" s="127">
        <v>3890</v>
      </c>
      <c r="N328" s="125">
        <v>1022.429</v>
      </c>
      <c r="O328" s="127">
        <v>3870</v>
      </c>
      <c r="P328" s="125">
        <v>1023.602</v>
      </c>
      <c r="Q328" s="127">
        <v>3890</v>
      </c>
      <c r="R328" s="125">
        <v>1023.178</v>
      </c>
      <c r="S328" s="127">
        <v>3890</v>
      </c>
      <c r="T328" s="125">
        <v>1023.682</v>
      </c>
      <c r="U328" s="127">
        <v>3880</v>
      </c>
      <c r="V328" s="125">
        <v>1022.342</v>
      </c>
      <c r="W328" s="127">
        <v>3890</v>
      </c>
      <c r="X328" s="125">
        <v>1022.159</v>
      </c>
      <c r="Y328" s="127">
        <v>3890</v>
      </c>
      <c r="Z328" s="125">
        <v>1020.712</v>
      </c>
      <c r="AA328" s="127">
        <v>3890</v>
      </c>
      <c r="AB328" s="125">
        <v>1020.456</v>
      </c>
      <c r="AC328" s="127">
        <v>3880</v>
      </c>
      <c r="AD328" s="125">
        <v>944.52599999999995</v>
      </c>
      <c r="AE328" s="127">
        <v>3890</v>
      </c>
      <c r="AF328" s="125">
        <v>945.78399999999999</v>
      </c>
      <c r="AG328" s="127">
        <v>3870</v>
      </c>
      <c r="AH328" s="125">
        <v>265.56700000000001</v>
      </c>
      <c r="AI328" s="127">
        <v>3870</v>
      </c>
      <c r="AJ328" s="125">
        <v>277.56099999999998</v>
      </c>
    </row>
    <row r="329" spans="1:36" ht="14.25">
      <c r="A329" s="128">
        <v>3900</v>
      </c>
      <c r="B329" s="124">
        <v>558.15099999999995</v>
      </c>
      <c r="C329" s="128">
        <v>3910</v>
      </c>
      <c r="D329" s="125">
        <v>554.07000000000005</v>
      </c>
      <c r="E329" s="126">
        <v>3900</v>
      </c>
      <c r="F329" s="125">
        <v>1189.586</v>
      </c>
      <c r="G329" s="127">
        <v>3900</v>
      </c>
      <c r="H329" s="125">
        <v>1188.579</v>
      </c>
      <c r="I329" s="127">
        <v>3900</v>
      </c>
      <c r="J329" s="125">
        <v>1021.43</v>
      </c>
      <c r="K329" s="127">
        <v>3900</v>
      </c>
      <c r="L329" s="125">
        <v>1021.165</v>
      </c>
      <c r="M329" s="127">
        <v>3900</v>
      </c>
      <c r="N329" s="125">
        <v>1021.221</v>
      </c>
      <c r="O329" s="127">
        <v>3880</v>
      </c>
      <c r="P329" s="125">
        <v>1022.394</v>
      </c>
      <c r="Q329" s="127">
        <v>3900</v>
      </c>
      <c r="R329" s="125">
        <v>1021.97</v>
      </c>
      <c r="S329" s="127">
        <v>3900</v>
      </c>
      <c r="T329" s="125">
        <v>1022.475</v>
      </c>
      <c r="U329" s="127">
        <v>3890</v>
      </c>
      <c r="V329" s="125">
        <v>1021.1369999999999</v>
      </c>
      <c r="W329" s="127">
        <v>3900</v>
      </c>
      <c r="X329" s="125">
        <v>1020.953</v>
      </c>
      <c r="Y329" s="127">
        <v>3900</v>
      </c>
      <c r="Z329" s="125">
        <v>1019.505</v>
      </c>
      <c r="AA329" s="127">
        <v>3900</v>
      </c>
      <c r="AB329" s="125">
        <v>1019.251</v>
      </c>
      <c r="AC329" s="127">
        <v>3890</v>
      </c>
      <c r="AD329" s="125">
        <v>943.32</v>
      </c>
      <c r="AE329" s="127">
        <v>3900</v>
      </c>
      <c r="AF329" s="125">
        <v>944.58</v>
      </c>
      <c r="AG329" s="127">
        <v>3880</v>
      </c>
      <c r="AH329" s="125">
        <v>265.17200000000003</v>
      </c>
      <c r="AI329" s="127">
        <v>3880</v>
      </c>
      <c r="AJ329" s="125">
        <v>277.15199999999999</v>
      </c>
    </row>
    <row r="330" spans="1:36" ht="14.25">
      <c r="A330" s="128">
        <v>3910</v>
      </c>
      <c r="B330" s="124">
        <v>557.35299999999995</v>
      </c>
      <c r="C330" s="128">
        <v>3920</v>
      </c>
      <c r="D330" s="125">
        <v>553.27599999999995</v>
      </c>
      <c r="E330" s="126">
        <v>3910</v>
      </c>
      <c r="F330" s="125">
        <v>1188.0840000000001</v>
      </c>
      <c r="G330" s="127">
        <v>3910</v>
      </c>
      <c r="H330" s="125">
        <v>1187.0809999999999</v>
      </c>
      <c r="I330" s="127">
        <v>3910</v>
      </c>
      <c r="J330" s="125">
        <v>1020.221</v>
      </c>
      <c r="K330" s="127">
        <v>3910</v>
      </c>
      <c r="L330" s="125">
        <v>1019.956</v>
      </c>
      <c r="M330" s="127">
        <v>3910</v>
      </c>
      <c r="N330" s="125">
        <v>1020.0119999999999</v>
      </c>
      <c r="O330" s="127">
        <v>3890</v>
      </c>
      <c r="P330" s="125">
        <v>1021.186</v>
      </c>
      <c r="Q330" s="127">
        <v>3910</v>
      </c>
      <c r="R330" s="125">
        <v>1020.7619999999999</v>
      </c>
      <c r="S330" s="127">
        <v>3910</v>
      </c>
      <c r="T330" s="125">
        <v>1021.2670000000001</v>
      </c>
      <c r="U330" s="127">
        <v>3900</v>
      </c>
      <c r="V330" s="125">
        <v>1019.931</v>
      </c>
      <c r="W330" s="127">
        <v>3910</v>
      </c>
      <c r="X330" s="125">
        <v>1019.746</v>
      </c>
      <c r="Y330" s="127">
        <v>3910</v>
      </c>
      <c r="Z330" s="125">
        <v>1018.299</v>
      </c>
      <c r="AA330" s="127">
        <v>3910</v>
      </c>
      <c r="AB330" s="125">
        <v>1018.047</v>
      </c>
      <c r="AC330" s="127">
        <v>3900</v>
      </c>
      <c r="AD330" s="125">
        <v>942.11400000000003</v>
      </c>
      <c r="AE330" s="127">
        <v>3910</v>
      </c>
      <c r="AF330" s="125">
        <v>943.375</v>
      </c>
      <c r="AG330" s="127">
        <v>3890</v>
      </c>
      <c r="AH330" s="125">
        <v>264.77699999999999</v>
      </c>
      <c r="AI330" s="127">
        <v>3890</v>
      </c>
      <c r="AJ330" s="125">
        <v>276.74299999999999</v>
      </c>
    </row>
    <row r="331" spans="1:36" ht="14.25">
      <c r="A331" s="128">
        <v>3920</v>
      </c>
      <c r="B331" s="124">
        <v>556.55399999999997</v>
      </c>
      <c r="C331" s="128">
        <v>3930</v>
      </c>
      <c r="D331" s="125">
        <v>552.48299999999995</v>
      </c>
      <c r="E331" s="126">
        <v>3920</v>
      </c>
      <c r="F331" s="125">
        <v>1186.5820000000001</v>
      </c>
      <c r="G331" s="127">
        <v>3920</v>
      </c>
      <c r="H331" s="125">
        <v>1185.5809999999999</v>
      </c>
      <c r="I331" s="127">
        <v>3920</v>
      </c>
      <c r="J331" s="125">
        <v>1019.013</v>
      </c>
      <c r="K331" s="127">
        <v>3920</v>
      </c>
      <c r="L331" s="125">
        <v>1018.746</v>
      </c>
      <c r="M331" s="127">
        <v>3920</v>
      </c>
      <c r="N331" s="125">
        <v>1018.803</v>
      </c>
      <c r="O331" s="127">
        <v>3900</v>
      </c>
      <c r="P331" s="125">
        <v>1019.978</v>
      </c>
      <c r="Q331" s="127">
        <v>3920</v>
      </c>
      <c r="R331" s="125">
        <v>1019.553</v>
      </c>
      <c r="S331" s="127">
        <v>3920</v>
      </c>
      <c r="T331" s="125">
        <v>1020.059</v>
      </c>
      <c r="U331" s="127">
        <v>3910</v>
      </c>
      <c r="V331" s="125">
        <v>1018.725</v>
      </c>
      <c r="W331" s="127">
        <v>3920</v>
      </c>
      <c r="X331" s="125">
        <v>1018.54</v>
      </c>
      <c r="Y331" s="127">
        <v>3920</v>
      </c>
      <c r="Z331" s="125">
        <v>1017.092</v>
      </c>
      <c r="AA331" s="127">
        <v>3920</v>
      </c>
      <c r="AB331" s="125">
        <v>1016.842</v>
      </c>
      <c r="AC331" s="127">
        <v>3910</v>
      </c>
      <c r="AD331" s="125">
        <v>940.90800000000002</v>
      </c>
      <c r="AE331" s="127">
        <v>3920</v>
      </c>
      <c r="AF331" s="125">
        <v>942.17</v>
      </c>
      <c r="AG331" s="127">
        <v>3900</v>
      </c>
      <c r="AH331" s="125">
        <v>264.38299999999998</v>
      </c>
      <c r="AI331" s="127">
        <v>3900</v>
      </c>
      <c r="AJ331" s="125">
        <v>276.33499999999998</v>
      </c>
    </row>
    <row r="332" spans="1:36" ht="14.25">
      <c r="A332" s="128">
        <v>3930</v>
      </c>
      <c r="B332" s="124">
        <v>555.755</v>
      </c>
      <c r="C332" s="128">
        <v>3940</v>
      </c>
      <c r="D332" s="125">
        <v>551.69000000000005</v>
      </c>
      <c r="E332" s="126">
        <v>3930</v>
      </c>
      <c r="F332" s="125">
        <v>1185.079</v>
      </c>
      <c r="G332" s="127">
        <v>3930</v>
      </c>
      <c r="H332" s="125">
        <v>1184.0820000000001</v>
      </c>
      <c r="I332" s="127">
        <v>3930</v>
      </c>
      <c r="J332" s="125">
        <v>1017.804</v>
      </c>
      <c r="K332" s="127">
        <v>3930</v>
      </c>
      <c r="L332" s="125">
        <v>1017.5359999999999</v>
      </c>
      <c r="M332" s="127">
        <v>3930</v>
      </c>
      <c r="N332" s="125">
        <v>1017.5940000000001</v>
      </c>
      <c r="O332" s="127">
        <v>3910</v>
      </c>
      <c r="P332" s="125">
        <v>1018.769</v>
      </c>
      <c r="Q332" s="127">
        <v>3930</v>
      </c>
      <c r="R332" s="125">
        <v>1018.345</v>
      </c>
      <c r="S332" s="127">
        <v>3930</v>
      </c>
      <c r="T332" s="125">
        <v>1018.851</v>
      </c>
      <c r="U332" s="127">
        <v>3920</v>
      </c>
      <c r="V332" s="125">
        <v>1017.519</v>
      </c>
      <c r="W332" s="127">
        <v>3930</v>
      </c>
      <c r="X332" s="125">
        <v>1017.333</v>
      </c>
      <c r="Y332" s="127">
        <v>3930</v>
      </c>
      <c r="Z332" s="125">
        <v>1015.885</v>
      </c>
      <c r="AA332" s="127">
        <v>3930</v>
      </c>
      <c r="AB332" s="125">
        <v>1015.636</v>
      </c>
      <c r="AC332" s="127">
        <v>3920</v>
      </c>
      <c r="AD332" s="125">
        <v>939.70100000000002</v>
      </c>
      <c r="AE332" s="127">
        <v>3930</v>
      </c>
      <c r="AF332" s="125">
        <v>940.96500000000003</v>
      </c>
      <c r="AG332" s="127">
        <v>3910</v>
      </c>
      <c r="AH332" s="125">
        <v>263.988</v>
      </c>
      <c r="AI332" s="127">
        <v>3910</v>
      </c>
      <c r="AJ332" s="125">
        <v>275.92599999999999</v>
      </c>
    </row>
    <row r="333" spans="1:36" ht="14.25">
      <c r="A333" s="128">
        <v>3940</v>
      </c>
      <c r="B333" s="124">
        <v>554.95600000000002</v>
      </c>
      <c r="C333" s="128">
        <v>3950</v>
      </c>
      <c r="D333" s="125">
        <v>550.89599999999996</v>
      </c>
      <c r="E333" s="126">
        <v>3940</v>
      </c>
      <c r="F333" s="125">
        <v>1183.577</v>
      </c>
      <c r="G333" s="127">
        <v>3940</v>
      </c>
      <c r="H333" s="125">
        <v>1182.5820000000001</v>
      </c>
      <c r="I333" s="127">
        <v>3940</v>
      </c>
      <c r="J333" s="125">
        <v>1016.595</v>
      </c>
      <c r="K333" s="127">
        <v>3940</v>
      </c>
      <c r="L333" s="125">
        <v>1016.326</v>
      </c>
      <c r="M333" s="127">
        <v>3940</v>
      </c>
      <c r="N333" s="125">
        <v>1016.385</v>
      </c>
      <c r="O333" s="127">
        <v>3920</v>
      </c>
      <c r="P333" s="125">
        <v>1017.56</v>
      </c>
      <c r="Q333" s="127">
        <v>3940</v>
      </c>
      <c r="R333" s="125">
        <v>1017.136</v>
      </c>
      <c r="S333" s="127">
        <v>3940</v>
      </c>
      <c r="T333" s="125">
        <v>1017.643</v>
      </c>
      <c r="U333" s="127">
        <v>3930</v>
      </c>
      <c r="V333" s="125">
        <v>1016.313</v>
      </c>
      <c r="W333" s="127">
        <v>3940</v>
      </c>
      <c r="X333" s="125">
        <v>1016.126</v>
      </c>
      <c r="Y333" s="127">
        <v>3940</v>
      </c>
      <c r="Z333" s="125">
        <v>1014.678</v>
      </c>
      <c r="AA333" s="127">
        <v>3940</v>
      </c>
      <c r="AB333" s="125">
        <v>1014.431</v>
      </c>
      <c r="AC333" s="127">
        <v>3930</v>
      </c>
      <c r="AD333" s="125">
        <v>938.495</v>
      </c>
      <c r="AE333" s="127">
        <v>3940</v>
      </c>
      <c r="AF333" s="125">
        <v>939.75900000000001</v>
      </c>
      <c r="AG333" s="127">
        <v>3920</v>
      </c>
      <c r="AH333" s="125">
        <v>263.59300000000002</v>
      </c>
      <c r="AI333" s="127">
        <v>3920</v>
      </c>
      <c r="AJ333" s="125">
        <v>275.517</v>
      </c>
    </row>
    <row r="334" spans="1:36" ht="14.25">
      <c r="A334" s="128">
        <v>3950</v>
      </c>
      <c r="B334" s="124">
        <v>554.15599999999995</v>
      </c>
      <c r="C334" s="128">
        <v>3960</v>
      </c>
      <c r="D334" s="125">
        <v>550.10199999999998</v>
      </c>
      <c r="E334" s="126">
        <v>3950</v>
      </c>
      <c r="F334" s="125">
        <v>1182.0740000000001</v>
      </c>
      <c r="G334" s="127">
        <v>3950</v>
      </c>
      <c r="H334" s="125">
        <v>1181.0820000000001</v>
      </c>
      <c r="I334" s="127">
        <v>3950</v>
      </c>
      <c r="J334" s="125">
        <v>1015.385</v>
      </c>
      <c r="K334" s="127">
        <v>3950</v>
      </c>
      <c r="L334" s="125">
        <v>1015.116</v>
      </c>
      <c r="M334" s="127">
        <v>3950</v>
      </c>
      <c r="N334" s="125">
        <v>1015.176</v>
      </c>
      <c r="O334" s="127">
        <v>3930</v>
      </c>
      <c r="P334" s="125">
        <v>1016.351</v>
      </c>
      <c r="Q334" s="127">
        <v>3950</v>
      </c>
      <c r="R334" s="125">
        <v>1015.926</v>
      </c>
      <c r="S334" s="127">
        <v>3950</v>
      </c>
      <c r="T334" s="125">
        <v>1016.434</v>
      </c>
      <c r="U334" s="127">
        <v>3940</v>
      </c>
      <c r="V334" s="125">
        <v>1015.106</v>
      </c>
      <c r="W334" s="127">
        <v>3950</v>
      </c>
      <c r="X334" s="125">
        <v>1014.919</v>
      </c>
      <c r="Y334" s="127">
        <v>3950</v>
      </c>
      <c r="Z334" s="125">
        <v>1013.47</v>
      </c>
      <c r="AA334" s="127">
        <v>3950</v>
      </c>
      <c r="AB334" s="125">
        <v>1013.225</v>
      </c>
      <c r="AC334" s="127">
        <v>3940</v>
      </c>
      <c r="AD334" s="125">
        <v>937.28800000000001</v>
      </c>
      <c r="AE334" s="127">
        <v>3950</v>
      </c>
      <c r="AF334" s="125">
        <v>938.553</v>
      </c>
      <c r="AG334" s="127">
        <v>3930</v>
      </c>
      <c r="AH334" s="125">
        <v>263.19799999999998</v>
      </c>
      <c r="AI334" s="127">
        <v>3930</v>
      </c>
      <c r="AJ334" s="125">
        <v>275.108</v>
      </c>
    </row>
    <row r="335" spans="1:36" ht="14.25">
      <c r="A335" s="128">
        <v>3960</v>
      </c>
      <c r="B335" s="124">
        <v>553.35699999999997</v>
      </c>
      <c r="C335" s="128">
        <v>3970</v>
      </c>
      <c r="D335" s="125">
        <v>549.30799999999999</v>
      </c>
      <c r="E335" s="126">
        <v>3960</v>
      </c>
      <c r="F335" s="125">
        <v>1180.57</v>
      </c>
      <c r="G335" s="127">
        <v>3960</v>
      </c>
      <c r="H335" s="125">
        <v>1179.5809999999999</v>
      </c>
      <c r="I335" s="127">
        <v>3960</v>
      </c>
      <c r="J335" s="125">
        <v>1014.176</v>
      </c>
      <c r="K335" s="127">
        <v>3960</v>
      </c>
      <c r="L335" s="125">
        <v>1013.905</v>
      </c>
      <c r="M335" s="127">
        <v>3960</v>
      </c>
      <c r="N335" s="125">
        <v>1013.966</v>
      </c>
      <c r="O335" s="127">
        <v>3940</v>
      </c>
      <c r="P335" s="125">
        <v>1015.1420000000001</v>
      </c>
      <c r="Q335" s="127">
        <v>3960</v>
      </c>
      <c r="R335" s="125">
        <v>1014.717</v>
      </c>
      <c r="S335" s="127">
        <v>3960</v>
      </c>
      <c r="T335" s="125">
        <v>1015.225</v>
      </c>
      <c r="U335" s="127">
        <v>3950</v>
      </c>
      <c r="V335" s="125">
        <v>1013.899</v>
      </c>
      <c r="W335" s="127">
        <v>3960</v>
      </c>
      <c r="X335" s="125">
        <v>1013.712</v>
      </c>
      <c r="Y335" s="127">
        <v>3960</v>
      </c>
      <c r="Z335" s="125">
        <v>1012.263</v>
      </c>
      <c r="AA335" s="127">
        <v>3960</v>
      </c>
      <c r="AB335" s="125">
        <v>1012.02</v>
      </c>
      <c r="AC335" s="127">
        <v>3950</v>
      </c>
      <c r="AD335" s="125">
        <v>936.08</v>
      </c>
      <c r="AE335" s="127">
        <v>3960</v>
      </c>
      <c r="AF335" s="125">
        <v>937.34699999999998</v>
      </c>
      <c r="AG335" s="127">
        <v>3940</v>
      </c>
      <c r="AH335" s="125">
        <v>262.803</v>
      </c>
      <c r="AI335" s="127">
        <v>3940</v>
      </c>
      <c r="AJ335" s="125">
        <v>274.69900000000001</v>
      </c>
    </row>
    <row r="336" spans="1:36" ht="14.25">
      <c r="A336" s="128">
        <v>3970</v>
      </c>
      <c r="B336" s="124">
        <v>552.55700000000002</v>
      </c>
      <c r="C336" s="128">
        <v>3980</v>
      </c>
      <c r="D336" s="132">
        <v>548.51400000000001</v>
      </c>
      <c r="E336" s="126">
        <v>3970</v>
      </c>
      <c r="F336" s="125">
        <v>1179.066</v>
      </c>
      <c r="G336" s="127">
        <v>3970</v>
      </c>
      <c r="H336" s="125">
        <v>1178.0809999999999</v>
      </c>
      <c r="I336" s="127">
        <v>3970</v>
      </c>
      <c r="J336" s="125">
        <v>1012.966</v>
      </c>
      <c r="K336" s="127">
        <v>3970</v>
      </c>
      <c r="L336" s="125">
        <v>1012.694</v>
      </c>
      <c r="M336" s="127">
        <v>3970</v>
      </c>
      <c r="N336" s="125">
        <v>1012.756</v>
      </c>
      <c r="O336" s="127">
        <v>3950</v>
      </c>
      <c r="P336" s="125">
        <v>1013.933</v>
      </c>
      <c r="Q336" s="127">
        <v>3970</v>
      </c>
      <c r="R336" s="125">
        <v>1013.5069999999999</v>
      </c>
      <c r="S336" s="127">
        <v>3970</v>
      </c>
      <c r="T336" s="125">
        <v>1014.016</v>
      </c>
      <c r="U336" s="127">
        <v>3960</v>
      </c>
      <c r="V336" s="125">
        <v>1012.692</v>
      </c>
      <c r="W336" s="127">
        <v>3970</v>
      </c>
      <c r="X336" s="125">
        <v>1012.504</v>
      </c>
      <c r="Y336" s="127">
        <v>3970</v>
      </c>
      <c r="Z336" s="125">
        <v>1011.0549999999999</v>
      </c>
      <c r="AA336" s="127">
        <v>3970</v>
      </c>
      <c r="AB336" s="125">
        <v>1010.813</v>
      </c>
      <c r="AC336" s="127">
        <v>3960</v>
      </c>
      <c r="AD336" s="125">
        <v>934.87300000000005</v>
      </c>
      <c r="AE336" s="127">
        <v>3970</v>
      </c>
      <c r="AF336" s="125">
        <v>936.14099999999996</v>
      </c>
      <c r="AG336" s="127">
        <v>3950</v>
      </c>
      <c r="AH336" s="125">
        <v>262.40800000000002</v>
      </c>
      <c r="AI336" s="127">
        <v>3950</v>
      </c>
      <c r="AJ336" s="125">
        <v>274.29000000000002</v>
      </c>
    </row>
    <row r="337" spans="1:36" ht="14.25">
      <c r="A337" s="128">
        <v>3980</v>
      </c>
      <c r="B337" s="124">
        <v>551.75699999999995</v>
      </c>
      <c r="C337" s="128">
        <v>3990</v>
      </c>
      <c r="D337" s="125">
        <v>547.71900000000005</v>
      </c>
      <c r="E337" s="126">
        <v>3980</v>
      </c>
      <c r="F337" s="125">
        <v>1177.5619999999999</v>
      </c>
      <c r="G337" s="127">
        <v>3980</v>
      </c>
      <c r="H337" s="125">
        <v>1176.58</v>
      </c>
      <c r="I337" s="127">
        <v>3980</v>
      </c>
      <c r="J337" s="125">
        <v>1011.756</v>
      </c>
      <c r="K337" s="127">
        <v>3980</v>
      </c>
      <c r="L337" s="125">
        <v>1011.4829999999999</v>
      </c>
      <c r="M337" s="127">
        <v>3980</v>
      </c>
      <c r="N337" s="125">
        <v>1011.546</v>
      </c>
      <c r="O337" s="127">
        <v>3960</v>
      </c>
      <c r="P337" s="125">
        <v>1012.723</v>
      </c>
      <c r="Q337" s="127">
        <v>3980</v>
      </c>
      <c r="R337" s="125">
        <v>1012.298</v>
      </c>
      <c r="S337" s="127">
        <v>3980</v>
      </c>
      <c r="T337" s="125">
        <v>1012.807</v>
      </c>
      <c r="U337" s="127">
        <v>3970</v>
      </c>
      <c r="V337" s="125">
        <v>1011.485</v>
      </c>
      <c r="W337" s="127">
        <v>3980</v>
      </c>
      <c r="X337" s="125">
        <v>1011.296</v>
      </c>
      <c r="Y337" s="127">
        <v>3980</v>
      </c>
      <c r="Z337" s="125">
        <v>1009.846</v>
      </c>
      <c r="AA337" s="127">
        <v>3980</v>
      </c>
      <c r="AB337" s="125">
        <v>1009.607</v>
      </c>
      <c r="AC337" s="127">
        <v>3970</v>
      </c>
      <c r="AD337" s="125">
        <v>933.66499999999996</v>
      </c>
      <c r="AE337" s="127">
        <v>3980</v>
      </c>
      <c r="AF337" s="125">
        <v>934.93499999999995</v>
      </c>
      <c r="AG337" s="127">
        <v>3960</v>
      </c>
      <c r="AH337" s="125">
        <v>262.01299999999998</v>
      </c>
      <c r="AI337" s="127">
        <v>3960</v>
      </c>
      <c r="AJ337" s="125">
        <v>273.88</v>
      </c>
    </row>
    <row r="338" spans="1:36" ht="14.25">
      <c r="A338" s="128">
        <v>3990</v>
      </c>
      <c r="B338" s="124">
        <v>550.95699999999999</v>
      </c>
      <c r="C338" s="128">
        <v>4000</v>
      </c>
      <c r="D338" s="125">
        <v>546.92499999999995</v>
      </c>
      <c r="E338" s="126">
        <v>3990</v>
      </c>
      <c r="F338" s="125">
        <v>1176.058</v>
      </c>
      <c r="G338" s="127">
        <v>3990</v>
      </c>
      <c r="H338" s="125">
        <v>1175.078</v>
      </c>
      <c r="I338" s="127">
        <v>3990</v>
      </c>
      <c r="J338" s="125">
        <v>1010.545</v>
      </c>
      <c r="K338" s="127">
        <v>3990</v>
      </c>
      <c r="L338" s="125">
        <v>1010.272</v>
      </c>
      <c r="M338" s="127">
        <v>3990</v>
      </c>
      <c r="N338" s="125">
        <v>1010.335</v>
      </c>
      <c r="O338" s="127">
        <v>3970</v>
      </c>
      <c r="P338" s="125">
        <v>1011.513</v>
      </c>
      <c r="Q338" s="127">
        <v>3990</v>
      </c>
      <c r="R338" s="125">
        <v>1011.087</v>
      </c>
      <c r="S338" s="127">
        <v>3990</v>
      </c>
      <c r="T338" s="125">
        <v>1011.597</v>
      </c>
      <c r="U338" s="127">
        <v>3980</v>
      </c>
      <c r="V338" s="125">
        <v>1010.277</v>
      </c>
      <c r="W338" s="127">
        <v>3990</v>
      </c>
      <c r="X338" s="125">
        <v>1010.088</v>
      </c>
      <c r="Y338" s="127">
        <v>3990</v>
      </c>
      <c r="Z338" s="125">
        <v>1008.638</v>
      </c>
      <c r="AA338" s="127">
        <v>3990</v>
      </c>
      <c r="AB338" s="125">
        <v>1008.401</v>
      </c>
      <c r="AC338" s="127">
        <v>3980</v>
      </c>
      <c r="AD338" s="125">
        <v>932.45699999999999</v>
      </c>
      <c r="AE338" s="127">
        <v>3990</v>
      </c>
      <c r="AF338" s="125">
        <v>933.72799999999995</v>
      </c>
      <c r="AG338" s="127">
        <v>3970</v>
      </c>
      <c r="AH338" s="125">
        <v>261.61700000000002</v>
      </c>
      <c r="AI338" s="127">
        <v>3970</v>
      </c>
      <c r="AJ338" s="125">
        <v>273.471</v>
      </c>
    </row>
    <row r="339" spans="1:36" ht="14.25">
      <c r="A339" s="128">
        <v>4000</v>
      </c>
      <c r="B339" s="124">
        <v>550.15700000000004</v>
      </c>
      <c r="C339" s="128">
        <v>4010</v>
      </c>
      <c r="D339" s="125">
        <v>546.13</v>
      </c>
      <c r="E339" s="126">
        <v>4000</v>
      </c>
      <c r="F339" s="125">
        <v>1174.5540000000001</v>
      </c>
      <c r="G339" s="127">
        <v>4000</v>
      </c>
      <c r="H339" s="125">
        <v>1173.576</v>
      </c>
      <c r="I339" s="127">
        <v>4000</v>
      </c>
      <c r="J339" s="125">
        <v>1009.335</v>
      </c>
      <c r="K339" s="127">
        <v>4000</v>
      </c>
      <c r="L339" s="125">
        <v>1009.06</v>
      </c>
      <c r="M339" s="127">
        <v>4000</v>
      </c>
      <c r="N339" s="125">
        <v>1009.125</v>
      </c>
      <c r="O339" s="127">
        <v>3980</v>
      </c>
      <c r="P339" s="125">
        <v>1010.303</v>
      </c>
      <c r="Q339" s="127">
        <v>4000</v>
      </c>
      <c r="R339" s="125">
        <v>1009.877</v>
      </c>
      <c r="S339" s="127">
        <v>4000</v>
      </c>
      <c r="T339" s="125">
        <v>1010.3869999999999</v>
      </c>
      <c r="U339" s="127">
        <v>3990</v>
      </c>
      <c r="V339" s="125">
        <v>1009.07</v>
      </c>
      <c r="W339" s="127">
        <v>4000</v>
      </c>
      <c r="X339" s="125">
        <v>1008.879</v>
      </c>
      <c r="Y339" s="127">
        <v>4000</v>
      </c>
      <c r="Z339" s="125">
        <v>1007.429</v>
      </c>
      <c r="AA339" s="127">
        <v>4000</v>
      </c>
      <c r="AB339" s="125">
        <v>1007.194</v>
      </c>
      <c r="AC339" s="127">
        <v>3990</v>
      </c>
      <c r="AD339" s="125">
        <v>931.24900000000002</v>
      </c>
      <c r="AE339" s="127">
        <v>4000</v>
      </c>
      <c r="AF339" s="125">
        <v>932.52099999999996</v>
      </c>
      <c r="AG339" s="127">
        <v>3980</v>
      </c>
      <c r="AH339" s="125">
        <v>261.22199999999998</v>
      </c>
      <c r="AI339" s="127">
        <v>3980</v>
      </c>
      <c r="AJ339" s="125">
        <v>273.06200000000001</v>
      </c>
    </row>
    <row r="340" spans="1:36" ht="14.25">
      <c r="A340" s="128">
        <v>4010</v>
      </c>
      <c r="B340" s="124">
        <v>549.35699999999997</v>
      </c>
      <c r="C340" s="128">
        <v>4020</v>
      </c>
      <c r="D340" s="125">
        <v>545.33500000000004</v>
      </c>
      <c r="E340" s="126">
        <v>4010</v>
      </c>
      <c r="F340" s="125">
        <v>1173.049</v>
      </c>
      <c r="G340" s="127">
        <v>4010</v>
      </c>
      <c r="H340" s="125">
        <v>1172.075</v>
      </c>
      <c r="I340" s="127">
        <v>4010</v>
      </c>
      <c r="J340" s="125">
        <v>1008.124</v>
      </c>
      <c r="K340" s="127">
        <v>4010</v>
      </c>
      <c r="L340" s="125">
        <v>1007.848</v>
      </c>
      <c r="M340" s="127">
        <v>4010</v>
      </c>
      <c r="N340" s="125">
        <v>1007.914</v>
      </c>
      <c r="O340" s="127">
        <v>3990</v>
      </c>
      <c r="P340" s="125">
        <v>1009.092</v>
      </c>
      <c r="Q340" s="127">
        <v>4010</v>
      </c>
      <c r="R340" s="125">
        <v>1008.667</v>
      </c>
      <c r="S340" s="127">
        <v>4010</v>
      </c>
      <c r="T340" s="125">
        <v>1009.177</v>
      </c>
      <c r="U340" s="127">
        <v>4000</v>
      </c>
      <c r="V340" s="125">
        <v>1007.862</v>
      </c>
      <c r="W340" s="127">
        <v>4010</v>
      </c>
      <c r="X340" s="125">
        <v>1007.671</v>
      </c>
      <c r="Y340" s="127">
        <v>4010</v>
      </c>
      <c r="Z340" s="125">
        <v>1006.22</v>
      </c>
      <c r="AA340" s="127">
        <v>4010</v>
      </c>
      <c r="AB340" s="125">
        <v>1005.987</v>
      </c>
      <c r="AC340" s="127">
        <v>4000</v>
      </c>
      <c r="AD340" s="125">
        <v>930.04100000000005</v>
      </c>
      <c r="AE340" s="127">
        <v>4010</v>
      </c>
      <c r="AF340" s="125">
        <v>931.31399999999996</v>
      </c>
      <c r="AG340" s="127">
        <v>3990</v>
      </c>
      <c r="AH340" s="125">
        <v>260.82600000000002</v>
      </c>
      <c r="AI340" s="127">
        <v>3990</v>
      </c>
      <c r="AJ340" s="125">
        <v>272.65199999999999</v>
      </c>
    </row>
    <row r="341" spans="1:36" ht="14.25">
      <c r="A341" s="128">
        <v>4020</v>
      </c>
      <c r="B341" s="124">
        <v>548.55600000000004</v>
      </c>
      <c r="C341" s="128">
        <v>4030</v>
      </c>
      <c r="D341" s="125">
        <v>544.54</v>
      </c>
      <c r="E341" s="126">
        <v>4020</v>
      </c>
      <c r="F341" s="125">
        <v>1171.5429999999999</v>
      </c>
      <c r="G341" s="127">
        <v>4020</v>
      </c>
      <c r="H341" s="125">
        <v>1170.5719999999999</v>
      </c>
      <c r="I341" s="127">
        <v>4020</v>
      </c>
      <c r="J341" s="125">
        <v>1006.913</v>
      </c>
      <c r="K341" s="127">
        <v>4020</v>
      </c>
      <c r="L341" s="125">
        <v>1006.636</v>
      </c>
      <c r="M341" s="127">
        <v>4020</v>
      </c>
      <c r="N341" s="125">
        <v>1006.703</v>
      </c>
      <c r="O341" s="127">
        <v>4000</v>
      </c>
      <c r="P341" s="125">
        <v>1007.8819999999999</v>
      </c>
      <c r="Q341" s="127">
        <v>4020</v>
      </c>
      <c r="R341" s="125">
        <v>1007.456</v>
      </c>
      <c r="S341" s="127">
        <v>4020</v>
      </c>
      <c r="T341" s="125">
        <v>1007.967</v>
      </c>
      <c r="U341" s="127">
        <v>4010</v>
      </c>
      <c r="V341" s="125">
        <v>1006.653</v>
      </c>
      <c r="W341" s="127">
        <v>4020</v>
      </c>
      <c r="X341" s="125">
        <v>1006.462</v>
      </c>
      <c r="Y341" s="127">
        <v>4020</v>
      </c>
      <c r="Z341" s="125">
        <v>1005.011</v>
      </c>
      <c r="AA341" s="127">
        <v>4020</v>
      </c>
      <c r="AB341" s="125">
        <v>1004.779</v>
      </c>
      <c r="AC341" s="127">
        <v>4010</v>
      </c>
      <c r="AD341" s="125">
        <v>928.83199999999999</v>
      </c>
      <c r="AE341" s="127">
        <v>4020</v>
      </c>
      <c r="AF341" s="125">
        <v>930.10599999999999</v>
      </c>
      <c r="AG341" s="127">
        <v>4000</v>
      </c>
      <c r="AH341" s="125">
        <v>260.43099999999998</v>
      </c>
      <c r="AI341" s="127">
        <v>4000</v>
      </c>
      <c r="AJ341" s="125">
        <v>272.24200000000002</v>
      </c>
    </row>
    <row r="342" spans="1:36" ht="14.25">
      <c r="A342" s="128">
        <v>4030</v>
      </c>
      <c r="B342" s="124">
        <v>547.755</v>
      </c>
      <c r="C342" s="128">
        <v>4040</v>
      </c>
      <c r="D342" s="125">
        <v>543.745</v>
      </c>
      <c r="E342" s="126">
        <v>4030</v>
      </c>
      <c r="F342" s="125">
        <v>1170.038</v>
      </c>
      <c r="G342" s="127">
        <v>4030</v>
      </c>
      <c r="H342" s="125">
        <v>1169.07</v>
      </c>
      <c r="I342" s="127">
        <v>4030</v>
      </c>
      <c r="J342" s="125">
        <v>1005.702</v>
      </c>
      <c r="K342" s="127">
        <v>4030</v>
      </c>
      <c r="L342" s="125">
        <v>1005.424</v>
      </c>
      <c r="M342" s="127">
        <v>4030</v>
      </c>
      <c r="N342" s="125">
        <v>1005.491</v>
      </c>
      <c r="O342" s="127">
        <v>4010</v>
      </c>
      <c r="P342" s="125">
        <v>1006.671</v>
      </c>
      <c r="Q342" s="127">
        <v>4030</v>
      </c>
      <c r="R342" s="125">
        <v>1006.245</v>
      </c>
      <c r="S342" s="127">
        <v>4030</v>
      </c>
      <c r="T342" s="125">
        <v>1006.756</v>
      </c>
      <c r="U342" s="127">
        <v>4020</v>
      </c>
      <c r="V342" s="125">
        <v>1005.4450000000001</v>
      </c>
      <c r="W342" s="127">
        <v>4030</v>
      </c>
      <c r="X342" s="125">
        <v>1005.253</v>
      </c>
      <c r="Y342" s="127">
        <v>4030</v>
      </c>
      <c r="Z342" s="125">
        <v>1003.802</v>
      </c>
      <c r="AA342" s="127">
        <v>4030</v>
      </c>
      <c r="AB342" s="125">
        <v>1003.572</v>
      </c>
      <c r="AC342" s="127">
        <v>4020</v>
      </c>
      <c r="AD342" s="125">
        <v>927.62300000000005</v>
      </c>
      <c r="AE342" s="127">
        <v>4030</v>
      </c>
      <c r="AF342" s="125">
        <v>928.899</v>
      </c>
      <c r="AG342" s="127">
        <v>4010</v>
      </c>
      <c r="AH342" s="125">
        <v>260.03500000000003</v>
      </c>
      <c r="AI342" s="127">
        <v>4010</v>
      </c>
      <c r="AJ342" s="125">
        <v>271.83300000000003</v>
      </c>
    </row>
    <row r="343" spans="1:36" ht="14.25">
      <c r="A343" s="128">
        <v>4040</v>
      </c>
      <c r="B343" s="124">
        <v>546.95399999999995</v>
      </c>
      <c r="C343" s="128">
        <v>4050</v>
      </c>
      <c r="D343" s="125">
        <v>542.94899999999996</v>
      </c>
      <c r="E343" s="126">
        <v>4040</v>
      </c>
      <c r="F343" s="125">
        <v>1168.5319999999999</v>
      </c>
      <c r="G343" s="127">
        <v>4040</v>
      </c>
      <c r="H343" s="125">
        <v>1167.567</v>
      </c>
      <c r="I343" s="127">
        <v>4040</v>
      </c>
      <c r="J343" s="125">
        <v>1004.49</v>
      </c>
      <c r="K343" s="127">
        <v>4040</v>
      </c>
      <c r="L343" s="125">
        <v>1004.211</v>
      </c>
      <c r="M343" s="127">
        <v>4040</v>
      </c>
      <c r="N343" s="125">
        <v>1004.28</v>
      </c>
      <c r="O343" s="127">
        <v>4020</v>
      </c>
      <c r="P343" s="125">
        <v>1005.46</v>
      </c>
      <c r="Q343" s="127">
        <v>4040</v>
      </c>
      <c r="R343" s="125">
        <v>1005.033</v>
      </c>
      <c r="S343" s="127">
        <v>4040</v>
      </c>
      <c r="T343" s="125">
        <v>1005.546</v>
      </c>
      <c r="U343" s="127">
        <v>4030</v>
      </c>
      <c r="V343" s="125">
        <v>1004.236</v>
      </c>
      <c r="W343" s="127">
        <v>4040</v>
      </c>
      <c r="X343" s="125">
        <v>1004.043</v>
      </c>
      <c r="Y343" s="127">
        <v>4040</v>
      </c>
      <c r="Z343" s="125">
        <v>1002.592</v>
      </c>
      <c r="AA343" s="127">
        <v>4040</v>
      </c>
      <c r="AB343" s="125">
        <v>1002.364</v>
      </c>
      <c r="AC343" s="127">
        <v>4030</v>
      </c>
      <c r="AD343" s="125">
        <v>926.41399999999999</v>
      </c>
      <c r="AE343" s="127">
        <v>4040</v>
      </c>
      <c r="AF343" s="125">
        <v>927.69100000000003</v>
      </c>
      <c r="AG343" s="127">
        <v>4020</v>
      </c>
      <c r="AH343" s="125">
        <v>259.63900000000001</v>
      </c>
      <c r="AI343" s="127">
        <v>4020</v>
      </c>
      <c r="AJ343" s="125">
        <v>271.423</v>
      </c>
    </row>
    <row r="344" spans="1:36" ht="14.25">
      <c r="A344" s="128">
        <v>4050</v>
      </c>
      <c r="B344" s="124">
        <v>546.15300000000002</v>
      </c>
      <c r="C344" s="128">
        <v>4060</v>
      </c>
      <c r="D344" s="125">
        <v>542.154</v>
      </c>
      <c r="E344" s="126">
        <v>4050</v>
      </c>
      <c r="F344" s="125">
        <v>1167.0260000000001</v>
      </c>
      <c r="G344" s="127">
        <v>4050</v>
      </c>
      <c r="H344" s="125">
        <v>1166.0640000000001</v>
      </c>
      <c r="I344" s="127">
        <v>4050</v>
      </c>
      <c r="J344" s="125">
        <v>1003.279</v>
      </c>
      <c r="K344" s="127">
        <v>4050</v>
      </c>
      <c r="L344" s="125">
        <v>1002.998</v>
      </c>
      <c r="M344" s="127">
        <v>4050</v>
      </c>
      <c r="N344" s="125">
        <v>1003.068</v>
      </c>
      <c r="O344" s="127">
        <v>4030</v>
      </c>
      <c r="P344" s="125">
        <v>1004.248</v>
      </c>
      <c r="Q344" s="127">
        <v>4050</v>
      </c>
      <c r="R344" s="125">
        <v>1003.822</v>
      </c>
      <c r="S344" s="127">
        <v>4050</v>
      </c>
      <c r="T344" s="125">
        <v>1004.3339999999999</v>
      </c>
      <c r="U344" s="127">
        <v>4040</v>
      </c>
      <c r="V344" s="125">
        <v>1003.027</v>
      </c>
      <c r="W344" s="127">
        <v>4050</v>
      </c>
      <c r="X344" s="125">
        <v>1002.8339999999999</v>
      </c>
      <c r="Y344" s="127">
        <v>4050</v>
      </c>
      <c r="Z344" s="125">
        <v>1001.3819999999999</v>
      </c>
      <c r="AA344" s="127">
        <v>4050</v>
      </c>
      <c r="AB344" s="125">
        <v>1001.1559999999999</v>
      </c>
      <c r="AC344" s="127">
        <v>4040</v>
      </c>
      <c r="AD344" s="125">
        <v>925.20500000000004</v>
      </c>
      <c r="AE344" s="127">
        <v>4050</v>
      </c>
      <c r="AF344" s="125">
        <v>926.48299999999995</v>
      </c>
      <c r="AG344" s="127">
        <v>4030</v>
      </c>
      <c r="AH344" s="125">
        <v>259.24299999999999</v>
      </c>
      <c r="AI344" s="127">
        <v>4030</v>
      </c>
      <c r="AJ344" s="125">
        <v>271.01299999999998</v>
      </c>
    </row>
    <row r="345" spans="1:36" ht="14.25">
      <c r="A345" s="128">
        <v>4060</v>
      </c>
      <c r="B345" s="124">
        <v>545.35199999999998</v>
      </c>
      <c r="C345" s="128">
        <v>4070</v>
      </c>
      <c r="D345" s="125">
        <v>541.35799999999995</v>
      </c>
      <c r="E345" s="126">
        <v>4060</v>
      </c>
      <c r="F345" s="125">
        <v>1165.52</v>
      </c>
      <c r="G345" s="127">
        <v>4060</v>
      </c>
      <c r="H345" s="125">
        <v>1164.5609999999999</v>
      </c>
      <c r="I345" s="127">
        <v>4060</v>
      </c>
      <c r="J345" s="125">
        <v>1002.067</v>
      </c>
      <c r="K345" s="127">
        <v>4060</v>
      </c>
      <c r="L345" s="125">
        <v>1001.785</v>
      </c>
      <c r="M345" s="127">
        <v>4060</v>
      </c>
      <c r="N345" s="125">
        <v>1001.856</v>
      </c>
      <c r="O345" s="127">
        <v>4040</v>
      </c>
      <c r="P345" s="125">
        <v>1003.037</v>
      </c>
      <c r="Q345" s="127">
        <v>4060</v>
      </c>
      <c r="R345" s="125">
        <v>1002.61</v>
      </c>
      <c r="S345" s="127">
        <v>4060</v>
      </c>
      <c r="T345" s="125">
        <v>1003.123</v>
      </c>
      <c r="U345" s="127">
        <v>4050</v>
      </c>
      <c r="V345" s="125">
        <v>1001.818</v>
      </c>
      <c r="W345" s="127">
        <v>4060</v>
      </c>
      <c r="X345" s="125">
        <v>1001.624</v>
      </c>
      <c r="Y345" s="127">
        <v>4060</v>
      </c>
      <c r="Z345" s="125">
        <v>1000.172</v>
      </c>
      <c r="AA345" s="127">
        <v>4060</v>
      </c>
      <c r="AB345" s="125">
        <v>999.947</v>
      </c>
      <c r="AC345" s="127">
        <v>4050</v>
      </c>
      <c r="AD345" s="125">
        <v>923.995</v>
      </c>
      <c r="AE345" s="127">
        <v>4060</v>
      </c>
      <c r="AF345" s="125">
        <v>925.274</v>
      </c>
      <c r="AG345" s="127">
        <v>4040</v>
      </c>
      <c r="AH345" s="125">
        <v>258.84699999999998</v>
      </c>
      <c r="AI345" s="127">
        <v>4040</v>
      </c>
      <c r="AJ345" s="125">
        <v>270.60300000000001</v>
      </c>
    </row>
    <row r="346" spans="1:36" ht="14.25">
      <c r="A346" s="128">
        <v>4070</v>
      </c>
      <c r="B346" s="124">
        <v>544.55100000000004</v>
      </c>
      <c r="C346" s="128">
        <v>4080</v>
      </c>
      <c r="D346" s="125">
        <v>540.56200000000001</v>
      </c>
      <c r="E346" s="126">
        <v>4070</v>
      </c>
      <c r="F346" s="125">
        <v>1164.0129999999999</v>
      </c>
      <c r="G346" s="127">
        <v>4070</v>
      </c>
      <c r="H346" s="125">
        <v>1163.057</v>
      </c>
      <c r="I346" s="127">
        <v>4070</v>
      </c>
      <c r="J346" s="125">
        <v>1000.854</v>
      </c>
      <c r="K346" s="127">
        <v>4070</v>
      </c>
      <c r="L346" s="125">
        <v>1000.572</v>
      </c>
      <c r="M346" s="127">
        <v>4070</v>
      </c>
      <c r="N346" s="125">
        <v>1000.643</v>
      </c>
      <c r="O346" s="127">
        <v>4050</v>
      </c>
      <c r="P346" s="125">
        <v>1001.825</v>
      </c>
      <c r="Q346" s="127">
        <v>4070</v>
      </c>
      <c r="R346" s="125">
        <v>1001.398</v>
      </c>
      <c r="S346" s="127">
        <v>4070</v>
      </c>
      <c r="T346" s="125">
        <v>1001.912</v>
      </c>
      <c r="U346" s="127">
        <v>4060</v>
      </c>
      <c r="V346" s="125">
        <v>1000.6079999999999</v>
      </c>
      <c r="W346" s="127">
        <v>4070</v>
      </c>
      <c r="X346" s="125">
        <v>1000.414</v>
      </c>
      <c r="Y346" s="127">
        <v>4070</v>
      </c>
      <c r="Z346" s="125">
        <v>998.96199999999999</v>
      </c>
      <c r="AA346" s="127">
        <v>4070</v>
      </c>
      <c r="AB346" s="125">
        <v>998.73900000000003</v>
      </c>
      <c r="AC346" s="127">
        <v>4060</v>
      </c>
      <c r="AD346" s="125">
        <v>922.78499999999997</v>
      </c>
      <c r="AE346" s="127">
        <v>4070</v>
      </c>
      <c r="AF346" s="125">
        <v>924.06500000000005</v>
      </c>
      <c r="AG346" s="127">
        <v>4050</v>
      </c>
      <c r="AH346" s="125">
        <v>258.45100000000002</v>
      </c>
      <c r="AI346" s="127">
        <v>4050</v>
      </c>
      <c r="AJ346" s="125">
        <v>270.19299999999998</v>
      </c>
    </row>
    <row r="347" spans="1:36" ht="14.25">
      <c r="A347" s="128">
        <v>4080</v>
      </c>
      <c r="B347" s="124">
        <v>543.74900000000002</v>
      </c>
      <c r="C347" s="128">
        <v>4090</v>
      </c>
      <c r="D347" s="125">
        <v>539.76599999999996</v>
      </c>
      <c r="E347" s="126">
        <v>4080</v>
      </c>
      <c r="F347" s="125">
        <v>1162.5060000000001</v>
      </c>
      <c r="G347" s="127">
        <v>4080</v>
      </c>
      <c r="H347" s="125">
        <v>1161.5530000000001</v>
      </c>
      <c r="I347" s="127">
        <v>4080</v>
      </c>
      <c r="J347" s="125">
        <v>999.64200000000005</v>
      </c>
      <c r="K347" s="127">
        <v>4080</v>
      </c>
      <c r="L347" s="125">
        <v>999.35900000000004</v>
      </c>
      <c r="M347" s="127">
        <v>4080</v>
      </c>
      <c r="N347" s="125">
        <v>999.43100000000004</v>
      </c>
      <c r="O347" s="127">
        <v>4060</v>
      </c>
      <c r="P347" s="125">
        <v>1000.6130000000001</v>
      </c>
      <c r="Q347" s="127">
        <v>4080</v>
      </c>
      <c r="R347" s="125">
        <v>1000.186</v>
      </c>
      <c r="S347" s="127">
        <v>4080</v>
      </c>
      <c r="T347" s="125">
        <v>1000.7</v>
      </c>
      <c r="U347" s="127">
        <v>4070</v>
      </c>
      <c r="V347" s="125">
        <v>999.399</v>
      </c>
      <c r="W347" s="127">
        <v>4080</v>
      </c>
      <c r="X347" s="125">
        <v>999.20399999999995</v>
      </c>
      <c r="Y347" s="127">
        <v>4080</v>
      </c>
      <c r="Z347" s="125">
        <v>997.75099999999998</v>
      </c>
      <c r="AA347" s="127">
        <v>4080</v>
      </c>
      <c r="AB347" s="125">
        <v>997.33</v>
      </c>
      <c r="AC347" s="127">
        <v>4070</v>
      </c>
      <c r="AD347" s="125">
        <v>921.57500000000005</v>
      </c>
      <c r="AE347" s="127">
        <v>4080</v>
      </c>
      <c r="AF347" s="125">
        <v>922.85599999999999</v>
      </c>
      <c r="AG347" s="127">
        <v>4060</v>
      </c>
      <c r="AH347" s="125">
        <v>258.05500000000001</v>
      </c>
      <c r="AI347" s="127">
        <v>4060</v>
      </c>
      <c r="AJ347" s="125">
        <v>269.78300000000002</v>
      </c>
    </row>
    <row r="348" spans="1:36" ht="14.25">
      <c r="A348" s="128">
        <v>4090</v>
      </c>
      <c r="B348" s="124">
        <v>542.947</v>
      </c>
      <c r="C348" s="128">
        <v>4100</v>
      </c>
      <c r="D348" s="125">
        <v>538.96900000000005</v>
      </c>
      <c r="E348" s="126">
        <v>4090</v>
      </c>
      <c r="F348" s="125">
        <v>1160.999</v>
      </c>
      <c r="G348" s="127">
        <v>4090</v>
      </c>
      <c r="H348" s="125">
        <v>1160.05</v>
      </c>
      <c r="I348" s="127">
        <v>4090</v>
      </c>
      <c r="J348" s="125">
        <v>998.42899999999997</v>
      </c>
      <c r="K348" s="127">
        <v>4090</v>
      </c>
      <c r="L348" s="125">
        <v>998.14499999999998</v>
      </c>
      <c r="M348" s="127">
        <v>4090</v>
      </c>
      <c r="N348" s="125">
        <v>998.21799999999996</v>
      </c>
      <c r="O348" s="127">
        <v>4070</v>
      </c>
      <c r="P348" s="125">
        <v>999.4</v>
      </c>
      <c r="Q348" s="127">
        <v>4090</v>
      </c>
      <c r="R348" s="125">
        <v>998.97299999999996</v>
      </c>
      <c r="S348" s="127">
        <v>4090</v>
      </c>
      <c r="T348" s="125">
        <v>999.48800000000006</v>
      </c>
      <c r="U348" s="127">
        <v>4080</v>
      </c>
      <c r="V348" s="125">
        <v>998.18899999999996</v>
      </c>
      <c r="W348" s="127">
        <v>4090</v>
      </c>
      <c r="X348" s="125">
        <v>997.99300000000005</v>
      </c>
      <c r="Y348" s="127">
        <v>4090</v>
      </c>
      <c r="Z348" s="125">
        <v>996.54</v>
      </c>
      <c r="AA348" s="127">
        <v>4090</v>
      </c>
      <c r="AB348" s="125">
        <v>996.32100000000003</v>
      </c>
      <c r="AC348" s="127">
        <v>4080</v>
      </c>
      <c r="AD348" s="125">
        <v>920.36500000000001</v>
      </c>
      <c r="AE348" s="127">
        <v>4090</v>
      </c>
      <c r="AF348" s="125">
        <v>921.64700000000005</v>
      </c>
      <c r="AG348" s="127">
        <v>4070</v>
      </c>
      <c r="AH348" s="125">
        <v>257.65899999999999</v>
      </c>
      <c r="AI348" s="127">
        <v>4070</v>
      </c>
      <c r="AJ348" s="125">
        <v>269.37200000000001</v>
      </c>
    </row>
    <row r="349" spans="1:36" ht="14.25">
      <c r="A349" s="128">
        <v>4100</v>
      </c>
      <c r="B349" s="124">
        <v>542.14599999999996</v>
      </c>
      <c r="C349" s="128">
        <v>4110</v>
      </c>
      <c r="D349" s="125">
        <v>538.173</v>
      </c>
      <c r="E349" s="126">
        <v>4100</v>
      </c>
      <c r="F349" s="125">
        <v>1159.491</v>
      </c>
      <c r="G349" s="127">
        <v>4100</v>
      </c>
      <c r="H349" s="125">
        <v>1158.546</v>
      </c>
      <c r="I349" s="127">
        <v>4100</v>
      </c>
      <c r="J349" s="125">
        <v>997.21600000000001</v>
      </c>
      <c r="K349" s="127">
        <v>4100</v>
      </c>
      <c r="L349" s="125">
        <v>996.93100000000004</v>
      </c>
      <c r="M349" s="127">
        <v>4100</v>
      </c>
      <c r="N349" s="125">
        <v>997.005</v>
      </c>
      <c r="O349" s="127">
        <v>4080</v>
      </c>
      <c r="P349" s="125">
        <v>998.18799999999999</v>
      </c>
      <c r="Q349" s="127">
        <v>4100</v>
      </c>
      <c r="R349" s="125">
        <v>997.76099999999997</v>
      </c>
      <c r="S349" s="127">
        <v>4100</v>
      </c>
      <c r="T349" s="125">
        <v>998.27599999999995</v>
      </c>
      <c r="U349" s="127">
        <v>4090</v>
      </c>
      <c r="V349" s="125">
        <v>996.97900000000004</v>
      </c>
      <c r="W349" s="127">
        <v>4100</v>
      </c>
      <c r="X349" s="125">
        <v>996.78200000000004</v>
      </c>
      <c r="Y349" s="127">
        <v>4100</v>
      </c>
      <c r="Z349" s="125">
        <v>995.33</v>
      </c>
      <c r="AA349" s="127">
        <v>4100</v>
      </c>
      <c r="AB349" s="125">
        <v>995.11199999999997</v>
      </c>
      <c r="AC349" s="127">
        <v>4090</v>
      </c>
      <c r="AD349" s="125">
        <v>919.154</v>
      </c>
      <c r="AE349" s="127">
        <v>4100</v>
      </c>
      <c r="AF349" s="125">
        <v>920.43799999999999</v>
      </c>
      <c r="AG349" s="127">
        <v>4080</v>
      </c>
      <c r="AH349" s="125">
        <v>257.26299999999998</v>
      </c>
      <c r="AI349" s="127">
        <v>4080</v>
      </c>
      <c r="AJ349" s="125">
        <v>268.96199999999999</v>
      </c>
    </row>
    <row r="350" spans="1:36" ht="14.25">
      <c r="A350" s="128">
        <v>4110</v>
      </c>
      <c r="B350" s="124">
        <v>541.34400000000005</v>
      </c>
      <c r="C350" s="128">
        <v>4120</v>
      </c>
      <c r="D350" s="125">
        <v>537.37699999999995</v>
      </c>
      <c r="E350" s="126">
        <v>4110</v>
      </c>
      <c r="F350" s="125">
        <v>1157.9839999999999</v>
      </c>
      <c r="G350" s="127">
        <v>4110</v>
      </c>
      <c r="H350" s="125">
        <v>1157.0419999999999</v>
      </c>
      <c r="I350" s="127">
        <v>4110</v>
      </c>
      <c r="J350" s="125">
        <v>996.00300000000004</v>
      </c>
      <c r="K350" s="127">
        <v>4110</v>
      </c>
      <c r="L350" s="125">
        <v>995.71799999999996</v>
      </c>
      <c r="M350" s="127">
        <v>4110</v>
      </c>
      <c r="N350" s="125">
        <v>995.79200000000003</v>
      </c>
      <c r="O350" s="127">
        <v>4090</v>
      </c>
      <c r="P350" s="125">
        <v>996.97500000000002</v>
      </c>
      <c r="Q350" s="127">
        <v>4110</v>
      </c>
      <c r="R350" s="125">
        <v>996.548</v>
      </c>
      <c r="S350" s="127">
        <v>4110</v>
      </c>
      <c r="T350" s="125">
        <v>997.06399999999996</v>
      </c>
      <c r="U350" s="127">
        <v>4100</v>
      </c>
      <c r="V350" s="125">
        <v>995.77</v>
      </c>
      <c r="W350" s="127">
        <v>4110</v>
      </c>
      <c r="X350" s="125">
        <v>995.572</v>
      </c>
      <c r="Y350" s="127">
        <v>4110</v>
      </c>
      <c r="Z350" s="125">
        <v>994.11800000000005</v>
      </c>
      <c r="AA350" s="127">
        <v>4110</v>
      </c>
      <c r="AB350" s="125">
        <v>993.90200000000004</v>
      </c>
      <c r="AC350" s="127">
        <v>4100</v>
      </c>
      <c r="AD350" s="125">
        <v>917.94399999999996</v>
      </c>
      <c r="AE350" s="127">
        <v>4110</v>
      </c>
      <c r="AF350" s="125">
        <v>919.22799999999995</v>
      </c>
      <c r="AG350" s="127">
        <v>4090</v>
      </c>
      <c r="AH350" s="125">
        <v>256.86700000000002</v>
      </c>
      <c r="AI350" s="127">
        <v>4090</v>
      </c>
      <c r="AJ350" s="125">
        <v>268.55200000000002</v>
      </c>
    </row>
    <row r="351" spans="1:36" ht="14.25">
      <c r="A351" s="128">
        <v>4120</v>
      </c>
      <c r="B351" s="124">
        <v>540.54200000000003</v>
      </c>
      <c r="C351" s="128">
        <v>4130</v>
      </c>
      <c r="D351" s="125">
        <v>536.58100000000002</v>
      </c>
      <c r="E351" s="126">
        <v>4120</v>
      </c>
      <c r="F351" s="125">
        <v>1156.4749999999999</v>
      </c>
      <c r="G351" s="127">
        <v>4120</v>
      </c>
      <c r="H351" s="125">
        <v>1155.539</v>
      </c>
      <c r="I351" s="127">
        <v>4120</v>
      </c>
      <c r="J351" s="125">
        <v>994.79</v>
      </c>
      <c r="K351" s="127">
        <v>4120</v>
      </c>
      <c r="L351" s="125">
        <v>994.50400000000002</v>
      </c>
      <c r="M351" s="127">
        <v>4120</v>
      </c>
      <c r="N351" s="125">
        <v>994.57899999999995</v>
      </c>
      <c r="O351" s="127">
        <v>4100</v>
      </c>
      <c r="P351" s="125">
        <v>995.76199999999994</v>
      </c>
      <c r="Q351" s="127">
        <v>4120</v>
      </c>
      <c r="R351" s="125">
        <v>995.33500000000004</v>
      </c>
      <c r="S351" s="127">
        <v>4120</v>
      </c>
      <c r="T351" s="125">
        <v>995.851</v>
      </c>
      <c r="U351" s="127">
        <v>4110</v>
      </c>
      <c r="V351" s="125">
        <v>994.56</v>
      </c>
      <c r="W351" s="127">
        <v>4120</v>
      </c>
      <c r="X351" s="125">
        <v>994.36099999999999</v>
      </c>
      <c r="Y351" s="127">
        <v>4120</v>
      </c>
      <c r="Z351" s="125">
        <v>992.90700000000004</v>
      </c>
      <c r="AA351" s="127">
        <v>4120</v>
      </c>
      <c r="AB351" s="125">
        <v>992.69200000000001</v>
      </c>
      <c r="AC351" s="127">
        <v>4110</v>
      </c>
      <c r="AD351" s="125">
        <v>916.73299999999995</v>
      </c>
      <c r="AE351" s="127">
        <v>4120</v>
      </c>
      <c r="AF351" s="125">
        <v>918.01900000000001</v>
      </c>
      <c r="AG351" s="127">
        <v>4100</v>
      </c>
      <c r="AH351" s="125">
        <v>256.47000000000003</v>
      </c>
      <c r="AI351" s="127">
        <v>4100</v>
      </c>
      <c r="AJ351" s="125">
        <v>268.142</v>
      </c>
    </row>
    <row r="352" spans="1:36" ht="14.25">
      <c r="A352" s="128">
        <v>4130</v>
      </c>
      <c r="B352" s="124">
        <v>539.74</v>
      </c>
      <c r="C352" s="128">
        <v>4140</v>
      </c>
      <c r="D352" s="125">
        <v>535.78499999999997</v>
      </c>
      <c r="E352" s="126">
        <v>4130</v>
      </c>
      <c r="F352" s="125">
        <v>1154.9670000000001</v>
      </c>
      <c r="G352" s="127">
        <v>4130</v>
      </c>
      <c r="H352" s="125">
        <v>1154.0350000000001</v>
      </c>
      <c r="I352" s="127">
        <v>4130</v>
      </c>
      <c r="J352" s="125">
        <v>993.577</v>
      </c>
      <c r="K352" s="127">
        <v>4130</v>
      </c>
      <c r="L352" s="125">
        <v>993.29</v>
      </c>
      <c r="M352" s="127">
        <v>4130</v>
      </c>
      <c r="N352" s="125">
        <v>993.36599999999999</v>
      </c>
      <c r="O352" s="127">
        <v>4110</v>
      </c>
      <c r="P352" s="125">
        <v>994.54899999999998</v>
      </c>
      <c r="Q352" s="127">
        <v>4130</v>
      </c>
      <c r="R352" s="125">
        <v>994.12199999999996</v>
      </c>
      <c r="S352" s="127">
        <v>4130</v>
      </c>
      <c r="T352" s="125">
        <v>994.63900000000001</v>
      </c>
      <c r="U352" s="127">
        <v>4120</v>
      </c>
      <c r="V352" s="125">
        <v>993.35</v>
      </c>
      <c r="W352" s="127">
        <v>4130</v>
      </c>
      <c r="X352" s="125">
        <v>993.15</v>
      </c>
      <c r="Y352" s="127">
        <v>4130</v>
      </c>
      <c r="Z352" s="125">
        <v>991.69500000000005</v>
      </c>
      <c r="AA352" s="127">
        <v>4130</v>
      </c>
      <c r="AB352" s="125">
        <v>991.48299999999995</v>
      </c>
      <c r="AC352" s="127">
        <v>4120</v>
      </c>
      <c r="AD352" s="125">
        <v>915.52300000000002</v>
      </c>
      <c r="AE352" s="127">
        <v>4130</v>
      </c>
      <c r="AF352" s="125">
        <v>916.80899999999997</v>
      </c>
      <c r="AG352" s="127">
        <v>4110</v>
      </c>
      <c r="AH352" s="125">
        <v>256.07400000000001</v>
      </c>
      <c r="AI352" s="127">
        <v>4110</v>
      </c>
      <c r="AJ352" s="125">
        <v>267.73200000000003</v>
      </c>
    </row>
    <row r="353" spans="1:36" ht="14.25">
      <c r="A353" s="128">
        <v>4140</v>
      </c>
      <c r="B353" s="124">
        <v>538.93899999999996</v>
      </c>
      <c r="C353" s="128">
        <v>4150</v>
      </c>
      <c r="D353" s="125">
        <v>534.98900000000003</v>
      </c>
      <c r="E353" s="126">
        <v>4140</v>
      </c>
      <c r="F353" s="125">
        <v>1153.4590000000001</v>
      </c>
      <c r="G353" s="127">
        <v>4140</v>
      </c>
      <c r="H353" s="125">
        <v>1152.5319999999999</v>
      </c>
      <c r="I353" s="127">
        <v>4140</v>
      </c>
      <c r="J353" s="125">
        <v>992.36400000000003</v>
      </c>
      <c r="K353" s="127">
        <v>4140</v>
      </c>
      <c r="L353" s="125">
        <v>992.077</v>
      </c>
      <c r="M353" s="127">
        <v>4140</v>
      </c>
      <c r="N353" s="125">
        <v>992.15300000000002</v>
      </c>
      <c r="O353" s="127">
        <v>4120</v>
      </c>
      <c r="P353" s="125">
        <v>993.33600000000001</v>
      </c>
      <c r="Q353" s="127">
        <v>4140</v>
      </c>
      <c r="R353" s="125">
        <v>992.90800000000002</v>
      </c>
      <c r="S353" s="127">
        <v>4140</v>
      </c>
      <c r="T353" s="125">
        <v>993.42700000000002</v>
      </c>
      <c r="U353" s="127">
        <v>4130</v>
      </c>
      <c r="V353" s="125">
        <v>992.14099999999996</v>
      </c>
      <c r="W353" s="127">
        <v>4140</v>
      </c>
      <c r="X353" s="125">
        <v>991.94</v>
      </c>
      <c r="Y353" s="127">
        <v>4140</v>
      </c>
      <c r="Z353" s="125">
        <v>990.48400000000004</v>
      </c>
      <c r="AA353" s="127">
        <v>4140</v>
      </c>
      <c r="AB353" s="125">
        <v>990.27300000000002</v>
      </c>
      <c r="AC353" s="127">
        <v>4130</v>
      </c>
      <c r="AD353" s="125">
        <v>914.31200000000001</v>
      </c>
      <c r="AE353" s="127">
        <v>4140</v>
      </c>
      <c r="AF353" s="125">
        <v>915.6</v>
      </c>
      <c r="AG353" s="127">
        <v>4120</v>
      </c>
      <c r="AH353" s="125">
        <v>255.678</v>
      </c>
      <c r="AI353" s="127">
        <v>4120</v>
      </c>
      <c r="AJ353" s="125">
        <v>267.32100000000003</v>
      </c>
    </row>
    <row r="354" spans="1:36" ht="14.25">
      <c r="A354" s="128">
        <v>4150</v>
      </c>
      <c r="B354" s="124">
        <v>538.13699999999994</v>
      </c>
      <c r="C354" s="128">
        <v>4160</v>
      </c>
      <c r="D354" s="125">
        <v>534.19399999999996</v>
      </c>
      <c r="E354" s="126">
        <v>4150</v>
      </c>
      <c r="F354" s="125">
        <v>1151.951</v>
      </c>
      <c r="G354" s="127">
        <v>4150</v>
      </c>
      <c r="H354" s="125">
        <v>1151.029</v>
      </c>
      <c r="I354" s="127">
        <v>4150</v>
      </c>
      <c r="J354" s="125">
        <v>991.15</v>
      </c>
      <c r="K354" s="127">
        <v>4150</v>
      </c>
      <c r="L354" s="125">
        <v>990.86300000000006</v>
      </c>
      <c r="M354" s="127">
        <v>4150</v>
      </c>
      <c r="N354" s="125">
        <v>990.94</v>
      </c>
      <c r="O354" s="127">
        <v>4130</v>
      </c>
      <c r="P354" s="125">
        <v>992.12199999999996</v>
      </c>
      <c r="Q354" s="127">
        <v>4150</v>
      </c>
      <c r="R354" s="125">
        <v>991.69500000000005</v>
      </c>
      <c r="S354" s="127">
        <v>4150</v>
      </c>
      <c r="T354" s="125">
        <v>992.21400000000006</v>
      </c>
      <c r="U354" s="127">
        <v>4140</v>
      </c>
      <c r="V354" s="125">
        <v>990.93100000000004</v>
      </c>
      <c r="W354" s="127">
        <v>4150</v>
      </c>
      <c r="X354" s="125">
        <v>990.72900000000004</v>
      </c>
      <c r="Y354" s="127">
        <v>4150</v>
      </c>
      <c r="Z354" s="125">
        <v>989.27200000000005</v>
      </c>
      <c r="AA354" s="127">
        <v>4150</v>
      </c>
      <c r="AB354" s="125">
        <v>989.06299999999999</v>
      </c>
      <c r="AC354" s="127">
        <v>4140</v>
      </c>
      <c r="AD354" s="125">
        <v>913.101</v>
      </c>
      <c r="AE354" s="127">
        <v>4150</v>
      </c>
      <c r="AF354" s="125">
        <v>914.39</v>
      </c>
      <c r="AG354" s="127">
        <v>4130</v>
      </c>
      <c r="AH354" s="125">
        <v>255.28100000000001</v>
      </c>
      <c r="AI354" s="127">
        <v>4130</v>
      </c>
      <c r="AJ354" s="125">
        <v>266.911</v>
      </c>
    </row>
    <row r="355" spans="1:36" ht="14.25">
      <c r="A355" s="128">
        <v>4160</v>
      </c>
      <c r="B355" s="124">
        <v>537.33600000000001</v>
      </c>
      <c r="C355" s="128">
        <v>4170</v>
      </c>
      <c r="D355" s="125">
        <v>533.39800000000002</v>
      </c>
      <c r="E355" s="126">
        <v>4160</v>
      </c>
      <c r="F355" s="125">
        <v>1150.443</v>
      </c>
      <c r="G355" s="127">
        <v>4160</v>
      </c>
      <c r="H355" s="125">
        <v>1149.5260000000001</v>
      </c>
      <c r="I355" s="127">
        <v>4160</v>
      </c>
      <c r="J355" s="125">
        <v>989.93700000000001</v>
      </c>
      <c r="K355" s="127">
        <v>4160</v>
      </c>
      <c r="L355" s="125">
        <v>989.649</v>
      </c>
      <c r="M355" s="127">
        <v>4160</v>
      </c>
      <c r="N355" s="125">
        <v>989.72699999999998</v>
      </c>
      <c r="O355" s="127">
        <v>4140</v>
      </c>
      <c r="P355" s="125">
        <v>990.90899999999999</v>
      </c>
      <c r="Q355" s="127">
        <v>4160</v>
      </c>
      <c r="R355" s="125">
        <v>990.48199999999997</v>
      </c>
      <c r="S355" s="127">
        <v>4160</v>
      </c>
      <c r="T355" s="125">
        <v>991.00199999999995</v>
      </c>
      <c r="U355" s="127">
        <v>4150</v>
      </c>
      <c r="V355" s="125">
        <v>989.721</v>
      </c>
      <c r="W355" s="127">
        <v>4160</v>
      </c>
      <c r="X355" s="125">
        <v>989.51800000000003</v>
      </c>
      <c r="Y355" s="127">
        <v>4160</v>
      </c>
      <c r="Z355" s="125">
        <v>988.06100000000004</v>
      </c>
      <c r="AA355" s="127">
        <v>4160</v>
      </c>
      <c r="AB355" s="125">
        <v>987.85299999999995</v>
      </c>
      <c r="AC355" s="127">
        <v>4150</v>
      </c>
      <c r="AD355" s="125">
        <v>911.89</v>
      </c>
      <c r="AE355" s="127">
        <v>4160</v>
      </c>
      <c r="AF355" s="125">
        <v>913.18100000000004</v>
      </c>
      <c r="AG355" s="127">
        <v>4140</v>
      </c>
      <c r="AH355" s="125">
        <v>254.88499999999999</v>
      </c>
      <c r="AI355" s="127">
        <v>4140</v>
      </c>
      <c r="AJ355" s="125">
        <v>266.50099999999998</v>
      </c>
    </row>
    <row r="356" spans="1:36" ht="14.25">
      <c r="A356" s="128">
        <v>4170</v>
      </c>
      <c r="B356" s="124">
        <v>536.53399999999999</v>
      </c>
      <c r="C356" s="128">
        <v>4180</v>
      </c>
      <c r="D356" s="125">
        <v>532.60299999999995</v>
      </c>
      <c r="E356" s="126">
        <v>4170</v>
      </c>
      <c r="F356" s="125">
        <v>1148.9349999999999</v>
      </c>
      <c r="G356" s="127">
        <v>4170</v>
      </c>
      <c r="H356" s="125">
        <v>1148.0229999999999</v>
      </c>
      <c r="I356" s="127">
        <v>4170</v>
      </c>
      <c r="J356" s="125">
        <v>988.72400000000005</v>
      </c>
      <c r="K356" s="127">
        <v>4170</v>
      </c>
      <c r="L356" s="125">
        <v>988.43600000000004</v>
      </c>
      <c r="M356" s="127">
        <v>4170</v>
      </c>
      <c r="N356" s="125">
        <v>988.51400000000001</v>
      </c>
      <c r="O356" s="127">
        <v>4150</v>
      </c>
      <c r="P356" s="125">
        <v>989.69600000000003</v>
      </c>
      <c r="Q356" s="127">
        <v>4170</v>
      </c>
      <c r="R356" s="125">
        <v>989.26900000000001</v>
      </c>
      <c r="S356" s="127">
        <v>4170</v>
      </c>
      <c r="T356" s="125">
        <v>989.79</v>
      </c>
      <c r="U356" s="127">
        <v>4160</v>
      </c>
      <c r="V356" s="125">
        <v>988.51199999999994</v>
      </c>
      <c r="W356" s="127">
        <v>4170</v>
      </c>
      <c r="X356" s="125">
        <v>988.30799999999999</v>
      </c>
      <c r="Y356" s="127">
        <v>4170</v>
      </c>
      <c r="Z356" s="125">
        <v>986.84900000000005</v>
      </c>
      <c r="AA356" s="127">
        <v>4170</v>
      </c>
      <c r="AB356" s="125">
        <v>986.64300000000003</v>
      </c>
      <c r="AC356" s="127">
        <v>4160</v>
      </c>
      <c r="AD356" s="125">
        <v>910.67899999999997</v>
      </c>
      <c r="AE356" s="127">
        <v>4170</v>
      </c>
      <c r="AF356" s="125">
        <v>911.971</v>
      </c>
      <c r="AG356" s="127">
        <v>4150</v>
      </c>
      <c r="AH356" s="125">
        <v>254.489</v>
      </c>
      <c r="AI356" s="127">
        <v>4150</v>
      </c>
      <c r="AJ356" s="125">
        <v>266.09100000000001</v>
      </c>
    </row>
    <row r="357" spans="1:36" ht="14.25">
      <c r="A357" s="128">
        <v>4180</v>
      </c>
      <c r="B357" s="124">
        <v>535.73299999999995</v>
      </c>
      <c r="C357" s="128">
        <v>4190</v>
      </c>
      <c r="D357" s="125">
        <v>531.80799999999999</v>
      </c>
      <c r="E357" s="126">
        <v>4180</v>
      </c>
      <c r="F357" s="125">
        <v>1147.4269999999999</v>
      </c>
      <c r="G357" s="127">
        <v>4180</v>
      </c>
      <c r="H357" s="125">
        <v>1146.52</v>
      </c>
      <c r="I357" s="127">
        <v>4180</v>
      </c>
      <c r="J357" s="125">
        <v>987.51</v>
      </c>
      <c r="K357" s="127">
        <v>4180</v>
      </c>
      <c r="L357" s="125">
        <v>987.22199999999998</v>
      </c>
      <c r="M357" s="127">
        <v>4180</v>
      </c>
      <c r="N357" s="125">
        <v>987.30100000000004</v>
      </c>
      <c r="O357" s="127">
        <v>4160</v>
      </c>
      <c r="P357" s="125">
        <v>988.48199999999997</v>
      </c>
      <c r="Q357" s="127">
        <v>4180</v>
      </c>
      <c r="R357" s="125">
        <v>988.05600000000004</v>
      </c>
      <c r="S357" s="127">
        <v>4180</v>
      </c>
      <c r="T357" s="125">
        <v>988.57799999999997</v>
      </c>
      <c r="U357" s="127">
        <v>4170</v>
      </c>
      <c r="V357" s="125">
        <v>987.30200000000002</v>
      </c>
      <c r="W357" s="127">
        <v>4180</v>
      </c>
      <c r="X357" s="125">
        <v>987.09699999999998</v>
      </c>
      <c r="Y357" s="127">
        <v>4180</v>
      </c>
      <c r="Z357" s="125">
        <v>985.63800000000003</v>
      </c>
      <c r="AA357" s="127">
        <v>4180</v>
      </c>
      <c r="AB357" s="125">
        <v>985.43299999999999</v>
      </c>
      <c r="AC357" s="127">
        <v>4170</v>
      </c>
      <c r="AD357" s="125">
        <v>909.46799999999996</v>
      </c>
      <c r="AE357" s="127">
        <v>4180</v>
      </c>
      <c r="AF357" s="125">
        <v>910.76199999999994</v>
      </c>
      <c r="AG357" s="127">
        <v>4160</v>
      </c>
      <c r="AH357" s="125">
        <v>254.09200000000001</v>
      </c>
      <c r="AI357" s="127">
        <v>4160</v>
      </c>
      <c r="AJ357" s="125">
        <v>265.68</v>
      </c>
    </row>
    <row r="358" spans="1:36" ht="14.25">
      <c r="A358" s="128">
        <v>4190</v>
      </c>
      <c r="B358" s="124">
        <v>534.93299999999999</v>
      </c>
      <c r="C358" s="128">
        <v>4200</v>
      </c>
      <c r="D358" s="125">
        <v>531.01300000000003</v>
      </c>
      <c r="E358" s="126">
        <v>4190</v>
      </c>
      <c r="F358" s="125">
        <v>1145.92</v>
      </c>
      <c r="G358" s="127">
        <v>4190</v>
      </c>
      <c r="H358" s="125">
        <v>1145.0170000000001</v>
      </c>
      <c r="I358" s="127">
        <v>4190</v>
      </c>
      <c r="J358" s="125">
        <v>986.29700000000003</v>
      </c>
      <c r="K358" s="127">
        <v>4190</v>
      </c>
      <c r="L358" s="125">
        <v>986.00800000000004</v>
      </c>
      <c r="M358" s="127">
        <v>4190</v>
      </c>
      <c r="N358" s="125">
        <v>986.08799999999997</v>
      </c>
      <c r="O358" s="127">
        <v>4170</v>
      </c>
      <c r="P358" s="125">
        <v>987.26900000000001</v>
      </c>
      <c r="Q358" s="127">
        <v>4190</v>
      </c>
      <c r="R358" s="125">
        <v>986.84299999999996</v>
      </c>
      <c r="S358" s="127">
        <v>4190</v>
      </c>
      <c r="T358" s="125">
        <v>987.36500000000001</v>
      </c>
      <c r="U358" s="127">
        <v>4180</v>
      </c>
      <c r="V358" s="125">
        <v>986.09199999999998</v>
      </c>
      <c r="W358" s="127">
        <v>4190</v>
      </c>
      <c r="X358" s="125">
        <v>985.88599999999997</v>
      </c>
      <c r="Y358" s="127">
        <v>4190</v>
      </c>
      <c r="Z358" s="125">
        <v>984.42600000000004</v>
      </c>
      <c r="AA358" s="127">
        <v>4190</v>
      </c>
      <c r="AB358" s="125">
        <v>984.22299999999996</v>
      </c>
      <c r="AC358" s="127">
        <v>4180</v>
      </c>
      <c r="AD358" s="125">
        <v>908.25800000000004</v>
      </c>
      <c r="AE358" s="127">
        <v>4190</v>
      </c>
      <c r="AF358" s="125">
        <v>909.55200000000002</v>
      </c>
      <c r="AG358" s="127">
        <v>4170</v>
      </c>
      <c r="AH358" s="125">
        <v>253.696</v>
      </c>
      <c r="AI358" s="127">
        <v>4170</v>
      </c>
      <c r="AJ358" s="125">
        <v>265.27</v>
      </c>
    </row>
    <row r="359" spans="1:36" ht="14.25">
      <c r="A359" s="128">
        <v>4200</v>
      </c>
      <c r="B359" s="124">
        <v>534.13199999999995</v>
      </c>
      <c r="C359" s="128">
        <v>4210</v>
      </c>
      <c r="D359" s="125">
        <v>530.21799999999996</v>
      </c>
      <c r="E359" s="126">
        <v>4200</v>
      </c>
      <c r="F359" s="125">
        <v>1144.412</v>
      </c>
      <c r="G359" s="127">
        <v>4200</v>
      </c>
      <c r="H359" s="125">
        <v>1143.5150000000001</v>
      </c>
      <c r="I359" s="127">
        <v>4200</v>
      </c>
      <c r="J359" s="125">
        <v>985.08399999999995</v>
      </c>
      <c r="K359" s="127">
        <v>4200</v>
      </c>
      <c r="L359" s="125">
        <v>984.79399999999998</v>
      </c>
      <c r="M359" s="127">
        <v>4200</v>
      </c>
      <c r="N359" s="125">
        <v>984.875</v>
      </c>
      <c r="O359" s="127">
        <v>4180</v>
      </c>
      <c r="P359" s="125">
        <v>986.05600000000004</v>
      </c>
      <c r="Q359" s="127">
        <v>4200</v>
      </c>
      <c r="R359" s="125">
        <v>985.63</v>
      </c>
      <c r="S359" s="127">
        <v>4200</v>
      </c>
      <c r="T359" s="125">
        <v>986.15300000000002</v>
      </c>
      <c r="U359" s="127">
        <v>4190</v>
      </c>
      <c r="V359" s="125">
        <v>984.88300000000004</v>
      </c>
      <c r="W359" s="127">
        <v>4200</v>
      </c>
      <c r="X359" s="125">
        <v>984.67600000000004</v>
      </c>
      <c r="Y359" s="127">
        <v>4200</v>
      </c>
      <c r="Z359" s="125">
        <v>983.21400000000006</v>
      </c>
      <c r="AA359" s="127">
        <v>4200</v>
      </c>
      <c r="AB359" s="125">
        <v>983.01300000000003</v>
      </c>
      <c r="AC359" s="127">
        <v>4190</v>
      </c>
      <c r="AD359" s="125">
        <v>907.04700000000003</v>
      </c>
      <c r="AE359" s="127">
        <v>4200</v>
      </c>
      <c r="AF359" s="125">
        <v>908.34299999999996</v>
      </c>
      <c r="AG359" s="127">
        <v>4180</v>
      </c>
      <c r="AH359" s="125">
        <v>253.3</v>
      </c>
      <c r="AI359" s="127">
        <v>4180</v>
      </c>
      <c r="AJ359" s="125">
        <v>264.86</v>
      </c>
    </row>
    <row r="360" spans="1:36" ht="14.25">
      <c r="A360" s="128">
        <v>4210</v>
      </c>
      <c r="B360" s="124">
        <v>533.33100000000002</v>
      </c>
      <c r="C360" s="128">
        <v>4220</v>
      </c>
      <c r="D360" s="125">
        <v>529.42399999999998</v>
      </c>
      <c r="E360" s="126">
        <v>4210</v>
      </c>
      <c r="F360" s="125">
        <v>1142.905</v>
      </c>
      <c r="G360" s="127">
        <v>4210</v>
      </c>
      <c r="H360" s="125">
        <v>1142.0119999999999</v>
      </c>
      <c r="I360" s="127">
        <v>4210</v>
      </c>
      <c r="J360" s="125">
        <v>983.87</v>
      </c>
      <c r="K360" s="127">
        <v>4210</v>
      </c>
      <c r="L360" s="125">
        <v>983.58100000000002</v>
      </c>
      <c r="M360" s="127">
        <v>4210</v>
      </c>
      <c r="N360" s="125">
        <v>983.66200000000003</v>
      </c>
      <c r="O360" s="127">
        <v>4190</v>
      </c>
      <c r="P360" s="125">
        <v>984.84299999999996</v>
      </c>
      <c r="Q360" s="127">
        <v>4210</v>
      </c>
      <c r="R360" s="125">
        <v>984.41700000000003</v>
      </c>
      <c r="S360" s="127">
        <v>4210</v>
      </c>
      <c r="T360" s="125">
        <v>984.94</v>
      </c>
      <c r="U360" s="127">
        <v>4200</v>
      </c>
      <c r="V360" s="125">
        <v>983.673</v>
      </c>
      <c r="W360" s="127">
        <v>4210</v>
      </c>
      <c r="X360" s="125">
        <v>983.46500000000003</v>
      </c>
      <c r="Y360" s="127">
        <v>4210</v>
      </c>
      <c r="Z360" s="125">
        <v>982.00300000000004</v>
      </c>
      <c r="AA360" s="127">
        <v>4210</v>
      </c>
      <c r="AB360" s="125">
        <v>981.803</v>
      </c>
      <c r="AC360" s="127">
        <v>4200</v>
      </c>
      <c r="AD360" s="125">
        <v>905.83600000000001</v>
      </c>
      <c r="AE360" s="127">
        <v>4210</v>
      </c>
      <c r="AF360" s="125">
        <v>907.13300000000004</v>
      </c>
      <c r="AG360" s="127">
        <v>4190</v>
      </c>
      <c r="AH360" s="125">
        <v>252.90299999999999</v>
      </c>
      <c r="AI360" s="127">
        <v>4190</v>
      </c>
      <c r="AJ360" s="125">
        <v>264.45</v>
      </c>
    </row>
    <row r="361" spans="1:36" ht="14.25">
      <c r="A361" s="128">
        <v>4220</v>
      </c>
      <c r="B361" s="124">
        <v>532.53099999999995</v>
      </c>
      <c r="C361" s="128">
        <v>4230</v>
      </c>
      <c r="D361" s="125">
        <v>528.62900000000002</v>
      </c>
      <c r="E361" s="126">
        <v>4220</v>
      </c>
      <c r="F361" s="125">
        <v>1141.3979999999999</v>
      </c>
      <c r="G361" s="127">
        <v>4220</v>
      </c>
      <c r="H361" s="125">
        <v>1140.51</v>
      </c>
      <c r="I361" s="127">
        <v>4220</v>
      </c>
      <c r="J361" s="125">
        <v>982.65700000000004</v>
      </c>
      <c r="K361" s="127">
        <v>4220</v>
      </c>
      <c r="L361" s="125">
        <v>982.36699999999996</v>
      </c>
      <c r="M361" s="127">
        <v>4220</v>
      </c>
      <c r="N361" s="125">
        <v>982.44899999999996</v>
      </c>
      <c r="O361" s="127">
        <v>4200</v>
      </c>
      <c r="P361" s="125">
        <v>983.62900000000002</v>
      </c>
      <c r="Q361" s="127">
        <v>4220</v>
      </c>
      <c r="R361" s="125">
        <v>983.20399999999995</v>
      </c>
      <c r="S361" s="127">
        <v>4220</v>
      </c>
      <c r="T361" s="125">
        <v>983.72799999999995</v>
      </c>
      <c r="U361" s="127">
        <v>4210</v>
      </c>
      <c r="V361" s="125">
        <v>982.46299999999997</v>
      </c>
      <c r="W361" s="127">
        <v>4220</v>
      </c>
      <c r="X361" s="125">
        <v>982.25400000000002</v>
      </c>
      <c r="Y361" s="127">
        <v>4220</v>
      </c>
      <c r="Z361" s="125">
        <v>980.79100000000005</v>
      </c>
      <c r="AA361" s="127">
        <v>4220</v>
      </c>
      <c r="AB361" s="125">
        <v>980.59299999999996</v>
      </c>
      <c r="AC361" s="127">
        <v>4210</v>
      </c>
      <c r="AD361" s="125">
        <v>904.625</v>
      </c>
      <c r="AE361" s="127">
        <v>4220</v>
      </c>
      <c r="AF361" s="125">
        <v>905.92399999999998</v>
      </c>
      <c r="AG361" s="127">
        <v>4200</v>
      </c>
      <c r="AH361" s="125">
        <v>252.50700000000001</v>
      </c>
      <c r="AI361" s="127">
        <v>4200</v>
      </c>
      <c r="AJ361" s="125">
        <v>264.04000000000002</v>
      </c>
    </row>
    <row r="362" spans="1:36" ht="14.25">
      <c r="A362" s="128">
        <v>4230</v>
      </c>
      <c r="B362" s="124">
        <v>531.73099999999999</v>
      </c>
      <c r="C362" s="128">
        <v>4240</v>
      </c>
      <c r="D362" s="125">
        <v>527.83500000000004</v>
      </c>
      <c r="E362" s="126">
        <v>4230</v>
      </c>
      <c r="F362" s="125">
        <v>1139.8900000000001</v>
      </c>
      <c r="G362" s="127">
        <v>4230</v>
      </c>
      <c r="H362" s="125">
        <v>1139.0070000000001</v>
      </c>
      <c r="I362" s="127">
        <v>4230</v>
      </c>
      <c r="J362" s="125">
        <v>981.44399999999996</v>
      </c>
      <c r="K362" s="127">
        <v>4230</v>
      </c>
      <c r="L362" s="125">
        <v>981.15300000000002</v>
      </c>
      <c r="M362" s="127">
        <v>4230</v>
      </c>
      <c r="N362" s="125">
        <v>981.23599999999999</v>
      </c>
      <c r="O362" s="127">
        <v>4210</v>
      </c>
      <c r="P362" s="125">
        <v>982.41600000000005</v>
      </c>
      <c r="Q362" s="127">
        <v>4230</v>
      </c>
      <c r="R362" s="125">
        <v>981.99</v>
      </c>
      <c r="S362" s="127">
        <v>4230</v>
      </c>
      <c r="T362" s="125">
        <v>982.51599999999996</v>
      </c>
      <c r="U362" s="127">
        <v>4220</v>
      </c>
      <c r="V362" s="125">
        <v>981.25400000000002</v>
      </c>
      <c r="W362" s="127">
        <v>4230</v>
      </c>
      <c r="X362" s="125">
        <v>981.04300000000001</v>
      </c>
      <c r="Y362" s="127">
        <v>4230</v>
      </c>
      <c r="Z362" s="125">
        <v>979.58</v>
      </c>
      <c r="AA362" s="127">
        <v>4230</v>
      </c>
      <c r="AB362" s="125">
        <v>979.38300000000004</v>
      </c>
      <c r="AC362" s="127">
        <v>4220</v>
      </c>
      <c r="AD362" s="125">
        <v>903.41399999999999</v>
      </c>
      <c r="AE362" s="127">
        <v>4230</v>
      </c>
      <c r="AF362" s="125">
        <v>904.71400000000006</v>
      </c>
      <c r="AG362" s="127">
        <v>4210</v>
      </c>
      <c r="AH362" s="125">
        <v>252.11099999999999</v>
      </c>
      <c r="AI362" s="127">
        <v>4210</v>
      </c>
      <c r="AJ362" s="125">
        <v>263.62900000000002</v>
      </c>
    </row>
    <row r="363" spans="1:36" ht="14.25">
      <c r="A363" s="128">
        <v>4240</v>
      </c>
      <c r="B363" s="124">
        <v>530.93100000000004</v>
      </c>
      <c r="C363" s="128">
        <v>4250</v>
      </c>
      <c r="D363" s="125">
        <v>527.04100000000005</v>
      </c>
      <c r="E363" s="126">
        <v>4240</v>
      </c>
      <c r="F363" s="125">
        <v>1138.383</v>
      </c>
      <c r="G363" s="127">
        <v>4240</v>
      </c>
      <c r="H363" s="125">
        <v>1137.5050000000001</v>
      </c>
      <c r="I363" s="127">
        <v>4240</v>
      </c>
      <c r="J363" s="125">
        <v>980.23</v>
      </c>
      <c r="K363" s="127">
        <v>4240</v>
      </c>
      <c r="L363" s="125">
        <v>979.94</v>
      </c>
      <c r="M363" s="127">
        <v>4240</v>
      </c>
      <c r="N363" s="125">
        <v>980.02300000000002</v>
      </c>
      <c r="O363" s="127">
        <v>4220</v>
      </c>
      <c r="P363" s="125">
        <v>981.20299999999997</v>
      </c>
      <c r="Q363" s="127">
        <v>4240</v>
      </c>
      <c r="R363" s="125">
        <v>980.77700000000004</v>
      </c>
      <c r="S363" s="127">
        <v>4240</v>
      </c>
      <c r="T363" s="125">
        <v>981.30399999999997</v>
      </c>
      <c r="U363" s="127">
        <v>4230</v>
      </c>
      <c r="V363" s="125">
        <v>980.04399999999998</v>
      </c>
      <c r="W363" s="127">
        <v>4240</v>
      </c>
      <c r="X363" s="125">
        <v>979.83299999999997</v>
      </c>
      <c r="Y363" s="127">
        <v>4240</v>
      </c>
      <c r="Z363" s="125">
        <v>978.36800000000005</v>
      </c>
      <c r="AA363" s="127">
        <v>4240</v>
      </c>
      <c r="AB363" s="125">
        <v>978.173</v>
      </c>
      <c r="AC363" s="127">
        <v>4230</v>
      </c>
      <c r="AD363" s="125">
        <v>902.20299999999997</v>
      </c>
      <c r="AE363" s="127">
        <v>4240</v>
      </c>
      <c r="AF363" s="125">
        <v>903.505</v>
      </c>
      <c r="AG363" s="127">
        <v>4220</v>
      </c>
      <c r="AH363" s="125">
        <v>251.714</v>
      </c>
      <c r="AI363" s="127">
        <v>4220</v>
      </c>
      <c r="AJ363" s="125">
        <v>263.21899999999999</v>
      </c>
    </row>
    <row r="364" spans="1:36" ht="14.25">
      <c r="A364" s="128">
        <v>4250</v>
      </c>
      <c r="B364" s="124">
        <v>530.13099999999997</v>
      </c>
      <c r="C364" s="128">
        <v>4260</v>
      </c>
      <c r="D364" s="125">
        <v>526.24699999999996</v>
      </c>
      <c r="E364" s="126">
        <v>4250</v>
      </c>
      <c r="F364" s="125">
        <v>1136.877</v>
      </c>
      <c r="G364" s="127">
        <v>4250</v>
      </c>
      <c r="H364" s="125">
        <v>1136.0029999999999</v>
      </c>
      <c r="I364" s="127">
        <v>4250</v>
      </c>
      <c r="J364" s="125">
        <v>979.01700000000005</v>
      </c>
      <c r="K364" s="127">
        <v>4250</v>
      </c>
      <c r="L364" s="125">
        <v>978.726</v>
      </c>
      <c r="M364" s="127">
        <v>4250</v>
      </c>
      <c r="N364" s="125">
        <v>978.81</v>
      </c>
      <c r="O364" s="127">
        <v>4230</v>
      </c>
      <c r="P364" s="125">
        <v>979.99</v>
      </c>
      <c r="Q364" s="127">
        <v>4250</v>
      </c>
      <c r="R364" s="125">
        <v>979.56399999999996</v>
      </c>
      <c r="S364" s="127">
        <v>4250</v>
      </c>
      <c r="T364" s="125">
        <v>980.09100000000001</v>
      </c>
      <c r="U364" s="127">
        <v>4240</v>
      </c>
      <c r="V364" s="125">
        <v>978.83399999999995</v>
      </c>
      <c r="W364" s="127">
        <v>4250</v>
      </c>
      <c r="X364" s="125">
        <v>978.62199999999996</v>
      </c>
      <c r="Y364" s="127">
        <v>4250</v>
      </c>
      <c r="Z364" s="125">
        <v>977.15700000000004</v>
      </c>
      <c r="AA364" s="127">
        <v>4250</v>
      </c>
      <c r="AB364" s="125">
        <v>976.96400000000006</v>
      </c>
      <c r="AC364" s="127">
        <v>4240</v>
      </c>
      <c r="AD364" s="125">
        <v>900.99300000000005</v>
      </c>
      <c r="AE364" s="127">
        <v>4250</v>
      </c>
      <c r="AF364" s="125">
        <v>902.29499999999996</v>
      </c>
      <c r="AG364" s="127">
        <v>4230</v>
      </c>
      <c r="AH364" s="125">
        <v>251.31800000000001</v>
      </c>
      <c r="AI364" s="127">
        <v>4230</v>
      </c>
      <c r="AJ364" s="125">
        <v>262.80900000000003</v>
      </c>
    </row>
    <row r="365" spans="1:36" ht="14.25">
      <c r="A365" s="128">
        <v>4260</v>
      </c>
      <c r="B365" s="124">
        <v>529.33100000000002</v>
      </c>
      <c r="C365" s="128">
        <v>4270</v>
      </c>
      <c r="D365" s="125">
        <v>525.45299999999997</v>
      </c>
      <c r="E365" s="126">
        <v>4260</v>
      </c>
      <c r="F365" s="125">
        <v>1135.3699999999999</v>
      </c>
      <c r="G365" s="127">
        <v>4260</v>
      </c>
      <c r="H365" s="125">
        <v>1134.501</v>
      </c>
      <c r="I365" s="127">
        <v>4260</v>
      </c>
      <c r="J365" s="125">
        <v>977.80399999999997</v>
      </c>
      <c r="K365" s="127">
        <v>4260</v>
      </c>
      <c r="L365" s="125">
        <v>977.51199999999994</v>
      </c>
      <c r="M365" s="127">
        <v>4260</v>
      </c>
      <c r="N365" s="125">
        <v>977.59699999999998</v>
      </c>
      <c r="O365" s="127">
        <v>4240</v>
      </c>
      <c r="P365" s="125">
        <v>978.77599999999995</v>
      </c>
      <c r="Q365" s="127">
        <v>4260</v>
      </c>
      <c r="R365" s="125">
        <v>978.351</v>
      </c>
      <c r="S365" s="127">
        <v>4260</v>
      </c>
      <c r="T365" s="125">
        <v>978.87900000000002</v>
      </c>
      <c r="U365" s="127">
        <v>4250</v>
      </c>
      <c r="V365" s="125">
        <v>977.625</v>
      </c>
      <c r="W365" s="127">
        <v>4260</v>
      </c>
      <c r="X365" s="125">
        <v>977.41099999999994</v>
      </c>
      <c r="Y365" s="127">
        <v>4260</v>
      </c>
      <c r="Z365" s="125">
        <v>975.94500000000005</v>
      </c>
      <c r="AA365" s="127">
        <v>4260</v>
      </c>
      <c r="AB365" s="125">
        <v>975.75400000000002</v>
      </c>
      <c r="AC365" s="127">
        <v>4250</v>
      </c>
      <c r="AD365" s="125">
        <v>899.78200000000004</v>
      </c>
      <c r="AE365" s="127">
        <v>4260</v>
      </c>
      <c r="AF365" s="125">
        <v>901.08600000000001</v>
      </c>
      <c r="AG365" s="127">
        <v>4240</v>
      </c>
      <c r="AH365" s="125">
        <v>250.922</v>
      </c>
      <c r="AI365" s="127">
        <v>4240</v>
      </c>
      <c r="AJ365" s="125">
        <v>262.399</v>
      </c>
    </row>
    <row r="366" spans="1:36" ht="14.25">
      <c r="A366" s="128">
        <v>4270</v>
      </c>
      <c r="B366" s="124">
        <v>528.53200000000004</v>
      </c>
      <c r="C366" s="128">
        <v>4280</v>
      </c>
      <c r="D366" s="125">
        <v>524.66</v>
      </c>
      <c r="E366" s="126">
        <v>4270</v>
      </c>
      <c r="F366" s="125">
        <v>1133.8630000000001</v>
      </c>
      <c r="G366" s="127">
        <v>4270</v>
      </c>
      <c r="H366" s="125">
        <v>1132.999</v>
      </c>
      <c r="I366" s="127">
        <v>4270</v>
      </c>
      <c r="J366" s="125">
        <v>976.59100000000001</v>
      </c>
      <c r="K366" s="127">
        <v>4270</v>
      </c>
      <c r="L366" s="125">
        <v>976.298</v>
      </c>
      <c r="M366" s="127">
        <v>4270</v>
      </c>
      <c r="N366" s="125">
        <v>976.38400000000001</v>
      </c>
      <c r="O366" s="127">
        <v>4250</v>
      </c>
      <c r="P366" s="125">
        <v>977.56299999999999</v>
      </c>
      <c r="Q366" s="127">
        <v>4270</v>
      </c>
      <c r="R366" s="125">
        <v>977.13800000000003</v>
      </c>
      <c r="S366" s="127">
        <v>4270</v>
      </c>
      <c r="T366" s="125">
        <v>977.66700000000003</v>
      </c>
      <c r="U366" s="127">
        <v>4260</v>
      </c>
      <c r="V366" s="125">
        <v>976.41499999999996</v>
      </c>
      <c r="W366" s="127">
        <v>4270</v>
      </c>
      <c r="X366" s="125">
        <v>976.20100000000002</v>
      </c>
      <c r="Y366" s="127">
        <v>4270</v>
      </c>
      <c r="Z366" s="125">
        <v>974.73400000000004</v>
      </c>
      <c r="AA366" s="127">
        <v>4270</v>
      </c>
      <c r="AB366" s="125">
        <v>974.54399999999998</v>
      </c>
      <c r="AC366" s="127">
        <v>4260</v>
      </c>
      <c r="AD366" s="125">
        <v>898.57100000000003</v>
      </c>
      <c r="AE366" s="127">
        <v>4270</v>
      </c>
      <c r="AF366" s="125">
        <v>899.87599999999998</v>
      </c>
      <c r="AG366" s="127">
        <v>4250</v>
      </c>
      <c r="AH366" s="125">
        <v>250.52500000000001</v>
      </c>
      <c r="AI366" s="127">
        <v>4250</v>
      </c>
      <c r="AJ366" s="125">
        <v>261.988</v>
      </c>
    </row>
    <row r="367" spans="1:36" ht="14.25">
      <c r="A367" s="128">
        <v>4280</v>
      </c>
      <c r="B367" s="124">
        <v>527.73299999999995</v>
      </c>
      <c r="C367" s="128">
        <v>4290</v>
      </c>
      <c r="D367" s="125">
        <v>523.86699999999996</v>
      </c>
      <c r="E367" s="126">
        <v>4280</v>
      </c>
      <c r="F367" s="125">
        <v>1132.357</v>
      </c>
      <c r="G367" s="127">
        <v>4280</v>
      </c>
      <c r="H367" s="125">
        <v>1131.498</v>
      </c>
      <c r="I367" s="127">
        <v>4280</v>
      </c>
      <c r="J367" s="125">
        <v>975.37699999999995</v>
      </c>
      <c r="K367" s="127">
        <v>4280</v>
      </c>
      <c r="L367" s="125">
        <v>975.08500000000004</v>
      </c>
      <c r="M367" s="127">
        <v>4280</v>
      </c>
      <c r="N367" s="125">
        <v>975.17100000000005</v>
      </c>
      <c r="O367" s="127">
        <v>4260</v>
      </c>
      <c r="P367" s="125">
        <v>976.35</v>
      </c>
      <c r="Q367" s="127">
        <v>4280</v>
      </c>
      <c r="R367" s="125">
        <v>975.92499999999995</v>
      </c>
      <c r="S367" s="127">
        <v>4280</v>
      </c>
      <c r="T367" s="125">
        <v>976.45399999999995</v>
      </c>
      <c r="U367" s="127">
        <v>4270</v>
      </c>
      <c r="V367" s="125">
        <v>975.20500000000004</v>
      </c>
      <c r="W367" s="127">
        <v>4280</v>
      </c>
      <c r="X367" s="125">
        <v>974.99</v>
      </c>
      <c r="Y367" s="127">
        <v>4280</v>
      </c>
      <c r="Z367" s="125">
        <v>973.52200000000005</v>
      </c>
      <c r="AA367" s="127">
        <v>4280</v>
      </c>
      <c r="AB367" s="125">
        <v>973.33399999999995</v>
      </c>
      <c r="AC367" s="127">
        <v>4270</v>
      </c>
      <c r="AD367" s="125">
        <v>897.36</v>
      </c>
      <c r="AE367" s="127">
        <v>4280</v>
      </c>
      <c r="AF367" s="125">
        <v>898.66700000000003</v>
      </c>
      <c r="AG367" s="127">
        <v>4260</v>
      </c>
      <c r="AH367" s="125">
        <v>250.12899999999999</v>
      </c>
      <c r="AI367" s="127">
        <v>4260</v>
      </c>
      <c r="AJ367" s="125">
        <v>261.57799999999997</v>
      </c>
    </row>
    <row r="368" spans="1:36" ht="14.25">
      <c r="A368" s="128">
        <v>4290</v>
      </c>
      <c r="B368" s="124">
        <v>526.93399999999997</v>
      </c>
      <c r="C368" s="128">
        <v>4300</v>
      </c>
      <c r="D368" s="125">
        <v>523.07299999999998</v>
      </c>
      <c r="E368" s="126">
        <v>4290</v>
      </c>
      <c r="F368" s="125">
        <v>1130.8510000000001</v>
      </c>
      <c r="G368" s="127">
        <v>4290</v>
      </c>
      <c r="H368" s="125">
        <v>1129.9960000000001</v>
      </c>
      <c r="I368" s="127">
        <v>4290</v>
      </c>
      <c r="J368" s="125">
        <v>974.16399999999999</v>
      </c>
      <c r="K368" s="127">
        <v>4290</v>
      </c>
      <c r="L368" s="125">
        <v>973.87099999999998</v>
      </c>
      <c r="M368" s="127">
        <v>4290</v>
      </c>
      <c r="N368" s="125">
        <v>973.95799999999997</v>
      </c>
      <c r="O368" s="127">
        <v>4270</v>
      </c>
      <c r="P368" s="125">
        <v>975.13699999999994</v>
      </c>
      <c r="Q368" s="127">
        <v>4290</v>
      </c>
      <c r="R368" s="125">
        <v>974.71199999999999</v>
      </c>
      <c r="S368" s="127">
        <v>4290</v>
      </c>
      <c r="T368" s="125">
        <v>975.24199999999996</v>
      </c>
      <c r="U368" s="127">
        <v>4280</v>
      </c>
      <c r="V368" s="125">
        <v>973.99599999999998</v>
      </c>
      <c r="W368" s="127">
        <v>4290</v>
      </c>
      <c r="X368" s="125">
        <v>973.779</v>
      </c>
      <c r="Y368" s="127">
        <v>4290</v>
      </c>
      <c r="Z368" s="125">
        <v>972.31100000000004</v>
      </c>
      <c r="AA368" s="127">
        <v>4290</v>
      </c>
      <c r="AB368" s="125">
        <v>972.12400000000002</v>
      </c>
      <c r="AC368" s="127">
        <v>4280</v>
      </c>
      <c r="AD368" s="125">
        <v>896.149</v>
      </c>
      <c r="AE368" s="127">
        <v>4290</v>
      </c>
      <c r="AF368" s="125">
        <v>897.45699999999999</v>
      </c>
      <c r="AG368" s="127">
        <v>4270</v>
      </c>
      <c r="AH368" s="125">
        <v>249.733</v>
      </c>
      <c r="AI368" s="127">
        <v>4270</v>
      </c>
      <c r="AJ368" s="125">
        <v>261.16800000000001</v>
      </c>
    </row>
    <row r="369" spans="1:36" ht="14.25">
      <c r="A369" s="128">
        <v>4300</v>
      </c>
      <c r="B369" s="124">
        <v>526.13499999999999</v>
      </c>
      <c r="C369" s="128">
        <v>4310</v>
      </c>
      <c r="D369" s="125">
        <v>522.28</v>
      </c>
      <c r="E369" s="126">
        <v>4300</v>
      </c>
      <c r="F369" s="125">
        <v>1129.3440000000001</v>
      </c>
      <c r="G369" s="127">
        <v>4300</v>
      </c>
      <c r="H369" s="125">
        <v>1128.4949999999999</v>
      </c>
      <c r="I369" s="127">
        <v>4300</v>
      </c>
      <c r="J369" s="125">
        <v>972.95100000000002</v>
      </c>
      <c r="K369" s="127">
        <v>4300</v>
      </c>
      <c r="L369" s="125">
        <v>972.65700000000004</v>
      </c>
      <c r="M369" s="127">
        <v>4300</v>
      </c>
      <c r="N369" s="125">
        <v>972.745</v>
      </c>
      <c r="O369" s="127">
        <v>4280</v>
      </c>
      <c r="P369" s="125">
        <v>973.923</v>
      </c>
      <c r="Q369" s="127">
        <v>4300</v>
      </c>
      <c r="R369" s="125">
        <v>973.49900000000002</v>
      </c>
      <c r="S369" s="127">
        <v>4300</v>
      </c>
      <c r="T369" s="125">
        <v>974.03</v>
      </c>
      <c r="U369" s="127">
        <v>4290</v>
      </c>
      <c r="V369" s="125">
        <v>972.78599999999994</v>
      </c>
      <c r="W369" s="127">
        <v>4300</v>
      </c>
      <c r="X369" s="125">
        <v>972.56899999999996</v>
      </c>
      <c r="Y369" s="127">
        <v>4300</v>
      </c>
      <c r="Z369" s="125">
        <v>971.09900000000005</v>
      </c>
      <c r="AA369" s="127">
        <v>4300</v>
      </c>
      <c r="AB369" s="125">
        <v>970.91399999999999</v>
      </c>
      <c r="AC369" s="127">
        <v>4290</v>
      </c>
      <c r="AD369" s="125">
        <v>894.93799999999999</v>
      </c>
      <c r="AE369" s="127">
        <v>4300</v>
      </c>
      <c r="AF369" s="125">
        <v>896.24800000000005</v>
      </c>
      <c r="AG369" s="127">
        <v>4280</v>
      </c>
      <c r="AH369" s="125">
        <v>249.33600000000001</v>
      </c>
      <c r="AI369" s="127">
        <v>4280</v>
      </c>
      <c r="AJ369" s="125">
        <v>260.75799999999998</v>
      </c>
    </row>
    <row r="370" spans="1:36" ht="14.25">
      <c r="A370" s="128">
        <v>4310</v>
      </c>
      <c r="B370" s="124">
        <v>525.33600000000001</v>
      </c>
      <c r="C370" s="128">
        <v>4320</v>
      </c>
      <c r="D370" s="125">
        <v>521.48699999999997</v>
      </c>
      <c r="E370" s="126">
        <v>4310</v>
      </c>
      <c r="F370" s="125">
        <v>1127.838</v>
      </c>
      <c r="G370" s="127">
        <v>4310</v>
      </c>
      <c r="H370" s="125">
        <v>1126.9929999999999</v>
      </c>
      <c r="I370" s="127">
        <v>4310</v>
      </c>
      <c r="J370" s="125">
        <v>971.73699999999997</v>
      </c>
      <c r="K370" s="127">
        <v>4310</v>
      </c>
      <c r="L370" s="125">
        <v>971.44399999999996</v>
      </c>
      <c r="M370" s="127">
        <v>4310</v>
      </c>
      <c r="N370" s="125">
        <v>971.53200000000004</v>
      </c>
      <c r="O370" s="127">
        <v>4290</v>
      </c>
      <c r="P370" s="125">
        <v>972.71</v>
      </c>
      <c r="Q370" s="127">
        <v>4310</v>
      </c>
      <c r="R370" s="125">
        <v>972.28599999999994</v>
      </c>
      <c r="S370" s="127">
        <v>4310</v>
      </c>
      <c r="T370" s="125">
        <v>972.81700000000001</v>
      </c>
      <c r="U370" s="127">
        <v>4300</v>
      </c>
      <c r="V370" s="125">
        <v>971.57600000000002</v>
      </c>
      <c r="W370" s="127">
        <v>4310</v>
      </c>
      <c r="X370" s="125">
        <v>971.35799999999995</v>
      </c>
      <c r="Y370" s="127">
        <v>4310</v>
      </c>
      <c r="Z370" s="125">
        <v>969.88800000000003</v>
      </c>
      <c r="AA370" s="127">
        <v>4310</v>
      </c>
      <c r="AB370" s="125">
        <v>969.70399999999995</v>
      </c>
      <c r="AC370" s="127">
        <v>4300</v>
      </c>
      <c r="AD370" s="125">
        <v>893.72799999999995</v>
      </c>
      <c r="AE370" s="127">
        <v>4310</v>
      </c>
      <c r="AF370" s="125">
        <v>895.03800000000001</v>
      </c>
      <c r="AG370" s="127">
        <v>4290</v>
      </c>
      <c r="AH370" s="125">
        <v>248.94</v>
      </c>
      <c r="AI370" s="127">
        <v>4290</v>
      </c>
      <c r="AJ370" s="125">
        <v>260.34800000000001</v>
      </c>
    </row>
    <row r="371" spans="1:36" ht="14.25">
      <c r="A371" s="128">
        <v>4320</v>
      </c>
      <c r="B371" s="124">
        <v>524.53700000000003</v>
      </c>
      <c r="C371" s="128">
        <v>4330</v>
      </c>
      <c r="D371" s="125">
        <v>520.69500000000005</v>
      </c>
      <c r="E371" s="126">
        <v>4320</v>
      </c>
      <c r="F371" s="125">
        <v>1126.3320000000001</v>
      </c>
      <c r="G371" s="127">
        <v>4320</v>
      </c>
      <c r="H371" s="125">
        <v>1125.492</v>
      </c>
      <c r="I371" s="127">
        <v>4320</v>
      </c>
      <c r="J371" s="125">
        <v>970.524</v>
      </c>
      <c r="K371" s="127">
        <v>4320</v>
      </c>
      <c r="L371" s="125">
        <v>970.23</v>
      </c>
      <c r="M371" s="127">
        <v>4320</v>
      </c>
      <c r="N371" s="125">
        <v>970.31899999999996</v>
      </c>
      <c r="O371" s="127">
        <v>4300</v>
      </c>
      <c r="P371" s="125">
        <v>971.49699999999996</v>
      </c>
      <c r="Q371" s="127">
        <v>4320</v>
      </c>
      <c r="R371" s="125">
        <v>971.07299999999998</v>
      </c>
      <c r="S371" s="127">
        <v>4320</v>
      </c>
      <c r="T371" s="125">
        <v>971.60500000000002</v>
      </c>
      <c r="U371" s="127">
        <v>4310</v>
      </c>
      <c r="V371" s="125">
        <v>970.36599999999999</v>
      </c>
      <c r="W371" s="127">
        <v>4320</v>
      </c>
      <c r="X371" s="125">
        <v>970.14700000000005</v>
      </c>
      <c r="Y371" s="127">
        <v>4320</v>
      </c>
      <c r="Z371" s="125">
        <v>968.67600000000004</v>
      </c>
      <c r="AA371" s="127">
        <v>4320</v>
      </c>
      <c r="AB371" s="125">
        <v>968.49400000000003</v>
      </c>
      <c r="AC371" s="127">
        <v>4310</v>
      </c>
      <c r="AD371" s="125">
        <v>892.51700000000005</v>
      </c>
      <c r="AE371" s="127">
        <v>4320</v>
      </c>
      <c r="AF371" s="125">
        <v>893.82899999999995</v>
      </c>
      <c r="AG371" s="127">
        <v>4300</v>
      </c>
      <c r="AH371" s="125">
        <v>248.54400000000001</v>
      </c>
      <c r="AI371" s="127">
        <v>4300</v>
      </c>
      <c r="AJ371" s="125">
        <v>259.93799999999999</v>
      </c>
    </row>
    <row r="372" spans="1:36" ht="14.25">
      <c r="A372" s="128">
        <v>4330</v>
      </c>
      <c r="B372" s="124">
        <v>523.73900000000003</v>
      </c>
      <c r="C372" s="128">
        <v>4340</v>
      </c>
      <c r="D372" s="125">
        <v>519.90200000000004</v>
      </c>
      <c r="E372" s="126">
        <v>4330</v>
      </c>
      <c r="F372" s="125">
        <v>1124.827</v>
      </c>
      <c r="G372" s="127">
        <v>4330</v>
      </c>
      <c r="H372" s="125">
        <v>1123.991</v>
      </c>
      <c r="I372" s="127">
        <v>4330</v>
      </c>
      <c r="J372" s="125">
        <v>969.31100000000004</v>
      </c>
      <c r="K372" s="127">
        <v>4330</v>
      </c>
      <c r="L372" s="125">
        <v>969.01599999999996</v>
      </c>
      <c r="M372" s="127">
        <v>4330</v>
      </c>
      <c r="N372" s="125">
        <v>969.10599999999999</v>
      </c>
      <c r="O372" s="127">
        <v>4310</v>
      </c>
      <c r="P372" s="125">
        <v>970.28399999999999</v>
      </c>
      <c r="Q372" s="127">
        <v>4330</v>
      </c>
      <c r="R372" s="125">
        <v>969.86</v>
      </c>
      <c r="S372" s="127">
        <v>4330</v>
      </c>
      <c r="T372" s="125">
        <v>970.39300000000003</v>
      </c>
      <c r="U372" s="127">
        <v>4320</v>
      </c>
      <c r="V372" s="125">
        <v>969.15700000000004</v>
      </c>
      <c r="W372" s="127">
        <v>4330</v>
      </c>
      <c r="X372" s="125">
        <v>968.93700000000001</v>
      </c>
      <c r="Y372" s="127">
        <v>4330</v>
      </c>
      <c r="Z372" s="125">
        <v>967.46500000000003</v>
      </c>
      <c r="AA372" s="127">
        <v>4330</v>
      </c>
      <c r="AB372" s="125">
        <v>967.28399999999999</v>
      </c>
      <c r="AC372" s="127">
        <v>4320</v>
      </c>
      <c r="AD372" s="125">
        <v>891.30600000000004</v>
      </c>
      <c r="AE372" s="127">
        <v>4330</v>
      </c>
      <c r="AF372" s="125">
        <v>892.61900000000003</v>
      </c>
      <c r="AG372" s="127">
        <v>4310</v>
      </c>
      <c r="AH372" s="125">
        <v>248.148</v>
      </c>
      <c r="AI372" s="127">
        <v>4310</v>
      </c>
      <c r="AJ372" s="125">
        <v>259.52699999999999</v>
      </c>
    </row>
    <row r="373" spans="1:36" ht="14.25">
      <c r="A373" s="128">
        <v>4340</v>
      </c>
      <c r="B373" s="124">
        <v>522.94000000000005</v>
      </c>
      <c r="C373" s="128">
        <v>4350</v>
      </c>
      <c r="D373" s="125">
        <v>519.11</v>
      </c>
      <c r="E373" s="126">
        <v>4340</v>
      </c>
      <c r="F373" s="125">
        <v>1123.3209999999999</v>
      </c>
      <c r="G373" s="127">
        <v>4340</v>
      </c>
      <c r="H373" s="125">
        <v>1122.49</v>
      </c>
      <c r="I373" s="127">
        <v>4340</v>
      </c>
      <c r="J373" s="125">
        <v>968.09799999999996</v>
      </c>
      <c r="K373" s="127">
        <v>4340</v>
      </c>
      <c r="L373" s="125">
        <v>967.80200000000002</v>
      </c>
      <c r="M373" s="127">
        <v>4340</v>
      </c>
      <c r="N373" s="125">
        <v>967.89300000000003</v>
      </c>
      <c r="O373" s="127">
        <v>4320</v>
      </c>
      <c r="P373" s="125">
        <v>969.07</v>
      </c>
      <c r="Q373" s="127">
        <v>4340</v>
      </c>
      <c r="R373" s="125">
        <v>968.64599999999996</v>
      </c>
      <c r="S373" s="127">
        <v>4340</v>
      </c>
      <c r="T373" s="125">
        <v>969.18</v>
      </c>
      <c r="U373" s="127">
        <v>4330</v>
      </c>
      <c r="V373" s="125">
        <v>967.947</v>
      </c>
      <c r="W373" s="127">
        <v>4340</v>
      </c>
      <c r="X373" s="125">
        <v>967.726</v>
      </c>
      <c r="Y373" s="127">
        <v>4340</v>
      </c>
      <c r="Z373" s="125">
        <v>966.25300000000004</v>
      </c>
      <c r="AA373" s="127">
        <v>4340</v>
      </c>
      <c r="AB373" s="125">
        <v>966.07399999999996</v>
      </c>
      <c r="AC373" s="127">
        <v>4330</v>
      </c>
      <c r="AD373" s="125">
        <v>890.09500000000003</v>
      </c>
      <c r="AE373" s="127">
        <v>4340</v>
      </c>
      <c r="AF373" s="125">
        <v>891.40899999999999</v>
      </c>
      <c r="AG373" s="127">
        <v>4320</v>
      </c>
      <c r="AH373" s="125">
        <v>247.751</v>
      </c>
      <c r="AI373" s="127">
        <v>4320</v>
      </c>
      <c r="AJ373" s="125">
        <v>259.11700000000002</v>
      </c>
    </row>
    <row r="374" spans="1:36" ht="14.25">
      <c r="A374" s="128">
        <v>4350</v>
      </c>
      <c r="B374" s="124">
        <v>522.14200000000005</v>
      </c>
      <c r="C374" s="128">
        <v>4360</v>
      </c>
      <c r="D374" s="125">
        <v>518.31799999999998</v>
      </c>
      <c r="E374" s="126">
        <v>4350</v>
      </c>
      <c r="F374" s="125">
        <v>1121.8150000000001</v>
      </c>
      <c r="G374" s="127">
        <v>4350</v>
      </c>
      <c r="H374" s="125">
        <v>1120.989</v>
      </c>
      <c r="I374" s="127">
        <v>4350</v>
      </c>
      <c r="J374" s="125">
        <v>966.88400000000001</v>
      </c>
      <c r="K374" s="127">
        <v>4350</v>
      </c>
      <c r="L374" s="125">
        <v>966.58900000000006</v>
      </c>
      <c r="M374" s="127">
        <v>4350</v>
      </c>
      <c r="N374" s="125">
        <v>966.68</v>
      </c>
      <c r="O374" s="127">
        <v>4330</v>
      </c>
      <c r="P374" s="125">
        <v>967.85699999999997</v>
      </c>
      <c r="Q374" s="127">
        <v>4350</v>
      </c>
      <c r="R374" s="125">
        <v>967.43299999999999</v>
      </c>
      <c r="S374" s="127">
        <v>4350</v>
      </c>
      <c r="T374" s="125">
        <v>967.96799999999996</v>
      </c>
      <c r="U374" s="127">
        <v>4340</v>
      </c>
      <c r="V374" s="125">
        <v>966.73699999999997</v>
      </c>
      <c r="W374" s="127">
        <v>4350</v>
      </c>
      <c r="X374" s="125">
        <v>966.51499999999999</v>
      </c>
      <c r="Y374" s="127">
        <v>4350</v>
      </c>
      <c r="Z374" s="125">
        <v>965.04200000000003</v>
      </c>
      <c r="AA374" s="127">
        <v>4350</v>
      </c>
      <c r="AB374" s="125">
        <v>964.86400000000003</v>
      </c>
      <c r="AC374" s="127">
        <v>4340</v>
      </c>
      <c r="AD374" s="125">
        <v>888.88400000000001</v>
      </c>
      <c r="AE374" s="127">
        <v>4350</v>
      </c>
      <c r="AF374" s="125">
        <v>890.2</v>
      </c>
      <c r="AG374" s="127">
        <v>4330</v>
      </c>
      <c r="AH374" s="125">
        <v>247.35499999999999</v>
      </c>
      <c r="AI374" s="127">
        <v>4330</v>
      </c>
      <c r="AJ374" s="125">
        <v>258.70699999999999</v>
      </c>
    </row>
    <row r="375" spans="1:36" ht="14.25">
      <c r="A375" s="128">
        <v>4360</v>
      </c>
      <c r="B375" s="124">
        <v>521.34400000000005</v>
      </c>
      <c r="C375" s="128">
        <v>4370</v>
      </c>
      <c r="D375" s="125">
        <v>517.52499999999998</v>
      </c>
      <c r="E375" s="126">
        <v>4360</v>
      </c>
      <c r="F375" s="125">
        <v>1120.31</v>
      </c>
      <c r="G375" s="127">
        <v>4360</v>
      </c>
      <c r="H375" s="125">
        <v>1119.4880000000001</v>
      </c>
      <c r="I375" s="127">
        <v>4360</v>
      </c>
      <c r="J375" s="125">
        <v>965.67100000000005</v>
      </c>
      <c r="K375" s="127">
        <v>4360</v>
      </c>
      <c r="L375" s="125">
        <v>965.375</v>
      </c>
      <c r="M375" s="127">
        <v>4360</v>
      </c>
      <c r="N375" s="125">
        <v>965.46699999999998</v>
      </c>
      <c r="O375" s="127">
        <v>4340</v>
      </c>
      <c r="P375" s="125">
        <v>966.64400000000001</v>
      </c>
      <c r="Q375" s="127">
        <v>4360</v>
      </c>
      <c r="R375" s="125">
        <v>966.22</v>
      </c>
      <c r="S375" s="127">
        <v>4360</v>
      </c>
      <c r="T375" s="125">
        <v>966.75599999999997</v>
      </c>
      <c r="U375" s="127">
        <v>4350</v>
      </c>
      <c r="V375" s="125">
        <v>965.52800000000002</v>
      </c>
      <c r="W375" s="127">
        <v>4360</v>
      </c>
      <c r="X375" s="125">
        <v>965.30399999999997</v>
      </c>
      <c r="Y375" s="127">
        <v>4360</v>
      </c>
      <c r="Z375" s="125">
        <v>963.83</v>
      </c>
      <c r="AA375" s="127">
        <v>4360</v>
      </c>
      <c r="AB375" s="125">
        <v>963.654</v>
      </c>
      <c r="AC375" s="127">
        <v>4350</v>
      </c>
      <c r="AD375" s="125">
        <v>887.673</v>
      </c>
      <c r="AE375" s="127">
        <v>4360</v>
      </c>
      <c r="AF375" s="125">
        <v>888.99</v>
      </c>
      <c r="AG375" s="127">
        <v>4340</v>
      </c>
      <c r="AH375" s="125">
        <v>246.959</v>
      </c>
      <c r="AI375" s="127">
        <v>4340</v>
      </c>
      <c r="AJ375" s="125">
        <v>258.29700000000003</v>
      </c>
    </row>
    <row r="376" spans="1:36" ht="14.25">
      <c r="A376" s="128">
        <v>4370</v>
      </c>
      <c r="B376" s="124">
        <v>520.54700000000003</v>
      </c>
      <c r="C376" s="128">
        <v>4380</v>
      </c>
      <c r="D376" s="125">
        <v>516.73400000000004</v>
      </c>
      <c r="E376" s="126">
        <v>4370</v>
      </c>
      <c r="F376" s="125">
        <v>1118.8050000000001</v>
      </c>
      <c r="G376" s="127">
        <v>4370</v>
      </c>
      <c r="H376" s="125">
        <v>1117.9880000000001</v>
      </c>
      <c r="I376" s="127">
        <v>4370</v>
      </c>
      <c r="J376" s="125">
        <v>964.45799999999997</v>
      </c>
      <c r="K376" s="127">
        <v>4370</v>
      </c>
      <c r="L376" s="125">
        <v>964.16099999999994</v>
      </c>
      <c r="M376" s="127">
        <v>4370</v>
      </c>
      <c r="N376" s="125">
        <v>964.25400000000002</v>
      </c>
      <c r="O376" s="127">
        <v>4350</v>
      </c>
      <c r="P376" s="125">
        <v>965.43100000000004</v>
      </c>
      <c r="Q376" s="127">
        <v>4370</v>
      </c>
      <c r="R376" s="125">
        <v>965.00699999999995</v>
      </c>
      <c r="S376" s="127">
        <v>4370</v>
      </c>
      <c r="T376" s="125">
        <v>965.54399999999998</v>
      </c>
      <c r="U376" s="127">
        <v>4360</v>
      </c>
      <c r="V376" s="125">
        <v>964.31799999999998</v>
      </c>
      <c r="W376" s="127">
        <v>4370</v>
      </c>
      <c r="X376" s="125">
        <v>964.09400000000005</v>
      </c>
      <c r="Y376" s="127">
        <v>4370</v>
      </c>
      <c r="Z376" s="125">
        <v>962.61900000000003</v>
      </c>
      <c r="AA376" s="127">
        <v>4370</v>
      </c>
      <c r="AB376" s="125">
        <v>962.44399999999996</v>
      </c>
      <c r="AC376" s="127">
        <v>4360</v>
      </c>
      <c r="AD376" s="125">
        <v>886.46299999999997</v>
      </c>
      <c r="AE376" s="127">
        <v>4370</v>
      </c>
      <c r="AF376" s="125">
        <v>887.78099999999995</v>
      </c>
      <c r="AG376" s="127">
        <v>4350</v>
      </c>
      <c r="AH376" s="125">
        <v>246.56299999999999</v>
      </c>
      <c r="AI376" s="127">
        <v>4350</v>
      </c>
      <c r="AJ376" s="125">
        <v>257.887</v>
      </c>
    </row>
    <row r="377" spans="1:36" ht="14.25">
      <c r="A377" s="128">
        <v>4380</v>
      </c>
      <c r="B377" s="124">
        <v>519.74900000000002</v>
      </c>
      <c r="C377" s="128">
        <v>4390</v>
      </c>
      <c r="D377" s="125">
        <v>515.94200000000001</v>
      </c>
      <c r="E377" s="126">
        <v>4380</v>
      </c>
      <c r="F377" s="125">
        <v>1117.299</v>
      </c>
      <c r="G377" s="127">
        <v>4380</v>
      </c>
      <c r="H377" s="125">
        <v>1116.4870000000001</v>
      </c>
      <c r="I377" s="127">
        <v>4380</v>
      </c>
      <c r="J377" s="125">
        <v>963.24400000000003</v>
      </c>
      <c r="K377" s="127">
        <v>4380</v>
      </c>
      <c r="L377" s="125">
        <v>962.94799999999998</v>
      </c>
      <c r="M377" s="127">
        <v>4380</v>
      </c>
      <c r="N377" s="125">
        <v>963.04200000000003</v>
      </c>
      <c r="O377" s="127">
        <v>4360</v>
      </c>
      <c r="P377" s="125">
        <v>964.21799999999996</v>
      </c>
      <c r="Q377" s="127">
        <v>4380</v>
      </c>
      <c r="R377" s="125">
        <v>963.79399999999998</v>
      </c>
      <c r="S377" s="127">
        <v>4380</v>
      </c>
      <c r="T377" s="125">
        <v>964.33100000000002</v>
      </c>
      <c r="U377" s="127">
        <v>4370</v>
      </c>
      <c r="V377" s="125">
        <v>963.10799999999995</v>
      </c>
      <c r="W377" s="127">
        <v>4380</v>
      </c>
      <c r="X377" s="125">
        <v>962.88300000000004</v>
      </c>
      <c r="Y377" s="127">
        <v>4380</v>
      </c>
      <c r="Z377" s="125">
        <v>961.40700000000004</v>
      </c>
      <c r="AA377" s="127">
        <v>4380</v>
      </c>
      <c r="AB377" s="125">
        <v>961.23400000000004</v>
      </c>
      <c r="AC377" s="127">
        <v>4370</v>
      </c>
      <c r="AD377" s="125">
        <v>885.25199999999995</v>
      </c>
      <c r="AE377" s="127">
        <v>4380</v>
      </c>
      <c r="AF377" s="125">
        <v>886.57100000000003</v>
      </c>
      <c r="AG377" s="127">
        <v>4360</v>
      </c>
      <c r="AH377" s="125">
        <v>246.166</v>
      </c>
      <c r="AI377" s="127">
        <v>4360</v>
      </c>
      <c r="AJ377" s="125">
        <v>257.47699999999998</v>
      </c>
    </row>
    <row r="378" spans="1:36" ht="14.25">
      <c r="A378" s="128">
        <v>4390</v>
      </c>
      <c r="B378" s="124">
        <v>518.952</v>
      </c>
      <c r="C378" s="128">
        <v>4400</v>
      </c>
      <c r="D378" s="125">
        <v>515.15</v>
      </c>
      <c r="E378" s="126">
        <v>4390</v>
      </c>
      <c r="F378" s="125">
        <v>1115.7940000000001</v>
      </c>
      <c r="G378" s="127">
        <v>4390</v>
      </c>
      <c r="H378" s="125">
        <v>1114.9870000000001</v>
      </c>
      <c r="I378" s="127">
        <v>4390</v>
      </c>
      <c r="J378" s="125">
        <v>962.03099999999995</v>
      </c>
      <c r="K378" s="127">
        <v>4390</v>
      </c>
      <c r="L378" s="125">
        <v>961.73400000000004</v>
      </c>
      <c r="M378" s="127">
        <v>4390</v>
      </c>
      <c r="N378" s="125">
        <v>961.82899999999995</v>
      </c>
      <c r="O378" s="127">
        <v>4370</v>
      </c>
      <c r="P378" s="125">
        <v>963.00400000000002</v>
      </c>
      <c r="Q378" s="127">
        <v>4390</v>
      </c>
      <c r="R378" s="125">
        <v>962.58100000000002</v>
      </c>
      <c r="S378" s="127">
        <v>4390</v>
      </c>
      <c r="T378" s="125">
        <v>963.11900000000003</v>
      </c>
      <c r="U378" s="127">
        <v>4380</v>
      </c>
      <c r="V378" s="125">
        <v>961.899</v>
      </c>
      <c r="W378" s="127">
        <v>4390</v>
      </c>
      <c r="X378" s="125">
        <v>961.67200000000003</v>
      </c>
      <c r="Y378" s="127">
        <v>4390</v>
      </c>
      <c r="Z378" s="125">
        <v>960.19600000000003</v>
      </c>
      <c r="AA378" s="127">
        <v>4390</v>
      </c>
      <c r="AB378" s="125">
        <v>960.02499999999998</v>
      </c>
      <c r="AC378" s="127">
        <v>4380</v>
      </c>
      <c r="AD378" s="125">
        <v>884.04100000000005</v>
      </c>
      <c r="AE378" s="127">
        <v>4390</v>
      </c>
      <c r="AF378" s="125">
        <v>885.36199999999997</v>
      </c>
      <c r="AG378" s="127">
        <v>4370</v>
      </c>
      <c r="AH378" s="125">
        <v>245.77</v>
      </c>
      <c r="AI378" s="127">
        <v>4370</v>
      </c>
      <c r="AJ378" s="125">
        <v>257.06700000000001</v>
      </c>
    </row>
    <row r="379" spans="1:36" ht="14.25">
      <c r="A379" s="128">
        <v>4400</v>
      </c>
      <c r="B379" s="124">
        <v>518.154</v>
      </c>
      <c r="C379" s="128">
        <v>4410</v>
      </c>
      <c r="D379" s="125">
        <v>514.35900000000004</v>
      </c>
      <c r="E379" s="126">
        <v>4400</v>
      </c>
      <c r="F379" s="125">
        <v>1114.289</v>
      </c>
      <c r="G379" s="127">
        <v>4400</v>
      </c>
      <c r="H379" s="125">
        <v>1113.4860000000001</v>
      </c>
      <c r="I379" s="127">
        <v>4400</v>
      </c>
      <c r="J379" s="125">
        <v>960.81799999999998</v>
      </c>
      <c r="K379" s="127">
        <v>4400</v>
      </c>
      <c r="L379" s="125">
        <v>960.52</v>
      </c>
      <c r="M379" s="127">
        <v>4400</v>
      </c>
      <c r="N379" s="125">
        <v>960.61599999999999</v>
      </c>
      <c r="O379" s="127">
        <v>4380</v>
      </c>
      <c r="P379" s="125">
        <v>961.79100000000005</v>
      </c>
      <c r="Q379" s="127">
        <v>4400</v>
      </c>
      <c r="R379" s="125">
        <v>961.36800000000005</v>
      </c>
      <c r="S379" s="127">
        <v>4400</v>
      </c>
      <c r="T379" s="125">
        <v>961.90700000000004</v>
      </c>
      <c r="U379" s="127">
        <v>4390</v>
      </c>
      <c r="V379" s="125">
        <v>960.68899999999996</v>
      </c>
      <c r="W379" s="127">
        <v>4400</v>
      </c>
      <c r="X379" s="125">
        <v>960.46199999999999</v>
      </c>
      <c r="Y379" s="127">
        <v>4400</v>
      </c>
      <c r="Z379" s="125">
        <v>958.98400000000004</v>
      </c>
      <c r="AA379" s="127">
        <v>4400</v>
      </c>
      <c r="AB379" s="125">
        <v>958.81500000000005</v>
      </c>
      <c r="AC379" s="127">
        <v>4390</v>
      </c>
      <c r="AD379" s="125">
        <v>882.83</v>
      </c>
      <c r="AE379" s="127">
        <v>4400</v>
      </c>
      <c r="AF379" s="125">
        <v>884.15200000000004</v>
      </c>
      <c r="AG379" s="127">
        <v>4380</v>
      </c>
      <c r="AH379" s="125">
        <v>245.374</v>
      </c>
      <c r="AI379" s="127">
        <v>4380</v>
      </c>
      <c r="AJ379" s="125">
        <v>256.65699999999998</v>
      </c>
    </row>
    <row r="380" spans="1:36" ht="14.25">
      <c r="A380" s="128">
        <v>4410</v>
      </c>
      <c r="B380" s="124">
        <v>517.35699999999997</v>
      </c>
      <c r="C380" s="128">
        <v>4420</v>
      </c>
      <c r="D380" s="125">
        <v>513.56799999999998</v>
      </c>
      <c r="E380" s="126">
        <v>4410</v>
      </c>
      <c r="F380" s="125">
        <v>1112.7850000000001</v>
      </c>
      <c r="G380" s="127">
        <v>4410</v>
      </c>
      <c r="H380" s="125">
        <v>1111.9860000000001</v>
      </c>
      <c r="I380" s="127">
        <v>4410</v>
      </c>
      <c r="J380" s="125">
        <v>959.60500000000002</v>
      </c>
      <c r="K380" s="127">
        <v>4410</v>
      </c>
      <c r="L380" s="125">
        <v>959.30600000000004</v>
      </c>
      <c r="M380" s="127">
        <v>4410</v>
      </c>
      <c r="N380" s="125">
        <v>959.40300000000002</v>
      </c>
      <c r="O380" s="127">
        <v>4390</v>
      </c>
      <c r="P380" s="125">
        <v>960.57799999999997</v>
      </c>
      <c r="Q380" s="127">
        <v>4410</v>
      </c>
      <c r="R380" s="125">
        <v>960.15499999999997</v>
      </c>
      <c r="S380" s="127">
        <v>4410</v>
      </c>
      <c r="T380" s="125">
        <v>960.69399999999996</v>
      </c>
      <c r="U380" s="127">
        <v>4400</v>
      </c>
      <c r="V380" s="125">
        <v>959.47900000000004</v>
      </c>
      <c r="W380" s="127">
        <v>4410</v>
      </c>
      <c r="X380" s="125">
        <v>959.25099999999998</v>
      </c>
      <c r="Y380" s="127">
        <v>4410</v>
      </c>
      <c r="Z380" s="125">
        <v>957.77300000000002</v>
      </c>
      <c r="AA380" s="127">
        <v>4410</v>
      </c>
      <c r="AB380" s="125">
        <v>957.60500000000002</v>
      </c>
      <c r="AC380" s="127">
        <v>4400</v>
      </c>
      <c r="AD380" s="125">
        <v>881.61900000000003</v>
      </c>
      <c r="AE380" s="127">
        <v>4410</v>
      </c>
      <c r="AF380" s="125">
        <v>882.94299999999998</v>
      </c>
      <c r="AG380" s="127">
        <v>4390</v>
      </c>
      <c r="AH380" s="125">
        <v>244.97800000000001</v>
      </c>
      <c r="AI380" s="127">
        <v>4390</v>
      </c>
      <c r="AJ380" s="125">
        <v>256.24599999999998</v>
      </c>
    </row>
    <row r="381" spans="1:36" ht="14.25">
      <c r="A381" s="128">
        <v>4420</v>
      </c>
      <c r="B381" s="124">
        <v>516.55999999999995</v>
      </c>
      <c r="C381" s="128">
        <v>4430</v>
      </c>
      <c r="D381" s="125">
        <v>512.77700000000004</v>
      </c>
      <c r="E381" s="126">
        <v>4420</v>
      </c>
      <c r="F381" s="125">
        <v>1111.28</v>
      </c>
      <c r="G381" s="127">
        <v>4420</v>
      </c>
      <c r="H381" s="125">
        <v>1110.4860000000001</v>
      </c>
      <c r="I381" s="127">
        <v>4420</v>
      </c>
      <c r="J381" s="125">
        <v>958.39099999999996</v>
      </c>
      <c r="K381" s="127">
        <v>4420</v>
      </c>
      <c r="L381" s="125">
        <v>958.09299999999996</v>
      </c>
      <c r="M381" s="127">
        <v>4420</v>
      </c>
      <c r="N381" s="125">
        <v>958.19</v>
      </c>
      <c r="O381" s="127">
        <v>4400</v>
      </c>
      <c r="P381" s="125">
        <v>959.36500000000001</v>
      </c>
      <c r="Q381" s="127">
        <v>4420</v>
      </c>
      <c r="R381" s="125">
        <v>958.94200000000001</v>
      </c>
      <c r="S381" s="127">
        <v>4420</v>
      </c>
      <c r="T381" s="125">
        <v>959.48199999999997</v>
      </c>
      <c r="U381" s="127">
        <v>4410</v>
      </c>
      <c r="V381" s="125">
        <v>958.27</v>
      </c>
      <c r="W381" s="127">
        <v>4420</v>
      </c>
      <c r="X381" s="125">
        <v>958.04</v>
      </c>
      <c r="Y381" s="127">
        <v>4420</v>
      </c>
      <c r="Z381" s="125">
        <v>956.56100000000004</v>
      </c>
      <c r="AA381" s="127">
        <v>4420</v>
      </c>
      <c r="AB381" s="125">
        <v>956.39499999999998</v>
      </c>
      <c r="AC381" s="127">
        <v>4410</v>
      </c>
      <c r="AD381" s="125">
        <v>880.40899999999999</v>
      </c>
      <c r="AE381" s="127">
        <v>4420</v>
      </c>
      <c r="AF381" s="125">
        <v>881.73299999999995</v>
      </c>
      <c r="AG381" s="127">
        <v>4400</v>
      </c>
      <c r="AH381" s="125">
        <v>244.58199999999999</v>
      </c>
      <c r="AI381" s="127">
        <v>4400</v>
      </c>
      <c r="AJ381" s="125">
        <v>255.83600000000001</v>
      </c>
    </row>
    <row r="382" spans="1:36" ht="14.25">
      <c r="A382" s="128">
        <v>4430</v>
      </c>
      <c r="B382" s="124">
        <v>515.76400000000001</v>
      </c>
      <c r="C382" s="128">
        <v>4440</v>
      </c>
      <c r="D382" s="125">
        <v>511.98599999999999</v>
      </c>
      <c r="E382" s="126">
        <v>4430</v>
      </c>
      <c r="F382" s="125">
        <v>1109.7750000000001</v>
      </c>
      <c r="G382" s="127">
        <v>4430</v>
      </c>
      <c r="H382" s="125">
        <v>1108.9860000000001</v>
      </c>
      <c r="I382" s="127">
        <v>4430</v>
      </c>
      <c r="J382" s="125">
        <v>957.178</v>
      </c>
      <c r="K382" s="127">
        <v>4430</v>
      </c>
      <c r="L382" s="125">
        <v>956.87900000000002</v>
      </c>
      <c r="M382" s="127">
        <v>4430</v>
      </c>
      <c r="N382" s="125">
        <v>956.97699999999998</v>
      </c>
      <c r="O382" s="127">
        <v>4410</v>
      </c>
      <c r="P382" s="125">
        <v>958.15099999999995</v>
      </c>
      <c r="Q382" s="127">
        <v>4430</v>
      </c>
      <c r="R382" s="125">
        <v>957.72900000000004</v>
      </c>
      <c r="S382" s="127">
        <v>4430</v>
      </c>
      <c r="T382" s="125">
        <v>958.27</v>
      </c>
      <c r="U382" s="127">
        <v>4420</v>
      </c>
      <c r="V382" s="125">
        <v>957.06</v>
      </c>
      <c r="W382" s="127">
        <v>4430</v>
      </c>
      <c r="X382" s="125">
        <v>956.82899999999995</v>
      </c>
      <c r="Y382" s="127">
        <v>4430</v>
      </c>
      <c r="Z382" s="125">
        <v>955.35</v>
      </c>
      <c r="AA382" s="127">
        <v>4430</v>
      </c>
      <c r="AB382" s="125">
        <v>955.18499999999995</v>
      </c>
      <c r="AC382" s="127">
        <v>4420</v>
      </c>
      <c r="AD382" s="125">
        <v>879.19799999999998</v>
      </c>
      <c r="AE382" s="127">
        <v>4430</v>
      </c>
      <c r="AF382" s="125">
        <v>880.52300000000002</v>
      </c>
      <c r="AG382" s="127">
        <v>4410</v>
      </c>
      <c r="AH382" s="125">
        <v>244.18600000000001</v>
      </c>
      <c r="AI382" s="127">
        <v>4410</v>
      </c>
      <c r="AJ382" s="125">
        <v>255.42599999999999</v>
      </c>
    </row>
    <row r="383" spans="1:36" ht="14.25">
      <c r="A383" s="128">
        <v>4440</v>
      </c>
      <c r="B383" s="124">
        <v>514.96699999999998</v>
      </c>
      <c r="C383" s="128">
        <v>4450</v>
      </c>
      <c r="D383" s="125">
        <v>511.19499999999999</v>
      </c>
      <c r="E383" s="126">
        <v>4440</v>
      </c>
      <c r="F383" s="125">
        <v>1108.271</v>
      </c>
      <c r="G383" s="127">
        <v>4440</v>
      </c>
      <c r="H383" s="125">
        <v>1107.4860000000001</v>
      </c>
      <c r="I383" s="127">
        <v>4440</v>
      </c>
      <c r="J383" s="125">
        <v>955.96500000000003</v>
      </c>
      <c r="K383" s="127">
        <v>4440</v>
      </c>
      <c r="L383" s="125">
        <v>955.66499999999996</v>
      </c>
      <c r="M383" s="127">
        <v>4440</v>
      </c>
      <c r="N383" s="125">
        <v>955.76400000000001</v>
      </c>
      <c r="O383" s="127">
        <v>4420</v>
      </c>
      <c r="P383" s="125">
        <v>956.93799999999999</v>
      </c>
      <c r="Q383" s="127">
        <v>4440</v>
      </c>
      <c r="R383" s="125">
        <v>956.51599999999996</v>
      </c>
      <c r="S383" s="127">
        <v>4440</v>
      </c>
      <c r="T383" s="125">
        <v>957.05799999999999</v>
      </c>
      <c r="U383" s="127">
        <v>4430</v>
      </c>
      <c r="V383" s="125">
        <v>955.85</v>
      </c>
      <c r="W383" s="127">
        <v>4440</v>
      </c>
      <c r="X383" s="125">
        <v>955.61900000000003</v>
      </c>
      <c r="Y383" s="127">
        <v>4440</v>
      </c>
      <c r="Z383" s="125">
        <v>954.13800000000003</v>
      </c>
      <c r="AA383" s="127">
        <v>4440</v>
      </c>
      <c r="AB383" s="125">
        <v>953.97500000000002</v>
      </c>
      <c r="AC383" s="127">
        <v>4430</v>
      </c>
      <c r="AD383" s="125">
        <v>877.98699999999997</v>
      </c>
      <c r="AE383" s="127">
        <v>4440</v>
      </c>
      <c r="AF383" s="125">
        <v>879.31399999999996</v>
      </c>
      <c r="AG383" s="127">
        <v>4420</v>
      </c>
      <c r="AH383" s="125">
        <v>243.78899999999999</v>
      </c>
      <c r="AI383" s="127">
        <v>4420</v>
      </c>
      <c r="AJ383" s="125">
        <v>255.01599999999999</v>
      </c>
    </row>
    <row r="384" spans="1:36" ht="14.25">
      <c r="A384" s="128">
        <v>4450</v>
      </c>
      <c r="B384" s="124">
        <v>514.17100000000005</v>
      </c>
      <c r="C384" s="128">
        <v>4460</v>
      </c>
      <c r="D384" s="125">
        <v>510.40499999999997</v>
      </c>
      <c r="E384" s="126">
        <v>4450</v>
      </c>
      <c r="F384" s="125">
        <v>1106.7670000000001</v>
      </c>
      <c r="G384" s="127">
        <v>4450</v>
      </c>
      <c r="H384" s="125">
        <v>1105.9870000000001</v>
      </c>
      <c r="I384" s="127">
        <v>4450</v>
      </c>
      <c r="J384" s="125">
        <v>954.75199999999995</v>
      </c>
      <c r="K384" s="127">
        <v>4450</v>
      </c>
      <c r="L384" s="125">
        <v>954.452</v>
      </c>
      <c r="M384" s="127">
        <v>4450</v>
      </c>
      <c r="N384" s="125">
        <v>954.55100000000004</v>
      </c>
      <c r="O384" s="127">
        <v>4430</v>
      </c>
      <c r="P384" s="125">
        <v>955.72500000000002</v>
      </c>
      <c r="Q384" s="127">
        <v>4450</v>
      </c>
      <c r="R384" s="125">
        <v>955.303</v>
      </c>
      <c r="S384" s="127">
        <v>4450</v>
      </c>
      <c r="T384" s="125">
        <v>955.84500000000003</v>
      </c>
      <c r="U384" s="127">
        <v>4440</v>
      </c>
      <c r="V384" s="125">
        <v>954.64</v>
      </c>
      <c r="W384" s="127">
        <v>4450</v>
      </c>
      <c r="X384" s="125">
        <v>954.40800000000002</v>
      </c>
      <c r="Y384" s="127">
        <v>4450</v>
      </c>
      <c r="Z384" s="125">
        <v>952.92700000000002</v>
      </c>
      <c r="AA384" s="127">
        <v>4450</v>
      </c>
      <c r="AB384" s="125">
        <v>952.76499999999999</v>
      </c>
      <c r="AC384" s="127">
        <v>4440</v>
      </c>
      <c r="AD384" s="125">
        <v>876.77599999999995</v>
      </c>
      <c r="AE384" s="127">
        <v>4450</v>
      </c>
      <c r="AF384" s="125">
        <v>878.10400000000004</v>
      </c>
      <c r="AG384" s="127">
        <v>4430</v>
      </c>
      <c r="AH384" s="125">
        <v>243.393</v>
      </c>
      <c r="AI384" s="127">
        <v>4430</v>
      </c>
      <c r="AJ384" s="125">
        <v>254.60599999999999</v>
      </c>
    </row>
    <row r="385" spans="1:36" ht="14.25">
      <c r="A385" s="128">
        <v>4460</v>
      </c>
      <c r="B385" s="124">
        <v>513.375</v>
      </c>
      <c r="C385" s="128">
        <v>4470</v>
      </c>
      <c r="D385" s="125">
        <v>509.61399999999998</v>
      </c>
      <c r="E385" s="126">
        <v>4460</v>
      </c>
      <c r="F385" s="125">
        <v>1105.2629999999999</v>
      </c>
      <c r="G385" s="127">
        <v>4460</v>
      </c>
      <c r="H385" s="125">
        <v>1104.4870000000001</v>
      </c>
      <c r="I385" s="127">
        <v>4460</v>
      </c>
      <c r="J385" s="125">
        <v>953.53899999999999</v>
      </c>
      <c r="K385" s="127">
        <v>4460</v>
      </c>
      <c r="L385" s="125">
        <v>953.23800000000006</v>
      </c>
      <c r="M385" s="127">
        <v>4460</v>
      </c>
      <c r="N385" s="125">
        <v>953.33799999999997</v>
      </c>
      <c r="O385" s="127">
        <v>4440</v>
      </c>
      <c r="P385" s="125">
        <v>954.51199999999994</v>
      </c>
      <c r="Q385" s="127">
        <v>4460</v>
      </c>
      <c r="R385" s="125">
        <v>954.09</v>
      </c>
      <c r="S385" s="127">
        <v>4460</v>
      </c>
      <c r="T385" s="125">
        <v>954.63300000000004</v>
      </c>
      <c r="U385" s="127">
        <v>4450</v>
      </c>
      <c r="V385" s="125">
        <v>953.43100000000004</v>
      </c>
      <c r="W385" s="127">
        <v>4460</v>
      </c>
      <c r="X385" s="125">
        <v>953.197</v>
      </c>
      <c r="Y385" s="127">
        <v>4460</v>
      </c>
      <c r="Z385" s="125">
        <v>951.71500000000003</v>
      </c>
      <c r="AA385" s="127">
        <v>4460</v>
      </c>
      <c r="AB385" s="125">
        <v>951.55499999999995</v>
      </c>
      <c r="AC385" s="127">
        <v>4450</v>
      </c>
      <c r="AD385" s="125">
        <v>875.56500000000005</v>
      </c>
      <c r="AE385" s="127">
        <v>4460</v>
      </c>
      <c r="AF385" s="125">
        <v>876.89499999999998</v>
      </c>
      <c r="AG385" s="127">
        <v>4440</v>
      </c>
      <c r="AH385" s="125">
        <v>242.99700000000001</v>
      </c>
      <c r="AI385" s="127">
        <v>4440</v>
      </c>
      <c r="AJ385" s="125">
        <v>254.196</v>
      </c>
    </row>
    <row r="386" spans="1:36" ht="14.25">
      <c r="A386" s="128">
        <v>4470</v>
      </c>
      <c r="B386" s="124">
        <v>512.57899999999995</v>
      </c>
      <c r="C386" s="128">
        <v>4480</v>
      </c>
      <c r="D386" s="132">
        <v>508.82400000000001</v>
      </c>
      <c r="E386" s="126">
        <v>4470</v>
      </c>
      <c r="F386" s="125">
        <v>1103.759</v>
      </c>
      <c r="G386" s="127">
        <v>4470</v>
      </c>
      <c r="H386" s="125">
        <v>1102.9880000000001</v>
      </c>
      <c r="I386" s="127">
        <v>4470</v>
      </c>
      <c r="J386" s="125">
        <v>952.32500000000005</v>
      </c>
      <c r="K386" s="127">
        <v>4470</v>
      </c>
      <c r="L386" s="125">
        <v>952.024</v>
      </c>
      <c r="M386" s="127">
        <v>4470</v>
      </c>
      <c r="N386" s="125">
        <v>952.125</v>
      </c>
      <c r="O386" s="127">
        <v>4450</v>
      </c>
      <c r="P386" s="125">
        <v>953.29899999999998</v>
      </c>
      <c r="Q386" s="127">
        <v>4470</v>
      </c>
      <c r="R386" s="125">
        <v>952.87699999999995</v>
      </c>
      <c r="S386" s="127">
        <v>4470</v>
      </c>
      <c r="T386" s="125">
        <v>953.42100000000005</v>
      </c>
      <c r="U386" s="127">
        <v>4460</v>
      </c>
      <c r="V386" s="125">
        <v>952.221</v>
      </c>
      <c r="W386" s="127">
        <v>4470</v>
      </c>
      <c r="X386" s="125">
        <v>951.98699999999997</v>
      </c>
      <c r="Y386" s="127">
        <v>4470</v>
      </c>
      <c r="Z386" s="125">
        <v>950.50400000000002</v>
      </c>
      <c r="AA386" s="127">
        <v>4470</v>
      </c>
      <c r="AB386" s="125">
        <v>950.34500000000003</v>
      </c>
      <c r="AC386" s="127">
        <v>4460</v>
      </c>
      <c r="AD386" s="125">
        <v>874.35500000000002</v>
      </c>
      <c r="AE386" s="127">
        <v>4470</v>
      </c>
      <c r="AF386" s="125">
        <v>875.68499999999995</v>
      </c>
      <c r="AG386" s="127">
        <v>4450</v>
      </c>
      <c r="AH386" s="125">
        <v>242.601</v>
      </c>
      <c r="AI386" s="127">
        <v>4450</v>
      </c>
      <c r="AJ386" s="125">
        <v>253.786</v>
      </c>
    </row>
    <row r="387" spans="1:36" ht="14.25">
      <c r="A387" s="128">
        <v>4480</v>
      </c>
      <c r="B387" s="124">
        <v>511.78300000000002</v>
      </c>
      <c r="C387" s="128">
        <v>4490</v>
      </c>
      <c r="D387" s="125">
        <v>508.03399999999999</v>
      </c>
      <c r="E387" s="126">
        <v>4480</v>
      </c>
      <c r="F387" s="125">
        <v>1102.2550000000001</v>
      </c>
      <c r="G387" s="127">
        <v>4480</v>
      </c>
      <c r="H387" s="125">
        <v>1101.4880000000001</v>
      </c>
      <c r="I387" s="127">
        <v>4480</v>
      </c>
      <c r="J387" s="125">
        <v>951.11199999999997</v>
      </c>
      <c r="K387" s="127">
        <v>4480</v>
      </c>
      <c r="L387" s="125">
        <v>950.81100000000004</v>
      </c>
      <c r="M387" s="127">
        <v>4480</v>
      </c>
      <c r="N387" s="125">
        <v>950.91200000000003</v>
      </c>
      <c r="O387" s="127">
        <v>4460</v>
      </c>
      <c r="P387" s="125">
        <v>952.08500000000004</v>
      </c>
      <c r="Q387" s="127">
        <v>4480</v>
      </c>
      <c r="R387" s="125">
        <v>951.66399999999999</v>
      </c>
      <c r="S387" s="127">
        <v>4480</v>
      </c>
      <c r="T387" s="125">
        <v>952.20799999999997</v>
      </c>
      <c r="U387" s="127">
        <v>4470</v>
      </c>
      <c r="V387" s="125">
        <v>951.01099999999997</v>
      </c>
      <c r="W387" s="127">
        <v>4480</v>
      </c>
      <c r="X387" s="125">
        <v>950.77599999999995</v>
      </c>
      <c r="Y387" s="127">
        <v>4480</v>
      </c>
      <c r="Z387" s="125">
        <v>949.29200000000003</v>
      </c>
      <c r="AA387" s="127">
        <v>4480</v>
      </c>
      <c r="AB387" s="125">
        <v>949.13499999999999</v>
      </c>
      <c r="AC387" s="127">
        <v>4470</v>
      </c>
      <c r="AD387" s="125">
        <v>873.14400000000001</v>
      </c>
      <c r="AE387" s="127">
        <v>4480</v>
      </c>
      <c r="AF387" s="125">
        <v>874.476</v>
      </c>
      <c r="AG387" s="127">
        <v>4460</v>
      </c>
      <c r="AH387" s="125">
        <v>242.20500000000001</v>
      </c>
      <c r="AI387" s="127">
        <v>4460</v>
      </c>
      <c r="AJ387" s="125">
        <v>253.376</v>
      </c>
    </row>
    <row r="388" spans="1:36" ht="14.25">
      <c r="A388" s="128">
        <v>4490</v>
      </c>
      <c r="B388" s="124">
        <v>510.98700000000002</v>
      </c>
      <c r="C388" s="128">
        <v>4500</v>
      </c>
      <c r="D388" s="125">
        <v>507.24400000000003</v>
      </c>
      <c r="E388" s="126">
        <v>4490</v>
      </c>
      <c r="F388" s="125">
        <v>1100.751</v>
      </c>
      <c r="G388" s="127">
        <v>4490</v>
      </c>
      <c r="H388" s="125">
        <v>1099.989</v>
      </c>
      <c r="I388" s="127">
        <v>4490</v>
      </c>
      <c r="J388" s="125">
        <v>949.899</v>
      </c>
      <c r="K388" s="127">
        <v>4490</v>
      </c>
      <c r="L388" s="125">
        <v>949.59699999999998</v>
      </c>
      <c r="M388" s="127">
        <v>4490</v>
      </c>
      <c r="N388" s="125">
        <v>949.69899999999996</v>
      </c>
      <c r="O388" s="127">
        <v>4470</v>
      </c>
      <c r="P388" s="125">
        <v>950.87199999999996</v>
      </c>
      <c r="Q388" s="127">
        <v>4490</v>
      </c>
      <c r="R388" s="125">
        <v>950.45100000000002</v>
      </c>
      <c r="S388" s="127">
        <v>4490</v>
      </c>
      <c r="T388" s="125">
        <v>950.99599999999998</v>
      </c>
      <c r="U388" s="127">
        <v>4480</v>
      </c>
      <c r="V388" s="125">
        <v>949.80200000000002</v>
      </c>
      <c r="W388" s="127">
        <v>4490</v>
      </c>
      <c r="X388" s="125">
        <v>949.56500000000005</v>
      </c>
      <c r="Y388" s="127">
        <v>4490</v>
      </c>
      <c r="Z388" s="125">
        <v>948.08100000000002</v>
      </c>
      <c r="AA388" s="127">
        <v>4490</v>
      </c>
      <c r="AB388" s="125">
        <v>947.92499999999995</v>
      </c>
      <c r="AC388" s="127">
        <v>4480</v>
      </c>
      <c r="AD388" s="125">
        <v>871.93299999999999</v>
      </c>
      <c r="AE388" s="127">
        <v>4490</v>
      </c>
      <c r="AF388" s="125">
        <v>873.26599999999996</v>
      </c>
      <c r="AG388" s="127">
        <v>4470</v>
      </c>
      <c r="AH388" s="125">
        <v>241.809</v>
      </c>
      <c r="AI388" s="127">
        <v>4470</v>
      </c>
      <c r="AJ388" s="125">
        <v>252.96600000000001</v>
      </c>
    </row>
    <row r="389" spans="1:36" ht="14.25">
      <c r="A389" s="128">
        <v>4500</v>
      </c>
      <c r="B389" s="124">
        <v>510.19099999999997</v>
      </c>
      <c r="C389" s="128">
        <v>4510</v>
      </c>
      <c r="D389" s="125">
        <v>506.45499999999998</v>
      </c>
      <c r="E389" s="126">
        <v>4500</v>
      </c>
      <c r="F389" s="125">
        <v>1099.2470000000001</v>
      </c>
      <c r="G389" s="127">
        <v>4500</v>
      </c>
      <c r="H389" s="125">
        <v>1098.49</v>
      </c>
      <c r="I389" s="127">
        <v>4500</v>
      </c>
      <c r="J389" s="125">
        <v>948.68600000000004</v>
      </c>
      <c r="K389" s="127">
        <v>4500</v>
      </c>
      <c r="L389" s="125">
        <v>948.38300000000004</v>
      </c>
      <c r="M389" s="127">
        <v>4500</v>
      </c>
      <c r="N389" s="125">
        <v>948.48599999999999</v>
      </c>
      <c r="O389" s="127">
        <v>4480</v>
      </c>
      <c r="P389" s="125">
        <v>949.65899999999999</v>
      </c>
      <c r="Q389" s="127">
        <v>4500</v>
      </c>
      <c r="R389" s="125">
        <v>949.23800000000006</v>
      </c>
      <c r="S389" s="127">
        <v>4500</v>
      </c>
      <c r="T389" s="125">
        <v>949.78399999999999</v>
      </c>
      <c r="U389" s="127">
        <v>4490</v>
      </c>
      <c r="V389" s="125">
        <v>948.59199999999998</v>
      </c>
      <c r="W389" s="127">
        <v>4500</v>
      </c>
      <c r="X389" s="125">
        <v>948.35400000000004</v>
      </c>
      <c r="Y389" s="127">
        <v>4500</v>
      </c>
      <c r="Z389" s="125">
        <v>946.86900000000003</v>
      </c>
      <c r="AA389" s="127">
        <v>4500</v>
      </c>
      <c r="AB389" s="125">
        <v>946.71500000000003</v>
      </c>
      <c r="AC389" s="127">
        <v>4490</v>
      </c>
      <c r="AD389" s="125">
        <v>870.72199999999998</v>
      </c>
      <c r="AE389" s="127">
        <v>4500</v>
      </c>
      <c r="AF389" s="125">
        <v>872.05700000000002</v>
      </c>
      <c r="AG389" s="127">
        <v>4480</v>
      </c>
      <c r="AH389" s="125">
        <v>241.41300000000001</v>
      </c>
      <c r="AI389" s="127">
        <v>4480</v>
      </c>
      <c r="AJ389" s="125">
        <v>252.55600000000001</v>
      </c>
    </row>
    <row r="390" spans="1:36" ht="14.25">
      <c r="A390" s="128">
        <v>4510</v>
      </c>
      <c r="B390" s="124">
        <v>509.39600000000002</v>
      </c>
      <c r="C390" s="128">
        <v>4520</v>
      </c>
      <c r="D390" s="125">
        <v>505.66500000000002</v>
      </c>
      <c r="E390" s="126">
        <v>4510</v>
      </c>
      <c r="F390" s="125">
        <v>1097.7439999999999</v>
      </c>
      <c r="G390" s="127">
        <v>4510</v>
      </c>
      <c r="H390" s="125">
        <v>1096.991</v>
      </c>
      <c r="I390" s="127">
        <v>4510</v>
      </c>
      <c r="J390" s="125">
        <v>947.47199999999998</v>
      </c>
      <c r="K390" s="127">
        <v>4510</v>
      </c>
      <c r="L390" s="125">
        <v>947.16899999999998</v>
      </c>
      <c r="M390" s="127">
        <v>4510</v>
      </c>
      <c r="N390" s="125">
        <v>947.274</v>
      </c>
      <c r="O390" s="127">
        <v>4490</v>
      </c>
      <c r="P390" s="125">
        <v>948.44600000000003</v>
      </c>
      <c r="Q390" s="127">
        <v>4510</v>
      </c>
      <c r="R390" s="125">
        <v>948.02499999999998</v>
      </c>
      <c r="S390" s="127">
        <v>4510</v>
      </c>
      <c r="T390" s="125">
        <v>948.57100000000003</v>
      </c>
      <c r="U390" s="127">
        <v>4500</v>
      </c>
      <c r="V390" s="125">
        <v>947.38199999999995</v>
      </c>
      <c r="W390" s="127">
        <v>4510</v>
      </c>
      <c r="X390" s="125">
        <v>947.14400000000001</v>
      </c>
      <c r="Y390" s="127">
        <v>4510</v>
      </c>
      <c r="Z390" s="125">
        <v>945.65800000000002</v>
      </c>
      <c r="AA390" s="127">
        <v>4510</v>
      </c>
      <c r="AB390" s="125">
        <v>945.505</v>
      </c>
      <c r="AC390" s="127">
        <v>4500</v>
      </c>
      <c r="AD390" s="125">
        <v>869.51099999999997</v>
      </c>
      <c r="AE390" s="127">
        <v>4510</v>
      </c>
      <c r="AF390" s="125">
        <v>870.84699999999998</v>
      </c>
      <c r="AG390" s="127">
        <v>4490</v>
      </c>
      <c r="AH390" s="125">
        <v>241.017</v>
      </c>
      <c r="AI390" s="127">
        <v>4490</v>
      </c>
      <c r="AJ390" s="125">
        <v>252.14599999999999</v>
      </c>
    </row>
    <row r="391" spans="1:36" ht="14.25">
      <c r="A391" s="128">
        <v>4520</v>
      </c>
      <c r="B391" s="124">
        <v>508.601</v>
      </c>
      <c r="C391" s="128">
        <v>4530</v>
      </c>
      <c r="D391" s="125">
        <v>504.87599999999998</v>
      </c>
      <c r="E391" s="126">
        <v>4520</v>
      </c>
      <c r="F391" s="125">
        <v>1096.24</v>
      </c>
      <c r="G391" s="127">
        <v>4520</v>
      </c>
      <c r="H391" s="125">
        <v>1095.492</v>
      </c>
      <c r="I391" s="127">
        <v>4520</v>
      </c>
      <c r="J391" s="125">
        <v>946.25900000000001</v>
      </c>
      <c r="K391" s="127">
        <v>4520</v>
      </c>
      <c r="L391" s="125">
        <v>945.95600000000002</v>
      </c>
      <c r="M391" s="127">
        <v>4520</v>
      </c>
      <c r="N391" s="125">
        <v>946.06100000000004</v>
      </c>
      <c r="O391" s="127">
        <v>4500</v>
      </c>
      <c r="P391" s="125">
        <v>947.23299999999995</v>
      </c>
      <c r="Q391" s="127">
        <v>4520</v>
      </c>
      <c r="R391" s="125">
        <v>946.81200000000001</v>
      </c>
      <c r="S391" s="127">
        <v>4520</v>
      </c>
      <c r="T391" s="125">
        <v>947.35900000000004</v>
      </c>
      <c r="U391" s="127">
        <v>4510</v>
      </c>
      <c r="V391" s="125">
        <v>946.17200000000003</v>
      </c>
      <c r="W391" s="127">
        <v>4520</v>
      </c>
      <c r="X391" s="125">
        <v>945.93299999999999</v>
      </c>
      <c r="Y391" s="127">
        <v>4520</v>
      </c>
      <c r="Z391" s="125">
        <v>944.44600000000003</v>
      </c>
      <c r="AA391" s="127">
        <v>4520</v>
      </c>
      <c r="AB391" s="125">
        <v>944.29499999999996</v>
      </c>
      <c r="AC391" s="127">
        <v>4510</v>
      </c>
      <c r="AD391" s="125">
        <v>868.3</v>
      </c>
      <c r="AE391" s="127">
        <v>4520</v>
      </c>
      <c r="AF391" s="125">
        <v>869.63699999999994</v>
      </c>
      <c r="AG391" s="127">
        <v>4500</v>
      </c>
      <c r="AH391" s="125">
        <v>240.62100000000001</v>
      </c>
      <c r="AI391" s="127">
        <v>4500</v>
      </c>
      <c r="AJ391" s="125">
        <v>251.73599999999999</v>
      </c>
    </row>
    <row r="392" spans="1:36" ht="14.25">
      <c r="A392" s="128">
        <v>4530</v>
      </c>
      <c r="B392" s="124">
        <v>507.80599999999998</v>
      </c>
      <c r="C392" s="128">
        <v>4540</v>
      </c>
      <c r="D392" s="125">
        <v>504.08699999999999</v>
      </c>
      <c r="E392" s="126">
        <v>4530</v>
      </c>
      <c r="F392" s="125">
        <v>1094.7370000000001</v>
      </c>
      <c r="G392" s="127">
        <v>4530</v>
      </c>
      <c r="H392" s="125">
        <v>1093.9929999999999</v>
      </c>
      <c r="I392" s="127">
        <v>4530</v>
      </c>
      <c r="J392" s="125">
        <v>945.04600000000005</v>
      </c>
      <c r="K392" s="127">
        <v>4530</v>
      </c>
      <c r="L392" s="125">
        <v>944.74199999999996</v>
      </c>
      <c r="M392" s="127">
        <v>4530</v>
      </c>
      <c r="N392" s="125">
        <v>944.84799999999996</v>
      </c>
      <c r="O392" s="127">
        <v>4510</v>
      </c>
      <c r="P392" s="125">
        <v>946.01900000000001</v>
      </c>
      <c r="Q392" s="127">
        <v>4530</v>
      </c>
      <c r="R392" s="125">
        <v>945.59900000000005</v>
      </c>
      <c r="S392" s="127">
        <v>4530</v>
      </c>
      <c r="T392" s="125">
        <v>946.14700000000005</v>
      </c>
      <c r="U392" s="127">
        <v>4520</v>
      </c>
      <c r="V392" s="125">
        <v>944.96299999999997</v>
      </c>
      <c r="W392" s="127">
        <v>4530</v>
      </c>
      <c r="X392" s="125">
        <v>944.72199999999998</v>
      </c>
      <c r="Y392" s="127">
        <v>4530</v>
      </c>
      <c r="Z392" s="125">
        <v>943.23500000000001</v>
      </c>
      <c r="AA392" s="127">
        <v>4530</v>
      </c>
      <c r="AB392" s="125">
        <v>943.08500000000004</v>
      </c>
      <c r="AC392" s="127">
        <v>4520</v>
      </c>
      <c r="AD392" s="125">
        <v>867.09</v>
      </c>
      <c r="AE392" s="127">
        <v>4530</v>
      </c>
      <c r="AF392" s="125">
        <v>868.428</v>
      </c>
      <c r="AG392" s="127">
        <v>4510</v>
      </c>
      <c r="AH392" s="125">
        <v>240.22499999999999</v>
      </c>
      <c r="AI392" s="127">
        <v>4510</v>
      </c>
      <c r="AJ392" s="125">
        <v>251.32599999999999</v>
      </c>
    </row>
    <row r="393" spans="1:36" ht="14.25">
      <c r="A393" s="128">
        <v>4540</v>
      </c>
      <c r="B393" s="124">
        <v>507.01100000000002</v>
      </c>
      <c r="C393" s="128">
        <v>4550</v>
      </c>
      <c r="D393" s="125">
        <v>503.298</v>
      </c>
      <c r="E393" s="126">
        <v>4540</v>
      </c>
      <c r="F393" s="125">
        <v>1093.2339999999999</v>
      </c>
      <c r="G393" s="127">
        <v>4540</v>
      </c>
      <c r="H393" s="125">
        <v>1092.4939999999999</v>
      </c>
      <c r="I393" s="127">
        <v>4540</v>
      </c>
      <c r="J393" s="125">
        <v>943.83299999999997</v>
      </c>
      <c r="K393" s="127">
        <v>4540</v>
      </c>
      <c r="L393" s="125">
        <v>943.52800000000002</v>
      </c>
      <c r="M393" s="127">
        <v>4540</v>
      </c>
      <c r="N393" s="125">
        <v>943.63499999999999</v>
      </c>
      <c r="O393" s="127">
        <v>4520</v>
      </c>
      <c r="P393" s="125">
        <v>944.80600000000004</v>
      </c>
      <c r="Q393" s="127">
        <v>4540</v>
      </c>
      <c r="R393" s="125">
        <v>944.38599999999997</v>
      </c>
      <c r="S393" s="127">
        <v>4540</v>
      </c>
      <c r="T393" s="125">
        <v>944.93499999999995</v>
      </c>
      <c r="U393" s="127">
        <v>4530</v>
      </c>
      <c r="V393" s="125">
        <v>943.75300000000004</v>
      </c>
      <c r="W393" s="127">
        <v>4540</v>
      </c>
      <c r="X393" s="125">
        <v>943.51099999999997</v>
      </c>
      <c r="Y393" s="127">
        <v>4540</v>
      </c>
      <c r="Z393" s="125">
        <v>942.02300000000002</v>
      </c>
      <c r="AA393" s="127">
        <v>4540</v>
      </c>
      <c r="AB393" s="125">
        <v>941.87599999999998</v>
      </c>
      <c r="AC393" s="127">
        <v>4530</v>
      </c>
      <c r="AD393" s="125">
        <v>865.87900000000002</v>
      </c>
      <c r="AE393" s="127">
        <v>4540</v>
      </c>
      <c r="AF393" s="125">
        <v>867.21799999999996</v>
      </c>
      <c r="AG393" s="127">
        <v>4520</v>
      </c>
      <c r="AH393" s="125">
        <v>239.82900000000001</v>
      </c>
      <c r="AI393" s="127">
        <v>4520</v>
      </c>
      <c r="AJ393" s="125">
        <v>250.917</v>
      </c>
    </row>
    <row r="394" spans="1:36" ht="14.25">
      <c r="A394" s="128">
        <v>4550</v>
      </c>
      <c r="B394" s="124">
        <v>506.21699999999998</v>
      </c>
      <c r="C394" s="128">
        <v>4560</v>
      </c>
      <c r="D394" s="125">
        <v>502.50900000000001</v>
      </c>
      <c r="E394" s="126">
        <v>4550</v>
      </c>
      <c r="F394" s="125">
        <v>1091.731</v>
      </c>
      <c r="G394" s="127">
        <v>4550</v>
      </c>
      <c r="H394" s="125">
        <v>1090.9960000000001</v>
      </c>
      <c r="I394" s="127">
        <v>4550</v>
      </c>
      <c r="J394" s="125">
        <v>942.62</v>
      </c>
      <c r="K394" s="127">
        <v>4550</v>
      </c>
      <c r="L394" s="125">
        <v>942.31500000000005</v>
      </c>
      <c r="M394" s="127">
        <v>4550</v>
      </c>
      <c r="N394" s="125">
        <v>942.42200000000003</v>
      </c>
      <c r="O394" s="127">
        <v>4530</v>
      </c>
      <c r="P394" s="125">
        <v>943.59299999999996</v>
      </c>
      <c r="Q394" s="127">
        <v>4550</v>
      </c>
      <c r="R394" s="125">
        <v>943.17200000000003</v>
      </c>
      <c r="S394" s="127">
        <v>4550</v>
      </c>
      <c r="T394" s="125">
        <v>943.72199999999998</v>
      </c>
      <c r="U394" s="127">
        <v>4540</v>
      </c>
      <c r="V394" s="125">
        <v>942.54300000000001</v>
      </c>
      <c r="W394" s="127">
        <v>4550</v>
      </c>
      <c r="X394" s="125">
        <v>942.30100000000004</v>
      </c>
      <c r="Y394" s="127">
        <v>4550</v>
      </c>
      <c r="Z394" s="125">
        <v>940.81200000000001</v>
      </c>
      <c r="AA394" s="127">
        <v>4550</v>
      </c>
      <c r="AB394" s="125">
        <v>940.66600000000005</v>
      </c>
      <c r="AC394" s="127">
        <v>4540</v>
      </c>
      <c r="AD394" s="125">
        <v>864.66800000000001</v>
      </c>
      <c r="AE394" s="127">
        <v>4550</v>
      </c>
      <c r="AF394" s="125">
        <v>866.00900000000001</v>
      </c>
      <c r="AG394" s="127">
        <v>4530</v>
      </c>
      <c r="AH394" s="125">
        <v>239.43299999999999</v>
      </c>
      <c r="AI394" s="127">
        <v>4530</v>
      </c>
      <c r="AJ394" s="125">
        <v>250.50700000000001</v>
      </c>
    </row>
    <row r="395" spans="1:36" ht="14.25">
      <c r="A395" s="128">
        <v>4560</v>
      </c>
      <c r="B395" s="124">
        <v>505.42200000000003</v>
      </c>
      <c r="C395" s="128">
        <v>4570</v>
      </c>
      <c r="D395" s="125">
        <v>501.72</v>
      </c>
      <c r="E395" s="126">
        <v>4560</v>
      </c>
      <c r="F395" s="125">
        <v>1090.2280000000001</v>
      </c>
      <c r="G395" s="127">
        <v>4560</v>
      </c>
      <c r="H395" s="125">
        <v>1089.4970000000001</v>
      </c>
      <c r="I395" s="127">
        <v>4560</v>
      </c>
      <c r="J395" s="125">
        <v>941.40599999999995</v>
      </c>
      <c r="K395" s="127">
        <v>4560</v>
      </c>
      <c r="L395" s="125">
        <v>941.101</v>
      </c>
      <c r="M395" s="127">
        <v>4560</v>
      </c>
      <c r="N395" s="125">
        <v>941.20899999999995</v>
      </c>
      <c r="O395" s="127">
        <v>4540</v>
      </c>
      <c r="P395" s="125">
        <v>942.38</v>
      </c>
      <c r="Q395" s="127">
        <v>4560</v>
      </c>
      <c r="R395" s="125">
        <v>941.96</v>
      </c>
      <c r="S395" s="127">
        <v>4560</v>
      </c>
      <c r="T395" s="125">
        <v>942.51</v>
      </c>
      <c r="U395" s="127">
        <v>4550</v>
      </c>
      <c r="V395" s="125">
        <v>941.33299999999997</v>
      </c>
      <c r="W395" s="127">
        <v>4560</v>
      </c>
      <c r="X395" s="125">
        <v>941.09</v>
      </c>
      <c r="Y395" s="127">
        <v>4560</v>
      </c>
      <c r="Z395" s="125">
        <v>939.6</v>
      </c>
      <c r="AA395" s="127">
        <v>4560</v>
      </c>
      <c r="AB395" s="125">
        <v>939.45600000000002</v>
      </c>
      <c r="AC395" s="127">
        <v>4550</v>
      </c>
      <c r="AD395" s="125">
        <v>863.45699999999999</v>
      </c>
      <c r="AE395" s="127">
        <v>4560</v>
      </c>
      <c r="AF395" s="125">
        <v>864.79899999999998</v>
      </c>
      <c r="AG395" s="127">
        <v>4540</v>
      </c>
      <c r="AH395" s="125">
        <v>239.03700000000001</v>
      </c>
      <c r="AI395" s="127">
        <v>4540</v>
      </c>
      <c r="AJ395" s="125">
        <v>250.09700000000001</v>
      </c>
    </row>
    <row r="396" spans="1:36" ht="14.25">
      <c r="A396" s="128">
        <v>4570</v>
      </c>
      <c r="B396" s="124">
        <v>504.62799999999999</v>
      </c>
      <c r="C396" s="128">
        <v>4580</v>
      </c>
      <c r="D396" s="125">
        <v>500.93200000000002</v>
      </c>
      <c r="E396" s="126">
        <v>4570</v>
      </c>
      <c r="F396" s="125">
        <v>1088.7249999999999</v>
      </c>
      <c r="G396" s="127">
        <v>4570</v>
      </c>
      <c r="H396" s="125">
        <v>1087.999</v>
      </c>
      <c r="I396" s="127">
        <v>4570</v>
      </c>
      <c r="J396" s="125">
        <v>940.19299999999998</v>
      </c>
      <c r="K396" s="127">
        <v>4570</v>
      </c>
      <c r="L396" s="125">
        <v>939.88699999999994</v>
      </c>
      <c r="M396" s="127">
        <v>4570</v>
      </c>
      <c r="N396" s="125">
        <v>939.99599999999998</v>
      </c>
      <c r="O396" s="127">
        <v>4550</v>
      </c>
      <c r="P396" s="125">
        <v>941.16700000000003</v>
      </c>
      <c r="Q396" s="127">
        <v>4570</v>
      </c>
      <c r="R396" s="125">
        <v>940.74599999999998</v>
      </c>
      <c r="S396" s="127">
        <v>4570</v>
      </c>
      <c r="T396" s="125">
        <v>941.298</v>
      </c>
      <c r="U396" s="127">
        <v>4560</v>
      </c>
      <c r="V396" s="125">
        <v>940.12400000000002</v>
      </c>
      <c r="W396" s="127">
        <v>4570</v>
      </c>
      <c r="X396" s="125">
        <v>939.87900000000002</v>
      </c>
      <c r="Y396" s="127">
        <v>4570</v>
      </c>
      <c r="Z396" s="125">
        <v>938.38900000000001</v>
      </c>
      <c r="AA396" s="127">
        <v>4570</v>
      </c>
      <c r="AB396" s="125">
        <v>938.24599999999998</v>
      </c>
      <c r="AC396" s="127">
        <v>4560</v>
      </c>
      <c r="AD396" s="125">
        <v>862.24599999999998</v>
      </c>
      <c r="AE396" s="127">
        <v>4570</v>
      </c>
      <c r="AF396" s="125">
        <v>863.59</v>
      </c>
      <c r="AG396" s="127">
        <v>4550</v>
      </c>
      <c r="AH396" s="125">
        <v>238.64099999999999</v>
      </c>
      <c r="AI396" s="127">
        <v>4550</v>
      </c>
      <c r="AJ396" s="125">
        <v>249.68700000000001</v>
      </c>
    </row>
    <row r="397" spans="1:36" ht="14.25">
      <c r="A397" s="128">
        <v>4580</v>
      </c>
      <c r="B397" s="124">
        <v>503.834</v>
      </c>
      <c r="C397" s="128">
        <v>4590</v>
      </c>
      <c r="D397" s="125">
        <v>500.14299999999997</v>
      </c>
      <c r="E397" s="126">
        <v>4580</v>
      </c>
      <c r="F397" s="125">
        <v>1087.223</v>
      </c>
      <c r="G397" s="127">
        <v>4580</v>
      </c>
      <c r="H397" s="125">
        <v>1086.501</v>
      </c>
      <c r="I397" s="127">
        <v>4580</v>
      </c>
      <c r="J397" s="125">
        <v>938.98</v>
      </c>
      <c r="K397" s="127">
        <v>4580</v>
      </c>
      <c r="L397" s="125">
        <v>938.67399999999998</v>
      </c>
      <c r="M397" s="127">
        <v>4580</v>
      </c>
      <c r="N397" s="125">
        <v>938.78300000000002</v>
      </c>
      <c r="O397" s="127">
        <v>4560</v>
      </c>
      <c r="P397" s="125">
        <v>939.95299999999997</v>
      </c>
      <c r="Q397" s="127">
        <v>4580</v>
      </c>
      <c r="R397" s="125">
        <v>939.53300000000002</v>
      </c>
      <c r="S397" s="127">
        <v>4580</v>
      </c>
      <c r="T397" s="125">
        <v>940.08500000000004</v>
      </c>
      <c r="U397" s="127">
        <v>4570</v>
      </c>
      <c r="V397" s="125">
        <v>938.91399999999999</v>
      </c>
      <c r="W397" s="127">
        <v>4580</v>
      </c>
      <c r="X397" s="125">
        <v>938.66899999999998</v>
      </c>
      <c r="Y397" s="127">
        <v>4580</v>
      </c>
      <c r="Z397" s="125">
        <v>937.17700000000002</v>
      </c>
      <c r="AA397" s="127">
        <v>4580</v>
      </c>
      <c r="AB397" s="125">
        <v>937.03599999999994</v>
      </c>
      <c r="AC397" s="127">
        <v>4570</v>
      </c>
      <c r="AD397" s="125">
        <v>861.03599999999994</v>
      </c>
      <c r="AE397" s="127">
        <v>4580</v>
      </c>
      <c r="AF397" s="125">
        <v>862.38</v>
      </c>
      <c r="AG397" s="127">
        <v>4560</v>
      </c>
      <c r="AH397" s="125">
        <v>238.245</v>
      </c>
      <c r="AI397" s="127">
        <v>4560</v>
      </c>
      <c r="AJ397" s="125">
        <v>249.27699999999999</v>
      </c>
    </row>
    <row r="398" spans="1:36" ht="14.25">
      <c r="A398" s="128">
        <v>4590</v>
      </c>
      <c r="B398" s="124">
        <v>503.04</v>
      </c>
      <c r="C398" s="128">
        <v>4600</v>
      </c>
      <c r="D398" s="125">
        <v>499.35500000000002</v>
      </c>
      <c r="E398" s="126">
        <v>4590</v>
      </c>
      <c r="F398" s="125">
        <v>1085.72</v>
      </c>
      <c r="G398" s="127">
        <v>4590</v>
      </c>
      <c r="H398" s="125">
        <v>1085.0029999999999</v>
      </c>
      <c r="I398" s="127">
        <v>4590</v>
      </c>
      <c r="J398" s="125">
        <v>937.76700000000005</v>
      </c>
      <c r="K398" s="127">
        <v>4590</v>
      </c>
      <c r="L398" s="125">
        <v>937.46</v>
      </c>
      <c r="M398" s="127">
        <v>4590</v>
      </c>
      <c r="N398" s="125">
        <v>937.57</v>
      </c>
      <c r="O398" s="127">
        <v>4570</v>
      </c>
      <c r="P398" s="125">
        <v>938.74</v>
      </c>
      <c r="Q398" s="127">
        <v>4590</v>
      </c>
      <c r="R398" s="125">
        <v>938.32</v>
      </c>
      <c r="S398" s="127">
        <v>4590</v>
      </c>
      <c r="T398" s="125">
        <v>938.87300000000005</v>
      </c>
      <c r="U398" s="127">
        <v>4580</v>
      </c>
      <c r="V398" s="125">
        <v>937.70399999999995</v>
      </c>
      <c r="W398" s="127">
        <v>4590</v>
      </c>
      <c r="X398" s="125">
        <v>937.45799999999997</v>
      </c>
      <c r="Y398" s="127">
        <v>4590</v>
      </c>
      <c r="Z398" s="125">
        <v>935.96600000000001</v>
      </c>
      <c r="AA398" s="127">
        <v>4590</v>
      </c>
      <c r="AB398" s="125">
        <v>935.82600000000002</v>
      </c>
      <c r="AC398" s="127">
        <v>4580</v>
      </c>
      <c r="AD398" s="125">
        <v>859.82500000000005</v>
      </c>
      <c r="AE398" s="127">
        <v>4590</v>
      </c>
      <c r="AF398" s="125">
        <v>861.17</v>
      </c>
      <c r="AG398" s="127">
        <v>4570</v>
      </c>
      <c r="AH398" s="125">
        <v>237.84899999999999</v>
      </c>
      <c r="AI398" s="127">
        <v>4570</v>
      </c>
      <c r="AJ398" s="125">
        <v>248.86699999999999</v>
      </c>
    </row>
    <row r="399" spans="1:36" ht="14.25">
      <c r="A399" s="128">
        <v>4600</v>
      </c>
      <c r="B399" s="124">
        <v>502.24599999999998</v>
      </c>
      <c r="C399" s="128">
        <v>4610</v>
      </c>
      <c r="D399" s="125">
        <v>498.56700000000001</v>
      </c>
      <c r="E399" s="126">
        <v>4600</v>
      </c>
      <c r="F399" s="125">
        <v>1084.2180000000001</v>
      </c>
      <c r="G399" s="127">
        <v>4600</v>
      </c>
      <c r="H399" s="125">
        <v>1083.5050000000001</v>
      </c>
      <c r="I399" s="127">
        <v>4600</v>
      </c>
      <c r="J399" s="125">
        <v>936.55399999999997</v>
      </c>
      <c r="K399" s="127">
        <v>4600</v>
      </c>
      <c r="L399" s="125">
        <v>936.24599999999998</v>
      </c>
      <c r="M399" s="127">
        <v>4600</v>
      </c>
      <c r="N399" s="125">
        <v>936.35699999999997</v>
      </c>
      <c r="O399" s="127">
        <v>4580</v>
      </c>
      <c r="P399" s="125">
        <v>937.52700000000004</v>
      </c>
      <c r="Q399" s="127">
        <v>4600</v>
      </c>
      <c r="R399" s="125">
        <v>937.10699999999997</v>
      </c>
      <c r="S399" s="127">
        <v>4600</v>
      </c>
      <c r="T399" s="125">
        <v>937.66099999999994</v>
      </c>
      <c r="U399" s="127">
        <v>4590</v>
      </c>
      <c r="V399" s="125">
        <v>936.495</v>
      </c>
      <c r="W399" s="127">
        <v>4600</v>
      </c>
      <c r="X399" s="125">
        <v>936.24699999999996</v>
      </c>
      <c r="Y399" s="127">
        <v>4600</v>
      </c>
      <c r="Z399" s="125">
        <v>934.75400000000002</v>
      </c>
      <c r="AA399" s="127">
        <v>4600</v>
      </c>
      <c r="AB399" s="125">
        <v>934.61599999999999</v>
      </c>
      <c r="AC399" s="127">
        <v>4590</v>
      </c>
      <c r="AD399" s="125">
        <v>858.61400000000003</v>
      </c>
      <c r="AE399" s="127">
        <v>4600</v>
      </c>
      <c r="AF399" s="125">
        <v>859.96100000000001</v>
      </c>
      <c r="AG399" s="127">
        <v>4580</v>
      </c>
      <c r="AH399" s="125">
        <v>237.453</v>
      </c>
      <c r="AI399" s="127">
        <v>4580</v>
      </c>
      <c r="AJ399" s="125">
        <v>248.45699999999999</v>
      </c>
    </row>
    <row r="400" spans="1:36" ht="14.25">
      <c r="A400" s="128">
        <v>4610</v>
      </c>
      <c r="B400" s="124">
        <v>501.452</v>
      </c>
      <c r="C400" s="128">
        <v>4620</v>
      </c>
      <c r="D400" s="125">
        <v>497.779</v>
      </c>
      <c r="E400" s="126">
        <v>4610</v>
      </c>
      <c r="F400" s="125">
        <v>1082.7159999999999</v>
      </c>
      <c r="G400" s="127">
        <v>4610</v>
      </c>
      <c r="H400" s="125">
        <v>1082.0070000000001</v>
      </c>
      <c r="I400" s="127">
        <v>4610</v>
      </c>
      <c r="J400" s="125">
        <v>935.34100000000001</v>
      </c>
      <c r="K400" s="127">
        <v>4610</v>
      </c>
      <c r="L400" s="125">
        <v>935.03300000000002</v>
      </c>
      <c r="M400" s="127">
        <v>4610</v>
      </c>
      <c r="N400" s="125">
        <v>935.14499999999998</v>
      </c>
      <c r="O400" s="127">
        <v>4590</v>
      </c>
      <c r="P400" s="125">
        <v>936.31399999999996</v>
      </c>
      <c r="Q400" s="127">
        <v>4610</v>
      </c>
      <c r="R400" s="125">
        <v>935.89400000000001</v>
      </c>
      <c r="S400" s="127">
        <v>4610</v>
      </c>
      <c r="T400" s="125">
        <v>936.44799999999998</v>
      </c>
      <c r="U400" s="127">
        <v>4600</v>
      </c>
      <c r="V400" s="125">
        <v>935.28499999999997</v>
      </c>
      <c r="W400" s="127">
        <v>4610</v>
      </c>
      <c r="X400" s="125">
        <v>935.03599999999994</v>
      </c>
      <c r="Y400" s="127">
        <v>4610</v>
      </c>
      <c r="Z400" s="125">
        <v>933.54300000000001</v>
      </c>
      <c r="AA400" s="127">
        <v>4610</v>
      </c>
      <c r="AB400" s="125">
        <v>933.40599999999995</v>
      </c>
      <c r="AC400" s="127">
        <v>4600</v>
      </c>
      <c r="AD400" s="125">
        <v>857.40300000000002</v>
      </c>
      <c r="AE400" s="127">
        <v>4610</v>
      </c>
      <c r="AF400" s="125">
        <v>858.75099999999998</v>
      </c>
      <c r="AG400" s="127">
        <v>4590</v>
      </c>
      <c r="AH400" s="125">
        <v>237.05799999999999</v>
      </c>
      <c r="AI400" s="127">
        <v>4590</v>
      </c>
      <c r="AJ400" s="125">
        <v>248.048</v>
      </c>
    </row>
    <row r="401" spans="1:36" ht="14.25">
      <c r="A401" s="128">
        <v>4620</v>
      </c>
      <c r="B401" s="124">
        <v>500.65899999999999</v>
      </c>
      <c r="C401" s="128">
        <v>4630</v>
      </c>
      <c r="D401" s="125">
        <v>496.99200000000002</v>
      </c>
      <c r="E401" s="126">
        <v>4620</v>
      </c>
      <c r="F401" s="125">
        <v>1081.213</v>
      </c>
      <c r="G401" s="127">
        <v>4620</v>
      </c>
      <c r="H401" s="125">
        <v>1080.509</v>
      </c>
      <c r="I401" s="127">
        <v>4620</v>
      </c>
      <c r="J401" s="125">
        <v>934.12699999999995</v>
      </c>
      <c r="K401" s="127">
        <v>4620</v>
      </c>
      <c r="L401" s="125">
        <v>933.81899999999996</v>
      </c>
      <c r="M401" s="127">
        <v>4620</v>
      </c>
      <c r="N401" s="125">
        <v>933.93200000000002</v>
      </c>
      <c r="O401" s="127">
        <v>4600</v>
      </c>
      <c r="P401" s="125">
        <v>935.101</v>
      </c>
      <c r="Q401" s="127">
        <v>4620</v>
      </c>
      <c r="R401" s="125">
        <v>934.68100000000004</v>
      </c>
      <c r="S401" s="127">
        <v>4620</v>
      </c>
      <c r="T401" s="125">
        <v>935.23599999999999</v>
      </c>
      <c r="U401" s="127">
        <v>4610</v>
      </c>
      <c r="V401" s="125">
        <v>934.07500000000005</v>
      </c>
      <c r="W401" s="127">
        <v>4620</v>
      </c>
      <c r="X401" s="125">
        <v>933.82600000000002</v>
      </c>
      <c r="Y401" s="127">
        <v>4620</v>
      </c>
      <c r="Z401" s="125">
        <v>932.33100000000002</v>
      </c>
      <c r="AA401" s="127">
        <v>4620</v>
      </c>
      <c r="AB401" s="125">
        <v>932.19600000000003</v>
      </c>
      <c r="AC401" s="127">
        <v>4610</v>
      </c>
      <c r="AD401" s="125">
        <v>856.19200000000001</v>
      </c>
      <c r="AE401" s="127">
        <v>4620</v>
      </c>
      <c r="AF401" s="125">
        <v>857.54200000000003</v>
      </c>
      <c r="AG401" s="127">
        <v>4600</v>
      </c>
      <c r="AH401" s="125">
        <v>236.66200000000001</v>
      </c>
      <c r="AI401" s="127">
        <v>4600</v>
      </c>
      <c r="AJ401" s="125">
        <v>247.63800000000001</v>
      </c>
    </row>
    <row r="402" spans="1:36" ht="14.25">
      <c r="A402" s="128">
        <v>4630</v>
      </c>
      <c r="B402" s="124">
        <v>499.86599999999999</v>
      </c>
      <c r="C402" s="128">
        <v>4640</v>
      </c>
      <c r="D402" s="125">
        <v>496.20400000000001</v>
      </c>
      <c r="E402" s="126">
        <v>4630</v>
      </c>
      <c r="F402" s="125">
        <v>1079.711</v>
      </c>
      <c r="G402" s="127">
        <v>4630</v>
      </c>
      <c r="H402" s="125">
        <v>1079.011</v>
      </c>
      <c r="I402" s="127">
        <v>4630</v>
      </c>
      <c r="J402" s="125">
        <v>932.91399999999999</v>
      </c>
      <c r="K402" s="127">
        <v>4630</v>
      </c>
      <c r="L402" s="125">
        <v>932.60500000000002</v>
      </c>
      <c r="M402" s="127">
        <v>4630</v>
      </c>
      <c r="N402" s="125">
        <v>932.71900000000005</v>
      </c>
      <c r="O402" s="127">
        <v>4610</v>
      </c>
      <c r="P402" s="125">
        <v>933.88800000000003</v>
      </c>
      <c r="Q402" s="127">
        <v>4630</v>
      </c>
      <c r="R402" s="125">
        <v>933.46799999999996</v>
      </c>
      <c r="S402" s="127">
        <v>4630</v>
      </c>
      <c r="T402" s="125">
        <v>934.024</v>
      </c>
      <c r="U402" s="127">
        <v>4620</v>
      </c>
      <c r="V402" s="125">
        <v>932.86500000000001</v>
      </c>
      <c r="W402" s="127">
        <v>4630</v>
      </c>
      <c r="X402" s="125">
        <v>932.61500000000001</v>
      </c>
      <c r="Y402" s="127">
        <v>4630</v>
      </c>
      <c r="Z402" s="125">
        <v>931.12</v>
      </c>
      <c r="AA402" s="127">
        <v>4630</v>
      </c>
      <c r="AB402" s="125">
        <v>930.98599999999999</v>
      </c>
      <c r="AC402" s="127">
        <v>4620</v>
      </c>
      <c r="AD402" s="125">
        <v>854.98199999999997</v>
      </c>
      <c r="AE402" s="127">
        <v>4630</v>
      </c>
      <c r="AF402" s="125">
        <v>856.33199999999999</v>
      </c>
      <c r="AG402" s="127">
        <v>4610</v>
      </c>
      <c r="AH402" s="125">
        <v>236.26599999999999</v>
      </c>
      <c r="AI402" s="127">
        <v>4610</v>
      </c>
      <c r="AJ402" s="125">
        <v>247.22800000000001</v>
      </c>
    </row>
    <row r="403" spans="1:36" ht="14.25">
      <c r="A403" s="128">
        <v>4640</v>
      </c>
      <c r="B403" s="124">
        <v>499.07299999999998</v>
      </c>
      <c r="C403" s="128">
        <v>4650</v>
      </c>
      <c r="D403" s="125">
        <v>495.41699999999997</v>
      </c>
      <c r="E403" s="126">
        <v>4640</v>
      </c>
      <c r="F403" s="125">
        <v>1078.21</v>
      </c>
      <c r="G403" s="127">
        <v>4640</v>
      </c>
      <c r="H403" s="125">
        <v>1077.5139999999999</v>
      </c>
      <c r="I403" s="127">
        <v>4640</v>
      </c>
      <c r="J403" s="125">
        <v>931.70100000000002</v>
      </c>
      <c r="K403" s="127">
        <v>4640</v>
      </c>
      <c r="L403" s="125">
        <v>931.39099999999996</v>
      </c>
      <c r="M403" s="127">
        <v>4640</v>
      </c>
      <c r="N403" s="125">
        <v>931.50599999999997</v>
      </c>
      <c r="O403" s="127">
        <v>4620</v>
      </c>
      <c r="P403" s="125">
        <v>932.67399999999998</v>
      </c>
      <c r="Q403" s="127">
        <v>4640</v>
      </c>
      <c r="R403" s="125">
        <v>932.255</v>
      </c>
      <c r="S403" s="127">
        <v>4640</v>
      </c>
      <c r="T403" s="125">
        <v>932.81200000000001</v>
      </c>
      <c r="U403" s="127">
        <v>4630</v>
      </c>
      <c r="V403" s="125">
        <v>931.65599999999995</v>
      </c>
      <c r="W403" s="127">
        <v>4640</v>
      </c>
      <c r="X403" s="125">
        <v>931.404</v>
      </c>
      <c r="Y403" s="127">
        <v>4640</v>
      </c>
      <c r="Z403" s="125">
        <v>929.90800000000002</v>
      </c>
      <c r="AA403" s="127">
        <v>4640</v>
      </c>
      <c r="AB403" s="125">
        <v>929.77599999999995</v>
      </c>
      <c r="AC403" s="127">
        <v>4630</v>
      </c>
      <c r="AD403" s="125">
        <v>853.77099999999996</v>
      </c>
      <c r="AE403" s="127">
        <v>4640</v>
      </c>
      <c r="AF403" s="125">
        <v>855.12199999999996</v>
      </c>
      <c r="AG403" s="127">
        <v>4620</v>
      </c>
      <c r="AH403" s="125">
        <v>235.87</v>
      </c>
      <c r="AI403" s="127">
        <v>4620</v>
      </c>
      <c r="AJ403" s="125">
        <v>246.81899999999999</v>
      </c>
    </row>
    <row r="404" spans="1:36" ht="14.25">
      <c r="A404" s="128">
        <v>4650</v>
      </c>
      <c r="B404" s="124">
        <v>498.28</v>
      </c>
      <c r="C404" s="128">
        <v>4660</v>
      </c>
      <c r="D404" s="125">
        <v>494.63</v>
      </c>
      <c r="E404" s="126">
        <v>4650</v>
      </c>
      <c r="F404" s="125">
        <v>1076.7080000000001</v>
      </c>
      <c r="G404" s="127">
        <v>4650</v>
      </c>
      <c r="H404" s="125">
        <v>1076.0160000000001</v>
      </c>
      <c r="I404" s="127">
        <v>4650</v>
      </c>
      <c r="J404" s="125">
        <v>930.48800000000006</v>
      </c>
      <c r="K404" s="127">
        <v>4650</v>
      </c>
      <c r="L404" s="125">
        <v>930.178</v>
      </c>
      <c r="M404" s="127">
        <v>4650</v>
      </c>
      <c r="N404" s="125">
        <v>930.29300000000001</v>
      </c>
      <c r="O404" s="127">
        <v>4630</v>
      </c>
      <c r="P404" s="125">
        <v>931.46100000000001</v>
      </c>
      <c r="Q404" s="127">
        <v>4650</v>
      </c>
      <c r="R404" s="125">
        <v>931.04200000000003</v>
      </c>
      <c r="S404" s="127">
        <v>4650</v>
      </c>
      <c r="T404" s="125">
        <v>931.59900000000005</v>
      </c>
      <c r="U404" s="127">
        <v>4640</v>
      </c>
      <c r="V404" s="125">
        <v>930.44600000000003</v>
      </c>
      <c r="W404" s="127">
        <v>4650</v>
      </c>
      <c r="X404" s="125">
        <v>930.19299999999998</v>
      </c>
      <c r="Y404" s="127">
        <v>4650</v>
      </c>
      <c r="Z404" s="125">
        <v>928.697</v>
      </c>
      <c r="AA404" s="127">
        <v>4650</v>
      </c>
      <c r="AB404" s="125">
        <v>928.56600000000003</v>
      </c>
      <c r="AC404" s="127">
        <v>4640</v>
      </c>
      <c r="AD404" s="125">
        <v>852.56</v>
      </c>
      <c r="AE404" s="127">
        <v>4650</v>
      </c>
      <c r="AF404" s="125">
        <v>853.91300000000001</v>
      </c>
      <c r="AG404" s="127">
        <v>4630</v>
      </c>
      <c r="AH404" s="125">
        <v>235.47399999999999</v>
      </c>
      <c r="AI404" s="127">
        <v>4630</v>
      </c>
      <c r="AJ404" s="125">
        <v>246.40899999999999</v>
      </c>
    </row>
    <row r="405" spans="1:36" ht="14.25">
      <c r="A405" s="128">
        <v>4660</v>
      </c>
      <c r="B405" s="124">
        <v>497.48700000000002</v>
      </c>
      <c r="C405" s="128">
        <v>4670</v>
      </c>
      <c r="D405" s="125">
        <v>493.84300000000002</v>
      </c>
      <c r="E405" s="126">
        <v>4660</v>
      </c>
      <c r="F405" s="125">
        <v>1075.2059999999999</v>
      </c>
      <c r="G405" s="127">
        <v>4660</v>
      </c>
      <c r="H405" s="125">
        <v>1074.519</v>
      </c>
      <c r="I405" s="127">
        <v>4660</v>
      </c>
      <c r="J405" s="125">
        <v>929.27499999999998</v>
      </c>
      <c r="K405" s="127">
        <v>4660</v>
      </c>
      <c r="L405" s="125">
        <v>928.96400000000006</v>
      </c>
      <c r="M405" s="127">
        <v>4660</v>
      </c>
      <c r="N405" s="125">
        <v>929.08</v>
      </c>
      <c r="O405" s="127">
        <v>4640</v>
      </c>
      <c r="P405" s="125">
        <v>930.24800000000005</v>
      </c>
      <c r="Q405" s="127">
        <v>4660</v>
      </c>
      <c r="R405" s="125">
        <v>929.82899999999995</v>
      </c>
      <c r="S405" s="127">
        <v>4660</v>
      </c>
      <c r="T405" s="125">
        <v>930.38699999999994</v>
      </c>
      <c r="U405" s="127">
        <v>4650</v>
      </c>
      <c r="V405" s="125">
        <v>929.23599999999999</v>
      </c>
      <c r="W405" s="127">
        <v>4660</v>
      </c>
      <c r="X405" s="125">
        <v>928.98299999999995</v>
      </c>
      <c r="Y405" s="127">
        <v>4660</v>
      </c>
      <c r="Z405" s="125">
        <v>927.48599999999999</v>
      </c>
      <c r="AA405" s="127">
        <v>4660</v>
      </c>
      <c r="AB405" s="125">
        <v>927.35599999999999</v>
      </c>
      <c r="AC405" s="127">
        <v>4650</v>
      </c>
      <c r="AD405" s="125">
        <v>851.34900000000005</v>
      </c>
      <c r="AE405" s="127">
        <v>4660</v>
      </c>
      <c r="AF405" s="125">
        <v>852.70299999999997</v>
      </c>
      <c r="AG405" s="127">
        <v>4640</v>
      </c>
      <c r="AH405" s="125">
        <v>235.07900000000001</v>
      </c>
      <c r="AI405" s="127">
        <v>4640</v>
      </c>
      <c r="AJ405" s="125">
        <v>245.999</v>
      </c>
    </row>
    <row r="406" spans="1:36" ht="14.25">
      <c r="A406" s="128">
        <v>4670</v>
      </c>
      <c r="B406" s="124">
        <v>496.69400000000002</v>
      </c>
      <c r="C406" s="128">
        <v>4680</v>
      </c>
      <c r="D406" s="125">
        <v>493.05599999999998</v>
      </c>
      <c r="E406" s="126">
        <v>4670</v>
      </c>
      <c r="F406" s="125">
        <v>1073.7049999999999</v>
      </c>
      <c r="G406" s="127">
        <v>4670</v>
      </c>
      <c r="H406" s="125">
        <v>1073.0219999999999</v>
      </c>
      <c r="I406" s="127">
        <v>4670</v>
      </c>
      <c r="J406" s="125">
        <v>928.06200000000001</v>
      </c>
      <c r="K406" s="127">
        <v>4670</v>
      </c>
      <c r="L406" s="125">
        <v>927.75</v>
      </c>
      <c r="M406" s="127">
        <v>4670</v>
      </c>
      <c r="N406" s="125">
        <v>927.86699999999996</v>
      </c>
      <c r="O406" s="127">
        <v>4650</v>
      </c>
      <c r="P406" s="125">
        <v>929.03499999999997</v>
      </c>
      <c r="Q406" s="127">
        <v>4670</v>
      </c>
      <c r="R406" s="125">
        <v>928.61599999999999</v>
      </c>
      <c r="S406" s="127">
        <v>4670</v>
      </c>
      <c r="T406" s="125">
        <v>929.17499999999995</v>
      </c>
      <c r="U406" s="127">
        <v>4660</v>
      </c>
      <c r="V406" s="125">
        <v>928.02599999999995</v>
      </c>
      <c r="W406" s="127">
        <v>4670</v>
      </c>
      <c r="X406" s="125">
        <v>927.77200000000005</v>
      </c>
      <c r="Y406" s="127">
        <v>4670</v>
      </c>
      <c r="Z406" s="125">
        <v>926.274</v>
      </c>
      <c r="AA406" s="127">
        <v>4670</v>
      </c>
      <c r="AB406" s="125">
        <v>926.14599999999996</v>
      </c>
      <c r="AC406" s="127">
        <v>4660</v>
      </c>
      <c r="AD406" s="125">
        <v>850.13800000000003</v>
      </c>
      <c r="AE406" s="127">
        <v>4670</v>
      </c>
      <c r="AF406" s="125">
        <v>851.49400000000003</v>
      </c>
      <c r="AG406" s="127">
        <v>4650</v>
      </c>
      <c r="AH406" s="125">
        <v>234.68299999999999</v>
      </c>
      <c r="AI406" s="127">
        <v>4650</v>
      </c>
      <c r="AJ406" s="125">
        <v>245.59</v>
      </c>
    </row>
    <row r="407" spans="1:36" ht="14.25">
      <c r="A407" s="128">
        <v>4680</v>
      </c>
      <c r="B407" s="124">
        <v>495.90199999999999</v>
      </c>
      <c r="C407" s="128">
        <v>4690</v>
      </c>
      <c r="D407" s="125">
        <v>492.27</v>
      </c>
      <c r="E407" s="126">
        <v>4680</v>
      </c>
      <c r="F407" s="125">
        <v>1072.203</v>
      </c>
      <c r="G407" s="127">
        <v>4680</v>
      </c>
      <c r="H407" s="125">
        <v>1071.5250000000001</v>
      </c>
      <c r="I407" s="127">
        <v>4680</v>
      </c>
      <c r="J407" s="125">
        <v>926.84799999999996</v>
      </c>
      <c r="K407" s="127">
        <v>4680</v>
      </c>
      <c r="L407" s="125">
        <v>926.53700000000003</v>
      </c>
      <c r="M407" s="127">
        <v>4680</v>
      </c>
      <c r="N407" s="125">
        <v>926.654</v>
      </c>
      <c r="O407" s="127">
        <v>4660</v>
      </c>
      <c r="P407" s="125">
        <v>927.822</v>
      </c>
      <c r="Q407" s="127">
        <v>4680</v>
      </c>
      <c r="R407" s="125">
        <v>927.40300000000002</v>
      </c>
      <c r="S407" s="127">
        <v>4680</v>
      </c>
      <c r="T407" s="125">
        <v>927.96199999999999</v>
      </c>
      <c r="U407" s="127">
        <v>4670</v>
      </c>
      <c r="V407" s="125">
        <v>926.81700000000001</v>
      </c>
      <c r="W407" s="127">
        <v>4680</v>
      </c>
      <c r="X407" s="125">
        <v>926.56100000000004</v>
      </c>
      <c r="Y407" s="127">
        <v>4680</v>
      </c>
      <c r="Z407" s="125">
        <v>925.06299999999999</v>
      </c>
      <c r="AA407" s="127">
        <v>4680</v>
      </c>
      <c r="AB407" s="125">
        <v>924.93600000000004</v>
      </c>
      <c r="AC407" s="127">
        <v>4670</v>
      </c>
      <c r="AD407" s="125">
        <v>848.928</v>
      </c>
      <c r="AE407" s="127">
        <v>4680</v>
      </c>
      <c r="AF407" s="125">
        <v>850.28399999999999</v>
      </c>
      <c r="AG407" s="127">
        <v>4660</v>
      </c>
      <c r="AH407" s="125">
        <v>234.28700000000001</v>
      </c>
      <c r="AI407" s="127">
        <v>4660</v>
      </c>
      <c r="AJ407" s="125">
        <v>245.18</v>
      </c>
    </row>
    <row r="408" spans="1:36" ht="14.25">
      <c r="A408" s="128">
        <v>4690</v>
      </c>
      <c r="B408" s="124">
        <v>495.11</v>
      </c>
      <c r="C408" s="128">
        <v>4700</v>
      </c>
      <c r="D408" s="125">
        <v>491.483</v>
      </c>
      <c r="E408" s="126">
        <v>4690</v>
      </c>
      <c r="F408" s="125">
        <v>1070.702</v>
      </c>
      <c r="G408" s="127">
        <v>4690</v>
      </c>
      <c r="H408" s="125">
        <v>1070.028</v>
      </c>
      <c r="I408" s="127">
        <v>4690</v>
      </c>
      <c r="J408" s="125">
        <v>925.63499999999999</v>
      </c>
      <c r="K408" s="127">
        <v>4690</v>
      </c>
      <c r="L408" s="125">
        <v>925.32299999999998</v>
      </c>
      <c r="M408" s="127">
        <v>4690</v>
      </c>
      <c r="N408" s="125">
        <v>925.44200000000001</v>
      </c>
      <c r="O408" s="127">
        <v>4670</v>
      </c>
      <c r="P408" s="125">
        <v>926.60900000000004</v>
      </c>
      <c r="Q408" s="127">
        <v>4690</v>
      </c>
      <c r="R408" s="125">
        <v>926.19100000000003</v>
      </c>
      <c r="S408" s="127">
        <v>4690</v>
      </c>
      <c r="T408" s="125">
        <v>926.75</v>
      </c>
      <c r="U408" s="127">
        <v>4680</v>
      </c>
      <c r="V408" s="125">
        <v>925.60699999999997</v>
      </c>
      <c r="W408" s="127">
        <v>4690</v>
      </c>
      <c r="X408" s="125">
        <v>925.351</v>
      </c>
      <c r="Y408" s="127">
        <v>4690</v>
      </c>
      <c r="Z408" s="125">
        <v>923.851</v>
      </c>
      <c r="AA408" s="127">
        <v>4690</v>
      </c>
      <c r="AB408" s="125">
        <v>923.72699999999998</v>
      </c>
      <c r="AC408" s="127">
        <v>4680</v>
      </c>
      <c r="AD408" s="125">
        <v>847.71699999999998</v>
      </c>
      <c r="AE408" s="127">
        <v>4690</v>
      </c>
      <c r="AF408" s="125">
        <v>849.07399999999996</v>
      </c>
      <c r="AG408" s="127">
        <v>4670</v>
      </c>
      <c r="AH408" s="125">
        <v>233.892</v>
      </c>
      <c r="AI408" s="127">
        <v>4670</v>
      </c>
      <c r="AJ408" s="125">
        <v>244.77</v>
      </c>
    </row>
    <row r="409" spans="1:36" ht="14.25">
      <c r="A409" s="128">
        <v>4700</v>
      </c>
      <c r="B409" s="124">
        <v>494.31799999999998</v>
      </c>
      <c r="C409" s="128">
        <v>4710</v>
      </c>
      <c r="D409" s="125">
        <v>490.697</v>
      </c>
      <c r="E409" s="126">
        <v>4700</v>
      </c>
      <c r="F409" s="125">
        <v>1069.201</v>
      </c>
      <c r="G409" s="127">
        <v>4700</v>
      </c>
      <c r="H409" s="125">
        <v>1068.5309999999999</v>
      </c>
      <c r="I409" s="127">
        <v>4700</v>
      </c>
      <c r="J409" s="125">
        <v>924.42200000000003</v>
      </c>
      <c r="K409" s="127">
        <v>4700</v>
      </c>
      <c r="L409" s="125">
        <v>924.10900000000004</v>
      </c>
      <c r="M409" s="127">
        <v>4700</v>
      </c>
      <c r="N409" s="125">
        <v>924.22900000000004</v>
      </c>
      <c r="O409" s="127">
        <v>4680</v>
      </c>
      <c r="P409" s="125">
        <v>925.39599999999996</v>
      </c>
      <c r="Q409" s="127">
        <v>4700</v>
      </c>
      <c r="R409" s="125">
        <v>924.97799999999995</v>
      </c>
      <c r="S409" s="127">
        <v>4700</v>
      </c>
      <c r="T409" s="125">
        <v>925.53800000000001</v>
      </c>
      <c r="U409" s="127">
        <v>4690</v>
      </c>
      <c r="V409" s="125">
        <v>924.39700000000005</v>
      </c>
      <c r="W409" s="127">
        <v>4700</v>
      </c>
      <c r="X409" s="125">
        <v>924.14</v>
      </c>
      <c r="Y409" s="127">
        <v>4700</v>
      </c>
      <c r="Z409" s="125">
        <v>922.64</v>
      </c>
      <c r="AA409" s="127">
        <v>4700</v>
      </c>
      <c r="AB409" s="125">
        <v>922.51700000000005</v>
      </c>
      <c r="AC409" s="127">
        <v>4690</v>
      </c>
      <c r="AD409" s="125">
        <v>846.50599999999997</v>
      </c>
      <c r="AE409" s="127">
        <v>4700</v>
      </c>
      <c r="AF409" s="125">
        <v>847.86500000000001</v>
      </c>
      <c r="AG409" s="127">
        <v>4680</v>
      </c>
      <c r="AH409" s="125">
        <v>233.49600000000001</v>
      </c>
      <c r="AI409" s="127">
        <v>4680</v>
      </c>
      <c r="AJ409" s="125">
        <v>244.36099999999999</v>
      </c>
    </row>
    <row r="410" spans="1:36" ht="14.25">
      <c r="A410" s="128">
        <v>4710</v>
      </c>
      <c r="B410" s="124">
        <v>493.52600000000001</v>
      </c>
      <c r="C410" s="128">
        <v>4720</v>
      </c>
      <c r="D410" s="125">
        <v>489.911</v>
      </c>
      <c r="E410" s="126">
        <v>4710</v>
      </c>
      <c r="F410" s="125">
        <v>1067.7</v>
      </c>
      <c r="G410" s="127">
        <v>4710</v>
      </c>
      <c r="H410" s="125">
        <v>1067.0340000000001</v>
      </c>
      <c r="I410" s="127">
        <v>4710</v>
      </c>
      <c r="J410" s="125">
        <v>923.20899999999995</v>
      </c>
      <c r="K410" s="127">
        <v>4710</v>
      </c>
      <c r="L410" s="125">
        <v>922.89599999999996</v>
      </c>
      <c r="M410" s="127">
        <v>4710</v>
      </c>
      <c r="N410" s="125">
        <v>923.01599999999996</v>
      </c>
      <c r="O410" s="127">
        <v>4690</v>
      </c>
      <c r="P410" s="125">
        <v>924.18200000000002</v>
      </c>
      <c r="Q410" s="127">
        <v>4710</v>
      </c>
      <c r="R410" s="125">
        <v>923.76499999999999</v>
      </c>
      <c r="S410" s="127">
        <v>4710</v>
      </c>
      <c r="T410" s="125">
        <v>924.32600000000002</v>
      </c>
      <c r="U410" s="127">
        <v>4700</v>
      </c>
      <c r="V410" s="125">
        <v>923.18700000000001</v>
      </c>
      <c r="W410" s="127">
        <v>4710</v>
      </c>
      <c r="X410" s="125">
        <v>922.92899999999997</v>
      </c>
      <c r="Y410" s="127">
        <v>4710</v>
      </c>
      <c r="Z410" s="125">
        <v>921.428</v>
      </c>
      <c r="AA410" s="127">
        <v>4710</v>
      </c>
      <c r="AB410" s="125">
        <v>921.30700000000002</v>
      </c>
      <c r="AC410" s="127">
        <v>4700</v>
      </c>
      <c r="AD410" s="125">
        <v>845.29499999999996</v>
      </c>
      <c r="AE410" s="127">
        <v>4710</v>
      </c>
      <c r="AF410" s="125">
        <v>846.65499999999997</v>
      </c>
      <c r="AG410" s="127">
        <v>4690</v>
      </c>
      <c r="AH410" s="125">
        <v>233.101</v>
      </c>
      <c r="AI410" s="127">
        <v>4690</v>
      </c>
      <c r="AJ410" s="125">
        <v>243.95099999999999</v>
      </c>
    </row>
    <row r="411" spans="1:36" ht="14.25">
      <c r="A411" s="128">
        <v>4720</v>
      </c>
      <c r="B411" s="124">
        <v>492.73399999999998</v>
      </c>
      <c r="C411" s="128">
        <v>4730</v>
      </c>
      <c r="D411" s="125">
        <v>489.125</v>
      </c>
      <c r="E411" s="126">
        <v>4720</v>
      </c>
      <c r="F411" s="125">
        <v>1066.1990000000001</v>
      </c>
      <c r="G411" s="127">
        <v>4720</v>
      </c>
      <c r="H411" s="125">
        <v>1065.538</v>
      </c>
      <c r="I411" s="127">
        <v>4720</v>
      </c>
      <c r="J411" s="125">
        <v>921.99599999999998</v>
      </c>
      <c r="K411" s="127">
        <v>4720</v>
      </c>
      <c r="L411" s="125">
        <v>921.68200000000002</v>
      </c>
      <c r="M411" s="127">
        <v>4720</v>
      </c>
      <c r="N411" s="125">
        <v>921.803</v>
      </c>
      <c r="O411" s="127">
        <v>4700</v>
      </c>
      <c r="P411" s="125">
        <v>922.96900000000005</v>
      </c>
      <c r="Q411" s="127">
        <v>4720</v>
      </c>
      <c r="R411" s="125">
        <v>922.55200000000002</v>
      </c>
      <c r="S411" s="127">
        <v>4720</v>
      </c>
      <c r="T411" s="125">
        <v>923.11300000000006</v>
      </c>
      <c r="U411" s="127">
        <v>4710</v>
      </c>
      <c r="V411" s="125">
        <v>921.97799999999995</v>
      </c>
      <c r="W411" s="127">
        <v>4720</v>
      </c>
      <c r="X411" s="125">
        <v>921.71799999999996</v>
      </c>
      <c r="Y411" s="127">
        <v>4720</v>
      </c>
      <c r="Z411" s="125">
        <v>920.21699999999998</v>
      </c>
      <c r="AA411" s="127">
        <v>4720</v>
      </c>
      <c r="AB411" s="125">
        <v>920.09699999999998</v>
      </c>
      <c r="AC411" s="127">
        <v>4710</v>
      </c>
      <c r="AD411" s="125">
        <v>844.08399999999995</v>
      </c>
      <c r="AE411" s="127">
        <v>4720</v>
      </c>
      <c r="AF411" s="125">
        <v>845.44600000000003</v>
      </c>
      <c r="AG411" s="127">
        <v>4700</v>
      </c>
      <c r="AH411" s="125">
        <v>232.70500000000001</v>
      </c>
      <c r="AI411" s="127">
        <v>4700</v>
      </c>
      <c r="AJ411" s="125">
        <v>243.542</v>
      </c>
    </row>
    <row r="412" spans="1:36" ht="14.25">
      <c r="A412" s="128">
        <v>4730</v>
      </c>
      <c r="B412" s="124">
        <v>491.94299999999998</v>
      </c>
      <c r="C412" s="128">
        <v>4740</v>
      </c>
      <c r="D412" s="125">
        <v>488.339</v>
      </c>
      <c r="E412" s="126">
        <v>4730</v>
      </c>
      <c r="F412" s="125">
        <v>1064.6990000000001</v>
      </c>
      <c r="G412" s="127">
        <v>4730</v>
      </c>
      <c r="H412" s="125">
        <v>1064.0409999999999</v>
      </c>
      <c r="I412" s="127">
        <v>4730</v>
      </c>
      <c r="J412" s="125">
        <v>920.78300000000002</v>
      </c>
      <c r="K412" s="127">
        <v>4730</v>
      </c>
      <c r="L412" s="125">
        <v>920.46799999999996</v>
      </c>
      <c r="M412" s="127">
        <v>4730</v>
      </c>
      <c r="N412" s="125">
        <v>920.59</v>
      </c>
      <c r="O412" s="127">
        <v>4710</v>
      </c>
      <c r="P412" s="125">
        <v>921.75599999999997</v>
      </c>
      <c r="Q412" s="127">
        <v>4730</v>
      </c>
      <c r="R412" s="125">
        <v>921.33799999999997</v>
      </c>
      <c r="S412" s="127">
        <v>4730</v>
      </c>
      <c r="T412" s="125">
        <v>921.90099999999995</v>
      </c>
      <c r="U412" s="127">
        <v>4720</v>
      </c>
      <c r="V412" s="125">
        <v>920.76800000000003</v>
      </c>
      <c r="W412" s="127">
        <v>4730</v>
      </c>
      <c r="X412" s="125">
        <v>920.50800000000004</v>
      </c>
      <c r="Y412" s="127">
        <v>4730</v>
      </c>
      <c r="Z412" s="125">
        <v>919.005</v>
      </c>
      <c r="AA412" s="127">
        <v>4730</v>
      </c>
      <c r="AB412" s="125">
        <v>918.88699999999994</v>
      </c>
      <c r="AC412" s="127">
        <v>4720</v>
      </c>
      <c r="AD412" s="125">
        <v>842.87400000000002</v>
      </c>
      <c r="AE412" s="127">
        <v>4730</v>
      </c>
      <c r="AF412" s="125">
        <v>844.23599999999999</v>
      </c>
      <c r="AG412" s="127">
        <v>4710</v>
      </c>
      <c r="AH412" s="125">
        <v>232.309</v>
      </c>
      <c r="AI412" s="127">
        <v>4710</v>
      </c>
      <c r="AJ412" s="125">
        <v>243.13200000000001</v>
      </c>
    </row>
    <row r="413" spans="1:36" ht="14.25">
      <c r="A413" s="128">
        <v>4740</v>
      </c>
      <c r="B413" s="124">
        <v>491.15100000000001</v>
      </c>
      <c r="C413" s="128">
        <v>4750</v>
      </c>
      <c r="D413" s="125">
        <v>487.55399999999997</v>
      </c>
      <c r="E413" s="126">
        <v>4740</v>
      </c>
      <c r="F413" s="125">
        <v>1063.1980000000001</v>
      </c>
      <c r="G413" s="127">
        <v>4740</v>
      </c>
      <c r="H413" s="125">
        <v>1062.5450000000001</v>
      </c>
      <c r="I413" s="127">
        <v>4740</v>
      </c>
      <c r="J413" s="125">
        <v>919.56899999999996</v>
      </c>
      <c r="K413" s="127">
        <v>4740</v>
      </c>
      <c r="L413" s="125">
        <v>919.255</v>
      </c>
      <c r="M413" s="127">
        <v>4740</v>
      </c>
      <c r="N413" s="125">
        <v>919.37699999999995</v>
      </c>
      <c r="O413" s="127">
        <v>4720</v>
      </c>
      <c r="P413" s="125">
        <v>920.54300000000001</v>
      </c>
      <c r="Q413" s="127">
        <v>4740</v>
      </c>
      <c r="R413" s="125">
        <v>920.12599999999998</v>
      </c>
      <c r="S413" s="127">
        <v>4740</v>
      </c>
      <c r="T413" s="125">
        <v>920.68899999999996</v>
      </c>
      <c r="U413" s="127">
        <v>4730</v>
      </c>
      <c r="V413" s="125">
        <v>919.55799999999999</v>
      </c>
      <c r="W413" s="127">
        <v>4740</v>
      </c>
      <c r="X413" s="125">
        <v>919.29700000000003</v>
      </c>
      <c r="Y413" s="127">
        <v>4740</v>
      </c>
      <c r="Z413" s="125">
        <v>917.79399999999998</v>
      </c>
      <c r="AA413" s="127">
        <v>4740</v>
      </c>
      <c r="AB413" s="125">
        <v>917.67700000000002</v>
      </c>
      <c r="AC413" s="127">
        <v>4730</v>
      </c>
      <c r="AD413" s="125">
        <v>841.66300000000001</v>
      </c>
      <c r="AE413" s="127">
        <v>4740</v>
      </c>
      <c r="AF413" s="125">
        <v>843.02599999999995</v>
      </c>
      <c r="AG413" s="127">
        <v>4720</v>
      </c>
      <c r="AH413" s="125">
        <v>231.91399999999999</v>
      </c>
      <c r="AI413" s="127">
        <v>4720</v>
      </c>
      <c r="AJ413" s="125">
        <v>242.72300000000001</v>
      </c>
    </row>
    <row r="414" spans="1:36" ht="14.25">
      <c r="A414" s="128">
        <v>4750</v>
      </c>
      <c r="B414" s="124">
        <v>490.36</v>
      </c>
      <c r="C414" s="128">
        <v>4760</v>
      </c>
      <c r="D414" s="125">
        <v>486.76799999999997</v>
      </c>
      <c r="E414" s="126">
        <v>4750</v>
      </c>
      <c r="F414" s="125">
        <v>1061.6980000000001</v>
      </c>
      <c r="G414" s="127">
        <v>4750</v>
      </c>
      <c r="H414" s="125">
        <v>1061.049</v>
      </c>
      <c r="I414" s="127">
        <v>4750</v>
      </c>
      <c r="J414" s="125">
        <v>918.35599999999999</v>
      </c>
      <c r="K414" s="127">
        <v>4750</v>
      </c>
      <c r="L414" s="125">
        <v>918.04100000000005</v>
      </c>
      <c r="M414" s="127">
        <v>4750</v>
      </c>
      <c r="N414" s="125">
        <v>918.16399999999999</v>
      </c>
      <c r="O414" s="127">
        <v>4730</v>
      </c>
      <c r="P414" s="125">
        <v>919.33</v>
      </c>
      <c r="Q414" s="127">
        <v>4750</v>
      </c>
      <c r="R414" s="125">
        <v>918.91300000000001</v>
      </c>
      <c r="S414" s="127">
        <v>4750</v>
      </c>
      <c r="T414" s="125">
        <v>919.476</v>
      </c>
      <c r="U414" s="127">
        <v>4740</v>
      </c>
      <c r="V414" s="125">
        <v>918.34799999999996</v>
      </c>
      <c r="W414" s="127">
        <v>4750</v>
      </c>
      <c r="X414" s="125">
        <v>918.08600000000001</v>
      </c>
      <c r="Y414" s="127">
        <v>4750</v>
      </c>
      <c r="Z414" s="125">
        <v>916.58199999999999</v>
      </c>
      <c r="AA414" s="127">
        <v>4750</v>
      </c>
      <c r="AB414" s="125">
        <v>916.46699999999998</v>
      </c>
      <c r="AC414" s="127">
        <v>4740</v>
      </c>
      <c r="AD414" s="125">
        <v>840.452</v>
      </c>
      <c r="AE414" s="127">
        <v>4750</v>
      </c>
      <c r="AF414" s="125">
        <v>841.81700000000001</v>
      </c>
      <c r="AG414" s="127">
        <v>4730</v>
      </c>
      <c r="AH414" s="125">
        <v>231.518</v>
      </c>
      <c r="AI414" s="127">
        <v>4730</v>
      </c>
      <c r="AJ414" s="125">
        <v>242.31299999999999</v>
      </c>
    </row>
    <row r="415" spans="1:36" ht="14.25">
      <c r="A415" s="128">
        <v>4760</v>
      </c>
      <c r="B415" s="124">
        <v>489.56900000000002</v>
      </c>
      <c r="C415" s="128">
        <v>4770</v>
      </c>
      <c r="D415" s="125">
        <v>485.983</v>
      </c>
      <c r="E415" s="126">
        <v>4760</v>
      </c>
      <c r="F415" s="125">
        <v>1060.1969999999999</v>
      </c>
      <c r="G415" s="127">
        <v>4760</v>
      </c>
      <c r="H415" s="125">
        <v>1059.5530000000001</v>
      </c>
      <c r="I415" s="127">
        <v>4760</v>
      </c>
      <c r="J415" s="125">
        <v>917.14300000000003</v>
      </c>
      <c r="K415" s="127">
        <v>4760</v>
      </c>
      <c r="L415" s="125">
        <v>916.827</v>
      </c>
      <c r="M415" s="127">
        <v>4760</v>
      </c>
      <c r="N415" s="125">
        <v>916.952</v>
      </c>
      <c r="O415" s="127">
        <v>4740</v>
      </c>
      <c r="P415" s="125">
        <v>918.11699999999996</v>
      </c>
      <c r="Q415" s="127">
        <v>4760</v>
      </c>
      <c r="R415" s="125">
        <v>917.7</v>
      </c>
      <c r="S415" s="127">
        <v>4760</v>
      </c>
      <c r="T415" s="125">
        <v>918.26400000000001</v>
      </c>
      <c r="U415" s="127">
        <v>4750</v>
      </c>
      <c r="V415" s="125">
        <v>917.13900000000001</v>
      </c>
      <c r="W415" s="127">
        <v>4760</v>
      </c>
      <c r="X415" s="125">
        <v>916.875</v>
      </c>
      <c r="Y415" s="127">
        <v>4760</v>
      </c>
      <c r="Z415" s="125">
        <v>915.37099999999998</v>
      </c>
      <c r="AA415" s="127">
        <v>4760</v>
      </c>
      <c r="AB415" s="125">
        <v>915.25699999999995</v>
      </c>
      <c r="AC415" s="127">
        <v>4750</v>
      </c>
      <c r="AD415" s="125">
        <v>839.24099999999999</v>
      </c>
      <c r="AE415" s="127">
        <v>4760</v>
      </c>
      <c r="AF415" s="125">
        <v>840.60699999999997</v>
      </c>
      <c r="AG415" s="127">
        <v>4740</v>
      </c>
      <c r="AH415" s="125">
        <v>231.12299999999999</v>
      </c>
      <c r="AI415" s="127">
        <v>4740</v>
      </c>
      <c r="AJ415" s="125">
        <v>241.904</v>
      </c>
    </row>
    <row r="416" spans="1:36" ht="14.25">
      <c r="A416" s="128">
        <v>4770</v>
      </c>
      <c r="B416" s="124">
        <v>488.779</v>
      </c>
      <c r="C416" s="128">
        <v>4780</v>
      </c>
      <c r="D416" s="125">
        <v>485.19799999999998</v>
      </c>
      <c r="E416" s="126">
        <v>4770</v>
      </c>
      <c r="F416" s="125">
        <v>1058.6969999999999</v>
      </c>
      <c r="G416" s="127">
        <v>4770</v>
      </c>
      <c r="H416" s="125">
        <v>1058.056</v>
      </c>
      <c r="I416" s="127">
        <v>4770</v>
      </c>
      <c r="J416" s="125">
        <v>915.93</v>
      </c>
      <c r="K416" s="127">
        <v>4770</v>
      </c>
      <c r="L416" s="125">
        <v>915.61300000000006</v>
      </c>
      <c r="M416" s="127">
        <v>4770</v>
      </c>
      <c r="N416" s="125">
        <v>915.73900000000003</v>
      </c>
      <c r="O416" s="127">
        <v>4750</v>
      </c>
      <c r="P416" s="125">
        <v>916.90300000000002</v>
      </c>
      <c r="Q416" s="127">
        <v>4770</v>
      </c>
      <c r="R416" s="125">
        <v>916.48699999999997</v>
      </c>
      <c r="S416" s="127">
        <v>4770</v>
      </c>
      <c r="T416" s="125">
        <v>917.05200000000002</v>
      </c>
      <c r="U416" s="127">
        <v>4760</v>
      </c>
      <c r="V416" s="125">
        <v>915.92899999999997</v>
      </c>
      <c r="W416" s="127">
        <v>4770</v>
      </c>
      <c r="X416" s="125">
        <v>915.66499999999996</v>
      </c>
      <c r="Y416" s="127">
        <v>4770</v>
      </c>
      <c r="Z416" s="125">
        <v>914.15899999999999</v>
      </c>
      <c r="AA416" s="127">
        <v>4770</v>
      </c>
      <c r="AB416" s="125">
        <v>914.04700000000003</v>
      </c>
      <c r="AC416" s="127">
        <v>4760</v>
      </c>
      <c r="AD416" s="125">
        <v>838.03099999999995</v>
      </c>
      <c r="AE416" s="127">
        <v>4770</v>
      </c>
      <c r="AF416" s="125">
        <v>839.39800000000002</v>
      </c>
      <c r="AG416" s="127">
        <v>4750</v>
      </c>
      <c r="AH416" s="125">
        <v>230.727</v>
      </c>
      <c r="AI416" s="127">
        <v>4750</v>
      </c>
      <c r="AJ416" s="125">
        <v>241.494</v>
      </c>
    </row>
    <row r="417" spans="1:36" ht="14.25">
      <c r="A417" s="128">
        <v>4780</v>
      </c>
      <c r="B417" s="124">
        <v>487.988</v>
      </c>
      <c r="C417" s="128">
        <v>4790</v>
      </c>
      <c r="D417" s="125">
        <v>484.41300000000001</v>
      </c>
      <c r="E417" s="126">
        <v>4780</v>
      </c>
      <c r="F417" s="125">
        <v>1057.1969999999999</v>
      </c>
      <c r="G417" s="127">
        <v>4780</v>
      </c>
      <c r="H417" s="125">
        <v>1056.5609999999999</v>
      </c>
      <c r="I417" s="127">
        <v>4780</v>
      </c>
      <c r="J417" s="125">
        <v>914.71699999999998</v>
      </c>
      <c r="K417" s="127">
        <v>4780</v>
      </c>
      <c r="L417" s="125">
        <v>914.4</v>
      </c>
      <c r="M417" s="127">
        <v>4780</v>
      </c>
      <c r="N417" s="125">
        <v>914.52599999999995</v>
      </c>
      <c r="O417" s="127">
        <v>4760</v>
      </c>
      <c r="P417" s="125">
        <v>915.69</v>
      </c>
      <c r="Q417" s="127">
        <v>4780</v>
      </c>
      <c r="R417" s="125">
        <v>915.274</v>
      </c>
      <c r="S417" s="127">
        <v>4780</v>
      </c>
      <c r="T417" s="125">
        <v>915.84</v>
      </c>
      <c r="U417" s="127">
        <v>4770</v>
      </c>
      <c r="V417" s="125">
        <v>914.71900000000005</v>
      </c>
      <c r="W417" s="127">
        <v>4780</v>
      </c>
      <c r="X417" s="125">
        <v>914.45399999999995</v>
      </c>
      <c r="Y417" s="127">
        <v>4780</v>
      </c>
      <c r="Z417" s="125">
        <v>912.94799999999998</v>
      </c>
      <c r="AA417" s="127">
        <v>4780</v>
      </c>
      <c r="AB417" s="125">
        <v>912.83699999999999</v>
      </c>
      <c r="AC417" s="127">
        <v>4770</v>
      </c>
      <c r="AD417" s="125">
        <v>836.82</v>
      </c>
      <c r="AE417" s="127">
        <v>4780</v>
      </c>
      <c r="AF417" s="125">
        <v>838.18799999999999</v>
      </c>
      <c r="AG417" s="127">
        <v>4760</v>
      </c>
      <c r="AH417" s="125">
        <v>230.33199999999999</v>
      </c>
      <c r="AI417" s="127">
        <v>4760</v>
      </c>
      <c r="AJ417" s="125">
        <v>241.08500000000001</v>
      </c>
    </row>
    <row r="418" spans="1:36" ht="14.25">
      <c r="A418" s="128">
        <v>4790</v>
      </c>
      <c r="B418" s="124">
        <v>487.19799999999998</v>
      </c>
      <c r="C418" s="128">
        <v>4800</v>
      </c>
      <c r="D418" s="125">
        <v>483.62799999999999</v>
      </c>
      <c r="E418" s="126">
        <v>4790</v>
      </c>
      <c r="F418" s="125">
        <v>1055.6969999999999</v>
      </c>
      <c r="G418" s="127">
        <v>4790</v>
      </c>
      <c r="H418" s="125">
        <v>1055.0650000000001</v>
      </c>
      <c r="I418" s="127">
        <v>4790</v>
      </c>
      <c r="J418" s="125">
        <v>913.50400000000002</v>
      </c>
      <c r="K418" s="127">
        <v>4790</v>
      </c>
      <c r="L418" s="125">
        <v>913.18600000000004</v>
      </c>
      <c r="M418" s="127">
        <v>4790</v>
      </c>
      <c r="N418" s="125">
        <v>913.31299999999999</v>
      </c>
      <c r="O418" s="127">
        <v>4770</v>
      </c>
      <c r="P418" s="125">
        <v>914.47699999999998</v>
      </c>
      <c r="Q418" s="127">
        <v>4790</v>
      </c>
      <c r="R418" s="125">
        <v>914.06100000000004</v>
      </c>
      <c r="S418" s="127">
        <v>4790</v>
      </c>
      <c r="T418" s="125">
        <v>914.62699999999995</v>
      </c>
      <c r="U418" s="127">
        <v>4780</v>
      </c>
      <c r="V418" s="125">
        <v>913.50900000000001</v>
      </c>
      <c r="W418" s="127">
        <v>4790</v>
      </c>
      <c r="X418" s="125">
        <v>913.24300000000005</v>
      </c>
      <c r="Y418" s="127">
        <v>4790</v>
      </c>
      <c r="Z418" s="125">
        <v>911.73699999999997</v>
      </c>
      <c r="AA418" s="127">
        <v>4790</v>
      </c>
      <c r="AB418" s="125">
        <v>911.62699999999995</v>
      </c>
      <c r="AC418" s="127">
        <v>4780</v>
      </c>
      <c r="AD418" s="125">
        <v>835.60900000000004</v>
      </c>
      <c r="AE418" s="127">
        <v>4790</v>
      </c>
      <c r="AF418" s="125">
        <v>836.97799999999995</v>
      </c>
      <c r="AG418" s="127">
        <v>4770</v>
      </c>
      <c r="AH418" s="125">
        <v>229.93700000000001</v>
      </c>
      <c r="AI418" s="127">
        <v>4770</v>
      </c>
      <c r="AJ418" s="125">
        <v>240.67599999999999</v>
      </c>
    </row>
    <row r="419" spans="1:36" ht="14.25">
      <c r="A419" s="128">
        <v>4800</v>
      </c>
      <c r="B419" s="124">
        <v>486.40699999999998</v>
      </c>
      <c r="C419" s="128">
        <v>4810</v>
      </c>
      <c r="D419" s="125">
        <v>482.84399999999999</v>
      </c>
      <c r="E419" s="126">
        <v>4800</v>
      </c>
      <c r="F419" s="125">
        <v>1054.1969999999999</v>
      </c>
      <c r="G419" s="127">
        <v>4800</v>
      </c>
      <c r="H419" s="125">
        <v>1053.569</v>
      </c>
      <c r="I419" s="127">
        <v>4800</v>
      </c>
      <c r="J419" s="125">
        <v>912.29100000000005</v>
      </c>
      <c r="K419" s="127">
        <v>4800</v>
      </c>
      <c r="L419" s="125">
        <v>911.97199999999998</v>
      </c>
      <c r="M419" s="127">
        <v>4800</v>
      </c>
      <c r="N419" s="125">
        <v>912.1</v>
      </c>
      <c r="O419" s="127">
        <v>4780</v>
      </c>
      <c r="P419" s="125">
        <v>913.26400000000001</v>
      </c>
      <c r="Q419" s="127">
        <v>4800</v>
      </c>
      <c r="R419" s="125">
        <v>912.84799999999996</v>
      </c>
      <c r="S419" s="127">
        <v>4800</v>
      </c>
      <c r="T419" s="125">
        <v>913.41499999999996</v>
      </c>
      <c r="U419" s="127">
        <v>4790</v>
      </c>
      <c r="V419" s="125">
        <v>912.29899999999998</v>
      </c>
      <c r="W419" s="127">
        <v>4800</v>
      </c>
      <c r="X419" s="125">
        <v>912.03200000000004</v>
      </c>
      <c r="Y419" s="127">
        <v>4800</v>
      </c>
      <c r="Z419" s="125">
        <v>910.52499999999998</v>
      </c>
      <c r="AA419" s="127">
        <v>4800</v>
      </c>
      <c r="AB419" s="125">
        <v>910.41700000000003</v>
      </c>
      <c r="AC419" s="127">
        <v>4790</v>
      </c>
      <c r="AD419" s="125">
        <v>834.39800000000002</v>
      </c>
      <c r="AE419" s="127">
        <v>4800</v>
      </c>
      <c r="AF419" s="125">
        <v>835.76900000000001</v>
      </c>
      <c r="AG419" s="127">
        <v>4780</v>
      </c>
      <c r="AH419" s="125">
        <v>229.541</v>
      </c>
      <c r="AI419" s="127">
        <v>4780</v>
      </c>
      <c r="AJ419" s="125">
        <v>240.26599999999999</v>
      </c>
    </row>
    <row r="420" spans="1:36" ht="14.25">
      <c r="A420" s="128">
        <v>4810</v>
      </c>
      <c r="B420" s="124">
        <v>485.61700000000002</v>
      </c>
      <c r="C420" s="128">
        <v>4820</v>
      </c>
      <c r="D420" s="125">
        <v>482.05900000000003</v>
      </c>
      <c r="E420" s="126">
        <v>4810</v>
      </c>
      <c r="F420" s="125">
        <v>1052.6980000000001</v>
      </c>
      <c r="G420" s="127">
        <v>4810</v>
      </c>
      <c r="H420" s="125">
        <v>1052.0740000000001</v>
      </c>
      <c r="I420" s="127">
        <v>4810</v>
      </c>
      <c r="J420" s="125">
        <v>911.07799999999997</v>
      </c>
      <c r="K420" s="127">
        <v>4810</v>
      </c>
      <c r="L420" s="125">
        <v>910.75900000000001</v>
      </c>
      <c r="M420" s="127">
        <v>4810</v>
      </c>
      <c r="N420" s="125">
        <v>910.88699999999994</v>
      </c>
      <c r="O420" s="127">
        <v>4790</v>
      </c>
      <c r="P420" s="125">
        <v>912.05100000000004</v>
      </c>
      <c r="Q420" s="127">
        <v>4810</v>
      </c>
      <c r="R420" s="125">
        <v>911.63499999999999</v>
      </c>
      <c r="S420" s="127">
        <v>4810</v>
      </c>
      <c r="T420" s="125">
        <v>912.20299999999997</v>
      </c>
      <c r="U420" s="127">
        <v>4800</v>
      </c>
      <c r="V420" s="125">
        <v>911.09</v>
      </c>
      <c r="W420" s="127">
        <v>4810</v>
      </c>
      <c r="X420" s="125">
        <v>910.822</v>
      </c>
      <c r="Y420" s="127">
        <v>4810</v>
      </c>
      <c r="Z420" s="125">
        <v>909.31399999999996</v>
      </c>
      <c r="AA420" s="127">
        <v>4810</v>
      </c>
      <c r="AB420" s="125">
        <v>909.20699999999999</v>
      </c>
      <c r="AC420" s="127">
        <v>4800</v>
      </c>
      <c r="AD420" s="125">
        <v>833.18700000000001</v>
      </c>
      <c r="AE420" s="127">
        <v>4810</v>
      </c>
      <c r="AF420" s="125">
        <v>834.55899999999997</v>
      </c>
      <c r="AG420" s="127">
        <v>4790</v>
      </c>
      <c r="AH420" s="125">
        <v>229.14599999999999</v>
      </c>
      <c r="AI420" s="127">
        <v>4790</v>
      </c>
      <c r="AJ420" s="125">
        <v>239.857</v>
      </c>
    </row>
    <row r="421" spans="1:36" ht="14.25">
      <c r="A421" s="128">
        <v>4820</v>
      </c>
      <c r="B421" s="124">
        <v>484.827</v>
      </c>
      <c r="C421" s="128">
        <v>4830</v>
      </c>
      <c r="D421" s="125">
        <v>481.27499999999998</v>
      </c>
      <c r="E421" s="126">
        <v>4820</v>
      </c>
      <c r="F421" s="125">
        <v>1051.1980000000001</v>
      </c>
      <c r="G421" s="127">
        <v>4820</v>
      </c>
      <c r="H421" s="125">
        <v>1050.578</v>
      </c>
      <c r="I421" s="127">
        <v>4820</v>
      </c>
      <c r="J421" s="125">
        <v>909.86400000000003</v>
      </c>
      <c r="K421" s="127">
        <v>4820</v>
      </c>
      <c r="L421" s="125">
        <v>909.54499999999996</v>
      </c>
      <c r="M421" s="127">
        <v>4820</v>
      </c>
      <c r="N421" s="125">
        <v>909.67399999999998</v>
      </c>
      <c r="O421" s="127">
        <v>4800</v>
      </c>
      <c r="P421" s="125">
        <v>910.83799999999997</v>
      </c>
      <c r="Q421" s="127">
        <v>4820</v>
      </c>
      <c r="R421" s="125">
        <v>910.42200000000003</v>
      </c>
      <c r="S421" s="127">
        <v>4820</v>
      </c>
      <c r="T421" s="125">
        <v>910.99</v>
      </c>
      <c r="U421" s="127">
        <v>4810</v>
      </c>
      <c r="V421" s="125">
        <v>909.88</v>
      </c>
      <c r="W421" s="127">
        <v>4820</v>
      </c>
      <c r="X421" s="125">
        <v>909.61099999999999</v>
      </c>
      <c r="Y421" s="127">
        <v>4820</v>
      </c>
      <c r="Z421" s="125">
        <v>908.10199999999998</v>
      </c>
      <c r="AA421" s="127">
        <v>4820</v>
      </c>
      <c r="AB421" s="125">
        <v>907.99699999999996</v>
      </c>
      <c r="AC421" s="127">
        <v>4810</v>
      </c>
      <c r="AD421" s="125">
        <v>831.97699999999998</v>
      </c>
      <c r="AE421" s="127">
        <v>4820</v>
      </c>
      <c r="AF421" s="125">
        <v>833.35</v>
      </c>
      <c r="AG421" s="127">
        <v>4800</v>
      </c>
      <c r="AH421" s="125">
        <v>228.751</v>
      </c>
      <c r="AI421" s="127">
        <v>4800</v>
      </c>
      <c r="AJ421" s="125">
        <v>239.44800000000001</v>
      </c>
    </row>
    <row r="422" spans="1:36" ht="14.25">
      <c r="A422" s="128">
        <v>4830</v>
      </c>
      <c r="B422" s="124">
        <v>484.03800000000001</v>
      </c>
      <c r="C422" s="128">
        <v>4840</v>
      </c>
      <c r="D422" s="125">
        <v>480.49099999999999</v>
      </c>
      <c r="E422" s="126">
        <v>4830</v>
      </c>
      <c r="F422" s="125">
        <v>1049.6990000000001</v>
      </c>
      <c r="G422" s="127">
        <v>4830</v>
      </c>
      <c r="H422" s="125">
        <v>1049.0830000000001</v>
      </c>
      <c r="I422" s="127">
        <v>4830</v>
      </c>
      <c r="J422" s="125">
        <v>908.65099999999995</v>
      </c>
      <c r="K422" s="127">
        <v>4830</v>
      </c>
      <c r="L422" s="125">
        <v>908.33100000000002</v>
      </c>
      <c r="M422" s="127">
        <v>4830</v>
      </c>
      <c r="N422" s="125">
        <v>908.46199999999999</v>
      </c>
      <c r="O422" s="127">
        <v>4810</v>
      </c>
      <c r="P422" s="125">
        <v>909.625</v>
      </c>
      <c r="Q422" s="127">
        <v>4830</v>
      </c>
      <c r="R422" s="125">
        <v>909.20899999999995</v>
      </c>
      <c r="S422" s="127">
        <v>4830</v>
      </c>
      <c r="T422" s="125">
        <v>909.77800000000002</v>
      </c>
      <c r="U422" s="127">
        <v>4820</v>
      </c>
      <c r="V422" s="125">
        <v>908.67</v>
      </c>
      <c r="W422" s="127">
        <v>4830</v>
      </c>
      <c r="X422" s="125">
        <v>908.4</v>
      </c>
      <c r="Y422" s="127">
        <v>4830</v>
      </c>
      <c r="Z422" s="125">
        <v>906.89099999999996</v>
      </c>
      <c r="AA422" s="127">
        <v>4830</v>
      </c>
      <c r="AB422" s="125">
        <v>906.78700000000003</v>
      </c>
      <c r="AC422" s="127">
        <v>4820</v>
      </c>
      <c r="AD422" s="125">
        <v>830.76599999999996</v>
      </c>
      <c r="AE422" s="127">
        <v>4830</v>
      </c>
      <c r="AF422" s="125">
        <v>832.14</v>
      </c>
      <c r="AG422" s="127">
        <v>4810</v>
      </c>
      <c r="AH422" s="125">
        <v>228.35499999999999</v>
      </c>
      <c r="AI422" s="127">
        <v>4810</v>
      </c>
      <c r="AJ422" s="125">
        <v>239.03899999999999</v>
      </c>
    </row>
    <row r="423" spans="1:36" ht="14.25">
      <c r="A423" s="128">
        <v>4840</v>
      </c>
      <c r="B423" s="124">
        <v>483.24799999999999</v>
      </c>
      <c r="C423" s="128">
        <v>4850</v>
      </c>
      <c r="D423" s="125">
        <v>479.70699999999999</v>
      </c>
      <c r="E423" s="126">
        <v>4840</v>
      </c>
      <c r="F423" s="125">
        <v>1048.1990000000001</v>
      </c>
      <c r="G423" s="127">
        <v>4840</v>
      </c>
      <c r="H423" s="125">
        <v>1047.588</v>
      </c>
      <c r="I423" s="127">
        <v>4840</v>
      </c>
      <c r="J423" s="125">
        <v>907.43799999999999</v>
      </c>
      <c r="K423" s="127">
        <v>4840</v>
      </c>
      <c r="L423" s="125">
        <v>907.11800000000005</v>
      </c>
      <c r="M423" s="127">
        <v>4840</v>
      </c>
      <c r="N423" s="125">
        <v>907.24900000000002</v>
      </c>
      <c r="O423" s="127">
        <v>4820</v>
      </c>
      <c r="P423" s="125">
        <v>908.41200000000003</v>
      </c>
      <c r="Q423" s="127">
        <v>4840</v>
      </c>
      <c r="R423" s="125">
        <v>907.99599999999998</v>
      </c>
      <c r="S423" s="127">
        <v>4840</v>
      </c>
      <c r="T423" s="125">
        <v>908.56600000000003</v>
      </c>
      <c r="U423" s="127">
        <v>4830</v>
      </c>
      <c r="V423" s="124">
        <v>907.46</v>
      </c>
      <c r="W423" s="127">
        <v>4840</v>
      </c>
      <c r="X423" s="125">
        <v>907.18899999999996</v>
      </c>
      <c r="Y423" s="127">
        <v>4840</v>
      </c>
      <c r="Z423" s="125">
        <v>905.67899999999997</v>
      </c>
      <c r="AA423" s="127">
        <v>4840</v>
      </c>
      <c r="AB423" s="125">
        <v>905.577</v>
      </c>
      <c r="AC423" s="127">
        <v>4830</v>
      </c>
      <c r="AD423" s="125">
        <v>829.55499999999995</v>
      </c>
      <c r="AE423" s="127">
        <v>4840</v>
      </c>
      <c r="AF423" s="125">
        <v>830.93</v>
      </c>
      <c r="AG423" s="127">
        <v>4820</v>
      </c>
      <c r="AH423" s="125">
        <v>227.96</v>
      </c>
      <c r="AI423" s="127">
        <v>4820</v>
      </c>
      <c r="AJ423" s="125">
        <v>238.62899999999999</v>
      </c>
    </row>
    <row r="424" spans="1:36" ht="14.25">
      <c r="A424" s="128">
        <v>4850</v>
      </c>
      <c r="B424" s="124">
        <v>482.459</v>
      </c>
      <c r="C424" s="128">
        <v>4860</v>
      </c>
      <c r="D424" s="125">
        <v>478.92399999999998</v>
      </c>
      <c r="E424" s="126">
        <v>4850</v>
      </c>
      <c r="F424" s="125">
        <v>1046.7</v>
      </c>
      <c r="G424" s="127">
        <v>4850</v>
      </c>
      <c r="H424" s="125">
        <v>1046.0930000000001</v>
      </c>
      <c r="I424" s="127">
        <v>4850</v>
      </c>
      <c r="J424" s="125">
        <v>906.22500000000002</v>
      </c>
      <c r="K424" s="127">
        <v>4850</v>
      </c>
      <c r="L424" s="125">
        <v>905.904</v>
      </c>
      <c r="M424" s="127">
        <v>4850</v>
      </c>
      <c r="N424" s="125">
        <v>906.03599999999994</v>
      </c>
      <c r="O424" s="127">
        <v>4830</v>
      </c>
      <c r="P424" s="125">
        <v>907.19799999999998</v>
      </c>
      <c r="Q424" s="127">
        <v>4850</v>
      </c>
      <c r="R424" s="125">
        <v>906.78300000000002</v>
      </c>
      <c r="S424" s="127">
        <v>4850</v>
      </c>
      <c r="T424" s="125">
        <v>907.35400000000004</v>
      </c>
      <c r="U424" s="127">
        <v>4840</v>
      </c>
      <c r="V424" s="124">
        <v>906.25099999999998</v>
      </c>
      <c r="W424" s="127">
        <v>4850</v>
      </c>
      <c r="X424" s="125">
        <v>905.97900000000004</v>
      </c>
      <c r="Y424" s="127">
        <v>4850</v>
      </c>
      <c r="Z424" s="125">
        <v>904.46799999999996</v>
      </c>
      <c r="AA424" s="127">
        <v>4850</v>
      </c>
      <c r="AB424" s="125">
        <v>904.36699999999996</v>
      </c>
      <c r="AC424" s="127">
        <v>4840</v>
      </c>
      <c r="AD424" s="125">
        <v>828.34400000000005</v>
      </c>
      <c r="AE424" s="127">
        <v>4850</v>
      </c>
      <c r="AF424" s="125">
        <v>829.721</v>
      </c>
      <c r="AG424" s="127">
        <v>4830</v>
      </c>
      <c r="AH424" s="125">
        <v>227.565</v>
      </c>
      <c r="AI424" s="127">
        <v>4830</v>
      </c>
      <c r="AJ424" s="125">
        <v>238.22</v>
      </c>
    </row>
    <row r="425" spans="1:36" ht="14.25">
      <c r="A425" s="128">
        <v>4860</v>
      </c>
      <c r="B425" s="124">
        <v>481.66899999999998</v>
      </c>
      <c r="C425" s="128">
        <v>4870</v>
      </c>
      <c r="D425" s="125">
        <v>478.14</v>
      </c>
      <c r="E425" s="126">
        <v>4860</v>
      </c>
      <c r="F425" s="125">
        <v>1045.201</v>
      </c>
      <c r="G425" s="127">
        <v>4860</v>
      </c>
      <c r="H425" s="125">
        <v>1044.598</v>
      </c>
      <c r="I425" s="127">
        <v>4860</v>
      </c>
      <c r="J425" s="125">
        <v>905.01199999999994</v>
      </c>
      <c r="K425" s="127">
        <v>4860</v>
      </c>
      <c r="L425" s="125">
        <v>904.69</v>
      </c>
      <c r="M425" s="127">
        <v>4860</v>
      </c>
      <c r="N425" s="125">
        <v>904.82299999999998</v>
      </c>
      <c r="O425" s="127">
        <v>4840</v>
      </c>
      <c r="P425" s="125">
        <v>905.98500000000001</v>
      </c>
      <c r="Q425" s="127">
        <v>4860</v>
      </c>
      <c r="R425" s="125">
        <v>905.57</v>
      </c>
      <c r="S425" s="127">
        <v>4860</v>
      </c>
      <c r="T425" s="125">
        <v>906.14099999999996</v>
      </c>
      <c r="U425" s="127">
        <v>4850</v>
      </c>
      <c r="V425" s="124">
        <v>905.04100000000005</v>
      </c>
      <c r="W425" s="127">
        <v>4860</v>
      </c>
      <c r="X425" s="125">
        <v>904.76800000000003</v>
      </c>
      <c r="Y425" s="127">
        <v>4860</v>
      </c>
      <c r="Z425" s="125">
        <v>903.25599999999997</v>
      </c>
      <c r="AA425" s="127">
        <v>4860</v>
      </c>
      <c r="AB425" s="125">
        <v>903.15700000000004</v>
      </c>
      <c r="AC425" s="127">
        <v>4850</v>
      </c>
      <c r="AD425" s="125">
        <v>827.13400000000001</v>
      </c>
      <c r="AE425" s="127">
        <v>4860</v>
      </c>
      <c r="AF425" s="125">
        <v>828.51099999999997</v>
      </c>
      <c r="AG425" s="127">
        <v>4840</v>
      </c>
      <c r="AH425" s="125">
        <v>227.17</v>
      </c>
      <c r="AI425" s="127">
        <v>4840</v>
      </c>
      <c r="AJ425" s="125">
        <v>237.81100000000001</v>
      </c>
    </row>
    <row r="426" spans="1:36" ht="14.25">
      <c r="A426" s="128">
        <v>4870</v>
      </c>
      <c r="B426" s="124">
        <v>480.88</v>
      </c>
      <c r="C426" s="128">
        <v>4880</v>
      </c>
      <c r="D426" s="125">
        <v>477.35700000000003</v>
      </c>
      <c r="E426" s="126">
        <v>4870</v>
      </c>
      <c r="F426" s="125">
        <v>1043.702</v>
      </c>
      <c r="G426" s="127">
        <v>4870</v>
      </c>
      <c r="H426" s="125">
        <v>1043.1030000000001</v>
      </c>
      <c r="I426" s="127">
        <v>4870</v>
      </c>
      <c r="J426" s="125">
        <v>903.79899999999998</v>
      </c>
      <c r="K426" s="127">
        <v>4870</v>
      </c>
      <c r="L426" s="125">
        <v>903.47699999999998</v>
      </c>
      <c r="M426" s="127">
        <v>4870</v>
      </c>
      <c r="N426" s="125">
        <v>903.61</v>
      </c>
      <c r="O426" s="127">
        <v>4850</v>
      </c>
      <c r="P426" s="125">
        <v>904.77200000000005</v>
      </c>
      <c r="Q426" s="127">
        <v>4870</v>
      </c>
      <c r="R426" s="125">
        <v>904.35699999999997</v>
      </c>
      <c r="S426" s="127">
        <v>4870</v>
      </c>
      <c r="T426" s="125">
        <v>904.92899999999997</v>
      </c>
      <c r="U426" s="127">
        <v>4860</v>
      </c>
      <c r="V426" s="124">
        <v>903.83100000000002</v>
      </c>
      <c r="W426" s="127">
        <v>4870</v>
      </c>
      <c r="X426" s="125">
        <v>903.55700000000002</v>
      </c>
      <c r="Y426" s="127">
        <v>4870</v>
      </c>
      <c r="Z426" s="125">
        <v>902.04499999999996</v>
      </c>
      <c r="AA426" s="127">
        <v>4870</v>
      </c>
      <c r="AB426" s="125">
        <v>901.94799999999998</v>
      </c>
      <c r="AC426" s="127">
        <v>4860</v>
      </c>
      <c r="AD426" s="125">
        <v>825.923</v>
      </c>
      <c r="AE426" s="127">
        <v>4870</v>
      </c>
      <c r="AF426" s="125">
        <v>827.30100000000004</v>
      </c>
      <c r="AG426" s="127">
        <v>4850</v>
      </c>
      <c r="AH426" s="125">
        <v>226.77500000000001</v>
      </c>
      <c r="AI426" s="127">
        <v>4850</v>
      </c>
      <c r="AJ426" s="125">
        <v>237.40199999999999</v>
      </c>
    </row>
    <row r="427" spans="1:36" ht="14.25">
      <c r="A427" s="128">
        <v>4880</v>
      </c>
      <c r="B427" s="124">
        <v>480.09199999999998</v>
      </c>
      <c r="C427" s="128">
        <v>4890</v>
      </c>
      <c r="D427" s="125">
        <v>476.57400000000001</v>
      </c>
      <c r="E427" s="126">
        <v>4880</v>
      </c>
      <c r="F427" s="125">
        <v>1042.203</v>
      </c>
      <c r="G427" s="127">
        <v>4880</v>
      </c>
      <c r="H427" s="125">
        <v>1041.6079999999999</v>
      </c>
      <c r="I427" s="127">
        <v>4880</v>
      </c>
      <c r="J427" s="125">
        <v>902.58600000000001</v>
      </c>
      <c r="K427" s="127">
        <v>4880</v>
      </c>
      <c r="L427" s="125">
        <v>902.26300000000003</v>
      </c>
      <c r="M427" s="127">
        <v>4880</v>
      </c>
      <c r="N427" s="125">
        <v>902.39700000000005</v>
      </c>
      <c r="O427" s="127">
        <v>4860</v>
      </c>
      <c r="P427" s="125">
        <v>903.55899999999997</v>
      </c>
      <c r="Q427" s="127">
        <v>4880</v>
      </c>
      <c r="R427" s="125">
        <v>903.14400000000001</v>
      </c>
      <c r="S427" s="127">
        <v>4880</v>
      </c>
      <c r="T427" s="125">
        <v>903.71699999999998</v>
      </c>
      <c r="U427" s="127">
        <v>4870</v>
      </c>
      <c r="V427" s="124">
        <v>902.62099999999998</v>
      </c>
      <c r="W427" s="127">
        <v>4880</v>
      </c>
      <c r="X427" s="125">
        <v>902.346</v>
      </c>
      <c r="Y427" s="127">
        <v>4880</v>
      </c>
      <c r="Z427" s="125">
        <v>900.83299999999997</v>
      </c>
      <c r="AA427" s="127">
        <v>4880</v>
      </c>
      <c r="AB427" s="125">
        <v>900.73800000000006</v>
      </c>
      <c r="AC427" s="127">
        <v>4870</v>
      </c>
      <c r="AD427" s="125">
        <v>824.71199999999999</v>
      </c>
      <c r="AE427" s="127">
        <v>4880</v>
      </c>
      <c r="AF427" s="125">
        <v>826.09199999999998</v>
      </c>
      <c r="AG427" s="127">
        <v>4860</v>
      </c>
      <c r="AH427" s="125">
        <v>226.38</v>
      </c>
      <c r="AI427" s="127">
        <v>4860</v>
      </c>
      <c r="AJ427" s="125">
        <v>236.99299999999999</v>
      </c>
    </row>
    <row r="428" spans="1:36" ht="14.25">
      <c r="A428" s="128">
        <v>4890</v>
      </c>
      <c r="B428" s="124">
        <v>479.303</v>
      </c>
      <c r="C428" s="128">
        <v>4900</v>
      </c>
      <c r="D428" s="125">
        <v>475.791</v>
      </c>
      <c r="E428" s="126">
        <v>4890</v>
      </c>
      <c r="F428" s="125">
        <v>1040.7049999999999</v>
      </c>
      <c r="G428" s="127">
        <v>4890</v>
      </c>
      <c r="H428" s="125">
        <v>1040.1130000000001</v>
      </c>
      <c r="I428" s="127">
        <v>4890</v>
      </c>
      <c r="J428" s="125">
        <v>901.37300000000005</v>
      </c>
      <c r="K428" s="127">
        <v>4890</v>
      </c>
      <c r="L428" s="125">
        <v>901.04899999999998</v>
      </c>
      <c r="M428" s="127">
        <v>4890</v>
      </c>
      <c r="N428" s="125">
        <v>901.18499999999995</v>
      </c>
      <c r="O428" s="127">
        <v>4870</v>
      </c>
      <c r="P428" s="125">
        <v>902.346</v>
      </c>
      <c r="Q428" s="127">
        <v>4890</v>
      </c>
      <c r="R428" s="125">
        <v>901.93100000000004</v>
      </c>
      <c r="S428" s="127">
        <v>4890</v>
      </c>
      <c r="T428" s="125">
        <v>902.50400000000002</v>
      </c>
      <c r="U428" s="127">
        <v>4880</v>
      </c>
      <c r="V428" s="124">
        <v>901.41200000000003</v>
      </c>
      <c r="W428" s="127">
        <v>4890</v>
      </c>
      <c r="X428" s="125">
        <v>901.13599999999997</v>
      </c>
      <c r="Y428" s="127">
        <v>4890</v>
      </c>
      <c r="Z428" s="125">
        <v>899.62199999999996</v>
      </c>
      <c r="AA428" s="127">
        <v>4890</v>
      </c>
      <c r="AB428" s="125">
        <v>899.52800000000002</v>
      </c>
      <c r="AC428" s="127">
        <v>4880</v>
      </c>
      <c r="AD428" s="125">
        <v>823.50099999999998</v>
      </c>
      <c r="AE428" s="127">
        <v>4890</v>
      </c>
      <c r="AF428" s="125">
        <v>824.88199999999995</v>
      </c>
      <c r="AG428" s="127">
        <v>4870</v>
      </c>
      <c r="AH428" s="125">
        <v>225.98500000000001</v>
      </c>
      <c r="AI428" s="127">
        <v>4870</v>
      </c>
      <c r="AJ428" s="125">
        <v>236.584</v>
      </c>
    </row>
    <row r="429" spans="1:36" ht="14.25">
      <c r="A429" s="128">
        <v>4900</v>
      </c>
      <c r="B429" s="124">
        <v>478.51400000000001</v>
      </c>
      <c r="C429" s="128">
        <v>4910</v>
      </c>
      <c r="D429" s="125">
        <v>475.00799999999998</v>
      </c>
      <c r="E429" s="126">
        <v>4900</v>
      </c>
      <c r="F429" s="125">
        <v>1039.2059999999999</v>
      </c>
      <c r="G429" s="127">
        <v>4900</v>
      </c>
      <c r="H429" s="125">
        <v>1038.6189999999999</v>
      </c>
      <c r="I429" s="127">
        <v>4900</v>
      </c>
      <c r="J429" s="125">
        <v>900.16</v>
      </c>
      <c r="K429" s="127">
        <v>4900</v>
      </c>
      <c r="L429" s="125">
        <v>899.83600000000001</v>
      </c>
      <c r="M429" s="127">
        <v>4900</v>
      </c>
      <c r="N429" s="125">
        <v>899.97199999999998</v>
      </c>
      <c r="O429" s="127">
        <v>4880</v>
      </c>
      <c r="P429" s="125">
        <v>901.13300000000004</v>
      </c>
      <c r="Q429" s="127">
        <v>4900</v>
      </c>
      <c r="R429" s="125">
        <v>900.71799999999996</v>
      </c>
      <c r="S429" s="127">
        <v>4900</v>
      </c>
      <c r="T429" s="125">
        <v>901.29200000000003</v>
      </c>
      <c r="U429" s="127">
        <v>4890</v>
      </c>
      <c r="V429" s="124">
        <v>900.202</v>
      </c>
      <c r="W429" s="127">
        <v>4900</v>
      </c>
      <c r="X429" s="125">
        <v>899.92499999999995</v>
      </c>
      <c r="Y429" s="127">
        <v>4900</v>
      </c>
      <c r="Z429" s="125">
        <v>898.41099999999994</v>
      </c>
      <c r="AA429" s="127">
        <v>4900</v>
      </c>
      <c r="AB429" s="125">
        <v>898.31799999999998</v>
      </c>
      <c r="AC429" s="127">
        <v>4890</v>
      </c>
      <c r="AD429" s="125">
        <v>822.29</v>
      </c>
      <c r="AE429" s="127">
        <v>4900</v>
      </c>
      <c r="AF429" s="125">
        <v>823.673</v>
      </c>
      <c r="AG429" s="127">
        <v>4880</v>
      </c>
      <c r="AH429" s="125">
        <v>225.59</v>
      </c>
      <c r="AI429" s="127">
        <v>4880</v>
      </c>
      <c r="AJ429" s="125">
        <v>236.17500000000001</v>
      </c>
    </row>
    <row r="430" spans="1:36" ht="14.25">
      <c r="A430" s="128">
        <v>4910</v>
      </c>
      <c r="B430" s="124">
        <v>477.726</v>
      </c>
      <c r="C430" s="128">
        <v>4920</v>
      </c>
      <c r="D430" s="125">
        <v>474.22500000000002</v>
      </c>
      <c r="E430" s="126">
        <v>4910</v>
      </c>
      <c r="F430" s="125">
        <v>1037.7080000000001</v>
      </c>
      <c r="G430" s="127">
        <v>4910</v>
      </c>
      <c r="H430" s="125">
        <v>1037.124</v>
      </c>
      <c r="I430" s="127">
        <v>4910</v>
      </c>
      <c r="J430" s="125">
        <v>898.947</v>
      </c>
      <c r="K430" s="127">
        <v>4910</v>
      </c>
      <c r="L430" s="125">
        <v>898.62199999999996</v>
      </c>
      <c r="M430" s="127">
        <v>4910</v>
      </c>
      <c r="N430" s="125">
        <v>898.75900000000001</v>
      </c>
      <c r="O430" s="127">
        <v>4890</v>
      </c>
      <c r="P430" s="125">
        <v>899.92</v>
      </c>
      <c r="Q430" s="127">
        <v>4910</v>
      </c>
      <c r="R430" s="125">
        <v>899.505</v>
      </c>
      <c r="S430" s="127">
        <v>4910</v>
      </c>
      <c r="T430" s="125">
        <v>900.08</v>
      </c>
      <c r="U430" s="127">
        <v>4900</v>
      </c>
      <c r="V430" s="124">
        <v>898.99199999999996</v>
      </c>
      <c r="W430" s="127">
        <v>4910</v>
      </c>
      <c r="X430" s="125">
        <v>898.71400000000006</v>
      </c>
      <c r="Y430" s="127">
        <v>4910</v>
      </c>
      <c r="Z430" s="125">
        <v>897.19899999999996</v>
      </c>
      <c r="AA430" s="127">
        <v>4910</v>
      </c>
      <c r="AB430" s="125">
        <v>897.10799999999995</v>
      </c>
      <c r="AC430" s="127">
        <v>4900</v>
      </c>
      <c r="AD430" s="125">
        <v>821.08</v>
      </c>
      <c r="AE430" s="127">
        <v>4910</v>
      </c>
      <c r="AF430" s="125">
        <v>822.46299999999997</v>
      </c>
      <c r="AG430" s="127">
        <v>4890</v>
      </c>
      <c r="AH430" s="125">
        <v>225.19499999999999</v>
      </c>
      <c r="AI430" s="127">
        <v>4890</v>
      </c>
      <c r="AJ430" s="125">
        <v>235.76599999999999</v>
      </c>
    </row>
    <row r="431" spans="1:36" ht="14.25">
      <c r="A431" s="128">
        <v>4920</v>
      </c>
      <c r="B431" s="124">
        <v>476.93799999999999</v>
      </c>
      <c r="C431" s="128">
        <v>4930</v>
      </c>
      <c r="D431" s="125">
        <v>473.44299999999998</v>
      </c>
      <c r="E431" s="126">
        <v>4920</v>
      </c>
      <c r="F431" s="125">
        <v>1036.21</v>
      </c>
      <c r="G431" s="127">
        <v>4920</v>
      </c>
      <c r="H431" s="125">
        <v>1035.6300000000001</v>
      </c>
      <c r="I431" s="127">
        <v>4920</v>
      </c>
      <c r="J431" s="125">
        <v>897.73400000000004</v>
      </c>
      <c r="K431" s="127">
        <v>4920</v>
      </c>
      <c r="L431" s="125">
        <v>897.40800000000002</v>
      </c>
      <c r="M431" s="127">
        <v>4920</v>
      </c>
      <c r="N431" s="125">
        <v>897.54600000000005</v>
      </c>
      <c r="O431" s="127">
        <v>4900</v>
      </c>
      <c r="P431" s="125">
        <v>898.70699999999999</v>
      </c>
      <c r="Q431" s="127">
        <v>4920</v>
      </c>
      <c r="R431" s="125">
        <v>898.29300000000001</v>
      </c>
      <c r="S431" s="127">
        <v>4920</v>
      </c>
      <c r="T431" s="125">
        <v>898.86800000000005</v>
      </c>
      <c r="U431" s="127">
        <v>4910</v>
      </c>
      <c r="V431" s="124">
        <v>897.78200000000004</v>
      </c>
      <c r="W431" s="127">
        <v>4920</v>
      </c>
      <c r="X431" s="125">
        <v>897.50300000000004</v>
      </c>
      <c r="Y431" s="127">
        <v>4920</v>
      </c>
      <c r="Z431" s="125">
        <v>895.98800000000006</v>
      </c>
      <c r="AA431" s="127">
        <v>4920</v>
      </c>
      <c r="AB431" s="125">
        <v>895.89800000000002</v>
      </c>
      <c r="AC431" s="127">
        <v>4910</v>
      </c>
      <c r="AD431" s="125">
        <v>819.86900000000003</v>
      </c>
      <c r="AE431" s="127">
        <v>4920</v>
      </c>
      <c r="AF431" s="125">
        <v>821.25300000000004</v>
      </c>
      <c r="AG431" s="127">
        <v>4900</v>
      </c>
      <c r="AH431" s="125">
        <v>224.8</v>
      </c>
      <c r="AI431" s="127">
        <v>4900</v>
      </c>
      <c r="AJ431" s="125">
        <v>235.357</v>
      </c>
    </row>
    <row r="432" spans="1:36" ht="14.25">
      <c r="A432" s="128">
        <v>4930</v>
      </c>
      <c r="B432" s="124">
        <v>476.15</v>
      </c>
      <c r="C432" s="128">
        <v>4940</v>
      </c>
      <c r="D432" s="125">
        <v>472.66</v>
      </c>
      <c r="E432" s="126">
        <v>4930</v>
      </c>
      <c r="F432" s="125">
        <v>1034.711</v>
      </c>
      <c r="G432" s="127">
        <v>4930</v>
      </c>
      <c r="H432" s="125">
        <v>1034.136</v>
      </c>
      <c r="I432" s="127">
        <v>4930</v>
      </c>
      <c r="J432" s="125">
        <v>896.52099999999996</v>
      </c>
      <c r="K432" s="127">
        <v>4930</v>
      </c>
      <c r="L432" s="125">
        <v>896.19500000000005</v>
      </c>
      <c r="M432" s="127">
        <v>4930</v>
      </c>
      <c r="N432" s="125">
        <v>896.33299999999997</v>
      </c>
      <c r="O432" s="127">
        <v>4910</v>
      </c>
      <c r="P432" s="125">
        <v>897.49400000000003</v>
      </c>
      <c r="Q432" s="127">
        <v>4930</v>
      </c>
      <c r="R432" s="125">
        <v>897.08</v>
      </c>
      <c r="S432" s="127">
        <v>4930</v>
      </c>
      <c r="T432" s="125">
        <v>897.65499999999997</v>
      </c>
      <c r="U432" s="127">
        <v>4920</v>
      </c>
      <c r="V432" s="124">
        <v>896.572</v>
      </c>
      <c r="W432" s="127">
        <v>4930</v>
      </c>
      <c r="X432" s="125">
        <v>896.29300000000001</v>
      </c>
      <c r="Y432" s="127">
        <v>4930</v>
      </c>
      <c r="Z432" s="125">
        <v>894.77599999999995</v>
      </c>
      <c r="AA432" s="127">
        <v>4930</v>
      </c>
      <c r="AB432" s="125">
        <v>894.68799999999999</v>
      </c>
      <c r="AC432" s="127">
        <v>4920</v>
      </c>
      <c r="AD432" s="125">
        <v>818.65800000000002</v>
      </c>
      <c r="AE432" s="127">
        <v>4930</v>
      </c>
      <c r="AF432" s="125">
        <v>820.04399999999998</v>
      </c>
      <c r="AG432" s="127">
        <v>4910</v>
      </c>
      <c r="AH432" s="125">
        <v>224.405</v>
      </c>
      <c r="AI432" s="127">
        <v>4910</v>
      </c>
      <c r="AJ432" s="125">
        <v>234.94800000000001</v>
      </c>
    </row>
    <row r="433" spans="1:36" ht="14.25">
      <c r="A433" s="128">
        <v>4940</v>
      </c>
      <c r="B433" s="124">
        <v>475.36200000000002</v>
      </c>
      <c r="C433" s="128">
        <v>4950</v>
      </c>
      <c r="D433" s="125">
        <v>471.87799999999999</v>
      </c>
      <c r="E433" s="126">
        <v>4940</v>
      </c>
      <c r="F433" s="125">
        <v>1033.213</v>
      </c>
      <c r="G433" s="127">
        <v>4940</v>
      </c>
      <c r="H433" s="125">
        <v>1032.6420000000001</v>
      </c>
      <c r="I433" s="127">
        <v>4940</v>
      </c>
      <c r="J433" s="125">
        <v>895.30700000000002</v>
      </c>
      <c r="K433" s="127">
        <v>4940</v>
      </c>
      <c r="L433" s="125">
        <v>894.98099999999999</v>
      </c>
      <c r="M433" s="127">
        <v>4940</v>
      </c>
      <c r="N433" s="125">
        <v>895.12099999999998</v>
      </c>
      <c r="O433" s="127">
        <v>4920</v>
      </c>
      <c r="P433" s="125">
        <v>896.28099999999995</v>
      </c>
      <c r="Q433" s="127">
        <v>4940</v>
      </c>
      <c r="R433" s="125">
        <v>895.86699999999996</v>
      </c>
      <c r="S433" s="127">
        <v>4940</v>
      </c>
      <c r="T433" s="125">
        <v>896.44299999999998</v>
      </c>
      <c r="U433" s="127">
        <v>4930</v>
      </c>
      <c r="V433" s="124">
        <v>895.36300000000006</v>
      </c>
      <c r="W433" s="127">
        <v>4940</v>
      </c>
      <c r="X433" s="125">
        <v>895.08199999999999</v>
      </c>
      <c r="Y433" s="127">
        <v>4940</v>
      </c>
      <c r="Z433" s="125">
        <v>893.56500000000005</v>
      </c>
      <c r="AA433" s="127">
        <v>4940</v>
      </c>
      <c r="AB433" s="125">
        <v>893.47799999999995</v>
      </c>
      <c r="AC433" s="127">
        <v>4930</v>
      </c>
      <c r="AD433" s="125">
        <v>817.447</v>
      </c>
      <c r="AE433" s="127">
        <v>4940</v>
      </c>
      <c r="AF433" s="125">
        <v>818.83399999999995</v>
      </c>
      <c r="AG433" s="127">
        <v>4920</v>
      </c>
      <c r="AH433" s="125">
        <v>224.01</v>
      </c>
      <c r="AI433" s="127">
        <v>4920</v>
      </c>
      <c r="AJ433" s="125">
        <v>234.53899999999999</v>
      </c>
    </row>
    <row r="434" spans="1:36" ht="14.25">
      <c r="A434" s="128">
        <v>4950</v>
      </c>
      <c r="B434" s="124">
        <v>474.57499999999999</v>
      </c>
      <c r="C434" s="128">
        <v>4960</v>
      </c>
      <c r="D434" s="125">
        <v>471.096</v>
      </c>
      <c r="E434" s="126">
        <v>4950</v>
      </c>
      <c r="F434" s="125">
        <v>1031.7149999999999</v>
      </c>
      <c r="G434" s="127">
        <v>4950</v>
      </c>
      <c r="H434" s="125">
        <v>1031.1479999999999</v>
      </c>
      <c r="I434" s="127">
        <v>4950</v>
      </c>
      <c r="J434" s="125">
        <v>894.09400000000005</v>
      </c>
      <c r="K434" s="127">
        <v>4950</v>
      </c>
      <c r="L434" s="125">
        <v>893.76700000000005</v>
      </c>
      <c r="M434" s="127">
        <v>4950</v>
      </c>
      <c r="N434" s="125">
        <v>893.90800000000002</v>
      </c>
      <c r="O434" s="127">
        <v>4930</v>
      </c>
      <c r="P434" s="125">
        <v>895.06799999999998</v>
      </c>
      <c r="Q434" s="127">
        <v>4950</v>
      </c>
      <c r="R434" s="125">
        <v>894.654</v>
      </c>
      <c r="S434" s="127">
        <v>4950</v>
      </c>
      <c r="T434" s="125">
        <v>895.23099999999999</v>
      </c>
      <c r="U434" s="127">
        <v>4940</v>
      </c>
      <c r="V434" s="124">
        <v>894.15300000000002</v>
      </c>
      <c r="W434" s="127">
        <v>4950</v>
      </c>
      <c r="X434" s="125">
        <v>893.87099999999998</v>
      </c>
      <c r="Y434" s="127">
        <v>4950</v>
      </c>
      <c r="Z434" s="125">
        <v>892.35299999999995</v>
      </c>
      <c r="AA434" s="127">
        <v>4950</v>
      </c>
      <c r="AB434" s="125">
        <v>892.26800000000003</v>
      </c>
      <c r="AC434" s="127">
        <v>4940</v>
      </c>
      <c r="AD434" s="125">
        <v>816.23699999999997</v>
      </c>
      <c r="AE434" s="127">
        <v>4950</v>
      </c>
      <c r="AF434" s="125">
        <v>817.62400000000002</v>
      </c>
      <c r="AG434" s="127">
        <v>4930</v>
      </c>
      <c r="AH434" s="125">
        <v>223.61500000000001</v>
      </c>
      <c r="AI434" s="127">
        <v>4930</v>
      </c>
      <c r="AJ434" s="125">
        <v>234.13</v>
      </c>
    </row>
    <row r="435" spans="1:36" ht="14.25">
      <c r="A435" s="128">
        <v>4960</v>
      </c>
      <c r="B435" s="124">
        <v>473.78699999999998</v>
      </c>
      <c r="C435" s="128">
        <v>4970</v>
      </c>
      <c r="D435" s="125">
        <v>470.315</v>
      </c>
      <c r="E435" s="126">
        <v>4960</v>
      </c>
      <c r="F435" s="125">
        <v>1030.2180000000001</v>
      </c>
      <c r="G435" s="127">
        <v>4960</v>
      </c>
      <c r="H435" s="125">
        <v>1029.654</v>
      </c>
      <c r="I435" s="127">
        <v>4960</v>
      </c>
      <c r="J435" s="125">
        <v>892.88099999999997</v>
      </c>
      <c r="K435" s="127">
        <v>4960</v>
      </c>
      <c r="L435" s="125">
        <v>892.55399999999997</v>
      </c>
      <c r="M435" s="127">
        <v>4960</v>
      </c>
      <c r="N435" s="125">
        <v>892.69500000000005</v>
      </c>
      <c r="O435" s="127">
        <v>4940</v>
      </c>
      <c r="P435" s="125">
        <v>893.85400000000004</v>
      </c>
      <c r="Q435" s="127">
        <v>4960</v>
      </c>
      <c r="R435" s="125">
        <v>893.44100000000003</v>
      </c>
      <c r="S435" s="127">
        <v>4960</v>
      </c>
      <c r="T435" s="125">
        <v>894.01800000000003</v>
      </c>
      <c r="U435" s="127">
        <v>4950</v>
      </c>
      <c r="V435" s="124">
        <v>892.94299999999998</v>
      </c>
      <c r="W435" s="127">
        <v>4960</v>
      </c>
      <c r="X435" s="125">
        <v>892.66</v>
      </c>
      <c r="Y435" s="127">
        <v>4960</v>
      </c>
      <c r="Z435" s="125">
        <v>891.14200000000005</v>
      </c>
      <c r="AA435" s="127">
        <v>4960</v>
      </c>
      <c r="AB435" s="125">
        <v>891.05799999999999</v>
      </c>
      <c r="AC435" s="127">
        <v>4950</v>
      </c>
      <c r="AD435" s="125">
        <v>815.02599999999995</v>
      </c>
      <c r="AE435" s="127">
        <v>4960</v>
      </c>
      <c r="AF435" s="125">
        <v>816.41499999999996</v>
      </c>
      <c r="AG435" s="127">
        <v>4940</v>
      </c>
      <c r="AH435" s="125">
        <v>223.22</v>
      </c>
      <c r="AI435" s="127">
        <v>4940</v>
      </c>
      <c r="AJ435" s="125">
        <v>233.72200000000001</v>
      </c>
    </row>
    <row r="436" spans="1:36" ht="14.25">
      <c r="A436" s="128">
        <v>4970</v>
      </c>
      <c r="B436" s="124">
        <v>473</v>
      </c>
      <c r="C436" s="128">
        <v>4980</v>
      </c>
      <c r="D436" s="125">
        <v>469.53300000000002</v>
      </c>
      <c r="E436" s="126">
        <v>4970</v>
      </c>
      <c r="F436" s="125">
        <v>1028.72</v>
      </c>
      <c r="G436" s="127">
        <v>4970</v>
      </c>
      <c r="H436" s="125">
        <v>1028.1600000000001</v>
      </c>
      <c r="I436" s="127">
        <v>4970</v>
      </c>
      <c r="J436" s="125">
        <v>891.66800000000001</v>
      </c>
      <c r="K436" s="127">
        <v>4970</v>
      </c>
      <c r="L436" s="125">
        <v>891.34</v>
      </c>
      <c r="M436" s="127">
        <v>4970</v>
      </c>
      <c r="N436" s="125">
        <v>891.48199999999997</v>
      </c>
      <c r="O436" s="127">
        <v>4950</v>
      </c>
      <c r="P436" s="125">
        <v>892.64099999999996</v>
      </c>
      <c r="Q436" s="127">
        <v>4970</v>
      </c>
      <c r="R436" s="125">
        <v>892.22799999999995</v>
      </c>
      <c r="S436" s="127">
        <v>4970</v>
      </c>
      <c r="T436" s="125">
        <v>892.80600000000004</v>
      </c>
      <c r="U436" s="127">
        <v>4960</v>
      </c>
      <c r="V436" s="124">
        <v>891.73299999999995</v>
      </c>
      <c r="W436" s="127">
        <v>4970</v>
      </c>
      <c r="X436" s="125">
        <v>891.45</v>
      </c>
      <c r="Y436" s="127">
        <v>4970</v>
      </c>
      <c r="Z436" s="125">
        <v>889.93100000000004</v>
      </c>
      <c r="AA436" s="127">
        <v>4970</v>
      </c>
      <c r="AB436" s="125">
        <v>889.84799999999996</v>
      </c>
      <c r="AC436" s="127">
        <v>4960</v>
      </c>
      <c r="AD436" s="125">
        <v>813.81500000000005</v>
      </c>
      <c r="AE436" s="127">
        <v>4970</v>
      </c>
      <c r="AF436" s="125">
        <v>815.20500000000004</v>
      </c>
      <c r="AG436" s="127">
        <v>4950</v>
      </c>
      <c r="AH436" s="125">
        <v>222.82499999999999</v>
      </c>
      <c r="AI436" s="127">
        <v>4950</v>
      </c>
      <c r="AJ436" s="125">
        <v>233.31299999999999</v>
      </c>
    </row>
    <row r="437" spans="1:36" ht="14.25">
      <c r="A437" s="128">
        <v>4980</v>
      </c>
      <c r="B437" s="124">
        <v>472.21300000000002</v>
      </c>
      <c r="C437" s="128">
        <v>4990</v>
      </c>
      <c r="D437" s="125">
        <v>468.75200000000001</v>
      </c>
      <c r="E437" s="126">
        <v>4980</v>
      </c>
      <c r="F437" s="125">
        <v>1027.222</v>
      </c>
      <c r="G437" s="127">
        <v>4980</v>
      </c>
      <c r="H437" s="125">
        <v>1026.6669999999999</v>
      </c>
      <c r="I437" s="127">
        <v>4980</v>
      </c>
      <c r="J437" s="125">
        <v>890.45500000000004</v>
      </c>
      <c r="K437" s="127">
        <v>4980</v>
      </c>
      <c r="L437" s="125">
        <v>890.12599999999998</v>
      </c>
      <c r="M437" s="127">
        <v>4980</v>
      </c>
      <c r="N437" s="125">
        <v>890.26900000000001</v>
      </c>
      <c r="O437" s="127">
        <v>4960</v>
      </c>
      <c r="P437" s="125">
        <v>891.428</v>
      </c>
      <c r="Q437" s="127">
        <v>4980</v>
      </c>
      <c r="R437" s="125">
        <v>891.01499999999999</v>
      </c>
      <c r="S437" s="127">
        <v>4980</v>
      </c>
      <c r="T437" s="125">
        <v>891.59400000000005</v>
      </c>
      <c r="U437" s="127">
        <v>4970</v>
      </c>
      <c r="V437" s="124">
        <v>890.52300000000002</v>
      </c>
      <c r="W437" s="127">
        <v>4980</v>
      </c>
      <c r="X437" s="125">
        <v>890.23900000000003</v>
      </c>
      <c r="Y437" s="127">
        <v>4980</v>
      </c>
      <c r="Z437" s="125">
        <v>888.71900000000005</v>
      </c>
      <c r="AA437" s="127">
        <v>4980</v>
      </c>
      <c r="AB437" s="125">
        <v>888.63800000000003</v>
      </c>
      <c r="AC437" s="127">
        <v>4970</v>
      </c>
      <c r="AD437" s="125">
        <v>812.60400000000004</v>
      </c>
      <c r="AE437" s="127">
        <v>4980</v>
      </c>
      <c r="AF437" s="125">
        <v>813.99599999999998</v>
      </c>
      <c r="AG437" s="127">
        <v>4960</v>
      </c>
      <c r="AH437" s="125">
        <v>222.43100000000001</v>
      </c>
      <c r="AI437" s="127">
        <v>4960</v>
      </c>
      <c r="AJ437" s="125">
        <v>232.904</v>
      </c>
    </row>
    <row r="438" spans="1:36" ht="14.25">
      <c r="A438" s="128">
        <v>4990</v>
      </c>
      <c r="B438" s="124">
        <v>471.42599999999999</v>
      </c>
      <c r="C438" s="128">
        <v>5000</v>
      </c>
      <c r="D438" s="125">
        <v>467.97</v>
      </c>
      <c r="E438" s="126">
        <v>4990</v>
      </c>
      <c r="F438" s="125">
        <v>1025.7249999999999</v>
      </c>
      <c r="G438" s="127">
        <v>4990</v>
      </c>
      <c r="H438" s="125">
        <v>1025.173</v>
      </c>
      <c r="I438" s="127">
        <v>4990</v>
      </c>
      <c r="J438" s="125">
        <v>889.24199999999996</v>
      </c>
      <c r="K438" s="127">
        <v>4990</v>
      </c>
      <c r="L438" s="125">
        <v>888.91200000000003</v>
      </c>
      <c r="M438" s="127">
        <v>4990</v>
      </c>
      <c r="N438" s="125">
        <v>889.05700000000002</v>
      </c>
      <c r="O438" s="127">
        <v>4970</v>
      </c>
      <c r="P438" s="125">
        <v>890.21500000000003</v>
      </c>
      <c r="Q438" s="127">
        <v>4990</v>
      </c>
      <c r="R438" s="125">
        <v>889.80200000000002</v>
      </c>
      <c r="S438" s="127">
        <v>4990</v>
      </c>
      <c r="T438" s="125">
        <v>890.38199999999995</v>
      </c>
      <c r="U438" s="127">
        <v>4980</v>
      </c>
      <c r="V438" s="124">
        <v>889.31399999999996</v>
      </c>
      <c r="W438" s="127">
        <v>4990</v>
      </c>
      <c r="X438" s="125">
        <v>889.02800000000002</v>
      </c>
      <c r="Y438" s="127">
        <v>4990</v>
      </c>
      <c r="Z438" s="125">
        <v>887.50800000000004</v>
      </c>
      <c r="AA438" s="127">
        <v>4990</v>
      </c>
      <c r="AB438" s="125">
        <v>887.428</v>
      </c>
      <c r="AC438" s="127">
        <v>4980</v>
      </c>
      <c r="AD438" s="125">
        <v>811.39400000000001</v>
      </c>
      <c r="AE438" s="127">
        <v>4990</v>
      </c>
      <c r="AF438" s="125">
        <v>812.78599999999994</v>
      </c>
      <c r="AG438" s="127">
        <v>4970</v>
      </c>
      <c r="AH438" s="125">
        <v>222.036</v>
      </c>
      <c r="AI438" s="127">
        <v>4970</v>
      </c>
      <c r="AJ438" s="125">
        <v>232.495</v>
      </c>
    </row>
    <row r="439" spans="1:36" ht="14.25">
      <c r="A439" s="128">
        <v>5000</v>
      </c>
      <c r="B439" s="124">
        <v>470.63900000000001</v>
      </c>
      <c r="C439" s="128">
        <v>5010</v>
      </c>
      <c r="D439" s="125">
        <v>467.18900000000002</v>
      </c>
      <c r="E439" s="126">
        <v>5000</v>
      </c>
      <c r="F439" s="125">
        <v>1024.2280000000001</v>
      </c>
      <c r="G439" s="127">
        <v>5000</v>
      </c>
      <c r="H439" s="125">
        <v>1023.68</v>
      </c>
      <c r="I439" s="127">
        <v>5000</v>
      </c>
      <c r="J439" s="125">
        <v>888.029</v>
      </c>
      <c r="K439" s="127">
        <v>5000</v>
      </c>
      <c r="L439" s="125">
        <v>887.69899999999996</v>
      </c>
      <c r="M439" s="127">
        <v>5000</v>
      </c>
      <c r="N439" s="125">
        <v>887.84400000000005</v>
      </c>
      <c r="O439" s="127">
        <v>4980</v>
      </c>
      <c r="P439" s="125">
        <v>889.00199999999995</v>
      </c>
      <c r="Q439" s="127">
        <v>5000</v>
      </c>
      <c r="R439" s="125">
        <v>888.58900000000006</v>
      </c>
      <c r="S439" s="127">
        <v>5000</v>
      </c>
      <c r="T439" s="125">
        <v>889.16899999999998</v>
      </c>
      <c r="U439" s="127">
        <v>4990</v>
      </c>
      <c r="V439" s="124">
        <v>888.10400000000004</v>
      </c>
      <c r="W439" s="127">
        <v>5000</v>
      </c>
      <c r="X439" s="125">
        <v>887.81700000000001</v>
      </c>
      <c r="Y439" s="127">
        <v>5000</v>
      </c>
      <c r="Z439" s="125">
        <v>886.29600000000005</v>
      </c>
      <c r="AA439" s="127">
        <v>5000</v>
      </c>
      <c r="AB439" s="125">
        <v>886.21799999999996</v>
      </c>
      <c r="AC439" s="127">
        <v>4990</v>
      </c>
      <c r="AD439" s="125">
        <v>810.18299999999999</v>
      </c>
      <c r="AE439" s="127">
        <v>5000</v>
      </c>
      <c r="AF439" s="125">
        <v>811.57600000000002</v>
      </c>
      <c r="AG439" s="127">
        <v>4980</v>
      </c>
      <c r="AH439" s="125">
        <v>221.64099999999999</v>
      </c>
      <c r="AI439" s="127">
        <v>4980</v>
      </c>
      <c r="AJ439" s="125">
        <v>232.08699999999999</v>
      </c>
    </row>
    <row r="440" spans="1:36" ht="14.25">
      <c r="A440" s="128">
        <v>5010</v>
      </c>
      <c r="B440" s="124">
        <v>469.85300000000001</v>
      </c>
      <c r="C440" s="128">
        <v>5020</v>
      </c>
      <c r="D440" s="125">
        <v>466.40800000000002</v>
      </c>
      <c r="E440" s="126">
        <v>5010</v>
      </c>
      <c r="F440" s="125">
        <v>1022.731</v>
      </c>
      <c r="G440" s="127">
        <v>5010</v>
      </c>
      <c r="H440" s="125">
        <v>1022.187</v>
      </c>
      <c r="I440" s="127">
        <v>5010</v>
      </c>
      <c r="J440" s="125">
        <v>886.81600000000003</v>
      </c>
      <c r="K440" s="127">
        <v>5010</v>
      </c>
      <c r="L440" s="125">
        <v>886.48500000000001</v>
      </c>
      <c r="M440" s="127">
        <v>5010</v>
      </c>
      <c r="N440" s="125">
        <v>886.63099999999997</v>
      </c>
      <c r="O440" s="127">
        <v>4990</v>
      </c>
      <c r="P440" s="125">
        <v>887.78899999999999</v>
      </c>
      <c r="Q440" s="127">
        <v>5010</v>
      </c>
      <c r="R440" s="125">
        <v>887.37599999999998</v>
      </c>
      <c r="S440" s="127">
        <v>5010</v>
      </c>
      <c r="T440" s="125">
        <v>887.95699999999999</v>
      </c>
      <c r="U440" s="127">
        <v>5000</v>
      </c>
      <c r="V440" s="124">
        <v>886.89400000000001</v>
      </c>
      <c r="W440" s="127">
        <v>5010</v>
      </c>
      <c r="X440" s="125">
        <v>886.60699999999997</v>
      </c>
      <c r="Y440" s="127">
        <v>5010</v>
      </c>
      <c r="Z440" s="125">
        <v>885.08500000000004</v>
      </c>
      <c r="AA440" s="127">
        <v>5010</v>
      </c>
      <c r="AB440" s="125">
        <v>885.00800000000004</v>
      </c>
      <c r="AC440" s="127">
        <v>5000</v>
      </c>
      <c r="AD440" s="125">
        <v>808.97199999999998</v>
      </c>
      <c r="AE440" s="127">
        <v>5010</v>
      </c>
      <c r="AF440" s="125">
        <v>810.36699999999996</v>
      </c>
      <c r="AG440" s="127">
        <v>4990</v>
      </c>
      <c r="AH440" s="125">
        <v>221.24700000000001</v>
      </c>
      <c r="AI440" s="127">
        <v>4990</v>
      </c>
      <c r="AJ440" s="125">
        <v>231.678</v>
      </c>
    </row>
    <row r="441" spans="1:36" ht="14.25">
      <c r="A441" s="128">
        <v>5020</v>
      </c>
      <c r="B441" s="124">
        <v>469.06700000000001</v>
      </c>
      <c r="C441" s="128">
        <v>5030</v>
      </c>
      <c r="D441" s="125">
        <v>465.62799999999999</v>
      </c>
      <c r="E441" s="126">
        <v>5020</v>
      </c>
      <c r="F441" s="125">
        <v>1021.234</v>
      </c>
      <c r="G441" s="127">
        <v>5020</v>
      </c>
      <c r="H441" s="125">
        <v>1020.694</v>
      </c>
      <c r="I441" s="127">
        <v>5020</v>
      </c>
      <c r="J441" s="125">
        <v>885.60299999999995</v>
      </c>
      <c r="K441" s="127">
        <v>5020</v>
      </c>
      <c r="L441" s="125">
        <v>885.27099999999996</v>
      </c>
      <c r="M441" s="127">
        <v>5020</v>
      </c>
      <c r="N441" s="125">
        <v>885.41800000000001</v>
      </c>
      <c r="O441" s="127">
        <v>5000</v>
      </c>
      <c r="P441" s="125">
        <v>886.57600000000002</v>
      </c>
      <c r="Q441" s="127">
        <v>5020</v>
      </c>
      <c r="R441" s="125">
        <v>886.16300000000001</v>
      </c>
      <c r="S441" s="127">
        <v>5020</v>
      </c>
      <c r="T441" s="125">
        <v>886.745</v>
      </c>
      <c r="U441" s="127">
        <v>5010</v>
      </c>
      <c r="V441" s="124">
        <v>885.68399999999997</v>
      </c>
      <c r="W441" s="127">
        <v>5020</v>
      </c>
      <c r="X441" s="125">
        <v>885.39599999999996</v>
      </c>
      <c r="Y441" s="127">
        <v>5020</v>
      </c>
      <c r="Z441" s="125">
        <v>883.87300000000005</v>
      </c>
      <c r="AA441" s="127">
        <v>5020</v>
      </c>
      <c r="AB441" s="125">
        <v>883.798</v>
      </c>
      <c r="AC441" s="127">
        <v>5010</v>
      </c>
      <c r="AD441" s="125">
        <v>807.76099999999997</v>
      </c>
      <c r="AE441" s="127">
        <v>5020</v>
      </c>
      <c r="AF441" s="125">
        <v>809.15700000000004</v>
      </c>
      <c r="AG441" s="127">
        <v>5000</v>
      </c>
      <c r="AH441" s="125">
        <v>220.852</v>
      </c>
      <c r="AI441" s="127">
        <v>5000</v>
      </c>
      <c r="AJ441" s="125">
        <v>231.26900000000001</v>
      </c>
    </row>
    <row r="442" spans="1:36" ht="14.25">
      <c r="A442" s="128">
        <v>5030</v>
      </c>
      <c r="B442" s="124">
        <v>468.28</v>
      </c>
      <c r="C442" s="128">
        <v>5040</v>
      </c>
      <c r="D442" s="125">
        <v>464.84699999999998</v>
      </c>
      <c r="E442" s="126">
        <v>5030</v>
      </c>
      <c r="F442" s="125">
        <v>1019.737</v>
      </c>
      <c r="G442" s="127">
        <v>5030</v>
      </c>
      <c r="H442" s="129">
        <v>1019.201</v>
      </c>
      <c r="I442" s="127">
        <v>5030</v>
      </c>
      <c r="J442" s="125">
        <v>884.39</v>
      </c>
      <c r="K442" s="127">
        <v>5030</v>
      </c>
      <c r="L442" s="125">
        <v>884.05799999999999</v>
      </c>
      <c r="M442" s="127">
        <v>5030</v>
      </c>
      <c r="N442" s="125">
        <v>884.20500000000004</v>
      </c>
      <c r="O442" s="127">
        <v>5010</v>
      </c>
      <c r="P442" s="125">
        <v>885.36300000000006</v>
      </c>
      <c r="Q442" s="127">
        <v>5030</v>
      </c>
      <c r="R442" s="125">
        <v>884.95</v>
      </c>
      <c r="S442" s="127">
        <v>5030</v>
      </c>
      <c r="T442" s="125">
        <v>885.53200000000004</v>
      </c>
      <c r="U442" s="127">
        <v>5020</v>
      </c>
      <c r="V442" s="124">
        <v>884.47500000000002</v>
      </c>
      <c r="W442" s="127">
        <v>5030</v>
      </c>
      <c r="X442" s="125">
        <v>884.18499999999995</v>
      </c>
      <c r="Y442" s="127">
        <v>5030</v>
      </c>
      <c r="Z442" s="125">
        <v>882.66200000000003</v>
      </c>
      <c r="AA442" s="127">
        <v>5030</v>
      </c>
      <c r="AB442" s="125">
        <v>882.58799999999997</v>
      </c>
      <c r="AC442" s="127">
        <v>5020</v>
      </c>
      <c r="AD442" s="125">
        <v>806.55</v>
      </c>
      <c r="AE442" s="127">
        <v>5030</v>
      </c>
      <c r="AF442" s="125">
        <v>807.947</v>
      </c>
      <c r="AG442" s="127">
        <v>5010</v>
      </c>
      <c r="AH442" s="125">
        <v>220.45699999999999</v>
      </c>
      <c r="AI442" s="127">
        <v>5010</v>
      </c>
      <c r="AJ442" s="125">
        <v>230.86099999999999</v>
      </c>
    </row>
    <row r="443" spans="1:36" ht="14.25">
      <c r="A443" s="128">
        <v>5040</v>
      </c>
      <c r="B443" s="124">
        <v>467.49400000000003</v>
      </c>
      <c r="C443" s="128">
        <v>5050</v>
      </c>
      <c r="D443" s="125">
        <v>464.06700000000001</v>
      </c>
      <c r="E443" s="126">
        <v>5040</v>
      </c>
      <c r="F443" s="125">
        <v>1018.24</v>
      </c>
      <c r="G443" s="127">
        <v>5040</v>
      </c>
      <c r="H443" s="129">
        <v>1017.708</v>
      </c>
      <c r="I443" s="127">
        <v>5040</v>
      </c>
      <c r="J443" s="125">
        <v>883.17700000000002</v>
      </c>
      <c r="K443" s="127">
        <v>5040</v>
      </c>
      <c r="L443" s="125">
        <v>882.84400000000005</v>
      </c>
      <c r="M443" s="127">
        <v>5040</v>
      </c>
      <c r="N443" s="125">
        <v>882.99300000000005</v>
      </c>
      <c r="O443" s="127">
        <v>5020</v>
      </c>
      <c r="P443" s="125">
        <v>884.15</v>
      </c>
      <c r="Q443" s="127">
        <v>5040</v>
      </c>
      <c r="R443" s="125">
        <v>883.73800000000006</v>
      </c>
      <c r="S443" s="127">
        <v>5040</v>
      </c>
      <c r="T443" s="125">
        <v>884.32</v>
      </c>
      <c r="U443" s="127">
        <v>5030</v>
      </c>
      <c r="V443" s="124">
        <v>883.26499999999999</v>
      </c>
      <c r="W443" s="127">
        <v>5040</v>
      </c>
      <c r="X443" s="125">
        <v>882.97400000000005</v>
      </c>
      <c r="Y443" s="127">
        <v>5040</v>
      </c>
      <c r="Z443" s="125">
        <v>881.45100000000002</v>
      </c>
      <c r="AA443" s="127">
        <v>5040</v>
      </c>
      <c r="AB443" s="125">
        <v>881.37800000000004</v>
      </c>
      <c r="AC443" s="127">
        <v>5030</v>
      </c>
      <c r="AD443" s="125">
        <v>805.34</v>
      </c>
      <c r="AE443" s="127">
        <v>5040</v>
      </c>
      <c r="AF443" s="125">
        <v>806.73800000000006</v>
      </c>
      <c r="AG443" s="127">
        <v>5020</v>
      </c>
      <c r="AH443" s="125">
        <v>220.06299999999999</v>
      </c>
      <c r="AI443" s="127">
        <v>5020</v>
      </c>
      <c r="AJ443" s="125">
        <v>230.452</v>
      </c>
    </row>
    <row r="444" spans="1:36" ht="14.25">
      <c r="A444" s="128">
        <v>5050</v>
      </c>
      <c r="B444" s="124">
        <v>466.709</v>
      </c>
      <c r="C444" s="128">
        <v>5060</v>
      </c>
      <c r="D444" s="125">
        <v>463.28699999999998</v>
      </c>
      <c r="E444" s="126">
        <v>5050</v>
      </c>
      <c r="F444" s="125">
        <v>1016.7430000000001</v>
      </c>
      <c r="G444" s="127">
        <v>5050</v>
      </c>
      <c r="H444" s="125">
        <v>1016.215</v>
      </c>
      <c r="I444" s="127">
        <v>5050</v>
      </c>
      <c r="J444" s="125">
        <v>881.96400000000006</v>
      </c>
      <c r="K444" s="127">
        <v>5050</v>
      </c>
      <c r="L444" s="125">
        <v>881.63</v>
      </c>
      <c r="M444" s="127">
        <v>5050</v>
      </c>
      <c r="N444" s="125">
        <v>881.78</v>
      </c>
      <c r="O444" s="127">
        <v>5030</v>
      </c>
      <c r="P444" s="125">
        <v>882.93700000000001</v>
      </c>
      <c r="Q444" s="127">
        <v>5050</v>
      </c>
      <c r="R444" s="125">
        <v>882.52499999999998</v>
      </c>
      <c r="S444" s="127">
        <v>5050</v>
      </c>
      <c r="T444" s="125">
        <v>883.10799999999995</v>
      </c>
      <c r="U444" s="127">
        <v>5040</v>
      </c>
      <c r="V444" s="124">
        <v>882.05499999999995</v>
      </c>
      <c r="W444" s="127">
        <v>5050</v>
      </c>
      <c r="X444" s="125">
        <v>881.76400000000001</v>
      </c>
      <c r="Y444" s="127">
        <v>5050</v>
      </c>
      <c r="Z444" s="125">
        <v>880.23900000000003</v>
      </c>
      <c r="AA444" s="127">
        <v>5050</v>
      </c>
      <c r="AB444" s="125">
        <v>880.16800000000001</v>
      </c>
      <c r="AC444" s="127">
        <v>5040</v>
      </c>
      <c r="AD444" s="125">
        <v>804.12900000000002</v>
      </c>
      <c r="AE444" s="127">
        <v>5050</v>
      </c>
      <c r="AF444" s="125">
        <v>805.52800000000002</v>
      </c>
      <c r="AG444" s="127">
        <v>5030</v>
      </c>
      <c r="AH444" s="125">
        <v>219.66800000000001</v>
      </c>
      <c r="AI444" s="127">
        <v>5030</v>
      </c>
      <c r="AJ444" s="125">
        <v>230.04400000000001</v>
      </c>
    </row>
    <row r="445" spans="1:36" ht="14.25">
      <c r="A445" s="128">
        <v>5060</v>
      </c>
      <c r="B445" s="124">
        <v>465.923</v>
      </c>
      <c r="C445" s="128">
        <v>5070</v>
      </c>
      <c r="D445" s="125">
        <v>462.50700000000001</v>
      </c>
      <c r="E445" s="126">
        <v>5060</v>
      </c>
      <c r="F445" s="125">
        <v>1015.247</v>
      </c>
      <c r="G445" s="127">
        <v>5060</v>
      </c>
      <c r="H445" s="125">
        <v>1014.722</v>
      </c>
      <c r="I445" s="127">
        <v>5060</v>
      </c>
      <c r="J445" s="125">
        <v>880.75099999999998</v>
      </c>
      <c r="K445" s="127">
        <v>5060</v>
      </c>
      <c r="L445" s="125">
        <v>880.41700000000003</v>
      </c>
      <c r="M445" s="127">
        <v>5060</v>
      </c>
      <c r="N445" s="125">
        <v>880.56700000000001</v>
      </c>
      <c r="O445" s="127">
        <v>5040</v>
      </c>
      <c r="P445" s="125">
        <v>881.72400000000005</v>
      </c>
      <c r="Q445" s="127">
        <v>5060</v>
      </c>
      <c r="R445" s="125">
        <v>881.31200000000001</v>
      </c>
      <c r="S445" s="127">
        <v>5060</v>
      </c>
      <c r="T445" s="125">
        <v>881.89599999999996</v>
      </c>
      <c r="U445" s="127">
        <v>5050</v>
      </c>
      <c r="V445" s="124">
        <v>880.84500000000003</v>
      </c>
      <c r="W445" s="127">
        <v>5060</v>
      </c>
      <c r="X445" s="125">
        <v>880.553</v>
      </c>
      <c r="Y445" s="127">
        <v>5060</v>
      </c>
      <c r="Z445" s="125">
        <v>879.02800000000002</v>
      </c>
      <c r="AA445" s="127">
        <v>5060</v>
      </c>
      <c r="AB445" s="125">
        <v>878.95799999999997</v>
      </c>
      <c r="AC445" s="127">
        <v>5050</v>
      </c>
      <c r="AD445" s="125">
        <v>802.91800000000001</v>
      </c>
      <c r="AE445" s="127">
        <v>5060</v>
      </c>
      <c r="AF445" s="125">
        <v>804.31799999999998</v>
      </c>
      <c r="AG445" s="127">
        <v>5040</v>
      </c>
      <c r="AH445" s="125">
        <v>219.274</v>
      </c>
      <c r="AI445" s="127">
        <v>5040</v>
      </c>
      <c r="AJ445" s="125">
        <v>229.63499999999999</v>
      </c>
    </row>
    <row r="446" spans="1:36" ht="14.25">
      <c r="A446" s="128">
        <v>5070</v>
      </c>
      <c r="B446" s="124">
        <v>465.137</v>
      </c>
      <c r="C446" s="128">
        <v>5080</v>
      </c>
      <c r="D446" s="125">
        <v>461.72699999999998</v>
      </c>
      <c r="E446" s="126">
        <v>5070</v>
      </c>
      <c r="F446" s="125">
        <v>1013.751</v>
      </c>
      <c r="G446" s="127">
        <v>5070</v>
      </c>
      <c r="H446" s="125">
        <v>1013.23</v>
      </c>
      <c r="I446" s="127">
        <v>5070</v>
      </c>
      <c r="J446" s="125">
        <v>879.53800000000001</v>
      </c>
      <c r="K446" s="127">
        <v>5070</v>
      </c>
      <c r="L446" s="125">
        <v>879.20299999999997</v>
      </c>
      <c r="M446" s="127">
        <v>5070</v>
      </c>
      <c r="N446" s="125">
        <v>879.35400000000004</v>
      </c>
      <c r="O446" s="127">
        <v>5050</v>
      </c>
      <c r="P446" s="125">
        <v>880.51099999999997</v>
      </c>
      <c r="Q446" s="127">
        <v>5070</v>
      </c>
      <c r="R446" s="125">
        <v>880.09900000000005</v>
      </c>
      <c r="S446" s="127">
        <v>5070</v>
      </c>
      <c r="T446" s="125">
        <v>880.68299999999999</v>
      </c>
      <c r="U446" s="127">
        <v>5060</v>
      </c>
      <c r="V446" s="124">
        <v>879.63499999999999</v>
      </c>
      <c r="W446" s="127">
        <v>5070</v>
      </c>
      <c r="X446" s="125">
        <v>879.34199999999998</v>
      </c>
      <c r="Y446" s="127">
        <v>5070</v>
      </c>
      <c r="Z446" s="125">
        <v>877.81600000000003</v>
      </c>
      <c r="AA446" s="127">
        <v>5070</v>
      </c>
      <c r="AB446" s="125">
        <v>877.74800000000005</v>
      </c>
      <c r="AC446" s="127">
        <v>5060</v>
      </c>
      <c r="AD446" s="125">
        <v>801.70699999999999</v>
      </c>
      <c r="AE446" s="127">
        <v>5070</v>
      </c>
      <c r="AF446" s="125">
        <v>803.10900000000004</v>
      </c>
      <c r="AG446" s="127">
        <v>5050</v>
      </c>
      <c r="AH446" s="125">
        <v>218.88</v>
      </c>
      <c r="AI446" s="127">
        <v>5050</v>
      </c>
      <c r="AJ446" s="125">
        <v>229.227</v>
      </c>
    </row>
    <row r="447" spans="1:36" ht="14.25">
      <c r="A447" s="128">
        <v>5080</v>
      </c>
      <c r="B447" s="124">
        <v>464.35199999999998</v>
      </c>
      <c r="C447" s="128">
        <v>5090</v>
      </c>
      <c r="D447" s="125">
        <v>460.947</v>
      </c>
      <c r="E447" s="126">
        <v>5080</v>
      </c>
      <c r="F447" s="125">
        <v>1012.254</v>
      </c>
      <c r="G447" s="127">
        <v>5080</v>
      </c>
      <c r="H447" s="125">
        <v>1011.737</v>
      </c>
      <c r="I447" s="127">
        <v>5080</v>
      </c>
      <c r="J447" s="125">
        <v>878.32500000000005</v>
      </c>
      <c r="K447" s="127">
        <v>5080</v>
      </c>
      <c r="L447" s="125">
        <v>877.98900000000003</v>
      </c>
      <c r="M447" s="127">
        <v>5080</v>
      </c>
      <c r="N447" s="125">
        <v>878.14099999999996</v>
      </c>
      <c r="O447" s="127">
        <v>5060</v>
      </c>
      <c r="P447" s="125">
        <v>879.29700000000003</v>
      </c>
      <c r="Q447" s="127">
        <v>5080</v>
      </c>
      <c r="R447" s="125">
        <v>878.88599999999997</v>
      </c>
      <c r="S447" s="127">
        <v>5080</v>
      </c>
      <c r="T447" s="125">
        <v>879.471</v>
      </c>
      <c r="U447" s="127">
        <v>5070</v>
      </c>
      <c r="V447" s="124">
        <v>878.42600000000004</v>
      </c>
      <c r="W447" s="127">
        <v>5080</v>
      </c>
      <c r="X447" s="125">
        <v>878.13099999999997</v>
      </c>
      <c r="Y447" s="127">
        <v>5080</v>
      </c>
      <c r="Z447" s="125">
        <v>876.60500000000002</v>
      </c>
      <c r="AA447" s="127">
        <v>5080</v>
      </c>
      <c r="AB447" s="125">
        <v>876.53899999999999</v>
      </c>
      <c r="AC447" s="127">
        <v>5070</v>
      </c>
      <c r="AD447" s="125">
        <v>800.49699999999996</v>
      </c>
      <c r="AE447" s="127">
        <v>5080</v>
      </c>
      <c r="AF447" s="125">
        <v>801.899</v>
      </c>
      <c r="AG447" s="127">
        <v>5060</v>
      </c>
      <c r="AH447" s="125">
        <v>218.48500000000001</v>
      </c>
      <c r="AI447" s="127">
        <v>5060</v>
      </c>
      <c r="AJ447" s="125">
        <v>228.81899999999999</v>
      </c>
    </row>
    <row r="448" spans="1:36" ht="14.25">
      <c r="A448" s="128">
        <v>5090</v>
      </c>
      <c r="B448" s="124">
        <v>463.56700000000001</v>
      </c>
      <c r="C448" s="128">
        <v>5100</v>
      </c>
      <c r="D448" s="125">
        <v>460.16800000000001</v>
      </c>
      <c r="E448" s="126">
        <v>5090</v>
      </c>
      <c r="F448" s="125">
        <v>1010.758</v>
      </c>
      <c r="G448" s="127">
        <v>5090</v>
      </c>
      <c r="H448" s="125">
        <v>1010.245</v>
      </c>
      <c r="I448" s="127">
        <v>5090</v>
      </c>
      <c r="J448" s="125">
        <v>877.11199999999997</v>
      </c>
      <c r="K448" s="127">
        <v>5090</v>
      </c>
      <c r="L448" s="125">
        <v>876.77599999999995</v>
      </c>
      <c r="M448" s="127">
        <v>5090</v>
      </c>
      <c r="N448" s="125">
        <v>876.92899999999997</v>
      </c>
      <c r="O448" s="127">
        <v>5070</v>
      </c>
      <c r="P448" s="125">
        <v>878.08399999999995</v>
      </c>
      <c r="Q448" s="127">
        <v>5090</v>
      </c>
      <c r="R448" s="125">
        <v>877.673</v>
      </c>
      <c r="S448" s="127">
        <v>5090</v>
      </c>
      <c r="T448" s="125">
        <v>878.25900000000001</v>
      </c>
      <c r="U448" s="127">
        <v>5080</v>
      </c>
      <c r="V448" s="124">
        <v>877.21600000000001</v>
      </c>
      <c r="W448" s="127">
        <v>5090</v>
      </c>
      <c r="X448" s="125">
        <v>876.92</v>
      </c>
      <c r="Y448" s="127">
        <v>5090</v>
      </c>
      <c r="Z448" s="125">
        <v>875.39400000000001</v>
      </c>
      <c r="AA448" s="127">
        <v>5090</v>
      </c>
      <c r="AB448" s="125">
        <v>875.32899999999995</v>
      </c>
      <c r="AC448" s="127">
        <v>5080</v>
      </c>
      <c r="AD448" s="125">
        <v>799.28599999999994</v>
      </c>
      <c r="AE448" s="127">
        <v>5090</v>
      </c>
      <c r="AF448" s="125">
        <v>800.68899999999996</v>
      </c>
      <c r="AG448" s="127">
        <v>5070</v>
      </c>
      <c r="AH448" s="125">
        <v>218.09100000000001</v>
      </c>
      <c r="AI448" s="127">
        <v>5070</v>
      </c>
      <c r="AJ448" s="125">
        <v>228.41</v>
      </c>
    </row>
    <row r="449" spans="1:36" ht="14.25">
      <c r="A449" s="128">
        <v>5100</v>
      </c>
      <c r="B449" s="124">
        <v>462.78199999999998</v>
      </c>
      <c r="C449" s="128">
        <v>5110</v>
      </c>
      <c r="D449" s="125">
        <v>459.38799999999998</v>
      </c>
      <c r="E449" s="126">
        <v>5100</v>
      </c>
      <c r="F449" s="125">
        <v>1009.2619999999999</v>
      </c>
      <c r="G449" s="127">
        <v>5100</v>
      </c>
      <c r="H449" s="125">
        <v>1008.753</v>
      </c>
      <c r="I449" s="127">
        <v>5100</v>
      </c>
      <c r="J449" s="125">
        <v>875.899</v>
      </c>
      <c r="K449" s="127">
        <v>5100</v>
      </c>
      <c r="L449" s="125">
        <v>875.56200000000001</v>
      </c>
      <c r="M449" s="127">
        <v>5100</v>
      </c>
      <c r="N449" s="125">
        <v>875.71600000000001</v>
      </c>
      <c r="O449" s="127">
        <v>5080</v>
      </c>
      <c r="P449" s="125">
        <v>876.87099999999998</v>
      </c>
      <c r="Q449" s="127">
        <v>5100</v>
      </c>
      <c r="R449" s="125">
        <v>876.46</v>
      </c>
      <c r="S449" s="127">
        <v>5100</v>
      </c>
      <c r="T449" s="125">
        <v>877.04700000000003</v>
      </c>
      <c r="U449" s="127">
        <v>5090</v>
      </c>
      <c r="V449" s="124">
        <v>876.00599999999997</v>
      </c>
      <c r="W449" s="127">
        <v>5100</v>
      </c>
      <c r="X449" s="125">
        <v>875.71</v>
      </c>
      <c r="Y449" s="127">
        <v>5100</v>
      </c>
      <c r="Z449" s="125">
        <v>874.18200000000002</v>
      </c>
      <c r="AA449" s="127">
        <v>5100</v>
      </c>
      <c r="AB449" s="125">
        <v>874.11900000000003</v>
      </c>
      <c r="AC449" s="127">
        <v>5090</v>
      </c>
      <c r="AD449" s="125">
        <v>798.07500000000005</v>
      </c>
      <c r="AE449" s="127">
        <v>5100</v>
      </c>
      <c r="AF449" s="125">
        <v>799.48</v>
      </c>
      <c r="AG449" s="127">
        <v>5080</v>
      </c>
      <c r="AH449" s="125">
        <v>217.697</v>
      </c>
      <c r="AI449" s="127">
        <v>5080</v>
      </c>
      <c r="AJ449" s="125">
        <v>228.00200000000001</v>
      </c>
    </row>
    <row r="450" spans="1:36" ht="14.25">
      <c r="A450" s="128">
        <v>5110</v>
      </c>
      <c r="B450" s="124">
        <v>461.99700000000001</v>
      </c>
      <c r="C450" s="128">
        <v>5120</v>
      </c>
      <c r="D450" s="125">
        <v>458.60899999999998</v>
      </c>
      <c r="E450" s="126">
        <v>5110</v>
      </c>
      <c r="F450" s="125">
        <v>1007.766</v>
      </c>
      <c r="G450" s="127">
        <v>5110</v>
      </c>
      <c r="H450" s="125">
        <v>1007.261</v>
      </c>
      <c r="I450" s="127">
        <v>5110</v>
      </c>
      <c r="J450" s="125">
        <v>874.68600000000004</v>
      </c>
      <c r="K450" s="127">
        <v>5110</v>
      </c>
      <c r="L450" s="125">
        <v>874.34799999999996</v>
      </c>
      <c r="M450" s="127">
        <v>5110</v>
      </c>
      <c r="N450" s="125">
        <v>874.50300000000004</v>
      </c>
      <c r="O450" s="127">
        <v>5090</v>
      </c>
      <c r="P450" s="125">
        <v>875.65800000000002</v>
      </c>
      <c r="Q450" s="127">
        <v>5110</v>
      </c>
      <c r="R450" s="125">
        <v>875.24699999999996</v>
      </c>
      <c r="S450" s="127">
        <v>5110</v>
      </c>
      <c r="T450" s="125">
        <v>875.83399999999995</v>
      </c>
      <c r="U450" s="127">
        <v>5100</v>
      </c>
      <c r="V450" s="124">
        <v>874.79600000000005</v>
      </c>
      <c r="W450" s="127">
        <v>5110</v>
      </c>
      <c r="X450" s="125">
        <v>874.49900000000002</v>
      </c>
      <c r="Y450" s="127">
        <v>5110</v>
      </c>
      <c r="Z450" s="125">
        <v>872.971</v>
      </c>
      <c r="AA450" s="127">
        <v>5110</v>
      </c>
      <c r="AB450" s="125">
        <v>872.90899999999999</v>
      </c>
      <c r="AC450" s="127">
        <v>5100</v>
      </c>
      <c r="AD450" s="125">
        <v>796.86400000000003</v>
      </c>
      <c r="AE450" s="127">
        <v>5110</v>
      </c>
      <c r="AF450" s="125">
        <v>798.27</v>
      </c>
      <c r="AG450" s="127">
        <v>5090</v>
      </c>
      <c r="AH450" s="125">
        <v>217.303</v>
      </c>
      <c r="AI450" s="127">
        <v>5090</v>
      </c>
      <c r="AJ450" s="125">
        <v>227.59399999999999</v>
      </c>
    </row>
    <row r="451" spans="1:36" ht="14.25">
      <c r="A451" s="128">
        <v>5120</v>
      </c>
      <c r="B451" s="124">
        <v>461.21300000000002</v>
      </c>
      <c r="C451" s="128">
        <v>5130</v>
      </c>
      <c r="D451" s="125">
        <v>457.83</v>
      </c>
      <c r="E451" s="126">
        <v>5120</v>
      </c>
      <c r="F451" s="125">
        <v>1006.271</v>
      </c>
      <c r="G451" s="127">
        <v>5120</v>
      </c>
      <c r="H451" s="125">
        <v>1005.769</v>
      </c>
      <c r="I451" s="127">
        <v>5120</v>
      </c>
      <c r="J451" s="125">
        <v>873.47299999999996</v>
      </c>
      <c r="K451" s="127">
        <v>5120</v>
      </c>
      <c r="L451" s="125">
        <v>873.13499999999999</v>
      </c>
      <c r="M451" s="127">
        <v>5120</v>
      </c>
      <c r="N451" s="125">
        <v>873.29</v>
      </c>
      <c r="O451" s="127">
        <v>5100</v>
      </c>
      <c r="P451" s="125">
        <v>874.44500000000005</v>
      </c>
      <c r="Q451" s="127">
        <v>5120</v>
      </c>
      <c r="R451" s="125">
        <v>874.03399999999999</v>
      </c>
      <c r="S451" s="127">
        <v>5120</v>
      </c>
      <c r="T451" s="125">
        <v>874.62199999999996</v>
      </c>
      <c r="U451" s="127">
        <v>5110</v>
      </c>
      <c r="V451" s="124">
        <v>873.58600000000001</v>
      </c>
      <c r="W451" s="127">
        <v>5120</v>
      </c>
      <c r="X451" s="125">
        <v>873.28800000000001</v>
      </c>
      <c r="Y451" s="127">
        <v>5120</v>
      </c>
      <c r="Z451" s="125">
        <v>871.75900000000001</v>
      </c>
      <c r="AA451" s="127">
        <v>5120</v>
      </c>
      <c r="AB451" s="125">
        <v>871.69899999999996</v>
      </c>
      <c r="AC451" s="127">
        <v>5110</v>
      </c>
      <c r="AD451" s="125">
        <v>795.654</v>
      </c>
      <c r="AE451" s="127">
        <v>5120</v>
      </c>
      <c r="AF451" s="125">
        <v>797.06</v>
      </c>
      <c r="AG451" s="127">
        <v>5100</v>
      </c>
      <c r="AH451" s="125">
        <v>216.90799999999999</v>
      </c>
      <c r="AI451" s="127">
        <v>5100</v>
      </c>
      <c r="AJ451" s="125">
        <v>227.18600000000001</v>
      </c>
    </row>
    <row r="452" spans="1:36" ht="14.25">
      <c r="A452" s="128">
        <v>5130</v>
      </c>
      <c r="B452" s="124">
        <v>460.42899999999997</v>
      </c>
      <c r="C452" s="128">
        <v>5140</v>
      </c>
      <c r="D452" s="125">
        <v>457.05099999999999</v>
      </c>
      <c r="E452" s="126">
        <v>5130</v>
      </c>
      <c r="F452" s="125">
        <v>1004.775</v>
      </c>
      <c r="G452" s="127">
        <v>5130</v>
      </c>
      <c r="H452" s="125">
        <v>1004.277</v>
      </c>
      <c r="I452" s="127">
        <v>5130</v>
      </c>
      <c r="J452" s="125">
        <v>872.26</v>
      </c>
      <c r="K452" s="127">
        <v>5130</v>
      </c>
      <c r="L452" s="125">
        <v>871.92100000000005</v>
      </c>
      <c r="M452" s="127">
        <v>5130</v>
      </c>
      <c r="N452" s="125">
        <v>872.07799999999997</v>
      </c>
      <c r="O452" s="127">
        <v>5110</v>
      </c>
      <c r="P452" s="125">
        <v>873.23199999999997</v>
      </c>
      <c r="Q452" s="127">
        <v>5130</v>
      </c>
      <c r="R452" s="125">
        <v>872.822</v>
      </c>
      <c r="S452" s="127">
        <v>5130</v>
      </c>
      <c r="T452" s="125">
        <v>873.41</v>
      </c>
      <c r="U452" s="127">
        <v>5120</v>
      </c>
      <c r="V452" s="124">
        <v>872.37599999999998</v>
      </c>
      <c r="W452" s="127">
        <v>5130</v>
      </c>
      <c r="X452" s="125">
        <v>872.077</v>
      </c>
      <c r="Y452" s="127">
        <v>5130</v>
      </c>
      <c r="Z452" s="125">
        <v>870.548</v>
      </c>
      <c r="AA452" s="127">
        <v>5130</v>
      </c>
      <c r="AB452" s="125">
        <v>870.48900000000003</v>
      </c>
      <c r="AC452" s="127">
        <v>5120</v>
      </c>
      <c r="AD452" s="125">
        <v>794.44299999999998</v>
      </c>
      <c r="AE452" s="127">
        <v>5130</v>
      </c>
      <c r="AF452" s="125">
        <v>795.851</v>
      </c>
      <c r="AG452" s="127">
        <v>5110</v>
      </c>
      <c r="AH452" s="125">
        <v>216.51400000000001</v>
      </c>
      <c r="AI452" s="127">
        <v>5110</v>
      </c>
      <c r="AJ452" s="125">
        <v>226.77799999999999</v>
      </c>
    </row>
    <row r="453" spans="1:36" ht="14.25">
      <c r="A453" s="128">
        <v>5140</v>
      </c>
      <c r="B453" s="124">
        <v>459.64400000000001</v>
      </c>
      <c r="C453" s="128">
        <v>5150</v>
      </c>
      <c r="D453" s="125">
        <v>456.27300000000002</v>
      </c>
      <c r="E453" s="126">
        <v>5140</v>
      </c>
      <c r="F453" s="125">
        <v>1003.279</v>
      </c>
      <c r="G453" s="127">
        <v>5140</v>
      </c>
      <c r="H453" s="125">
        <v>1002.785</v>
      </c>
      <c r="I453" s="127">
        <v>5140</v>
      </c>
      <c r="J453" s="125">
        <v>871.04700000000003</v>
      </c>
      <c r="K453" s="127">
        <v>5140</v>
      </c>
      <c r="L453" s="125">
        <v>870.70699999999999</v>
      </c>
      <c r="M453" s="127">
        <v>5140</v>
      </c>
      <c r="N453" s="125">
        <v>870.86500000000001</v>
      </c>
      <c r="O453" s="127">
        <v>5120</v>
      </c>
      <c r="P453" s="125">
        <v>872.01900000000001</v>
      </c>
      <c r="Q453" s="127">
        <v>5140</v>
      </c>
      <c r="R453" s="125">
        <v>871.60900000000004</v>
      </c>
      <c r="S453" s="127">
        <v>5140</v>
      </c>
      <c r="T453" s="125">
        <v>872.19799999999998</v>
      </c>
      <c r="U453" s="127">
        <v>5130</v>
      </c>
      <c r="V453" s="124">
        <v>871.16700000000003</v>
      </c>
      <c r="W453" s="127">
        <v>5140</v>
      </c>
      <c r="X453" s="125">
        <v>870.86699999999996</v>
      </c>
      <c r="Y453" s="127">
        <v>5140</v>
      </c>
      <c r="Z453" s="125">
        <v>869.33600000000001</v>
      </c>
      <c r="AA453" s="127">
        <v>5140</v>
      </c>
      <c r="AB453" s="125">
        <v>869.279</v>
      </c>
      <c r="AC453" s="127">
        <v>5130</v>
      </c>
      <c r="AD453" s="125">
        <v>793.23199999999997</v>
      </c>
      <c r="AE453" s="127">
        <v>5140</v>
      </c>
      <c r="AF453" s="125">
        <v>794.64099999999996</v>
      </c>
      <c r="AG453" s="127">
        <v>5120</v>
      </c>
      <c r="AH453" s="125">
        <v>216.12</v>
      </c>
      <c r="AI453" s="127">
        <v>5120</v>
      </c>
      <c r="AJ453" s="125">
        <v>226.369</v>
      </c>
    </row>
    <row r="454" spans="1:36" ht="14.25">
      <c r="A454" s="128">
        <v>5150</v>
      </c>
      <c r="B454" s="124">
        <v>458.86</v>
      </c>
      <c r="C454" s="128">
        <v>5160</v>
      </c>
      <c r="D454" s="125">
        <v>455.49400000000003</v>
      </c>
      <c r="E454" s="126">
        <v>5150</v>
      </c>
      <c r="F454" s="125">
        <v>1001.784</v>
      </c>
      <c r="G454" s="127">
        <v>5150</v>
      </c>
      <c r="H454" s="125">
        <v>1001.293</v>
      </c>
      <c r="I454" s="127">
        <v>5150</v>
      </c>
      <c r="J454" s="125">
        <v>869.83399999999995</v>
      </c>
      <c r="K454" s="127">
        <v>5150</v>
      </c>
      <c r="L454" s="125">
        <v>869.49400000000003</v>
      </c>
      <c r="M454" s="127">
        <v>5150</v>
      </c>
      <c r="N454" s="125">
        <v>869.65200000000004</v>
      </c>
      <c r="O454" s="127">
        <v>5130</v>
      </c>
      <c r="P454" s="125">
        <v>870.80600000000004</v>
      </c>
      <c r="Q454" s="127">
        <v>5150</v>
      </c>
      <c r="R454" s="125">
        <v>870.39599999999996</v>
      </c>
      <c r="S454" s="127">
        <v>5150</v>
      </c>
      <c r="T454" s="125">
        <v>870.98500000000001</v>
      </c>
      <c r="U454" s="127">
        <v>5140</v>
      </c>
      <c r="V454" s="124">
        <v>869.95699999999999</v>
      </c>
      <c r="W454" s="127">
        <v>5150</v>
      </c>
      <c r="X454" s="125">
        <v>869.65599999999995</v>
      </c>
      <c r="Y454" s="127">
        <v>5150</v>
      </c>
      <c r="Z454" s="125">
        <v>868.125</v>
      </c>
      <c r="AA454" s="127">
        <v>5150</v>
      </c>
      <c r="AB454" s="125">
        <v>868.06899999999996</v>
      </c>
      <c r="AC454" s="127">
        <v>5140</v>
      </c>
      <c r="AD454" s="125">
        <v>792.02099999999996</v>
      </c>
      <c r="AE454" s="127">
        <v>5150</v>
      </c>
      <c r="AF454" s="125">
        <v>793.43100000000004</v>
      </c>
      <c r="AG454" s="127">
        <v>5130</v>
      </c>
      <c r="AH454" s="125">
        <v>215.726</v>
      </c>
      <c r="AI454" s="127">
        <v>5130</v>
      </c>
      <c r="AJ454" s="125">
        <v>225.96100000000001</v>
      </c>
    </row>
    <row r="455" spans="1:36" ht="14.25">
      <c r="A455" s="128">
        <v>5160</v>
      </c>
      <c r="B455" s="124">
        <v>458.077</v>
      </c>
      <c r="C455" s="128">
        <v>5170</v>
      </c>
      <c r="D455" s="125">
        <v>454.71600000000001</v>
      </c>
      <c r="E455" s="126">
        <v>5160</v>
      </c>
      <c r="F455" s="125">
        <v>1000.289</v>
      </c>
      <c r="G455" s="127">
        <v>5160</v>
      </c>
      <c r="H455" s="125">
        <v>999.80200000000002</v>
      </c>
      <c r="I455" s="127">
        <v>5160</v>
      </c>
      <c r="J455" s="125">
        <v>868.62099999999998</v>
      </c>
      <c r="K455" s="127">
        <v>5160</v>
      </c>
      <c r="L455" s="125">
        <v>868.28</v>
      </c>
      <c r="M455" s="127">
        <v>5160</v>
      </c>
      <c r="N455" s="125">
        <v>868.43899999999996</v>
      </c>
      <c r="O455" s="127">
        <v>5140</v>
      </c>
      <c r="P455" s="125">
        <v>869.59299999999996</v>
      </c>
      <c r="Q455" s="127">
        <v>5160</v>
      </c>
      <c r="R455" s="125">
        <v>869.18299999999999</v>
      </c>
      <c r="S455" s="127">
        <v>5160</v>
      </c>
      <c r="T455" s="125">
        <v>869.77300000000002</v>
      </c>
      <c r="U455" s="127">
        <v>5150</v>
      </c>
      <c r="V455" s="124">
        <v>868.74699999999996</v>
      </c>
      <c r="W455" s="127">
        <v>5160</v>
      </c>
      <c r="X455" s="125">
        <v>868.44500000000005</v>
      </c>
      <c r="Y455" s="127">
        <v>5160</v>
      </c>
      <c r="Z455" s="125">
        <v>866.91399999999999</v>
      </c>
      <c r="AA455" s="127">
        <v>5160</v>
      </c>
      <c r="AB455" s="125">
        <v>866.85900000000004</v>
      </c>
      <c r="AC455" s="127">
        <v>5150</v>
      </c>
      <c r="AD455" s="125">
        <v>790.81100000000004</v>
      </c>
      <c r="AE455" s="127">
        <v>5160</v>
      </c>
      <c r="AF455" s="125">
        <v>792.22199999999998</v>
      </c>
      <c r="AG455" s="127">
        <v>5140</v>
      </c>
      <c r="AH455" s="125">
        <v>215.33199999999999</v>
      </c>
      <c r="AI455" s="127">
        <v>5140</v>
      </c>
      <c r="AJ455" s="125">
        <v>225.553</v>
      </c>
    </row>
    <row r="456" spans="1:36" ht="14.25">
      <c r="A456" s="128">
        <v>5170</v>
      </c>
      <c r="B456" s="124">
        <v>457.29300000000001</v>
      </c>
      <c r="C456" s="128">
        <v>5180</v>
      </c>
      <c r="D456" s="125">
        <v>453.93799999999999</v>
      </c>
      <c r="E456" s="126">
        <v>5170</v>
      </c>
      <c r="F456" s="125">
        <v>998.79399999999998</v>
      </c>
      <c r="G456" s="127">
        <v>5170</v>
      </c>
      <c r="H456" s="125">
        <v>998.31100000000004</v>
      </c>
      <c r="I456" s="127">
        <v>5170</v>
      </c>
      <c r="J456" s="125">
        <v>867.40800000000002</v>
      </c>
      <c r="K456" s="127">
        <v>5170</v>
      </c>
      <c r="L456" s="125">
        <v>867.06600000000003</v>
      </c>
      <c r="M456" s="127">
        <v>5170</v>
      </c>
      <c r="N456" s="125">
        <v>867.22699999999998</v>
      </c>
      <c r="O456" s="127">
        <v>5150</v>
      </c>
      <c r="P456" s="125">
        <v>868.38</v>
      </c>
      <c r="Q456" s="127">
        <v>5170</v>
      </c>
      <c r="R456" s="125">
        <v>867.97</v>
      </c>
      <c r="S456" s="127">
        <v>5170</v>
      </c>
      <c r="T456" s="125">
        <v>868.56100000000004</v>
      </c>
      <c r="U456" s="127">
        <v>5160</v>
      </c>
      <c r="V456" s="124">
        <v>867.53700000000003</v>
      </c>
      <c r="W456" s="127">
        <v>5170</v>
      </c>
      <c r="X456" s="125">
        <v>867.23400000000004</v>
      </c>
      <c r="Y456" s="127">
        <v>5170</v>
      </c>
      <c r="Z456" s="125">
        <v>865.702</v>
      </c>
      <c r="AA456" s="127">
        <v>5170</v>
      </c>
      <c r="AB456" s="125">
        <v>865.649</v>
      </c>
      <c r="AC456" s="127">
        <v>5160</v>
      </c>
      <c r="AD456" s="125">
        <v>789.6</v>
      </c>
      <c r="AE456" s="127">
        <v>5170</v>
      </c>
      <c r="AF456" s="125">
        <v>791.01199999999994</v>
      </c>
      <c r="AG456" s="127">
        <v>5150</v>
      </c>
      <c r="AH456" s="125">
        <v>214.93799999999999</v>
      </c>
      <c r="AI456" s="127">
        <v>5150</v>
      </c>
      <c r="AJ456" s="125">
        <v>225.14500000000001</v>
      </c>
    </row>
    <row r="457" spans="1:36" ht="14.25">
      <c r="A457" s="128">
        <v>5180</v>
      </c>
      <c r="B457" s="124">
        <v>456.50900000000001</v>
      </c>
      <c r="C457" s="128">
        <v>5190</v>
      </c>
      <c r="D457" s="125">
        <v>453.16</v>
      </c>
      <c r="E457" s="126">
        <v>5180</v>
      </c>
      <c r="F457" s="125">
        <v>997.29899999999998</v>
      </c>
      <c r="G457" s="127">
        <v>5180</v>
      </c>
      <c r="H457" s="125">
        <v>996.81899999999996</v>
      </c>
      <c r="I457" s="127">
        <v>5180</v>
      </c>
      <c r="J457" s="125">
        <v>866.19500000000005</v>
      </c>
      <c r="K457" s="127">
        <v>5180</v>
      </c>
      <c r="L457" s="125">
        <v>865.85299999999995</v>
      </c>
      <c r="M457" s="127">
        <v>5180</v>
      </c>
      <c r="N457" s="125">
        <v>866.01400000000001</v>
      </c>
      <c r="O457" s="127">
        <v>5160</v>
      </c>
      <c r="P457" s="125">
        <v>867.16700000000003</v>
      </c>
      <c r="Q457" s="127">
        <v>5180</v>
      </c>
      <c r="R457" s="125">
        <v>866.75699999999995</v>
      </c>
      <c r="S457" s="127">
        <v>5180</v>
      </c>
      <c r="T457" s="125">
        <v>867.34799999999996</v>
      </c>
      <c r="U457" s="127">
        <v>5170</v>
      </c>
      <c r="V457" s="124">
        <v>866.327</v>
      </c>
      <c r="W457" s="127">
        <v>5180</v>
      </c>
      <c r="X457" s="125">
        <v>866.02300000000002</v>
      </c>
      <c r="Y457" s="127">
        <v>5180</v>
      </c>
      <c r="Z457" s="125">
        <v>864.49099999999999</v>
      </c>
      <c r="AA457" s="127">
        <v>5180</v>
      </c>
      <c r="AB457" s="125">
        <v>864.43899999999996</v>
      </c>
      <c r="AC457" s="127">
        <v>5170</v>
      </c>
      <c r="AD457" s="125">
        <v>788.38900000000001</v>
      </c>
      <c r="AE457" s="127">
        <v>5180</v>
      </c>
      <c r="AF457" s="125">
        <v>789.80200000000002</v>
      </c>
      <c r="AG457" s="127">
        <v>5160</v>
      </c>
      <c r="AH457" s="125">
        <v>214.54400000000001</v>
      </c>
      <c r="AI457" s="127">
        <v>5160</v>
      </c>
      <c r="AJ457" s="125">
        <v>224.73699999999999</v>
      </c>
    </row>
    <row r="458" spans="1:36" ht="14.25">
      <c r="A458" s="128">
        <v>5190</v>
      </c>
      <c r="B458" s="124">
        <v>455.726</v>
      </c>
      <c r="C458" s="128">
        <v>5200</v>
      </c>
      <c r="D458" s="125">
        <v>452.38200000000001</v>
      </c>
      <c r="E458" s="126">
        <v>5190</v>
      </c>
      <c r="F458" s="125">
        <v>995.80399999999997</v>
      </c>
      <c r="G458" s="127">
        <v>5190</v>
      </c>
      <c r="H458" s="125">
        <v>995.32799999999997</v>
      </c>
      <c r="I458" s="127">
        <v>5190</v>
      </c>
      <c r="J458" s="125">
        <v>864.98199999999997</v>
      </c>
      <c r="K458" s="127">
        <v>5190</v>
      </c>
      <c r="L458" s="125">
        <v>864.63900000000001</v>
      </c>
      <c r="M458" s="127">
        <v>5190</v>
      </c>
      <c r="N458" s="125">
        <v>864.80100000000004</v>
      </c>
      <c r="O458" s="127">
        <v>5170</v>
      </c>
      <c r="P458" s="125">
        <v>865.95399999999995</v>
      </c>
      <c r="Q458" s="127">
        <v>5190</v>
      </c>
      <c r="R458" s="125">
        <v>865.54399999999998</v>
      </c>
      <c r="S458" s="127">
        <v>5190</v>
      </c>
      <c r="T458" s="125">
        <v>866.13599999999997</v>
      </c>
      <c r="U458" s="127">
        <v>5180</v>
      </c>
      <c r="V458" s="124">
        <v>865.11800000000005</v>
      </c>
      <c r="W458" s="127">
        <v>5190</v>
      </c>
      <c r="X458" s="125">
        <v>864.81299999999999</v>
      </c>
      <c r="Y458" s="127">
        <v>5190</v>
      </c>
      <c r="Z458" s="125">
        <v>863.279</v>
      </c>
      <c r="AA458" s="127">
        <v>5190</v>
      </c>
      <c r="AB458" s="125">
        <v>863.22900000000004</v>
      </c>
      <c r="AC458" s="127">
        <v>5180</v>
      </c>
      <c r="AD458" s="125">
        <v>787.178</v>
      </c>
      <c r="AE458" s="127">
        <v>5190</v>
      </c>
      <c r="AF458" s="125">
        <v>788.59299999999996</v>
      </c>
      <c r="AG458" s="127">
        <v>5170</v>
      </c>
      <c r="AH458" s="125">
        <v>214.15</v>
      </c>
      <c r="AI458" s="127">
        <v>5170</v>
      </c>
      <c r="AJ458" s="125">
        <v>224.33</v>
      </c>
    </row>
    <row r="459" spans="1:36" ht="14.25">
      <c r="A459" s="128">
        <v>5200</v>
      </c>
      <c r="B459" s="124">
        <v>454.94299999999998</v>
      </c>
      <c r="C459" s="128">
        <v>5210</v>
      </c>
      <c r="D459" s="125">
        <v>451.60500000000002</v>
      </c>
      <c r="E459" s="126">
        <v>5200</v>
      </c>
      <c r="F459" s="125">
        <v>994.30899999999997</v>
      </c>
      <c r="G459" s="127">
        <v>5200</v>
      </c>
      <c r="H459" s="125">
        <v>993.83699999999999</v>
      </c>
      <c r="I459" s="127">
        <v>5200</v>
      </c>
      <c r="J459" s="125">
        <v>863.76900000000001</v>
      </c>
      <c r="K459" s="127">
        <v>5200</v>
      </c>
      <c r="L459" s="125">
        <v>863.42499999999995</v>
      </c>
      <c r="M459" s="127">
        <v>5200</v>
      </c>
      <c r="N459" s="125">
        <v>863.58799999999997</v>
      </c>
      <c r="O459" s="127">
        <v>5180</v>
      </c>
      <c r="P459" s="125">
        <v>864.74099999999999</v>
      </c>
      <c r="Q459" s="127">
        <v>5200</v>
      </c>
      <c r="R459" s="125">
        <v>864.33199999999999</v>
      </c>
      <c r="S459" s="127">
        <v>5200</v>
      </c>
      <c r="T459" s="125">
        <v>864.92399999999998</v>
      </c>
      <c r="U459" s="127">
        <v>5190</v>
      </c>
      <c r="V459" s="124">
        <v>863.90800000000002</v>
      </c>
      <c r="W459" s="127">
        <v>5200</v>
      </c>
      <c r="X459" s="125">
        <v>863.60199999999998</v>
      </c>
      <c r="Y459" s="127">
        <v>5200</v>
      </c>
      <c r="Z459" s="125">
        <v>862.06799999999998</v>
      </c>
      <c r="AA459" s="127">
        <v>5200</v>
      </c>
      <c r="AB459" s="125">
        <v>862.01900000000001</v>
      </c>
      <c r="AC459" s="127">
        <v>5190</v>
      </c>
      <c r="AD459" s="125">
        <v>785.96799999999996</v>
      </c>
      <c r="AE459" s="127">
        <v>5200</v>
      </c>
      <c r="AF459" s="125">
        <v>787.38300000000004</v>
      </c>
      <c r="AG459" s="127">
        <v>5180</v>
      </c>
      <c r="AH459" s="125">
        <v>213.75700000000001</v>
      </c>
      <c r="AI459" s="127">
        <v>5180</v>
      </c>
      <c r="AJ459" s="125">
        <v>223.922</v>
      </c>
    </row>
    <row r="460" spans="1:36" ht="14.25">
      <c r="A460" s="128">
        <v>5210</v>
      </c>
      <c r="B460" s="124">
        <v>454.16</v>
      </c>
      <c r="C460" s="128">
        <v>5220</v>
      </c>
      <c r="D460" s="125">
        <v>450.827</v>
      </c>
      <c r="E460" s="126">
        <v>5210</v>
      </c>
      <c r="F460" s="125">
        <v>992.81500000000005</v>
      </c>
      <c r="G460" s="127">
        <v>5210</v>
      </c>
      <c r="H460" s="125">
        <v>992.346</v>
      </c>
      <c r="I460" s="127">
        <v>5210</v>
      </c>
      <c r="J460" s="125">
        <v>862.55600000000004</v>
      </c>
      <c r="K460" s="127">
        <v>5210</v>
      </c>
      <c r="L460" s="125">
        <v>862.21199999999999</v>
      </c>
      <c r="M460" s="127">
        <v>5210</v>
      </c>
      <c r="N460" s="125">
        <v>862.37599999999998</v>
      </c>
      <c r="O460" s="127">
        <v>5190</v>
      </c>
      <c r="P460" s="125">
        <v>863.52800000000002</v>
      </c>
      <c r="Q460" s="127">
        <v>5210</v>
      </c>
      <c r="R460" s="125">
        <v>863.11900000000003</v>
      </c>
      <c r="S460" s="127">
        <v>5210</v>
      </c>
      <c r="T460" s="125">
        <v>863.71199999999999</v>
      </c>
      <c r="U460" s="127">
        <v>5200</v>
      </c>
      <c r="V460" s="124">
        <v>862.69799999999998</v>
      </c>
      <c r="W460" s="127">
        <v>5210</v>
      </c>
      <c r="X460" s="125">
        <v>862.39099999999996</v>
      </c>
      <c r="Y460" s="127">
        <v>5210</v>
      </c>
      <c r="Z460" s="125">
        <v>860.85699999999997</v>
      </c>
      <c r="AA460" s="127">
        <v>5210</v>
      </c>
      <c r="AB460" s="125">
        <v>860.80899999999997</v>
      </c>
      <c r="AC460" s="127">
        <v>5200</v>
      </c>
      <c r="AD460" s="125">
        <v>784.75699999999995</v>
      </c>
      <c r="AE460" s="127">
        <v>5210</v>
      </c>
      <c r="AF460" s="125">
        <v>786.173</v>
      </c>
      <c r="AG460" s="127">
        <v>5190</v>
      </c>
      <c r="AH460" s="125">
        <v>213.363</v>
      </c>
      <c r="AI460" s="127">
        <v>5190</v>
      </c>
      <c r="AJ460" s="125">
        <v>223.51400000000001</v>
      </c>
    </row>
    <row r="461" spans="1:36" ht="14.25">
      <c r="A461" s="128">
        <v>5220</v>
      </c>
      <c r="B461" s="124">
        <v>453.37700000000001</v>
      </c>
      <c r="C461" s="128">
        <v>5230</v>
      </c>
      <c r="D461" s="125">
        <v>450.05</v>
      </c>
      <c r="E461" s="126">
        <v>5220</v>
      </c>
      <c r="F461" s="125">
        <v>991.32</v>
      </c>
      <c r="G461" s="127">
        <v>5220</v>
      </c>
      <c r="H461" s="125">
        <v>990.85500000000002</v>
      </c>
      <c r="I461" s="127">
        <v>5220</v>
      </c>
      <c r="J461" s="125">
        <v>861.34299999999996</v>
      </c>
      <c r="K461" s="127">
        <v>5220</v>
      </c>
      <c r="L461" s="125">
        <v>860.99800000000005</v>
      </c>
      <c r="M461" s="127">
        <v>5220</v>
      </c>
      <c r="N461" s="125">
        <v>861.16300000000001</v>
      </c>
      <c r="O461" s="127">
        <v>5200</v>
      </c>
      <c r="P461" s="125">
        <v>862.31500000000005</v>
      </c>
      <c r="Q461" s="127">
        <v>5220</v>
      </c>
      <c r="R461" s="125">
        <v>861.90599999999995</v>
      </c>
      <c r="S461" s="127">
        <v>5220</v>
      </c>
      <c r="T461" s="125">
        <v>862.49900000000002</v>
      </c>
      <c r="U461" s="127">
        <v>5210</v>
      </c>
      <c r="V461" s="124">
        <v>861.48800000000006</v>
      </c>
      <c r="W461" s="127">
        <v>5220</v>
      </c>
      <c r="X461" s="125">
        <v>861.18</v>
      </c>
      <c r="Y461" s="127">
        <v>5220</v>
      </c>
      <c r="Z461" s="125">
        <v>859.64499999999998</v>
      </c>
      <c r="AA461" s="127">
        <v>5220</v>
      </c>
      <c r="AB461" s="125">
        <v>859.59900000000005</v>
      </c>
      <c r="AC461" s="127">
        <v>5210</v>
      </c>
      <c r="AD461" s="125">
        <v>783.54600000000005</v>
      </c>
      <c r="AE461" s="127">
        <v>5220</v>
      </c>
      <c r="AF461" s="125">
        <v>784.96400000000006</v>
      </c>
      <c r="AG461" s="127">
        <v>5200</v>
      </c>
      <c r="AH461" s="125">
        <v>212.96899999999999</v>
      </c>
      <c r="AI461" s="127">
        <v>5200</v>
      </c>
      <c r="AJ461" s="125">
        <v>223.10599999999999</v>
      </c>
    </row>
    <row r="462" spans="1:36" ht="14.25">
      <c r="A462" s="128">
        <v>5230</v>
      </c>
      <c r="B462" s="124">
        <v>452.59500000000003</v>
      </c>
      <c r="C462" s="128">
        <v>5240</v>
      </c>
      <c r="D462" s="125">
        <v>449.27300000000002</v>
      </c>
      <c r="E462" s="126">
        <v>5230</v>
      </c>
      <c r="F462" s="125">
        <v>989.82600000000002</v>
      </c>
      <c r="G462" s="127">
        <v>5230</v>
      </c>
      <c r="H462" s="125">
        <v>989.36500000000001</v>
      </c>
      <c r="I462" s="127">
        <v>5230</v>
      </c>
      <c r="J462" s="125">
        <v>860.13</v>
      </c>
      <c r="K462" s="127">
        <v>5230</v>
      </c>
      <c r="L462" s="125">
        <v>859.78399999999999</v>
      </c>
      <c r="M462" s="127">
        <v>5230</v>
      </c>
      <c r="N462" s="125">
        <v>859.95</v>
      </c>
      <c r="O462" s="127">
        <v>5210</v>
      </c>
      <c r="P462" s="125">
        <v>861.10199999999998</v>
      </c>
      <c r="Q462" s="127">
        <v>5230</v>
      </c>
      <c r="R462" s="125">
        <v>860.69299999999998</v>
      </c>
      <c r="S462" s="127">
        <v>5230</v>
      </c>
      <c r="T462" s="125">
        <v>861.28700000000003</v>
      </c>
      <c r="U462" s="127">
        <v>5220</v>
      </c>
      <c r="V462" s="124">
        <v>860.27800000000002</v>
      </c>
      <c r="W462" s="127">
        <v>5230</v>
      </c>
      <c r="X462" s="125">
        <v>859.97</v>
      </c>
      <c r="Y462" s="127">
        <v>5230</v>
      </c>
      <c r="Z462" s="125">
        <v>858.43399999999997</v>
      </c>
      <c r="AA462" s="127">
        <v>5230</v>
      </c>
      <c r="AB462" s="125">
        <v>858.38900000000001</v>
      </c>
      <c r="AC462" s="127">
        <v>5220</v>
      </c>
      <c r="AD462" s="125">
        <v>782.33500000000004</v>
      </c>
      <c r="AE462" s="127">
        <v>5230</v>
      </c>
      <c r="AF462" s="125">
        <v>783.75400000000002</v>
      </c>
      <c r="AG462" s="127">
        <v>5210</v>
      </c>
      <c r="AH462" s="125">
        <v>212.57499999999999</v>
      </c>
      <c r="AI462" s="127">
        <v>5210</v>
      </c>
      <c r="AJ462" s="125">
        <v>222.69800000000001</v>
      </c>
    </row>
    <row r="463" spans="1:36" ht="14.25">
      <c r="A463" s="128">
        <v>5240</v>
      </c>
      <c r="B463" s="124">
        <v>451.81200000000001</v>
      </c>
      <c r="C463" s="128">
        <v>5250</v>
      </c>
      <c r="D463" s="125">
        <v>448.49599999999998</v>
      </c>
      <c r="E463" s="126">
        <v>5240</v>
      </c>
      <c r="F463" s="125">
        <v>988.33199999999999</v>
      </c>
      <c r="G463" s="127">
        <v>5240</v>
      </c>
      <c r="H463" s="125">
        <v>987.87400000000002</v>
      </c>
      <c r="I463" s="127">
        <v>5240</v>
      </c>
      <c r="J463" s="125">
        <v>858.91700000000003</v>
      </c>
      <c r="K463" s="127">
        <v>5240</v>
      </c>
      <c r="L463" s="125">
        <v>858.57100000000003</v>
      </c>
      <c r="M463" s="127">
        <v>5240</v>
      </c>
      <c r="N463" s="125">
        <v>858.73699999999997</v>
      </c>
      <c r="O463" s="127">
        <v>5220</v>
      </c>
      <c r="P463" s="125">
        <v>859.88900000000001</v>
      </c>
      <c r="Q463" s="127">
        <v>5240</v>
      </c>
      <c r="R463" s="125">
        <v>859.48</v>
      </c>
      <c r="S463" s="127">
        <v>5240</v>
      </c>
      <c r="T463" s="125">
        <v>860.07500000000005</v>
      </c>
      <c r="U463" s="127">
        <v>5230</v>
      </c>
      <c r="V463" s="124">
        <v>859.06799999999998</v>
      </c>
      <c r="W463" s="127">
        <v>5240</v>
      </c>
      <c r="X463" s="125">
        <v>858.75900000000001</v>
      </c>
      <c r="Y463" s="127">
        <v>5240</v>
      </c>
      <c r="Z463" s="125">
        <v>857.22199999999998</v>
      </c>
      <c r="AA463" s="127">
        <v>5240</v>
      </c>
      <c r="AB463" s="125">
        <v>857.17899999999997</v>
      </c>
      <c r="AC463" s="127">
        <v>5230</v>
      </c>
      <c r="AD463" s="125">
        <v>781.125</v>
      </c>
      <c r="AE463" s="127">
        <v>5240</v>
      </c>
      <c r="AF463" s="125">
        <v>782.54399999999998</v>
      </c>
      <c r="AG463" s="127">
        <v>5220</v>
      </c>
      <c r="AH463" s="125">
        <v>212.18199999999999</v>
      </c>
      <c r="AI463" s="127">
        <v>5220</v>
      </c>
      <c r="AJ463" s="125">
        <v>222.291</v>
      </c>
    </row>
    <row r="464" spans="1:36" ht="14.25">
      <c r="A464" s="128">
        <v>5250</v>
      </c>
      <c r="B464" s="124">
        <v>451.03</v>
      </c>
      <c r="C464" s="128">
        <v>5260</v>
      </c>
      <c r="D464" s="125">
        <v>447.72</v>
      </c>
      <c r="E464" s="126">
        <v>5250</v>
      </c>
      <c r="F464" s="125">
        <v>986.83799999999997</v>
      </c>
      <c r="G464" s="127">
        <v>5250</v>
      </c>
      <c r="H464" s="125">
        <v>986.38400000000001</v>
      </c>
      <c r="I464" s="127">
        <v>5250</v>
      </c>
      <c r="J464" s="125">
        <v>857.70399999999995</v>
      </c>
      <c r="K464" s="127">
        <v>5250</v>
      </c>
      <c r="L464" s="125">
        <v>857.35699999999997</v>
      </c>
      <c r="M464" s="127">
        <v>5250</v>
      </c>
      <c r="N464" s="125">
        <v>857.52499999999998</v>
      </c>
      <c r="O464" s="127">
        <v>5230</v>
      </c>
      <c r="P464" s="125">
        <v>858.67600000000004</v>
      </c>
      <c r="Q464" s="127">
        <v>5250</v>
      </c>
      <c r="R464" s="125">
        <v>858.26700000000005</v>
      </c>
      <c r="S464" s="127">
        <v>5250</v>
      </c>
      <c r="T464" s="125">
        <v>858.86199999999997</v>
      </c>
      <c r="U464" s="127">
        <v>5240</v>
      </c>
      <c r="V464" s="124">
        <v>857.85900000000004</v>
      </c>
      <c r="W464" s="127">
        <v>5250</v>
      </c>
      <c r="X464" s="125">
        <v>857.548</v>
      </c>
      <c r="Y464" s="127">
        <v>5250</v>
      </c>
      <c r="Z464" s="125">
        <v>856.01099999999997</v>
      </c>
      <c r="AA464" s="127">
        <v>5250</v>
      </c>
      <c r="AB464" s="125">
        <v>855.96900000000005</v>
      </c>
      <c r="AC464" s="127">
        <v>5240</v>
      </c>
      <c r="AD464" s="125">
        <v>779.91399999999999</v>
      </c>
      <c r="AE464" s="127">
        <v>5250</v>
      </c>
      <c r="AF464" s="125">
        <v>781.33500000000004</v>
      </c>
      <c r="AG464" s="127">
        <v>5230</v>
      </c>
      <c r="AH464" s="125">
        <v>211.78800000000001</v>
      </c>
      <c r="AI464" s="127">
        <v>5230</v>
      </c>
      <c r="AJ464" s="125">
        <v>221.88300000000001</v>
      </c>
    </row>
    <row r="465" spans="1:36" ht="14.25">
      <c r="A465" s="128">
        <v>5260</v>
      </c>
      <c r="B465" s="124">
        <v>450.24799999999999</v>
      </c>
      <c r="C465" s="128">
        <v>5270</v>
      </c>
      <c r="D465" s="125">
        <v>446.94299999999998</v>
      </c>
      <c r="E465" s="126">
        <v>5260</v>
      </c>
      <c r="F465" s="125">
        <v>985.34400000000005</v>
      </c>
      <c r="G465" s="127">
        <v>5260</v>
      </c>
      <c r="H465" s="125">
        <v>984.89300000000003</v>
      </c>
      <c r="I465" s="127">
        <v>5260</v>
      </c>
      <c r="J465" s="125">
        <v>856.49099999999999</v>
      </c>
      <c r="K465" s="127">
        <v>5260</v>
      </c>
      <c r="L465" s="125">
        <v>856.14300000000003</v>
      </c>
      <c r="M465" s="127">
        <v>5260</v>
      </c>
      <c r="N465" s="125">
        <v>856.31200000000001</v>
      </c>
      <c r="O465" s="127">
        <v>5240</v>
      </c>
      <c r="P465" s="125">
        <v>857.46299999999997</v>
      </c>
      <c r="Q465" s="127">
        <v>5260</v>
      </c>
      <c r="R465" s="125">
        <v>857.05399999999997</v>
      </c>
      <c r="S465" s="127">
        <v>5260</v>
      </c>
      <c r="T465" s="125">
        <v>857.65</v>
      </c>
      <c r="U465" s="127">
        <v>5250</v>
      </c>
      <c r="V465" s="124">
        <v>856.649</v>
      </c>
      <c r="W465" s="127">
        <v>5260</v>
      </c>
      <c r="X465" s="125">
        <v>856.33699999999999</v>
      </c>
      <c r="Y465" s="127">
        <v>5260</v>
      </c>
      <c r="Z465" s="125">
        <v>854.8</v>
      </c>
      <c r="AA465" s="127">
        <v>5260</v>
      </c>
      <c r="AB465" s="125">
        <v>854.75900000000001</v>
      </c>
      <c r="AC465" s="127">
        <v>5250</v>
      </c>
      <c r="AD465" s="125">
        <v>778.70299999999997</v>
      </c>
      <c r="AE465" s="127">
        <v>5260</v>
      </c>
      <c r="AF465" s="125">
        <v>780.125</v>
      </c>
      <c r="AG465" s="127">
        <v>5240</v>
      </c>
      <c r="AH465" s="125">
        <v>211.39500000000001</v>
      </c>
      <c r="AI465" s="127">
        <v>5240</v>
      </c>
      <c r="AJ465" s="125">
        <v>221.476</v>
      </c>
    </row>
    <row r="466" spans="1:36" ht="14.25">
      <c r="A466" s="128">
        <v>5270</v>
      </c>
      <c r="B466" s="124">
        <v>449.46600000000001</v>
      </c>
      <c r="C466" s="128">
        <v>5280</v>
      </c>
      <c r="D466" s="125">
        <v>446.16699999999997</v>
      </c>
      <c r="E466" s="126">
        <v>5270</v>
      </c>
      <c r="F466" s="125">
        <v>983.85</v>
      </c>
      <c r="G466" s="127">
        <v>5270</v>
      </c>
      <c r="H466" s="125">
        <v>983.40300000000002</v>
      </c>
      <c r="I466" s="127">
        <v>5270</v>
      </c>
      <c r="J466" s="125">
        <v>855.27800000000002</v>
      </c>
      <c r="K466" s="127">
        <v>5270</v>
      </c>
      <c r="L466" s="125">
        <v>854.93</v>
      </c>
      <c r="M466" s="127">
        <v>5270</v>
      </c>
      <c r="N466" s="125">
        <v>855.09900000000005</v>
      </c>
      <c r="O466" s="127">
        <v>5250</v>
      </c>
      <c r="P466" s="125">
        <v>856.25</v>
      </c>
      <c r="Q466" s="127">
        <v>5270</v>
      </c>
      <c r="R466" s="125">
        <v>855.84199999999998</v>
      </c>
      <c r="S466" s="127">
        <v>5270</v>
      </c>
      <c r="T466" s="125">
        <v>856.43799999999999</v>
      </c>
      <c r="U466" s="127">
        <v>5260</v>
      </c>
      <c r="V466" s="124">
        <v>855.43899999999996</v>
      </c>
      <c r="W466" s="127">
        <v>5270</v>
      </c>
      <c r="X466" s="125">
        <v>855.12599999999998</v>
      </c>
      <c r="Y466" s="127">
        <v>5270</v>
      </c>
      <c r="Z466" s="125">
        <v>853.58799999999997</v>
      </c>
      <c r="AA466" s="127">
        <v>5270</v>
      </c>
      <c r="AB466" s="125">
        <v>853.54899999999998</v>
      </c>
      <c r="AC466" s="127">
        <v>5260</v>
      </c>
      <c r="AD466" s="125">
        <v>777.49199999999996</v>
      </c>
      <c r="AE466" s="127">
        <v>5270</v>
      </c>
      <c r="AF466" s="125">
        <v>778.91499999999996</v>
      </c>
      <c r="AG466" s="127">
        <v>5250</v>
      </c>
      <c r="AH466" s="125">
        <v>211.001</v>
      </c>
      <c r="AI466" s="127">
        <v>5250</v>
      </c>
      <c r="AJ466" s="125">
        <v>221.06800000000001</v>
      </c>
    </row>
    <row r="467" spans="1:36" ht="14.25">
      <c r="A467" s="128">
        <v>5280</v>
      </c>
      <c r="B467" s="124">
        <v>448.685</v>
      </c>
      <c r="C467" s="128">
        <v>5290</v>
      </c>
      <c r="D467" s="125">
        <v>445.39100000000002</v>
      </c>
      <c r="E467" s="126">
        <v>5280</v>
      </c>
      <c r="F467" s="125">
        <v>982.35599999999999</v>
      </c>
      <c r="G467" s="127">
        <v>5280</v>
      </c>
      <c r="H467" s="125">
        <v>981.91300000000001</v>
      </c>
      <c r="I467" s="127">
        <v>5280</v>
      </c>
      <c r="J467" s="125">
        <v>854.06500000000005</v>
      </c>
      <c r="K467" s="127">
        <v>5280</v>
      </c>
      <c r="L467" s="125">
        <v>853.71600000000001</v>
      </c>
      <c r="M467" s="127">
        <v>5280</v>
      </c>
      <c r="N467" s="125">
        <v>853.88599999999997</v>
      </c>
      <c r="O467" s="127">
        <v>5260</v>
      </c>
      <c r="P467" s="125">
        <v>855.03700000000003</v>
      </c>
      <c r="Q467" s="127">
        <v>5280</v>
      </c>
      <c r="R467" s="125">
        <v>854.62900000000002</v>
      </c>
      <c r="S467" s="127">
        <v>5280</v>
      </c>
      <c r="T467" s="125">
        <v>855.226</v>
      </c>
      <c r="U467" s="127">
        <v>5270</v>
      </c>
      <c r="V467" s="124">
        <v>854.22900000000004</v>
      </c>
      <c r="W467" s="127">
        <v>5280</v>
      </c>
      <c r="X467" s="125">
        <v>853.91600000000005</v>
      </c>
      <c r="Y467" s="127">
        <v>5280</v>
      </c>
      <c r="Z467" s="125">
        <v>852.37699999999995</v>
      </c>
      <c r="AA467" s="127">
        <v>5280</v>
      </c>
      <c r="AB467" s="125">
        <v>852.33900000000006</v>
      </c>
      <c r="AC467" s="127">
        <v>5270</v>
      </c>
      <c r="AD467" s="125">
        <v>776.28200000000004</v>
      </c>
      <c r="AE467" s="127">
        <v>5280</v>
      </c>
      <c r="AF467" s="125">
        <v>777.70600000000002</v>
      </c>
      <c r="AG467" s="127">
        <v>5260</v>
      </c>
      <c r="AH467" s="125">
        <v>210.608</v>
      </c>
      <c r="AI467" s="127">
        <v>5260</v>
      </c>
      <c r="AJ467" s="125">
        <v>220.661</v>
      </c>
    </row>
    <row r="468" spans="1:36" ht="14.25">
      <c r="A468" s="128">
        <v>5290</v>
      </c>
      <c r="B468" s="124">
        <v>447.90300000000002</v>
      </c>
      <c r="C468" s="128">
        <v>5300</v>
      </c>
      <c r="D468" s="125">
        <v>444.61500000000001</v>
      </c>
      <c r="E468" s="126">
        <v>5290</v>
      </c>
      <c r="F468" s="125">
        <v>980.86300000000006</v>
      </c>
      <c r="G468" s="127">
        <v>5290</v>
      </c>
      <c r="H468" s="125">
        <v>980.423</v>
      </c>
      <c r="I468" s="127">
        <v>5290</v>
      </c>
      <c r="J468" s="125">
        <v>852.85199999999998</v>
      </c>
      <c r="K468" s="127">
        <v>5290</v>
      </c>
      <c r="L468" s="125">
        <v>852.50199999999995</v>
      </c>
      <c r="M468" s="127">
        <v>5290</v>
      </c>
      <c r="N468" s="125">
        <v>852.67399999999998</v>
      </c>
      <c r="O468" s="127">
        <v>5270</v>
      </c>
      <c r="P468" s="125">
        <v>853.82399999999996</v>
      </c>
      <c r="Q468" s="127">
        <v>5290</v>
      </c>
      <c r="R468" s="125">
        <v>853.41600000000005</v>
      </c>
      <c r="S468" s="127">
        <v>5290</v>
      </c>
      <c r="T468" s="125">
        <v>854.01300000000003</v>
      </c>
      <c r="U468" s="127">
        <v>5280</v>
      </c>
      <c r="V468" s="124">
        <v>853.01900000000001</v>
      </c>
      <c r="W468" s="127">
        <v>5290</v>
      </c>
      <c r="X468" s="125">
        <v>852.70500000000004</v>
      </c>
      <c r="Y468" s="127">
        <v>5290</v>
      </c>
      <c r="Z468" s="125">
        <v>851.16499999999996</v>
      </c>
      <c r="AA468" s="127">
        <v>5290</v>
      </c>
      <c r="AB468" s="125">
        <v>851.12900000000002</v>
      </c>
      <c r="AC468" s="127">
        <v>5280</v>
      </c>
      <c r="AD468" s="125">
        <v>775.07100000000003</v>
      </c>
      <c r="AE468" s="127">
        <v>5290</v>
      </c>
      <c r="AF468" s="125">
        <v>776.49599999999998</v>
      </c>
      <c r="AG468" s="127">
        <v>5270</v>
      </c>
      <c r="AH468" s="125">
        <v>210.214</v>
      </c>
      <c r="AI468" s="127">
        <v>5270</v>
      </c>
      <c r="AJ468" s="125">
        <v>220.25299999999999</v>
      </c>
    </row>
    <row r="469" spans="1:36" ht="14.25">
      <c r="A469" s="128">
        <v>5300</v>
      </c>
      <c r="B469" s="124">
        <v>447.12200000000001</v>
      </c>
      <c r="C469" s="128">
        <v>5310</v>
      </c>
      <c r="D469" s="125">
        <v>443.839</v>
      </c>
      <c r="E469" s="126">
        <v>5300</v>
      </c>
      <c r="F469" s="125">
        <v>979.36900000000003</v>
      </c>
      <c r="G469" s="127">
        <v>5300</v>
      </c>
      <c r="H469" s="125">
        <v>978.93299999999999</v>
      </c>
      <c r="I469" s="127">
        <v>5300</v>
      </c>
      <c r="J469" s="125">
        <v>851.63900000000001</v>
      </c>
      <c r="K469" s="127">
        <v>5300</v>
      </c>
      <c r="L469" s="125">
        <v>851.28899999999999</v>
      </c>
      <c r="M469" s="127">
        <v>5300</v>
      </c>
      <c r="N469" s="125">
        <v>851.46100000000001</v>
      </c>
      <c r="O469" s="127">
        <v>5280</v>
      </c>
      <c r="P469" s="125">
        <v>852.61099999999999</v>
      </c>
      <c r="Q469" s="127">
        <v>5300</v>
      </c>
      <c r="R469" s="125">
        <v>852.20299999999997</v>
      </c>
      <c r="S469" s="127">
        <v>5300</v>
      </c>
      <c r="T469" s="125">
        <v>852.80100000000004</v>
      </c>
      <c r="U469" s="127">
        <v>5290</v>
      </c>
      <c r="V469" s="124">
        <v>851.80899999999997</v>
      </c>
      <c r="W469" s="127">
        <v>5300</v>
      </c>
      <c r="X469" s="125">
        <v>851.49400000000003</v>
      </c>
      <c r="Y469" s="127">
        <v>5300</v>
      </c>
      <c r="Z469" s="125">
        <v>849.95399999999995</v>
      </c>
      <c r="AA469" s="127">
        <v>5300</v>
      </c>
      <c r="AB469" s="125">
        <v>849.91899999999998</v>
      </c>
      <c r="AC469" s="127">
        <v>5290</v>
      </c>
      <c r="AD469" s="125">
        <v>773.86</v>
      </c>
      <c r="AE469" s="127">
        <v>5300</v>
      </c>
      <c r="AF469" s="125">
        <v>775.28599999999994</v>
      </c>
      <c r="AG469" s="127">
        <v>5280</v>
      </c>
      <c r="AH469" s="125">
        <v>209.821</v>
      </c>
      <c r="AI469" s="127">
        <v>5280</v>
      </c>
      <c r="AJ469" s="125">
        <v>219.846</v>
      </c>
    </row>
    <row r="470" spans="1:36" ht="14.25">
      <c r="A470" s="128">
        <v>5310</v>
      </c>
      <c r="B470" s="124">
        <v>446.34100000000001</v>
      </c>
      <c r="C470" s="128">
        <v>5320</v>
      </c>
      <c r="D470" s="125">
        <v>443.06299999999999</v>
      </c>
      <c r="E470" s="126">
        <v>5310</v>
      </c>
      <c r="F470" s="125">
        <v>977.87599999999998</v>
      </c>
      <c r="G470" s="127">
        <v>5310</v>
      </c>
      <c r="H470" s="125">
        <v>977.44299999999998</v>
      </c>
      <c r="I470" s="127">
        <v>5310</v>
      </c>
      <c r="J470" s="125">
        <v>850.42600000000004</v>
      </c>
      <c r="K470" s="127">
        <v>5310</v>
      </c>
      <c r="L470" s="125">
        <v>850.07500000000005</v>
      </c>
      <c r="M470" s="127">
        <v>5310</v>
      </c>
      <c r="N470" s="125">
        <v>850.24800000000005</v>
      </c>
      <c r="O470" s="127">
        <v>5290</v>
      </c>
      <c r="P470" s="125">
        <v>851.39800000000002</v>
      </c>
      <c r="Q470" s="127">
        <v>5310</v>
      </c>
      <c r="R470" s="125">
        <v>850.99</v>
      </c>
      <c r="S470" s="127">
        <v>5310</v>
      </c>
      <c r="T470" s="125">
        <v>851.58900000000006</v>
      </c>
      <c r="U470" s="127">
        <v>5300</v>
      </c>
      <c r="V470" s="124">
        <v>850.6</v>
      </c>
      <c r="W470" s="127">
        <v>5310</v>
      </c>
      <c r="X470" s="125">
        <v>850.28300000000002</v>
      </c>
      <c r="Y470" s="127">
        <v>5310</v>
      </c>
      <c r="Z470" s="125">
        <v>848.74300000000005</v>
      </c>
      <c r="AA470" s="127">
        <v>5310</v>
      </c>
      <c r="AB470" s="125">
        <v>848.71</v>
      </c>
      <c r="AC470" s="127">
        <v>5300</v>
      </c>
      <c r="AD470" s="125">
        <v>772.649</v>
      </c>
      <c r="AE470" s="127">
        <v>5310</v>
      </c>
      <c r="AF470" s="125">
        <v>774.077</v>
      </c>
      <c r="AG470" s="127">
        <v>5290</v>
      </c>
      <c r="AH470" s="125">
        <v>209.428</v>
      </c>
      <c r="AI470" s="127">
        <v>5290</v>
      </c>
      <c r="AJ470" s="125">
        <v>219.43899999999999</v>
      </c>
    </row>
    <row r="471" spans="1:36" ht="14.25">
      <c r="A471" s="128">
        <v>5320</v>
      </c>
      <c r="B471" s="124">
        <v>445.56</v>
      </c>
      <c r="C471" s="128">
        <v>5330</v>
      </c>
      <c r="D471" s="125">
        <v>442.28800000000001</v>
      </c>
      <c r="E471" s="126">
        <v>5320</v>
      </c>
      <c r="F471" s="125">
        <v>976.38300000000004</v>
      </c>
      <c r="G471" s="127">
        <v>5320</v>
      </c>
      <c r="H471" s="125">
        <v>975.95299999999997</v>
      </c>
      <c r="I471" s="127">
        <v>5320</v>
      </c>
      <c r="J471" s="125">
        <v>849.21299999999997</v>
      </c>
      <c r="K471" s="127">
        <v>5320</v>
      </c>
      <c r="L471" s="125">
        <v>848.86099999999999</v>
      </c>
      <c r="M471" s="127">
        <v>5320</v>
      </c>
      <c r="N471" s="125">
        <v>849.03499999999997</v>
      </c>
      <c r="O471" s="127">
        <v>5300</v>
      </c>
      <c r="P471" s="125">
        <v>850.18499999999995</v>
      </c>
      <c r="Q471" s="127">
        <v>5320</v>
      </c>
      <c r="R471" s="125">
        <v>849.77700000000004</v>
      </c>
      <c r="S471" s="127">
        <v>5320</v>
      </c>
      <c r="T471" s="125">
        <v>850.37699999999995</v>
      </c>
      <c r="U471" s="127">
        <v>5310</v>
      </c>
      <c r="V471" s="124">
        <v>849.39</v>
      </c>
      <c r="W471" s="127">
        <v>5320</v>
      </c>
      <c r="X471" s="125">
        <v>849.072</v>
      </c>
      <c r="Y471" s="127">
        <v>5320</v>
      </c>
      <c r="Z471" s="125">
        <v>847.53099999999995</v>
      </c>
      <c r="AA471" s="127">
        <v>5320</v>
      </c>
      <c r="AB471" s="125">
        <v>847.5</v>
      </c>
      <c r="AC471" s="127">
        <v>5310</v>
      </c>
      <c r="AD471" s="125">
        <v>771.43899999999996</v>
      </c>
      <c r="AE471" s="127">
        <v>5320</v>
      </c>
      <c r="AF471" s="125">
        <v>772.86699999999996</v>
      </c>
      <c r="AG471" s="127">
        <v>5300</v>
      </c>
      <c r="AH471" s="125">
        <v>209.035</v>
      </c>
      <c r="AI471" s="127">
        <v>5300</v>
      </c>
      <c r="AJ471" s="125">
        <v>219.03100000000001</v>
      </c>
    </row>
    <row r="472" spans="1:36" ht="14.25">
      <c r="A472" s="128">
        <v>5330</v>
      </c>
      <c r="B472" s="124">
        <v>444.779</v>
      </c>
      <c r="C472" s="128">
        <v>5340</v>
      </c>
      <c r="D472" s="125">
        <v>441.51299999999998</v>
      </c>
      <c r="E472" s="126">
        <v>5330</v>
      </c>
      <c r="F472" s="125">
        <v>974.89</v>
      </c>
      <c r="G472" s="127">
        <v>5330</v>
      </c>
      <c r="H472" s="125">
        <v>974.46400000000006</v>
      </c>
      <c r="I472" s="127">
        <v>5330</v>
      </c>
      <c r="J472" s="125">
        <v>848</v>
      </c>
      <c r="K472" s="127">
        <v>5330</v>
      </c>
      <c r="L472" s="125">
        <v>847.64800000000002</v>
      </c>
      <c r="M472" s="127">
        <v>5330</v>
      </c>
      <c r="N472" s="125">
        <v>847.82299999999998</v>
      </c>
      <c r="O472" s="127">
        <v>5310</v>
      </c>
      <c r="P472" s="125">
        <v>848.97199999999998</v>
      </c>
      <c r="Q472" s="127">
        <v>5330</v>
      </c>
      <c r="R472" s="125">
        <v>848.56500000000005</v>
      </c>
      <c r="S472" s="127">
        <v>5330</v>
      </c>
      <c r="T472" s="125">
        <v>849.16399999999999</v>
      </c>
      <c r="U472" s="127">
        <v>5320</v>
      </c>
      <c r="V472" s="124">
        <v>848.18</v>
      </c>
      <c r="W472" s="127">
        <v>5330</v>
      </c>
      <c r="X472" s="125">
        <v>847.86199999999997</v>
      </c>
      <c r="Y472" s="127">
        <v>5330</v>
      </c>
      <c r="Z472" s="125">
        <v>846.32</v>
      </c>
      <c r="AA472" s="127">
        <v>5330</v>
      </c>
      <c r="AB472" s="125">
        <v>846.29</v>
      </c>
      <c r="AC472" s="127">
        <v>5320</v>
      </c>
      <c r="AD472" s="125">
        <v>770.22799999999995</v>
      </c>
      <c r="AE472" s="127">
        <v>5330</v>
      </c>
      <c r="AF472" s="125">
        <v>771.65700000000004</v>
      </c>
      <c r="AG472" s="127">
        <v>5310</v>
      </c>
      <c r="AH472" s="125">
        <v>208.642</v>
      </c>
      <c r="AI472" s="127">
        <v>5310</v>
      </c>
      <c r="AJ472" s="125">
        <v>218.624</v>
      </c>
    </row>
    <row r="473" spans="1:36" ht="14.25">
      <c r="A473" s="128">
        <v>5340</v>
      </c>
      <c r="B473" s="124">
        <v>443.99900000000002</v>
      </c>
      <c r="C473" s="128">
        <v>5350</v>
      </c>
      <c r="D473" s="125">
        <v>440.738</v>
      </c>
      <c r="E473" s="126">
        <v>5340</v>
      </c>
      <c r="F473" s="125">
        <v>973.39700000000005</v>
      </c>
      <c r="G473" s="127">
        <v>5340</v>
      </c>
      <c r="H473" s="125">
        <v>972.97400000000005</v>
      </c>
      <c r="I473" s="127">
        <v>5340</v>
      </c>
      <c r="J473" s="125">
        <v>846.78700000000003</v>
      </c>
      <c r="K473" s="127">
        <v>5340</v>
      </c>
      <c r="L473" s="125">
        <v>846.43399999999997</v>
      </c>
      <c r="M473" s="127">
        <v>5340</v>
      </c>
      <c r="N473" s="125">
        <v>846.61</v>
      </c>
      <c r="O473" s="127">
        <v>5320</v>
      </c>
      <c r="P473" s="125">
        <v>847.75900000000001</v>
      </c>
      <c r="Q473" s="127">
        <v>5340</v>
      </c>
      <c r="R473" s="125">
        <v>847.35199999999998</v>
      </c>
      <c r="S473" s="127">
        <v>5340</v>
      </c>
      <c r="T473" s="125">
        <v>847.952</v>
      </c>
      <c r="U473" s="127">
        <v>5330</v>
      </c>
      <c r="V473" s="124">
        <v>846.97</v>
      </c>
      <c r="W473" s="127">
        <v>5340</v>
      </c>
      <c r="X473" s="125">
        <v>846.65099999999995</v>
      </c>
      <c r="Y473" s="127">
        <v>5340</v>
      </c>
      <c r="Z473" s="125">
        <v>845.10900000000004</v>
      </c>
      <c r="AA473" s="127">
        <v>5340</v>
      </c>
      <c r="AB473" s="125">
        <v>845.08</v>
      </c>
      <c r="AC473" s="127">
        <v>5330</v>
      </c>
      <c r="AD473" s="125">
        <v>769.01700000000005</v>
      </c>
      <c r="AE473" s="127">
        <v>5340</v>
      </c>
      <c r="AF473" s="125">
        <v>770.447</v>
      </c>
      <c r="AG473" s="127">
        <v>5320</v>
      </c>
      <c r="AH473" s="125">
        <v>208.24799999999999</v>
      </c>
      <c r="AI473" s="127">
        <v>5320</v>
      </c>
      <c r="AJ473" s="125">
        <v>218.21700000000001</v>
      </c>
    </row>
    <row r="474" spans="1:36" ht="14.25">
      <c r="A474" s="128">
        <v>5350</v>
      </c>
      <c r="B474" s="124">
        <v>443.21800000000002</v>
      </c>
      <c r="C474" s="128">
        <v>5360</v>
      </c>
      <c r="D474" s="125">
        <v>439.96300000000002</v>
      </c>
      <c r="E474" s="126">
        <v>5350</v>
      </c>
      <c r="F474" s="125">
        <v>971.904</v>
      </c>
      <c r="G474" s="127">
        <v>5350</v>
      </c>
      <c r="H474" s="125">
        <v>971.48500000000001</v>
      </c>
      <c r="I474" s="127">
        <v>5350</v>
      </c>
      <c r="J474" s="125">
        <v>845.57500000000005</v>
      </c>
      <c r="K474" s="127">
        <v>5350</v>
      </c>
      <c r="L474" s="125">
        <v>845.22</v>
      </c>
      <c r="M474" s="127">
        <v>5350</v>
      </c>
      <c r="N474" s="125">
        <v>845.39700000000005</v>
      </c>
      <c r="O474" s="127">
        <v>5330</v>
      </c>
      <c r="P474" s="125">
        <v>846.54600000000005</v>
      </c>
      <c r="Q474" s="127">
        <v>5350</v>
      </c>
      <c r="R474" s="125">
        <v>846.13900000000001</v>
      </c>
      <c r="S474" s="127">
        <v>5350</v>
      </c>
      <c r="T474" s="125">
        <v>846.74</v>
      </c>
      <c r="U474" s="127">
        <v>5340</v>
      </c>
      <c r="V474" s="124">
        <v>845.76</v>
      </c>
      <c r="W474" s="127">
        <v>5350</v>
      </c>
      <c r="X474" s="125">
        <v>845.44</v>
      </c>
      <c r="Y474" s="127">
        <v>5350</v>
      </c>
      <c r="Z474" s="125">
        <v>843.89700000000005</v>
      </c>
      <c r="AA474" s="127">
        <v>5350</v>
      </c>
      <c r="AB474" s="125">
        <v>843.87</v>
      </c>
      <c r="AC474" s="127">
        <v>5340</v>
      </c>
      <c r="AD474" s="125">
        <v>767.80600000000004</v>
      </c>
      <c r="AE474" s="127">
        <v>5350</v>
      </c>
      <c r="AF474" s="125">
        <v>769.23800000000006</v>
      </c>
      <c r="AG474" s="127">
        <v>5330</v>
      </c>
      <c r="AH474" s="125">
        <v>207.85499999999999</v>
      </c>
      <c r="AI474" s="127">
        <v>5330</v>
      </c>
      <c r="AJ474" s="125">
        <v>217.81</v>
      </c>
    </row>
    <row r="475" spans="1:36" ht="14.25">
      <c r="A475" s="128">
        <v>5360</v>
      </c>
      <c r="B475" s="124">
        <v>442.43799999999999</v>
      </c>
      <c r="C475" s="128">
        <v>5370</v>
      </c>
      <c r="D475" s="125">
        <v>439.18799999999999</v>
      </c>
      <c r="E475" s="126">
        <v>5360</v>
      </c>
      <c r="F475" s="125">
        <v>970.41099999999994</v>
      </c>
      <c r="G475" s="127">
        <v>5360</v>
      </c>
      <c r="H475" s="125">
        <v>969.99599999999998</v>
      </c>
      <c r="I475" s="127">
        <v>5360</v>
      </c>
      <c r="J475" s="125">
        <v>844.36199999999997</v>
      </c>
      <c r="K475" s="127">
        <v>5360</v>
      </c>
      <c r="L475" s="125">
        <v>844.00699999999995</v>
      </c>
      <c r="M475" s="127">
        <v>5360</v>
      </c>
      <c r="N475" s="125">
        <v>844.18499999999995</v>
      </c>
      <c r="O475" s="127">
        <v>5340</v>
      </c>
      <c r="P475" s="125">
        <v>845.33299999999997</v>
      </c>
      <c r="Q475" s="127">
        <v>5360</v>
      </c>
      <c r="R475" s="125">
        <v>844.92600000000004</v>
      </c>
      <c r="S475" s="127">
        <v>5360</v>
      </c>
      <c r="T475" s="125">
        <v>845.52800000000002</v>
      </c>
      <c r="U475" s="127">
        <v>5350</v>
      </c>
      <c r="V475" s="124">
        <v>844.55</v>
      </c>
      <c r="W475" s="127">
        <v>5360</v>
      </c>
      <c r="X475" s="125">
        <v>844.22900000000004</v>
      </c>
      <c r="Y475" s="127">
        <v>5360</v>
      </c>
      <c r="Z475" s="125">
        <v>842.68600000000004</v>
      </c>
      <c r="AA475" s="127">
        <v>5360</v>
      </c>
      <c r="AB475" s="125">
        <v>842.66</v>
      </c>
      <c r="AC475" s="127">
        <v>5350</v>
      </c>
      <c r="AD475" s="125">
        <v>766.596</v>
      </c>
      <c r="AE475" s="127">
        <v>5360</v>
      </c>
      <c r="AF475" s="125">
        <v>768.02800000000002</v>
      </c>
      <c r="AG475" s="127">
        <v>5340</v>
      </c>
      <c r="AH475" s="125">
        <v>207.46199999999999</v>
      </c>
      <c r="AI475" s="127">
        <v>5340</v>
      </c>
      <c r="AJ475" s="125">
        <v>217.40299999999999</v>
      </c>
    </row>
    <row r="476" spans="1:36" ht="14.25">
      <c r="A476" s="128">
        <v>5370</v>
      </c>
      <c r="B476" s="124">
        <v>441.65800000000002</v>
      </c>
      <c r="C476" s="128">
        <v>5380</v>
      </c>
      <c r="D476" s="125">
        <v>438.41300000000001</v>
      </c>
      <c r="E476" s="126">
        <v>5370</v>
      </c>
      <c r="F476" s="125">
        <v>968.91899999999998</v>
      </c>
      <c r="G476" s="127">
        <v>5370</v>
      </c>
      <c r="H476" s="125">
        <v>968.50699999999995</v>
      </c>
      <c r="I476" s="127">
        <v>5370</v>
      </c>
      <c r="J476" s="125">
        <v>843.149</v>
      </c>
      <c r="K476" s="127">
        <v>5370</v>
      </c>
      <c r="L476" s="125">
        <v>842.79300000000001</v>
      </c>
      <c r="M476" s="127">
        <v>5370</v>
      </c>
      <c r="N476" s="125">
        <v>842.97199999999998</v>
      </c>
      <c r="O476" s="127">
        <v>5350</v>
      </c>
      <c r="P476" s="125">
        <v>844.12</v>
      </c>
      <c r="Q476" s="127">
        <v>5370</v>
      </c>
      <c r="R476" s="125">
        <v>843.71299999999997</v>
      </c>
      <c r="S476" s="127">
        <v>5370</v>
      </c>
      <c r="T476" s="125">
        <v>844.31500000000005</v>
      </c>
      <c r="U476" s="127">
        <v>5360</v>
      </c>
      <c r="V476" s="124">
        <v>843.34100000000001</v>
      </c>
      <c r="W476" s="127">
        <v>5370</v>
      </c>
      <c r="X476" s="125">
        <v>843.01800000000003</v>
      </c>
      <c r="Y476" s="127">
        <v>5370</v>
      </c>
      <c r="Z476" s="125">
        <v>841.47400000000005</v>
      </c>
      <c r="AA476" s="127">
        <v>5370</v>
      </c>
      <c r="AB476" s="125">
        <v>841.45</v>
      </c>
      <c r="AC476" s="127">
        <v>5360</v>
      </c>
      <c r="AD476" s="125">
        <v>765.38499999999999</v>
      </c>
      <c r="AE476" s="127">
        <v>5370</v>
      </c>
      <c r="AF476" s="125">
        <v>766.81799999999998</v>
      </c>
      <c r="AG476" s="127">
        <v>5350</v>
      </c>
      <c r="AH476" s="125">
        <v>207.06899999999999</v>
      </c>
      <c r="AI476" s="127">
        <v>5350</v>
      </c>
      <c r="AJ476" s="125">
        <v>216.99600000000001</v>
      </c>
    </row>
    <row r="477" spans="1:36" ht="14.25">
      <c r="A477" s="128">
        <v>5380</v>
      </c>
      <c r="B477" s="124">
        <v>440.87799999999999</v>
      </c>
      <c r="C477" s="128">
        <v>5390</v>
      </c>
      <c r="D477" s="125">
        <v>437.63900000000001</v>
      </c>
      <c r="E477" s="126">
        <v>5380</v>
      </c>
      <c r="F477" s="125">
        <v>967.42600000000004</v>
      </c>
      <c r="G477" s="127">
        <v>5380</v>
      </c>
      <c r="H477" s="125">
        <v>967.01800000000003</v>
      </c>
      <c r="I477" s="127">
        <v>5380</v>
      </c>
      <c r="J477" s="125">
        <v>841.93600000000004</v>
      </c>
      <c r="K477" s="127">
        <v>5380</v>
      </c>
      <c r="L477" s="125">
        <v>841.58</v>
      </c>
      <c r="M477" s="127">
        <v>5380</v>
      </c>
      <c r="N477" s="125">
        <v>841.75900000000001</v>
      </c>
      <c r="O477" s="127">
        <v>5360</v>
      </c>
      <c r="P477" s="125">
        <v>842.90700000000004</v>
      </c>
      <c r="Q477" s="127">
        <v>5380</v>
      </c>
      <c r="R477" s="125">
        <v>842.5</v>
      </c>
      <c r="S477" s="127">
        <v>5380</v>
      </c>
      <c r="T477" s="125">
        <v>843.10299999999995</v>
      </c>
      <c r="U477" s="127">
        <v>5370</v>
      </c>
      <c r="V477" s="124">
        <v>842.13099999999997</v>
      </c>
      <c r="W477" s="127">
        <v>5380</v>
      </c>
      <c r="X477" s="125">
        <v>841.80799999999999</v>
      </c>
      <c r="Y477" s="127">
        <v>5380</v>
      </c>
      <c r="Z477" s="125">
        <v>840.26300000000003</v>
      </c>
      <c r="AA477" s="127">
        <v>5380</v>
      </c>
      <c r="AB477" s="125">
        <v>840.24</v>
      </c>
      <c r="AC477" s="127">
        <v>5370</v>
      </c>
      <c r="AD477" s="125">
        <v>764.17399999999998</v>
      </c>
      <c r="AE477" s="127">
        <v>5380</v>
      </c>
      <c r="AF477" s="125">
        <v>765.60900000000004</v>
      </c>
      <c r="AG477" s="127">
        <v>5360</v>
      </c>
      <c r="AH477" s="125">
        <v>206.67699999999999</v>
      </c>
      <c r="AI477" s="127">
        <v>5360</v>
      </c>
      <c r="AJ477" s="125">
        <v>216.589</v>
      </c>
    </row>
    <row r="478" spans="1:36" ht="14.25">
      <c r="A478" s="128">
        <v>5390</v>
      </c>
      <c r="B478" s="124">
        <v>440.09899999999999</v>
      </c>
      <c r="C478" s="128">
        <v>5400</v>
      </c>
      <c r="D478" s="125">
        <v>436.86500000000001</v>
      </c>
      <c r="E478" s="126">
        <v>5390</v>
      </c>
      <c r="F478" s="125">
        <v>965.93399999999997</v>
      </c>
      <c r="G478" s="127">
        <v>5390</v>
      </c>
      <c r="H478" s="125">
        <v>965.529</v>
      </c>
      <c r="I478" s="127">
        <v>5390</v>
      </c>
      <c r="J478" s="125">
        <v>840.72299999999996</v>
      </c>
      <c r="K478" s="127">
        <v>5390</v>
      </c>
      <c r="L478" s="125">
        <v>840.36599999999999</v>
      </c>
      <c r="M478" s="127">
        <v>5390</v>
      </c>
      <c r="N478" s="125">
        <v>840.54600000000005</v>
      </c>
      <c r="O478" s="127">
        <v>5370</v>
      </c>
      <c r="P478" s="125">
        <v>841.69399999999996</v>
      </c>
      <c r="Q478" s="127">
        <v>5390</v>
      </c>
      <c r="R478" s="125">
        <v>841.28800000000001</v>
      </c>
      <c r="S478" s="127">
        <v>5390</v>
      </c>
      <c r="T478" s="125">
        <v>841.89099999999996</v>
      </c>
      <c r="U478" s="127">
        <v>5380</v>
      </c>
      <c r="V478" s="124">
        <v>840.92100000000005</v>
      </c>
      <c r="W478" s="127">
        <v>5390</v>
      </c>
      <c r="X478" s="125">
        <v>840.59699999999998</v>
      </c>
      <c r="Y478" s="127">
        <v>5390</v>
      </c>
      <c r="Z478" s="125">
        <v>839.05200000000002</v>
      </c>
      <c r="AA478" s="127">
        <v>5390</v>
      </c>
      <c r="AB478" s="125">
        <v>839.03</v>
      </c>
      <c r="AC478" s="127">
        <v>5380</v>
      </c>
      <c r="AD478" s="125">
        <v>762.96400000000006</v>
      </c>
      <c r="AE478" s="127">
        <v>5390</v>
      </c>
      <c r="AF478" s="125">
        <v>764.399</v>
      </c>
      <c r="AG478" s="127">
        <v>5370</v>
      </c>
      <c r="AH478" s="125">
        <v>206.28399999999999</v>
      </c>
      <c r="AI478" s="127">
        <v>5370</v>
      </c>
      <c r="AJ478" s="125">
        <v>216.18199999999999</v>
      </c>
    </row>
    <row r="479" spans="1:36" ht="14.25">
      <c r="A479" s="128">
        <v>5400</v>
      </c>
      <c r="B479" s="124">
        <v>439.31900000000002</v>
      </c>
      <c r="C479" s="128">
        <v>5410</v>
      </c>
      <c r="D479" s="125">
        <v>436.09100000000001</v>
      </c>
      <c r="E479" s="126">
        <v>5400</v>
      </c>
      <c r="F479" s="125">
        <v>964.44200000000001</v>
      </c>
      <c r="G479" s="127">
        <v>5400</v>
      </c>
      <c r="H479" s="125">
        <v>964.04</v>
      </c>
      <c r="I479" s="127">
        <v>5400</v>
      </c>
      <c r="J479" s="125">
        <v>839.51</v>
      </c>
      <c r="K479" s="127">
        <v>5400</v>
      </c>
      <c r="L479" s="125">
        <v>839.15200000000004</v>
      </c>
      <c r="M479" s="127">
        <v>5400</v>
      </c>
      <c r="N479" s="125">
        <v>839.33399999999995</v>
      </c>
      <c r="O479" s="127">
        <v>5380</v>
      </c>
      <c r="P479" s="125">
        <v>840.48099999999999</v>
      </c>
      <c r="Q479" s="127">
        <v>5400</v>
      </c>
      <c r="R479" s="125">
        <v>840.07500000000005</v>
      </c>
      <c r="S479" s="127">
        <v>5400</v>
      </c>
      <c r="T479" s="125">
        <v>840.67899999999997</v>
      </c>
      <c r="U479" s="127">
        <v>5390</v>
      </c>
      <c r="V479" s="124">
        <v>839.71100000000001</v>
      </c>
      <c r="W479" s="127">
        <v>5400</v>
      </c>
      <c r="X479" s="125">
        <v>839.38599999999997</v>
      </c>
      <c r="Y479" s="127">
        <v>5400</v>
      </c>
      <c r="Z479" s="125">
        <v>837.84</v>
      </c>
      <c r="AA479" s="127">
        <v>5400</v>
      </c>
      <c r="AB479" s="125">
        <v>837.82</v>
      </c>
      <c r="AC479" s="127">
        <v>5390</v>
      </c>
      <c r="AD479" s="125">
        <v>761.75300000000004</v>
      </c>
      <c r="AE479" s="127">
        <v>5400</v>
      </c>
      <c r="AF479" s="125">
        <v>763.18899999999996</v>
      </c>
      <c r="AG479" s="127">
        <v>5380</v>
      </c>
      <c r="AH479" s="125">
        <v>205.89099999999999</v>
      </c>
      <c r="AI479" s="127">
        <v>5380</v>
      </c>
      <c r="AJ479" s="125">
        <v>215.77500000000001</v>
      </c>
    </row>
    <row r="480" spans="1:36" ht="14.25">
      <c r="A480" s="128">
        <v>5410</v>
      </c>
      <c r="B480" s="124">
        <v>438.54</v>
      </c>
      <c r="C480" s="128">
        <v>5420</v>
      </c>
      <c r="D480" s="125">
        <v>435.31700000000001</v>
      </c>
      <c r="E480" s="126">
        <v>5410</v>
      </c>
      <c r="F480" s="125">
        <v>962.95</v>
      </c>
      <c r="G480" s="127">
        <v>5410</v>
      </c>
      <c r="H480" s="125">
        <v>962.55200000000002</v>
      </c>
      <c r="I480" s="127">
        <v>5410</v>
      </c>
      <c r="J480" s="125">
        <v>838.29700000000003</v>
      </c>
      <c r="K480" s="127">
        <v>5410</v>
      </c>
      <c r="L480" s="125">
        <v>837.93899999999996</v>
      </c>
      <c r="M480" s="127">
        <v>5410</v>
      </c>
      <c r="N480" s="125">
        <v>838.12099999999998</v>
      </c>
      <c r="O480" s="127">
        <v>5390</v>
      </c>
      <c r="P480" s="125">
        <v>839.26800000000003</v>
      </c>
      <c r="Q480" s="127">
        <v>5410</v>
      </c>
      <c r="R480" s="125">
        <v>838.86199999999997</v>
      </c>
      <c r="S480" s="127">
        <v>5410</v>
      </c>
      <c r="T480" s="125">
        <v>839.46600000000001</v>
      </c>
      <c r="U480" s="127">
        <v>5400</v>
      </c>
      <c r="V480" s="124">
        <v>838.50099999999998</v>
      </c>
      <c r="W480" s="127">
        <v>5410</v>
      </c>
      <c r="X480" s="125">
        <v>838.17499999999995</v>
      </c>
      <c r="Y480" s="127">
        <v>5410</v>
      </c>
      <c r="Z480" s="125">
        <v>836.62900000000002</v>
      </c>
      <c r="AA480" s="127">
        <v>5410</v>
      </c>
      <c r="AB480" s="125">
        <v>836.61</v>
      </c>
      <c r="AC480" s="127">
        <v>5400</v>
      </c>
      <c r="AD480" s="125">
        <v>760.54200000000003</v>
      </c>
      <c r="AE480" s="127">
        <v>5410</v>
      </c>
      <c r="AF480" s="125">
        <v>761.97900000000004</v>
      </c>
      <c r="AG480" s="127">
        <v>5390</v>
      </c>
      <c r="AH480" s="125">
        <v>205.49799999999999</v>
      </c>
      <c r="AI480" s="127">
        <v>5390</v>
      </c>
      <c r="AJ480" s="125">
        <v>215.36799999999999</v>
      </c>
    </row>
    <row r="481" spans="1:36" ht="14.25">
      <c r="A481" s="128">
        <v>5420</v>
      </c>
      <c r="B481" s="124">
        <v>437.76100000000002</v>
      </c>
      <c r="C481" s="128">
        <v>5430</v>
      </c>
      <c r="D481" s="125">
        <v>434.54399999999998</v>
      </c>
      <c r="E481" s="126">
        <v>5420</v>
      </c>
      <c r="F481" s="125">
        <v>961.45799999999997</v>
      </c>
      <c r="G481" s="127">
        <v>5420</v>
      </c>
      <c r="H481" s="125">
        <v>961.06299999999999</v>
      </c>
      <c r="I481" s="127">
        <v>5420</v>
      </c>
      <c r="J481" s="125">
        <v>837.08399999999995</v>
      </c>
      <c r="K481" s="127">
        <v>5420</v>
      </c>
      <c r="L481" s="125">
        <v>836.72500000000002</v>
      </c>
      <c r="M481" s="127">
        <v>5420</v>
      </c>
      <c r="N481" s="125">
        <v>836.90800000000002</v>
      </c>
      <c r="O481" s="127">
        <v>5400</v>
      </c>
      <c r="P481" s="125">
        <v>838.05499999999995</v>
      </c>
      <c r="Q481" s="127">
        <v>5420</v>
      </c>
      <c r="R481" s="125">
        <v>837.649</v>
      </c>
      <c r="S481" s="127">
        <v>5420</v>
      </c>
      <c r="T481" s="125">
        <v>838.25400000000002</v>
      </c>
      <c r="U481" s="127">
        <v>5410</v>
      </c>
      <c r="V481" s="124">
        <v>837.29100000000005</v>
      </c>
      <c r="W481" s="127">
        <v>5420</v>
      </c>
      <c r="X481" s="125">
        <v>836.96400000000006</v>
      </c>
      <c r="Y481" s="127">
        <v>5420</v>
      </c>
      <c r="Z481" s="125">
        <v>835.41700000000003</v>
      </c>
      <c r="AA481" s="127">
        <v>5420</v>
      </c>
      <c r="AB481" s="125">
        <v>835.4</v>
      </c>
      <c r="AC481" s="127">
        <v>5410</v>
      </c>
      <c r="AD481" s="125">
        <v>759.33100000000002</v>
      </c>
      <c r="AE481" s="127">
        <v>5420</v>
      </c>
      <c r="AF481" s="125">
        <v>760.77</v>
      </c>
      <c r="AG481" s="127">
        <v>5400</v>
      </c>
      <c r="AH481" s="125">
        <v>205.10599999999999</v>
      </c>
      <c r="AI481" s="127">
        <v>5400</v>
      </c>
      <c r="AJ481" s="125">
        <v>214.96199999999999</v>
      </c>
    </row>
    <row r="482" spans="1:36" ht="14.25">
      <c r="A482" s="128">
        <v>5430</v>
      </c>
      <c r="B482" s="124">
        <v>436.98200000000003</v>
      </c>
      <c r="C482" s="128">
        <v>5440</v>
      </c>
      <c r="D482" s="125">
        <v>433.77</v>
      </c>
      <c r="E482" s="126">
        <v>5430</v>
      </c>
      <c r="F482" s="125">
        <v>959.96600000000001</v>
      </c>
      <c r="G482" s="127">
        <v>5430</v>
      </c>
      <c r="H482" s="125">
        <v>959.57500000000005</v>
      </c>
      <c r="I482" s="127">
        <v>5430</v>
      </c>
      <c r="J482" s="125">
        <v>835.87099999999998</v>
      </c>
      <c r="K482" s="127">
        <v>5430</v>
      </c>
      <c r="L482" s="125">
        <v>835.51099999999997</v>
      </c>
      <c r="M482" s="127">
        <v>5430</v>
      </c>
      <c r="N482" s="125">
        <v>835.69600000000003</v>
      </c>
      <c r="O482" s="127">
        <v>5410</v>
      </c>
      <c r="P482" s="125">
        <v>836.84199999999998</v>
      </c>
      <c r="Q482" s="127">
        <v>5430</v>
      </c>
      <c r="R482" s="125">
        <v>836.43700000000001</v>
      </c>
      <c r="S482" s="127">
        <v>5430</v>
      </c>
      <c r="T482" s="125">
        <v>837.04200000000003</v>
      </c>
      <c r="U482" s="127">
        <v>5420</v>
      </c>
      <c r="V482" s="124">
        <v>836.08100000000002</v>
      </c>
      <c r="W482" s="127">
        <v>5430</v>
      </c>
      <c r="X482" s="125">
        <v>835.75400000000002</v>
      </c>
      <c r="Y482" s="127">
        <v>5430</v>
      </c>
      <c r="Z482" s="125">
        <v>834.20600000000002</v>
      </c>
      <c r="AA482" s="127">
        <v>5430</v>
      </c>
      <c r="AB482" s="125">
        <v>834.19</v>
      </c>
      <c r="AC482" s="127">
        <v>5420</v>
      </c>
      <c r="AD482" s="125">
        <v>758.12099999999998</v>
      </c>
      <c r="AE482" s="127">
        <v>5430</v>
      </c>
      <c r="AF482" s="125">
        <v>759.56</v>
      </c>
      <c r="AG482" s="127">
        <v>5410</v>
      </c>
      <c r="AH482" s="125">
        <v>204.71299999999999</v>
      </c>
      <c r="AI482" s="127">
        <v>5410</v>
      </c>
      <c r="AJ482" s="125">
        <v>214.55500000000001</v>
      </c>
    </row>
    <row r="483" spans="1:36" ht="14.25">
      <c r="A483" s="128">
        <v>5440</v>
      </c>
      <c r="B483" s="124">
        <v>436.20299999999997</v>
      </c>
      <c r="C483" s="128">
        <v>5450</v>
      </c>
      <c r="D483" s="125">
        <v>432.99700000000001</v>
      </c>
      <c r="E483" s="126">
        <v>5440</v>
      </c>
      <c r="F483" s="125">
        <v>958.47400000000005</v>
      </c>
      <c r="G483" s="127">
        <v>5440</v>
      </c>
      <c r="H483" s="125">
        <v>958.08600000000001</v>
      </c>
      <c r="I483" s="127">
        <v>5440</v>
      </c>
      <c r="J483" s="125">
        <v>834.65800000000002</v>
      </c>
      <c r="K483" s="127">
        <v>5440</v>
      </c>
      <c r="L483" s="125">
        <v>834.298</v>
      </c>
      <c r="M483" s="127">
        <v>5440</v>
      </c>
      <c r="N483" s="125">
        <v>834.48299999999995</v>
      </c>
      <c r="O483" s="127">
        <v>5420</v>
      </c>
      <c r="P483" s="125">
        <v>835.62900000000002</v>
      </c>
      <c r="Q483" s="127">
        <v>5440</v>
      </c>
      <c r="R483" s="125">
        <v>835.22400000000005</v>
      </c>
      <c r="S483" s="127">
        <v>5440</v>
      </c>
      <c r="T483" s="125">
        <v>835.83</v>
      </c>
      <c r="U483" s="127">
        <v>5430</v>
      </c>
      <c r="V483" s="124">
        <v>834.87199999999996</v>
      </c>
      <c r="W483" s="127">
        <v>5440</v>
      </c>
      <c r="X483" s="125">
        <v>834.54300000000001</v>
      </c>
      <c r="Y483" s="127">
        <v>5440</v>
      </c>
      <c r="Z483" s="125">
        <v>832.995</v>
      </c>
      <c r="AA483" s="127">
        <v>5440</v>
      </c>
      <c r="AB483" s="125">
        <v>832.98</v>
      </c>
      <c r="AC483" s="127">
        <v>5430</v>
      </c>
      <c r="AD483" s="125">
        <v>756.91</v>
      </c>
      <c r="AE483" s="127">
        <v>5440</v>
      </c>
      <c r="AF483" s="125">
        <v>758.35</v>
      </c>
      <c r="AG483" s="127">
        <v>5420</v>
      </c>
      <c r="AH483" s="125">
        <v>204.32</v>
      </c>
      <c r="AI483" s="127">
        <v>5420</v>
      </c>
      <c r="AJ483" s="125">
        <v>214.148</v>
      </c>
    </row>
    <row r="484" spans="1:36" ht="14.25">
      <c r="A484" s="128">
        <v>5450</v>
      </c>
      <c r="B484" s="124">
        <v>435.42500000000001</v>
      </c>
      <c r="C484" s="128">
        <v>5460</v>
      </c>
      <c r="D484" s="125">
        <v>432.22399999999999</v>
      </c>
      <c r="E484" s="126">
        <v>5450</v>
      </c>
      <c r="F484" s="125">
        <v>956.98299999999995</v>
      </c>
      <c r="G484" s="127">
        <v>5450</v>
      </c>
      <c r="H484" s="125">
        <v>956.59799999999996</v>
      </c>
      <c r="I484" s="127">
        <v>5450</v>
      </c>
      <c r="J484" s="125">
        <v>833.44500000000005</v>
      </c>
      <c r="K484" s="127">
        <v>5450</v>
      </c>
      <c r="L484" s="125">
        <v>833.08399999999995</v>
      </c>
      <c r="M484" s="127">
        <v>5450</v>
      </c>
      <c r="N484" s="125">
        <v>833.27</v>
      </c>
      <c r="O484" s="127">
        <v>5430</v>
      </c>
      <c r="P484" s="125">
        <v>834.41600000000005</v>
      </c>
      <c r="Q484" s="127">
        <v>5450</v>
      </c>
      <c r="R484" s="125">
        <v>834.01099999999997</v>
      </c>
      <c r="S484" s="127">
        <v>5450</v>
      </c>
      <c r="T484" s="125">
        <v>834.61699999999996</v>
      </c>
      <c r="U484" s="127">
        <v>5440</v>
      </c>
      <c r="V484" s="124">
        <v>833.66200000000003</v>
      </c>
      <c r="W484" s="127">
        <v>5450</v>
      </c>
      <c r="X484" s="125">
        <v>833.33199999999999</v>
      </c>
      <c r="Y484" s="127">
        <v>5450</v>
      </c>
      <c r="Z484" s="125">
        <v>831.78300000000002</v>
      </c>
      <c r="AA484" s="127">
        <v>5450</v>
      </c>
      <c r="AB484" s="125">
        <v>831.77</v>
      </c>
      <c r="AC484" s="127">
        <v>5440</v>
      </c>
      <c r="AD484" s="125">
        <v>755.69899999999996</v>
      </c>
      <c r="AE484" s="127">
        <v>5450</v>
      </c>
      <c r="AF484" s="125">
        <v>757.14099999999996</v>
      </c>
      <c r="AG484" s="127">
        <v>5430</v>
      </c>
      <c r="AH484" s="125">
        <v>203.928</v>
      </c>
      <c r="AI484" s="127">
        <v>5430</v>
      </c>
      <c r="AJ484" s="125">
        <v>213.74199999999999</v>
      </c>
    </row>
    <row r="485" spans="1:36" ht="14.25">
      <c r="A485" s="128">
        <v>5460</v>
      </c>
      <c r="B485" s="124">
        <v>434.64600000000002</v>
      </c>
      <c r="C485" s="128">
        <v>5470</v>
      </c>
      <c r="D485" s="125">
        <v>431.45100000000002</v>
      </c>
      <c r="E485" s="126">
        <v>5460</v>
      </c>
      <c r="F485" s="125">
        <v>955.49099999999999</v>
      </c>
      <c r="G485" s="127">
        <v>5460</v>
      </c>
      <c r="H485" s="125">
        <v>955.11</v>
      </c>
      <c r="I485" s="127">
        <v>5460</v>
      </c>
      <c r="J485" s="125">
        <v>832.23299999999995</v>
      </c>
      <c r="K485" s="127">
        <v>5460</v>
      </c>
      <c r="L485" s="125">
        <v>831.87</v>
      </c>
      <c r="M485" s="127">
        <v>5460</v>
      </c>
      <c r="N485" s="125">
        <v>832.05700000000002</v>
      </c>
      <c r="O485" s="127">
        <v>5440</v>
      </c>
      <c r="P485" s="125">
        <v>833.20299999999997</v>
      </c>
      <c r="Q485" s="127">
        <v>5460</v>
      </c>
      <c r="R485" s="125">
        <v>832.798</v>
      </c>
      <c r="S485" s="127">
        <v>5460</v>
      </c>
      <c r="T485" s="125">
        <v>833.40499999999997</v>
      </c>
      <c r="U485" s="127">
        <v>5450</v>
      </c>
      <c r="V485" s="124">
        <v>832.452</v>
      </c>
      <c r="W485" s="127">
        <v>5460</v>
      </c>
      <c r="X485" s="125">
        <v>832.12099999999998</v>
      </c>
      <c r="Y485" s="127">
        <v>5460</v>
      </c>
      <c r="Z485" s="125">
        <v>830.572</v>
      </c>
      <c r="AA485" s="127">
        <v>5460</v>
      </c>
      <c r="AB485" s="125">
        <v>830.56</v>
      </c>
      <c r="AC485" s="127">
        <v>5450</v>
      </c>
      <c r="AD485" s="125">
        <v>754.48800000000006</v>
      </c>
      <c r="AE485" s="127">
        <v>5460</v>
      </c>
      <c r="AF485" s="125">
        <v>755.93100000000004</v>
      </c>
      <c r="AG485" s="127">
        <v>5440</v>
      </c>
      <c r="AH485" s="125">
        <v>203.535</v>
      </c>
      <c r="AI485" s="127">
        <v>5440</v>
      </c>
      <c r="AJ485" s="125">
        <v>213.33500000000001</v>
      </c>
    </row>
    <row r="486" spans="1:36" ht="14.25">
      <c r="A486" s="128">
        <v>5470</v>
      </c>
      <c r="B486" s="124">
        <v>433.86799999999999</v>
      </c>
      <c r="C486" s="128">
        <v>5480</v>
      </c>
      <c r="D486" s="125">
        <v>430.678</v>
      </c>
      <c r="E486" s="126">
        <v>5470</v>
      </c>
      <c r="F486" s="125">
        <v>954</v>
      </c>
      <c r="G486" s="127">
        <v>5470</v>
      </c>
      <c r="H486" s="125">
        <v>953.62199999999996</v>
      </c>
      <c r="I486" s="127">
        <v>5470</v>
      </c>
      <c r="J486" s="125">
        <v>831.02</v>
      </c>
      <c r="K486" s="127">
        <v>5470</v>
      </c>
      <c r="L486" s="125">
        <v>830.65700000000004</v>
      </c>
      <c r="M486" s="127">
        <v>5470</v>
      </c>
      <c r="N486" s="125">
        <v>830.84500000000003</v>
      </c>
      <c r="O486" s="127">
        <v>5450</v>
      </c>
      <c r="P486" s="125">
        <v>831.99</v>
      </c>
      <c r="Q486" s="127">
        <v>5470</v>
      </c>
      <c r="R486" s="125">
        <v>831.58500000000004</v>
      </c>
      <c r="S486" s="127">
        <v>5470</v>
      </c>
      <c r="T486" s="125">
        <v>832.19299999999998</v>
      </c>
      <c r="U486" s="127">
        <v>5460</v>
      </c>
      <c r="V486" s="124">
        <v>831.24199999999996</v>
      </c>
      <c r="W486" s="127">
        <v>5470</v>
      </c>
      <c r="X486" s="125">
        <v>830.91</v>
      </c>
      <c r="Y486" s="127">
        <v>5470</v>
      </c>
      <c r="Z486" s="125">
        <v>829.36099999999999</v>
      </c>
      <c r="AA486" s="127">
        <v>5470</v>
      </c>
      <c r="AB486" s="125">
        <v>829.35</v>
      </c>
      <c r="AC486" s="127">
        <v>5460</v>
      </c>
      <c r="AD486" s="125">
        <v>753.27800000000002</v>
      </c>
      <c r="AE486" s="127">
        <v>5470</v>
      </c>
      <c r="AF486" s="125">
        <v>754.721</v>
      </c>
      <c r="AG486" s="127">
        <v>5450</v>
      </c>
      <c r="AH486" s="125">
        <v>203.143</v>
      </c>
      <c r="AI486" s="127">
        <v>5450</v>
      </c>
      <c r="AJ486" s="125">
        <v>212.929</v>
      </c>
    </row>
    <row r="487" spans="1:36" ht="14.25">
      <c r="A487" s="128">
        <v>5480</v>
      </c>
      <c r="B487" s="124">
        <v>433.09</v>
      </c>
      <c r="C487" s="128">
        <v>5490</v>
      </c>
      <c r="D487" s="125">
        <v>429.90499999999997</v>
      </c>
      <c r="E487" s="126">
        <v>5480</v>
      </c>
      <c r="F487" s="125">
        <v>952.50900000000001</v>
      </c>
      <c r="G487" s="127">
        <v>5480</v>
      </c>
      <c r="H487" s="125">
        <v>952.13400000000001</v>
      </c>
      <c r="I487" s="127">
        <v>5480</v>
      </c>
      <c r="J487" s="125">
        <v>829.80700000000002</v>
      </c>
      <c r="K487" s="127">
        <v>5480</v>
      </c>
      <c r="L487" s="125">
        <v>829.44299999999998</v>
      </c>
      <c r="M487" s="127">
        <v>5480</v>
      </c>
      <c r="N487" s="125">
        <v>829.63199999999995</v>
      </c>
      <c r="O487" s="127">
        <v>5460</v>
      </c>
      <c r="P487" s="125">
        <v>830.77700000000004</v>
      </c>
      <c r="Q487" s="127">
        <v>5480</v>
      </c>
      <c r="R487" s="125">
        <v>830.37300000000005</v>
      </c>
      <c r="S487" s="127">
        <v>5480</v>
      </c>
      <c r="T487" s="125">
        <v>830.98099999999999</v>
      </c>
      <c r="U487" s="127">
        <v>5470</v>
      </c>
      <c r="V487" s="124">
        <v>830.03200000000004</v>
      </c>
      <c r="W487" s="127">
        <v>5480</v>
      </c>
      <c r="X487" s="125">
        <v>829.7</v>
      </c>
      <c r="Y487" s="127">
        <v>5480</v>
      </c>
      <c r="Z487" s="125">
        <v>828.149</v>
      </c>
      <c r="AA487" s="127">
        <v>5480</v>
      </c>
      <c r="AB487" s="125">
        <v>828.14</v>
      </c>
      <c r="AC487" s="127">
        <v>5470</v>
      </c>
      <c r="AD487" s="125">
        <v>752.06700000000001</v>
      </c>
      <c r="AE487" s="127">
        <v>5480</v>
      </c>
      <c r="AF487" s="125">
        <v>753.51099999999997</v>
      </c>
      <c r="AG487" s="127">
        <v>5460</v>
      </c>
      <c r="AH487" s="125">
        <v>202.751</v>
      </c>
      <c r="AI487" s="127">
        <v>5460</v>
      </c>
      <c r="AJ487" s="125">
        <v>212.52199999999999</v>
      </c>
    </row>
    <row r="488" spans="1:36" ht="14.25">
      <c r="A488" s="128">
        <v>5490</v>
      </c>
      <c r="B488" s="124">
        <v>432.31200000000001</v>
      </c>
      <c r="C488" s="128">
        <v>5500</v>
      </c>
      <c r="D488" s="125">
        <v>429.13299999999998</v>
      </c>
      <c r="E488" s="126">
        <v>5490</v>
      </c>
      <c r="F488" s="125">
        <v>951.01800000000003</v>
      </c>
      <c r="G488" s="127">
        <v>5490</v>
      </c>
      <c r="H488" s="125">
        <v>950.64700000000005</v>
      </c>
      <c r="I488" s="127">
        <v>5490</v>
      </c>
      <c r="J488" s="125">
        <v>828.59400000000005</v>
      </c>
      <c r="K488" s="127">
        <v>5490</v>
      </c>
      <c r="L488" s="125">
        <v>828.22900000000004</v>
      </c>
      <c r="M488" s="127">
        <v>5490</v>
      </c>
      <c r="N488" s="125">
        <v>828.41899999999998</v>
      </c>
      <c r="O488" s="127">
        <v>5470</v>
      </c>
      <c r="P488" s="125">
        <v>829.56399999999996</v>
      </c>
      <c r="Q488" s="127">
        <v>5490</v>
      </c>
      <c r="R488" s="125">
        <v>829.16</v>
      </c>
      <c r="S488" s="127">
        <v>5490</v>
      </c>
      <c r="T488" s="125">
        <v>829.76800000000003</v>
      </c>
      <c r="U488" s="127">
        <v>5480</v>
      </c>
      <c r="V488" s="124">
        <v>828.822</v>
      </c>
      <c r="W488" s="127">
        <v>5490</v>
      </c>
      <c r="X488" s="125">
        <v>828.48900000000003</v>
      </c>
      <c r="Y488" s="127">
        <v>5490</v>
      </c>
      <c r="Z488" s="125">
        <v>826.93799999999999</v>
      </c>
      <c r="AA488" s="127">
        <v>5490</v>
      </c>
      <c r="AB488" s="125">
        <v>826.93</v>
      </c>
      <c r="AC488" s="127">
        <v>5480</v>
      </c>
      <c r="AD488" s="125">
        <v>750.85599999999999</v>
      </c>
      <c r="AE488" s="127">
        <v>5490</v>
      </c>
      <c r="AF488" s="125">
        <v>752.30200000000002</v>
      </c>
      <c r="AG488" s="127">
        <v>5470</v>
      </c>
      <c r="AH488" s="125">
        <v>202.358</v>
      </c>
      <c r="AI488" s="127">
        <v>5470</v>
      </c>
      <c r="AJ488" s="125">
        <v>212.11600000000001</v>
      </c>
    </row>
    <row r="489" spans="1:36" ht="14.25">
      <c r="A489" s="128">
        <v>5500</v>
      </c>
      <c r="B489" s="124">
        <v>431.53500000000003</v>
      </c>
      <c r="C489" s="128">
        <v>5510</v>
      </c>
      <c r="D489" s="125">
        <v>428.36099999999999</v>
      </c>
      <c r="E489" s="126">
        <v>5500</v>
      </c>
      <c r="F489" s="125">
        <v>949.52700000000004</v>
      </c>
      <c r="G489" s="127">
        <v>5500</v>
      </c>
      <c r="H489" s="125">
        <v>949.15899999999999</v>
      </c>
      <c r="I489" s="127">
        <v>5500</v>
      </c>
      <c r="J489" s="125">
        <v>827.38099999999997</v>
      </c>
      <c r="K489" s="127">
        <v>5500</v>
      </c>
      <c r="L489" s="125">
        <v>827.01599999999996</v>
      </c>
      <c r="M489" s="127">
        <v>5500</v>
      </c>
      <c r="N489" s="125">
        <v>827.20699999999999</v>
      </c>
      <c r="O489" s="127">
        <v>5480</v>
      </c>
      <c r="P489" s="125">
        <v>828.351</v>
      </c>
      <c r="Q489" s="127">
        <v>5500</v>
      </c>
      <c r="R489" s="125">
        <v>827.947</v>
      </c>
      <c r="S489" s="127">
        <v>5500</v>
      </c>
      <c r="T489" s="125">
        <v>828.55600000000004</v>
      </c>
      <c r="U489" s="127">
        <v>5490</v>
      </c>
      <c r="V489" s="124">
        <v>827.61199999999997</v>
      </c>
      <c r="W489" s="127">
        <v>5500</v>
      </c>
      <c r="X489" s="125">
        <v>827.27800000000002</v>
      </c>
      <c r="Y489" s="127">
        <v>5500</v>
      </c>
      <c r="Z489" s="125">
        <v>825.72699999999998</v>
      </c>
      <c r="AA489" s="127">
        <v>5500</v>
      </c>
      <c r="AB489" s="125">
        <v>825.72</v>
      </c>
      <c r="AC489" s="127">
        <v>5490</v>
      </c>
      <c r="AD489" s="125">
        <v>749.64599999999996</v>
      </c>
      <c r="AE489" s="127">
        <v>5500</v>
      </c>
      <c r="AF489" s="125">
        <v>751.09199999999998</v>
      </c>
      <c r="AG489" s="127">
        <v>5480</v>
      </c>
      <c r="AH489" s="125">
        <v>201.96600000000001</v>
      </c>
      <c r="AI489" s="127">
        <v>5480</v>
      </c>
      <c r="AJ489" s="125">
        <v>211.71</v>
      </c>
    </row>
    <row r="490" spans="1:36" ht="14.25">
      <c r="A490" s="128">
        <v>5510</v>
      </c>
      <c r="B490" s="124">
        <v>430.75700000000001</v>
      </c>
      <c r="C490" s="128">
        <v>5520</v>
      </c>
      <c r="D490" s="125">
        <v>427.589</v>
      </c>
      <c r="E490" s="126">
        <v>5510</v>
      </c>
      <c r="F490" s="125">
        <v>948.03599999999994</v>
      </c>
      <c r="G490" s="127">
        <v>5510</v>
      </c>
      <c r="H490" s="125">
        <v>947.67100000000005</v>
      </c>
      <c r="I490" s="127">
        <v>5510</v>
      </c>
      <c r="J490" s="125">
        <v>826.16800000000001</v>
      </c>
      <c r="K490" s="127">
        <v>5510</v>
      </c>
      <c r="L490" s="125">
        <v>825.80200000000002</v>
      </c>
      <c r="M490" s="127">
        <v>5510</v>
      </c>
      <c r="N490" s="125">
        <v>825.99400000000003</v>
      </c>
      <c r="O490" s="127">
        <v>5490</v>
      </c>
      <c r="P490" s="125">
        <v>827.13800000000003</v>
      </c>
      <c r="Q490" s="127">
        <v>5510</v>
      </c>
      <c r="R490" s="125">
        <v>826.73400000000004</v>
      </c>
      <c r="S490" s="127">
        <v>5510</v>
      </c>
      <c r="T490" s="125">
        <v>827.34400000000005</v>
      </c>
      <c r="U490" s="127">
        <v>5500</v>
      </c>
      <c r="V490" s="124">
        <v>826.40200000000004</v>
      </c>
      <c r="W490" s="127">
        <v>5510</v>
      </c>
      <c r="X490" s="125">
        <v>826.06700000000001</v>
      </c>
      <c r="Y490" s="127">
        <v>5510</v>
      </c>
      <c r="Z490" s="125">
        <v>824.51499999999999</v>
      </c>
      <c r="AA490" s="127">
        <v>5510</v>
      </c>
      <c r="AB490" s="125">
        <v>824.51</v>
      </c>
      <c r="AC490" s="127">
        <v>5500</v>
      </c>
      <c r="AD490" s="125">
        <v>748.43499999999995</v>
      </c>
      <c r="AE490" s="127">
        <v>5510</v>
      </c>
      <c r="AF490" s="125">
        <v>749.88199999999995</v>
      </c>
      <c r="AG490" s="127">
        <v>5490</v>
      </c>
      <c r="AH490" s="125">
        <v>201.57400000000001</v>
      </c>
      <c r="AI490" s="127">
        <v>5490</v>
      </c>
      <c r="AJ490" s="125">
        <v>211.304</v>
      </c>
    </row>
    <row r="491" spans="1:36" ht="14.25">
      <c r="A491" s="128">
        <v>5520</v>
      </c>
      <c r="B491" s="124">
        <v>429.98</v>
      </c>
      <c r="C491" s="128">
        <v>5530</v>
      </c>
      <c r="D491" s="125">
        <v>426.81700000000001</v>
      </c>
      <c r="E491" s="126">
        <v>5520</v>
      </c>
      <c r="F491" s="125">
        <v>946.54600000000005</v>
      </c>
      <c r="G491" s="127">
        <v>5520</v>
      </c>
      <c r="H491" s="125">
        <v>946.18399999999997</v>
      </c>
      <c r="I491" s="127">
        <v>5520</v>
      </c>
      <c r="J491" s="125">
        <v>824.95500000000004</v>
      </c>
      <c r="K491" s="127">
        <v>5520</v>
      </c>
      <c r="L491" s="125">
        <v>824.58799999999997</v>
      </c>
      <c r="M491" s="127">
        <v>5520</v>
      </c>
      <c r="N491" s="125">
        <v>824.78099999999995</v>
      </c>
      <c r="O491" s="127">
        <v>5500</v>
      </c>
      <c r="P491" s="125">
        <v>825.92499999999995</v>
      </c>
      <c r="Q491" s="127">
        <v>5520</v>
      </c>
      <c r="R491" s="125">
        <v>825.52099999999996</v>
      </c>
      <c r="S491" s="127">
        <v>5520</v>
      </c>
      <c r="T491" s="125">
        <v>826.13199999999995</v>
      </c>
      <c r="U491" s="127">
        <v>5510</v>
      </c>
      <c r="V491" s="124">
        <v>825.19299999999998</v>
      </c>
      <c r="W491" s="127">
        <v>5520</v>
      </c>
      <c r="X491" s="125">
        <v>824.85599999999999</v>
      </c>
      <c r="Y491" s="127">
        <v>5520</v>
      </c>
      <c r="Z491" s="125">
        <v>823.30399999999997</v>
      </c>
      <c r="AA491" s="127">
        <v>5520</v>
      </c>
      <c r="AB491" s="125">
        <v>823.3</v>
      </c>
      <c r="AC491" s="127">
        <v>5510</v>
      </c>
      <c r="AD491" s="125">
        <v>747.22400000000005</v>
      </c>
      <c r="AE491" s="127">
        <v>5520</v>
      </c>
      <c r="AF491" s="125">
        <v>748.673</v>
      </c>
      <c r="AG491" s="127">
        <v>5500</v>
      </c>
      <c r="AH491" s="125">
        <v>201.18199999999999</v>
      </c>
      <c r="AI491" s="127">
        <v>5500</v>
      </c>
      <c r="AJ491" s="125">
        <v>210.89699999999999</v>
      </c>
    </row>
    <row r="492" spans="1:36" ht="14.25">
      <c r="A492" s="128">
        <v>5530</v>
      </c>
      <c r="B492" s="124">
        <v>429.20299999999997</v>
      </c>
      <c r="C492" s="128">
        <v>5540</v>
      </c>
      <c r="D492" s="125">
        <v>426.04500000000002</v>
      </c>
      <c r="E492" s="126">
        <v>5530</v>
      </c>
      <c r="F492" s="125">
        <v>945.05499999999995</v>
      </c>
      <c r="G492" s="127">
        <v>5530</v>
      </c>
      <c r="H492" s="129">
        <v>944.697</v>
      </c>
      <c r="I492" s="127">
        <v>5530</v>
      </c>
      <c r="J492" s="125">
        <v>823.74199999999996</v>
      </c>
      <c r="K492" s="127">
        <v>5530</v>
      </c>
      <c r="L492" s="125">
        <v>823.375</v>
      </c>
      <c r="M492" s="127">
        <v>5530</v>
      </c>
      <c r="N492" s="125">
        <v>823.56899999999996</v>
      </c>
      <c r="O492" s="127">
        <v>5510</v>
      </c>
      <c r="P492" s="125">
        <v>824.71199999999999</v>
      </c>
      <c r="Q492" s="127">
        <v>5530</v>
      </c>
      <c r="R492" s="125">
        <v>824.30899999999997</v>
      </c>
      <c r="S492" s="127">
        <v>5530</v>
      </c>
      <c r="T492" s="125">
        <v>824.91899999999998</v>
      </c>
      <c r="U492" s="127">
        <v>5520</v>
      </c>
      <c r="V492" s="124">
        <v>823.98299999999995</v>
      </c>
      <c r="W492" s="127">
        <v>5530</v>
      </c>
      <c r="X492" s="125">
        <v>823.64599999999996</v>
      </c>
      <c r="Y492" s="127">
        <v>5530</v>
      </c>
      <c r="Z492" s="125">
        <v>822.09299999999996</v>
      </c>
      <c r="AA492" s="127">
        <v>5530</v>
      </c>
      <c r="AB492" s="125">
        <v>822.09</v>
      </c>
      <c r="AC492" s="127">
        <v>5520</v>
      </c>
      <c r="AD492" s="125">
        <v>746.01300000000003</v>
      </c>
      <c r="AE492" s="127">
        <v>5530</v>
      </c>
      <c r="AF492" s="125">
        <v>747.46299999999997</v>
      </c>
      <c r="AG492" s="127">
        <v>5510</v>
      </c>
      <c r="AH492" s="125">
        <v>200.79</v>
      </c>
      <c r="AI492" s="127">
        <v>5510</v>
      </c>
      <c r="AJ492" s="125">
        <v>210.49100000000001</v>
      </c>
    </row>
    <row r="493" spans="1:36" ht="14.25">
      <c r="A493" s="128">
        <v>5540</v>
      </c>
      <c r="B493" s="124">
        <v>428.42599999999999</v>
      </c>
      <c r="C493" s="128">
        <v>5550</v>
      </c>
      <c r="D493" s="125">
        <v>425.274</v>
      </c>
      <c r="E493" s="126">
        <v>5540</v>
      </c>
      <c r="F493" s="125">
        <v>943.56500000000005</v>
      </c>
      <c r="G493" s="127">
        <v>5540</v>
      </c>
      <c r="H493" s="129">
        <v>943.21</v>
      </c>
      <c r="I493" s="127">
        <v>5540</v>
      </c>
      <c r="J493" s="125">
        <v>822.53</v>
      </c>
      <c r="K493" s="127">
        <v>5540</v>
      </c>
      <c r="L493" s="125">
        <v>822.16099999999994</v>
      </c>
      <c r="M493" s="127">
        <v>5540</v>
      </c>
      <c r="N493" s="125">
        <v>822.35599999999999</v>
      </c>
      <c r="O493" s="127">
        <v>5520</v>
      </c>
      <c r="P493" s="125">
        <v>823.49900000000002</v>
      </c>
      <c r="Q493" s="127">
        <v>5540</v>
      </c>
      <c r="R493" s="125">
        <v>823.096</v>
      </c>
      <c r="S493" s="127">
        <v>5540</v>
      </c>
      <c r="T493" s="125">
        <v>823.70699999999999</v>
      </c>
      <c r="U493" s="127">
        <v>5530</v>
      </c>
      <c r="V493" s="124">
        <v>822.77300000000002</v>
      </c>
      <c r="W493" s="127">
        <v>5540</v>
      </c>
      <c r="X493" s="125">
        <v>822.43499999999995</v>
      </c>
      <c r="Y493" s="127">
        <v>5540</v>
      </c>
      <c r="Z493" s="125">
        <v>820.88099999999997</v>
      </c>
      <c r="AA493" s="127">
        <v>5540</v>
      </c>
      <c r="AB493" s="125">
        <v>820.88</v>
      </c>
      <c r="AC493" s="127">
        <v>5530</v>
      </c>
      <c r="AD493" s="125">
        <v>744.803</v>
      </c>
      <c r="AE493" s="127">
        <v>5540</v>
      </c>
      <c r="AF493" s="125">
        <v>746.25300000000004</v>
      </c>
      <c r="AG493" s="127">
        <v>5520</v>
      </c>
      <c r="AH493" s="125">
        <v>200.398</v>
      </c>
      <c r="AI493" s="127">
        <v>5520</v>
      </c>
      <c r="AJ493" s="125">
        <v>210.08500000000001</v>
      </c>
    </row>
    <row r="494" spans="1:36" ht="14.25">
      <c r="A494" s="128">
        <v>5550</v>
      </c>
      <c r="B494" s="124">
        <v>427.649</v>
      </c>
      <c r="C494" s="128">
        <v>5560</v>
      </c>
      <c r="D494" s="125">
        <v>424.50200000000001</v>
      </c>
      <c r="E494" s="126">
        <v>5550</v>
      </c>
      <c r="F494" s="125">
        <v>942.07399999999996</v>
      </c>
      <c r="G494" s="127">
        <v>5550</v>
      </c>
      <c r="H494" s="125">
        <v>941.72299999999996</v>
      </c>
      <c r="I494" s="127">
        <v>5550</v>
      </c>
      <c r="J494" s="125">
        <v>821.31700000000001</v>
      </c>
      <c r="K494" s="127">
        <v>5550</v>
      </c>
      <c r="L494" s="125">
        <v>820.947</v>
      </c>
      <c r="M494" s="127">
        <v>5550</v>
      </c>
      <c r="N494" s="125">
        <v>821.14300000000003</v>
      </c>
      <c r="O494" s="127">
        <v>5530</v>
      </c>
      <c r="P494" s="125">
        <v>822.28599999999994</v>
      </c>
      <c r="Q494" s="127">
        <v>5550</v>
      </c>
      <c r="R494" s="125">
        <v>821.88300000000004</v>
      </c>
      <c r="S494" s="127">
        <v>5550</v>
      </c>
      <c r="T494" s="125">
        <v>822.495</v>
      </c>
      <c r="U494" s="127">
        <v>5540</v>
      </c>
      <c r="V494" s="124">
        <v>821.56299999999999</v>
      </c>
      <c r="W494" s="127">
        <v>5550</v>
      </c>
      <c r="X494" s="125">
        <v>821.22400000000005</v>
      </c>
      <c r="Y494" s="127">
        <v>5550</v>
      </c>
      <c r="Z494" s="125">
        <v>819.67</v>
      </c>
      <c r="AA494" s="127">
        <v>5550</v>
      </c>
      <c r="AB494" s="125">
        <v>819.67</v>
      </c>
      <c r="AC494" s="127">
        <v>5540</v>
      </c>
      <c r="AD494" s="125">
        <v>743.59199999999998</v>
      </c>
      <c r="AE494" s="127">
        <v>5550</v>
      </c>
      <c r="AF494" s="125">
        <v>745.04300000000001</v>
      </c>
      <c r="AG494" s="127">
        <v>5530</v>
      </c>
      <c r="AH494" s="125">
        <v>200.006</v>
      </c>
      <c r="AI494" s="127">
        <v>5530</v>
      </c>
      <c r="AJ494" s="125">
        <v>209.679</v>
      </c>
    </row>
    <row r="495" spans="1:36" ht="14.25">
      <c r="A495" s="128">
        <v>5560</v>
      </c>
      <c r="B495" s="124">
        <v>426.87299999999999</v>
      </c>
      <c r="C495" s="128">
        <v>5570</v>
      </c>
      <c r="D495" s="125">
        <v>423.73099999999999</v>
      </c>
      <c r="E495" s="126">
        <v>5560</v>
      </c>
      <c r="F495" s="125">
        <v>940.58399999999995</v>
      </c>
      <c r="G495" s="127">
        <v>5560</v>
      </c>
      <c r="H495" s="125">
        <v>940.23599999999999</v>
      </c>
      <c r="I495" s="127">
        <v>5560</v>
      </c>
      <c r="J495" s="125">
        <v>820.10400000000004</v>
      </c>
      <c r="K495" s="127">
        <v>5560</v>
      </c>
      <c r="L495" s="125">
        <v>819.73400000000004</v>
      </c>
      <c r="M495" s="127">
        <v>5560</v>
      </c>
      <c r="N495" s="125">
        <v>819.93100000000004</v>
      </c>
      <c r="O495" s="127">
        <v>5540</v>
      </c>
      <c r="P495" s="125">
        <v>821.07299999999998</v>
      </c>
      <c r="Q495" s="127">
        <v>5560</v>
      </c>
      <c r="R495" s="125">
        <v>820.67</v>
      </c>
      <c r="S495" s="127">
        <v>5560</v>
      </c>
      <c r="T495" s="125">
        <v>821.28200000000004</v>
      </c>
      <c r="U495" s="127">
        <v>5550</v>
      </c>
      <c r="V495" s="124">
        <v>820.35299999999995</v>
      </c>
      <c r="W495" s="127">
        <v>5560</v>
      </c>
      <c r="X495" s="125">
        <v>820.01300000000003</v>
      </c>
      <c r="Y495" s="127">
        <v>5560</v>
      </c>
      <c r="Z495" s="125">
        <v>818.45799999999997</v>
      </c>
      <c r="AA495" s="127">
        <v>5560</v>
      </c>
      <c r="AB495" s="125">
        <v>818.46</v>
      </c>
      <c r="AC495" s="127">
        <v>5550</v>
      </c>
      <c r="AD495" s="125">
        <v>742.38099999999997</v>
      </c>
      <c r="AE495" s="127">
        <v>5560</v>
      </c>
      <c r="AF495" s="125">
        <v>743.83399999999995</v>
      </c>
      <c r="AG495" s="127">
        <v>5540</v>
      </c>
      <c r="AH495" s="125">
        <v>199.614</v>
      </c>
      <c r="AI495" s="127">
        <v>5540</v>
      </c>
      <c r="AJ495" s="125">
        <v>209.273</v>
      </c>
    </row>
    <row r="496" spans="1:36" ht="14.25">
      <c r="A496" s="128">
        <v>5570</v>
      </c>
      <c r="B496" s="124">
        <v>426.096</v>
      </c>
      <c r="C496" s="128">
        <v>5580</v>
      </c>
      <c r="D496" s="125">
        <v>422.96</v>
      </c>
      <c r="E496" s="126">
        <v>5570</v>
      </c>
      <c r="F496" s="125">
        <v>939.09400000000005</v>
      </c>
      <c r="G496" s="127">
        <v>5570</v>
      </c>
      <c r="H496" s="125">
        <v>938.74900000000002</v>
      </c>
      <c r="I496" s="127">
        <v>5570</v>
      </c>
      <c r="J496" s="125">
        <v>818.89099999999996</v>
      </c>
      <c r="K496" s="127">
        <v>5570</v>
      </c>
      <c r="L496" s="125">
        <v>818.52</v>
      </c>
      <c r="M496" s="127">
        <v>5570</v>
      </c>
      <c r="N496" s="125">
        <v>818.71799999999996</v>
      </c>
      <c r="O496" s="127">
        <v>5550</v>
      </c>
      <c r="P496" s="125">
        <v>819.86</v>
      </c>
      <c r="Q496" s="127">
        <v>5570</v>
      </c>
      <c r="R496" s="125">
        <v>819.45799999999997</v>
      </c>
      <c r="S496" s="127">
        <v>5570</v>
      </c>
      <c r="T496" s="125">
        <v>820.07</v>
      </c>
      <c r="U496" s="127">
        <v>5560</v>
      </c>
      <c r="V496" s="124">
        <v>819.14300000000003</v>
      </c>
      <c r="W496" s="127">
        <v>5570</v>
      </c>
      <c r="X496" s="125">
        <v>818.80200000000002</v>
      </c>
      <c r="Y496" s="127">
        <v>5570</v>
      </c>
      <c r="Z496" s="125">
        <v>817.24699999999996</v>
      </c>
      <c r="AA496" s="127">
        <v>5570</v>
      </c>
      <c r="AB496" s="125">
        <v>817.25</v>
      </c>
      <c r="AC496" s="127">
        <v>5560</v>
      </c>
      <c r="AD496" s="125">
        <v>741.17100000000005</v>
      </c>
      <c r="AE496" s="127">
        <v>5570</v>
      </c>
      <c r="AF496" s="125">
        <v>742.62400000000002</v>
      </c>
      <c r="AG496" s="127">
        <v>5550</v>
      </c>
      <c r="AH496" s="125">
        <v>199.22300000000001</v>
      </c>
      <c r="AI496" s="127">
        <v>5550</v>
      </c>
      <c r="AJ496" s="125">
        <v>208.86699999999999</v>
      </c>
    </row>
    <row r="497" spans="1:36" ht="14.25">
      <c r="A497" s="128">
        <v>5580</v>
      </c>
      <c r="B497" s="124">
        <v>425.32</v>
      </c>
      <c r="C497" s="128">
        <v>5590</v>
      </c>
      <c r="D497" s="125">
        <v>422.19</v>
      </c>
      <c r="E497" s="126">
        <v>5580</v>
      </c>
      <c r="F497" s="125">
        <v>937.60400000000004</v>
      </c>
      <c r="G497" s="127">
        <v>5580</v>
      </c>
      <c r="H497" s="125">
        <v>937.26199999999994</v>
      </c>
      <c r="I497" s="127">
        <v>5580</v>
      </c>
      <c r="J497" s="125">
        <v>817.678</v>
      </c>
      <c r="K497" s="127">
        <v>5580</v>
      </c>
      <c r="L497" s="125">
        <v>817.30700000000002</v>
      </c>
      <c r="M497" s="127">
        <v>5580</v>
      </c>
      <c r="N497" s="125">
        <v>817.505</v>
      </c>
      <c r="O497" s="127">
        <v>5560</v>
      </c>
      <c r="P497" s="125">
        <v>818.64700000000005</v>
      </c>
      <c r="Q497" s="127">
        <v>5580</v>
      </c>
      <c r="R497" s="125">
        <v>818.245</v>
      </c>
      <c r="S497" s="127">
        <v>5580</v>
      </c>
      <c r="T497" s="125">
        <v>818.85799999999995</v>
      </c>
      <c r="U497" s="127">
        <v>5570</v>
      </c>
      <c r="V497" s="124">
        <v>817.93299999999999</v>
      </c>
      <c r="W497" s="127">
        <v>5580</v>
      </c>
      <c r="X497" s="125">
        <v>817.59199999999998</v>
      </c>
      <c r="Y497" s="127">
        <v>5580</v>
      </c>
      <c r="Z497" s="125">
        <v>816.03599999999994</v>
      </c>
      <c r="AA497" s="127">
        <v>5580</v>
      </c>
      <c r="AB497" s="125">
        <v>816.04</v>
      </c>
      <c r="AC497" s="127">
        <v>5570</v>
      </c>
      <c r="AD497" s="125">
        <v>739.96</v>
      </c>
      <c r="AE497" s="127">
        <v>5580</v>
      </c>
      <c r="AF497" s="125">
        <v>741.41399999999999</v>
      </c>
      <c r="AG497" s="127">
        <v>5560</v>
      </c>
      <c r="AH497" s="125">
        <v>198.83099999999999</v>
      </c>
      <c r="AI497" s="127">
        <v>5560</v>
      </c>
      <c r="AJ497" s="125">
        <v>208.46199999999999</v>
      </c>
    </row>
    <row r="498" spans="1:36" ht="14.25">
      <c r="A498" s="128">
        <v>5590</v>
      </c>
      <c r="B498" s="124">
        <v>424.54399999999998</v>
      </c>
      <c r="C498" s="128">
        <v>5600</v>
      </c>
      <c r="D498" s="125">
        <v>421.41899999999998</v>
      </c>
      <c r="E498" s="126">
        <v>5590</v>
      </c>
      <c r="F498" s="125">
        <v>936.11500000000001</v>
      </c>
      <c r="G498" s="127">
        <v>5590</v>
      </c>
      <c r="H498" s="125">
        <v>935.77499999999998</v>
      </c>
      <c r="I498" s="127">
        <v>5590</v>
      </c>
      <c r="J498" s="125">
        <v>816.46500000000003</v>
      </c>
      <c r="K498" s="127">
        <v>5590</v>
      </c>
      <c r="L498" s="125">
        <v>816.09299999999996</v>
      </c>
      <c r="M498" s="127">
        <v>5590</v>
      </c>
      <c r="N498" s="125">
        <v>816.29300000000001</v>
      </c>
      <c r="O498" s="127">
        <v>5570</v>
      </c>
      <c r="P498" s="125">
        <v>817.43399999999997</v>
      </c>
      <c r="Q498" s="127">
        <v>5590</v>
      </c>
      <c r="R498" s="125">
        <v>817.03200000000004</v>
      </c>
      <c r="S498" s="127">
        <v>5590</v>
      </c>
      <c r="T498" s="125">
        <v>817.64599999999996</v>
      </c>
      <c r="U498" s="127">
        <v>5580</v>
      </c>
      <c r="V498" s="124">
        <v>816.72400000000005</v>
      </c>
      <c r="W498" s="127">
        <v>5590</v>
      </c>
      <c r="X498" s="125">
        <v>816.38099999999997</v>
      </c>
      <c r="Y498" s="127">
        <v>5590</v>
      </c>
      <c r="Z498" s="125">
        <v>814.82399999999996</v>
      </c>
      <c r="AA498" s="127">
        <v>5590</v>
      </c>
      <c r="AB498" s="125">
        <v>814.83</v>
      </c>
      <c r="AC498" s="127">
        <v>5580</v>
      </c>
      <c r="AD498" s="125">
        <v>738.74900000000002</v>
      </c>
      <c r="AE498" s="127">
        <v>5590</v>
      </c>
      <c r="AF498" s="125">
        <v>740.20399999999995</v>
      </c>
      <c r="AG498" s="127">
        <v>5570</v>
      </c>
      <c r="AH498" s="125">
        <v>198.43899999999999</v>
      </c>
      <c r="AI498" s="127">
        <v>5570</v>
      </c>
      <c r="AJ498" s="125">
        <v>208.05600000000001</v>
      </c>
    </row>
    <row r="499" spans="1:36" ht="14.25">
      <c r="A499" s="128">
        <v>5600</v>
      </c>
      <c r="B499" s="124">
        <v>423.76900000000001</v>
      </c>
      <c r="C499" s="128">
        <v>5610</v>
      </c>
      <c r="D499" s="125">
        <v>420.649</v>
      </c>
      <c r="E499" s="126">
        <v>5600</v>
      </c>
      <c r="F499" s="125">
        <v>934.625</v>
      </c>
      <c r="G499" s="127">
        <v>5600</v>
      </c>
      <c r="H499" s="125">
        <v>934.28899999999999</v>
      </c>
      <c r="I499" s="127">
        <v>5600</v>
      </c>
      <c r="J499" s="125">
        <v>815.25199999999995</v>
      </c>
      <c r="K499" s="127">
        <v>5600</v>
      </c>
      <c r="L499" s="125">
        <v>814.87900000000002</v>
      </c>
      <c r="M499" s="127">
        <v>5600</v>
      </c>
      <c r="N499" s="125">
        <v>815.08</v>
      </c>
      <c r="O499" s="127">
        <v>5580</v>
      </c>
      <c r="P499" s="125">
        <v>816.221</v>
      </c>
      <c r="Q499" s="127">
        <v>5600</v>
      </c>
      <c r="R499" s="125">
        <v>815.81899999999996</v>
      </c>
      <c r="S499" s="127">
        <v>5600</v>
      </c>
      <c r="T499" s="125">
        <v>816.43299999999999</v>
      </c>
      <c r="U499" s="127">
        <v>5590</v>
      </c>
      <c r="V499" s="124">
        <v>815.51400000000001</v>
      </c>
      <c r="W499" s="127">
        <v>5600</v>
      </c>
      <c r="X499" s="125">
        <v>815.17</v>
      </c>
      <c r="Y499" s="127">
        <v>5600</v>
      </c>
      <c r="Z499" s="125">
        <v>813.61300000000006</v>
      </c>
      <c r="AA499" s="127">
        <v>5600</v>
      </c>
      <c r="AB499" s="125">
        <v>813.62</v>
      </c>
      <c r="AC499" s="127">
        <v>5590</v>
      </c>
      <c r="AD499" s="125">
        <v>737.53800000000001</v>
      </c>
      <c r="AE499" s="127">
        <v>5600</v>
      </c>
      <c r="AF499" s="125">
        <v>738.995</v>
      </c>
      <c r="AG499" s="127">
        <v>5580</v>
      </c>
      <c r="AH499" s="125">
        <v>198.048</v>
      </c>
      <c r="AI499" s="127">
        <v>5580</v>
      </c>
      <c r="AJ499" s="125">
        <v>207.65</v>
      </c>
    </row>
    <row r="500" spans="1:36" ht="14.25">
      <c r="A500" s="128">
        <v>5610</v>
      </c>
      <c r="B500" s="124">
        <v>422.99299999999999</v>
      </c>
      <c r="C500" s="128">
        <v>5620</v>
      </c>
      <c r="D500" s="125">
        <v>419.87799999999999</v>
      </c>
      <c r="E500" s="126">
        <v>5610</v>
      </c>
      <c r="F500" s="125">
        <v>933.13499999999999</v>
      </c>
      <c r="G500" s="127">
        <v>5610</v>
      </c>
      <c r="H500" s="125">
        <v>932.803</v>
      </c>
      <c r="I500" s="127">
        <v>5610</v>
      </c>
      <c r="J500" s="125">
        <v>814.04</v>
      </c>
      <c r="K500" s="127">
        <v>5610</v>
      </c>
      <c r="L500" s="125">
        <v>813.66600000000005</v>
      </c>
      <c r="M500" s="127">
        <v>5610</v>
      </c>
      <c r="N500" s="125">
        <v>813.86699999999996</v>
      </c>
      <c r="O500" s="127">
        <v>5590</v>
      </c>
      <c r="P500" s="125">
        <v>815.00900000000001</v>
      </c>
      <c r="Q500" s="127">
        <v>5610</v>
      </c>
      <c r="R500" s="125">
        <v>814.60699999999997</v>
      </c>
      <c r="S500" s="127">
        <v>5610</v>
      </c>
      <c r="T500" s="125">
        <v>815.221</v>
      </c>
      <c r="U500" s="127">
        <v>5600</v>
      </c>
      <c r="V500" s="124">
        <v>814.30399999999997</v>
      </c>
      <c r="W500" s="127">
        <v>5610</v>
      </c>
      <c r="X500" s="125">
        <v>813.95899999999995</v>
      </c>
      <c r="Y500" s="127">
        <v>5610</v>
      </c>
      <c r="Z500" s="125">
        <v>812.40200000000004</v>
      </c>
      <c r="AA500" s="127">
        <v>5610</v>
      </c>
      <c r="AB500" s="125">
        <v>812.41</v>
      </c>
      <c r="AC500" s="127">
        <v>5600</v>
      </c>
      <c r="AD500" s="125">
        <v>736.32799999999997</v>
      </c>
      <c r="AE500" s="127">
        <v>5610</v>
      </c>
      <c r="AF500" s="125">
        <v>737.78499999999997</v>
      </c>
      <c r="AG500" s="127">
        <v>5590</v>
      </c>
      <c r="AH500" s="125">
        <v>197.65600000000001</v>
      </c>
      <c r="AI500" s="127">
        <v>5590</v>
      </c>
      <c r="AJ500" s="125">
        <v>207.245</v>
      </c>
    </row>
    <row r="501" spans="1:36" ht="14.25">
      <c r="A501" s="128">
        <v>5620</v>
      </c>
      <c r="B501" s="124">
        <v>422.21800000000002</v>
      </c>
      <c r="C501" s="128">
        <v>5630</v>
      </c>
      <c r="D501" s="125">
        <v>419.108</v>
      </c>
      <c r="E501" s="126">
        <v>5620</v>
      </c>
      <c r="F501" s="125">
        <v>931.64599999999996</v>
      </c>
      <c r="G501" s="127">
        <v>5620</v>
      </c>
      <c r="H501" s="125">
        <v>931.31600000000003</v>
      </c>
      <c r="I501" s="127">
        <v>5620</v>
      </c>
      <c r="J501" s="125">
        <v>812.827</v>
      </c>
      <c r="K501" s="127">
        <v>5620</v>
      </c>
      <c r="L501" s="125">
        <v>812.452</v>
      </c>
      <c r="M501" s="127">
        <v>5620</v>
      </c>
      <c r="N501" s="125">
        <v>812.65499999999997</v>
      </c>
      <c r="O501" s="127">
        <v>5600</v>
      </c>
      <c r="P501" s="125">
        <v>813.79600000000005</v>
      </c>
      <c r="Q501" s="127">
        <v>5620</v>
      </c>
      <c r="R501" s="125">
        <v>813.39400000000001</v>
      </c>
      <c r="S501" s="127">
        <v>5620</v>
      </c>
      <c r="T501" s="125">
        <v>814.00900000000001</v>
      </c>
      <c r="U501" s="127">
        <v>5610</v>
      </c>
      <c r="V501" s="124">
        <v>813.09400000000005</v>
      </c>
      <c r="W501" s="127">
        <v>5620</v>
      </c>
      <c r="X501" s="125">
        <v>812.74800000000005</v>
      </c>
      <c r="Y501" s="127">
        <v>5620</v>
      </c>
      <c r="Z501" s="125">
        <v>811.19</v>
      </c>
      <c r="AA501" s="127">
        <v>5620</v>
      </c>
      <c r="AB501" s="125">
        <v>811.2</v>
      </c>
      <c r="AC501" s="127">
        <v>5610</v>
      </c>
      <c r="AD501" s="125">
        <v>735.11699999999996</v>
      </c>
      <c r="AE501" s="127">
        <v>5620</v>
      </c>
      <c r="AF501" s="125">
        <v>736.57500000000005</v>
      </c>
      <c r="AG501" s="127">
        <v>5600</v>
      </c>
      <c r="AH501" s="125">
        <v>197.26499999999999</v>
      </c>
      <c r="AI501" s="127">
        <v>5600</v>
      </c>
      <c r="AJ501" s="125">
        <v>206.839</v>
      </c>
    </row>
    <row r="502" spans="1:36" ht="14.25">
      <c r="A502" s="128">
        <v>5630</v>
      </c>
      <c r="B502" s="124">
        <v>421.44200000000001</v>
      </c>
      <c r="C502" s="128">
        <v>5640</v>
      </c>
      <c r="D502" s="125">
        <v>418.33800000000002</v>
      </c>
      <c r="E502" s="126">
        <v>5630</v>
      </c>
      <c r="F502" s="125">
        <v>930.15700000000004</v>
      </c>
      <c r="G502" s="127">
        <v>5630</v>
      </c>
      <c r="H502" s="125">
        <v>929.83</v>
      </c>
      <c r="I502" s="127">
        <v>5630</v>
      </c>
      <c r="J502" s="125">
        <v>811.61400000000003</v>
      </c>
      <c r="K502" s="127">
        <v>5630</v>
      </c>
      <c r="L502" s="125">
        <v>811.23800000000006</v>
      </c>
      <c r="M502" s="127">
        <v>5630</v>
      </c>
      <c r="N502" s="125">
        <v>811.44200000000001</v>
      </c>
      <c r="O502" s="127">
        <v>5610</v>
      </c>
      <c r="P502" s="125">
        <v>812.58299999999997</v>
      </c>
      <c r="Q502" s="127">
        <v>5630</v>
      </c>
      <c r="R502" s="125">
        <v>812.18100000000004</v>
      </c>
      <c r="S502" s="127">
        <v>5630</v>
      </c>
      <c r="T502" s="125">
        <v>812.79700000000003</v>
      </c>
      <c r="U502" s="127">
        <v>5620</v>
      </c>
      <c r="V502" s="124">
        <v>811.88400000000001</v>
      </c>
      <c r="W502" s="127">
        <v>5630</v>
      </c>
      <c r="X502" s="125">
        <v>811.53700000000003</v>
      </c>
      <c r="Y502" s="127">
        <v>5630</v>
      </c>
      <c r="Z502" s="125">
        <v>809.97900000000004</v>
      </c>
      <c r="AA502" s="127">
        <v>5630</v>
      </c>
      <c r="AB502" s="125">
        <v>809.99</v>
      </c>
      <c r="AC502" s="127">
        <v>5620</v>
      </c>
      <c r="AD502" s="125">
        <v>733.90599999999995</v>
      </c>
      <c r="AE502" s="127">
        <v>5630</v>
      </c>
      <c r="AF502" s="125">
        <v>735.36599999999999</v>
      </c>
      <c r="AG502" s="127">
        <v>5610</v>
      </c>
      <c r="AH502" s="125">
        <v>196.87299999999999</v>
      </c>
      <c r="AI502" s="127">
        <v>5610</v>
      </c>
      <c r="AJ502" s="125">
        <v>206.434</v>
      </c>
    </row>
    <row r="503" spans="1:36" ht="14.25">
      <c r="A503" s="128">
        <v>5640</v>
      </c>
      <c r="B503" s="124">
        <v>420.66699999999997</v>
      </c>
      <c r="C503" s="128">
        <v>5650</v>
      </c>
      <c r="D503" s="125">
        <v>417.56900000000002</v>
      </c>
      <c r="E503" s="126">
        <v>5640</v>
      </c>
      <c r="F503" s="125">
        <v>928.66800000000001</v>
      </c>
      <c r="G503" s="127">
        <v>5640</v>
      </c>
      <c r="H503" s="125">
        <v>928.34400000000005</v>
      </c>
      <c r="I503" s="127">
        <v>5640</v>
      </c>
      <c r="J503" s="125">
        <v>810.40099999999995</v>
      </c>
      <c r="K503" s="127">
        <v>5640</v>
      </c>
      <c r="L503" s="125">
        <v>810.02499999999998</v>
      </c>
      <c r="M503" s="127">
        <v>5640</v>
      </c>
      <c r="N503" s="125">
        <v>810.22900000000004</v>
      </c>
      <c r="O503" s="127">
        <v>5620</v>
      </c>
      <c r="P503" s="125">
        <v>811.37</v>
      </c>
      <c r="Q503" s="127">
        <v>5640</v>
      </c>
      <c r="R503" s="125">
        <v>810.96799999999996</v>
      </c>
      <c r="S503" s="127">
        <v>5640</v>
      </c>
      <c r="T503" s="125">
        <v>811.58399999999995</v>
      </c>
      <c r="U503" s="127">
        <v>5630</v>
      </c>
      <c r="V503" s="124">
        <v>810.67399999999998</v>
      </c>
      <c r="W503" s="127">
        <v>5640</v>
      </c>
      <c r="X503" s="125">
        <v>810.327</v>
      </c>
      <c r="Y503" s="127">
        <v>5640</v>
      </c>
      <c r="Z503" s="125">
        <v>808.76800000000003</v>
      </c>
      <c r="AA503" s="127">
        <v>5640</v>
      </c>
      <c r="AB503" s="125">
        <v>808.78</v>
      </c>
      <c r="AC503" s="127">
        <v>5630</v>
      </c>
      <c r="AD503" s="125">
        <v>732.69500000000005</v>
      </c>
      <c r="AE503" s="127">
        <v>5640</v>
      </c>
      <c r="AF503" s="125">
        <v>734.15599999999995</v>
      </c>
      <c r="AG503" s="127">
        <v>5620</v>
      </c>
      <c r="AH503" s="125">
        <v>196.482</v>
      </c>
      <c r="AI503" s="127">
        <v>5620</v>
      </c>
      <c r="AJ503" s="125">
        <v>206.02799999999999</v>
      </c>
    </row>
    <row r="504" spans="1:36" ht="14.25">
      <c r="A504" s="128">
        <v>5650</v>
      </c>
      <c r="B504" s="124">
        <v>419.892</v>
      </c>
      <c r="C504" s="128">
        <v>5660</v>
      </c>
      <c r="D504" s="125">
        <v>416.79899999999998</v>
      </c>
      <c r="E504" s="126">
        <v>5650</v>
      </c>
      <c r="F504" s="125">
        <v>927.17899999999997</v>
      </c>
      <c r="G504" s="127">
        <v>5650</v>
      </c>
      <c r="H504" s="125">
        <v>926.85799999999995</v>
      </c>
      <c r="I504" s="127">
        <v>5650</v>
      </c>
      <c r="J504" s="125">
        <v>809.18799999999999</v>
      </c>
      <c r="K504" s="127">
        <v>5650</v>
      </c>
      <c r="L504" s="125">
        <v>808.81100000000004</v>
      </c>
      <c r="M504" s="127">
        <v>5650</v>
      </c>
      <c r="N504" s="125">
        <v>809.01700000000005</v>
      </c>
      <c r="O504" s="127">
        <v>5630</v>
      </c>
      <c r="P504" s="125">
        <v>810.15700000000004</v>
      </c>
      <c r="Q504" s="127">
        <v>5650</v>
      </c>
      <c r="R504" s="125">
        <v>809.75599999999997</v>
      </c>
      <c r="S504" s="127">
        <v>5650</v>
      </c>
      <c r="T504" s="125">
        <v>810.37199999999996</v>
      </c>
      <c r="U504" s="127">
        <v>5640</v>
      </c>
      <c r="V504" s="124">
        <v>809.46400000000006</v>
      </c>
      <c r="W504" s="127">
        <v>5650</v>
      </c>
      <c r="X504" s="125">
        <v>809.11599999999999</v>
      </c>
      <c r="Y504" s="127">
        <v>5650</v>
      </c>
      <c r="Z504" s="125">
        <v>807.55600000000004</v>
      </c>
      <c r="AA504" s="127">
        <v>5650</v>
      </c>
      <c r="AB504" s="125">
        <v>807.57100000000003</v>
      </c>
      <c r="AC504" s="127">
        <v>5640</v>
      </c>
      <c r="AD504" s="125">
        <v>731.48500000000001</v>
      </c>
      <c r="AE504" s="127">
        <v>5650</v>
      </c>
      <c r="AF504" s="125">
        <v>732.94600000000003</v>
      </c>
      <c r="AG504" s="127">
        <v>5630</v>
      </c>
      <c r="AH504" s="125">
        <v>196.09100000000001</v>
      </c>
      <c r="AI504" s="127">
        <v>5630</v>
      </c>
      <c r="AJ504" s="125">
        <v>205.62299999999999</v>
      </c>
    </row>
    <row r="505" spans="1:36" ht="14.25">
      <c r="A505" s="128">
        <v>5660</v>
      </c>
      <c r="B505" s="124">
        <v>419.11799999999999</v>
      </c>
      <c r="C505" s="128">
        <v>5670</v>
      </c>
      <c r="D505" s="125">
        <v>416.03</v>
      </c>
      <c r="E505" s="126">
        <v>5660</v>
      </c>
      <c r="F505" s="125">
        <v>925.69</v>
      </c>
      <c r="G505" s="127">
        <v>5660</v>
      </c>
      <c r="H505" s="125">
        <v>925.37199999999996</v>
      </c>
      <c r="I505" s="127">
        <v>5660</v>
      </c>
      <c r="J505" s="125">
        <v>807.97500000000002</v>
      </c>
      <c r="K505" s="127">
        <v>5660</v>
      </c>
      <c r="L505" s="125">
        <v>807.59699999999998</v>
      </c>
      <c r="M505" s="127">
        <v>5660</v>
      </c>
      <c r="N505" s="125">
        <v>807.80399999999997</v>
      </c>
      <c r="O505" s="127">
        <v>5640</v>
      </c>
      <c r="P505" s="125">
        <v>808.94399999999996</v>
      </c>
      <c r="Q505" s="127">
        <v>5660</v>
      </c>
      <c r="R505" s="125">
        <v>808.54300000000001</v>
      </c>
      <c r="S505" s="127">
        <v>5660</v>
      </c>
      <c r="T505" s="125">
        <v>809.16</v>
      </c>
      <c r="U505" s="127">
        <v>5650</v>
      </c>
      <c r="V505" s="124">
        <v>808.25400000000002</v>
      </c>
      <c r="W505" s="127">
        <v>5660</v>
      </c>
      <c r="X505" s="125">
        <v>807.90499999999997</v>
      </c>
      <c r="Y505" s="127">
        <v>5660</v>
      </c>
      <c r="Z505" s="125">
        <v>806.34500000000003</v>
      </c>
      <c r="AA505" s="127">
        <v>5660</v>
      </c>
      <c r="AB505" s="133">
        <v>806.36099999999999</v>
      </c>
      <c r="AC505" s="127">
        <v>5650</v>
      </c>
      <c r="AD505" s="125">
        <v>730.274</v>
      </c>
      <c r="AE505" s="127">
        <v>5660</v>
      </c>
      <c r="AF505" s="125">
        <v>731.73599999999999</v>
      </c>
      <c r="AG505" s="127">
        <v>5640</v>
      </c>
      <c r="AH505" s="125">
        <v>195.7</v>
      </c>
      <c r="AI505" s="127">
        <v>5640</v>
      </c>
      <c r="AJ505" s="125">
        <v>205.21799999999999</v>
      </c>
    </row>
    <row r="506" spans="1:36" ht="14.25">
      <c r="A506" s="128">
        <v>5670</v>
      </c>
      <c r="B506" s="124">
        <v>418.34300000000002</v>
      </c>
      <c r="C506" s="128">
        <v>5680</v>
      </c>
      <c r="D506" s="125">
        <v>415.26100000000002</v>
      </c>
      <c r="E506" s="126">
        <v>5670</v>
      </c>
      <c r="F506" s="125">
        <v>924.20100000000002</v>
      </c>
      <c r="G506" s="127">
        <v>5670</v>
      </c>
      <c r="H506" s="125">
        <v>923.88699999999994</v>
      </c>
      <c r="I506" s="127">
        <v>5670</v>
      </c>
      <c r="J506" s="125">
        <v>806.76300000000003</v>
      </c>
      <c r="K506" s="127">
        <v>5670</v>
      </c>
      <c r="L506" s="125">
        <v>806.38400000000001</v>
      </c>
      <c r="M506" s="127">
        <v>5670</v>
      </c>
      <c r="N506" s="125">
        <v>806.59100000000001</v>
      </c>
      <c r="O506" s="127">
        <v>5650</v>
      </c>
      <c r="P506" s="125">
        <v>807.73099999999999</v>
      </c>
      <c r="Q506" s="127">
        <v>5670</v>
      </c>
      <c r="R506" s="125">
        <v>807.33</v>
      </c>
      <c r="S506" s="127">
        <v>5670</v>
      </c>
      <c r="T506" s="125">
        <v>807.94799999999998</v>
      </c>
      <c r="U506" s="127">
        <v>5660</v>
      </c>
      <c r="V506" s="124">
        <v>807.04399999999998</v>
      </c>
      <c r="W506" s="127">
        <v>5670</v>
      </c>
      <c r="X506" s="125">
        <v>806.69399999999996</v>
      </c>
      <c r="Y506" s="127">
        <v>5670</v>
      </c>
      <c r="Z506" s="125">
        <v>805.13400000000001</v>
      </c>
      <c r="AA506" s="127">
        <v>5670</v>
      </c>
      <c r="AB506" s="125">
        <v>805.15099999999995</v>
      </c>
      <c r="AC506" s="127">
        <v>5660</v>
      </c>
      <c r="AD506" s="125">
        <v>729.06299999999999</v>
      </c>
      <c r="AE506" s="127">
        <v>5670</v>
      </c>
      <c r="AF506" s="125">
        <v>730.52700000000004</v>
      </c>
      <c r="AG506" s="127">
        <v>5650</v>
      </c>
      <c r="AH506" s="125">
        <v>195.30799999999999</v>
      </c>
      <c r="AI506" s="127">
        <v>5650</v>
      </c>
      <c r="AJ506" s="125">
        <v>204.81200000000001</v>
      </c>
    </row>
    <row r="507" spans="1:36" ht="14.25">
      <c r="A507" s="128">
        <v>5680</v>
      </c>
      <c r="B507" s="124">
        <v>417.56900000000002</v>
      </c>
      <c r="C507" s="128">
        <v>5690</v>
      </c>
      <c r="D507" s="125">
        <v>414.49200000000002</v>
      </c>
      <c r="E507" s="126">
        <v>5680</v>
      </c>
      <c r="F507" s="125">
        <v>922.71199999999999</v>
      </c>
      <c r="G507" s="127">
        <v>5680</v>
      </c>
      <c r="H507" s="125">
        <v>922.40099999999995</v>
      </c>
      <c r="I507" s="127">
        <v>5680</v>
      </c>
      <c r="J507" s="125">
        <v>805.55</v>
      </c>
      <c r="K507" s="127">
        <v>5680</v>
      </c>
      <c r="L507" s="125">
        <v>805.17</v>
      </c>
      <c r="M507" s="127">
        <v>5680</v>
      </c>
      <c r="N507" s="125">
        <v>805.37900000000002</v>
      </c>
      <c r="O507" s="127">
        <v>5660</v>
      </c>
      <c r="P507" s="125">
        <v>806.51800000000003</v>
      </c>
      <c r="Q507" s="127">
        <v>5680</v>
      </c>
      <c r="R507" s="125">
        <v>806.11699999999996</v>
      </c>
      <c r="S507" s="127">
        <v>5680</v>
      </c>
      <c r="T507" s="125">
        <v>806.73500000000001</v>
      </c>
      <c r="U507" s="127">
        <v>5670</v>
      </c>
      <c r="V507" s="124">
        <v>805.83500000000004</v>
      </c>
      <c r="W507" s="127">
        <v>5680</v>
      </c>
      <c r="X507" s="125">
        <v>805.48299999999995</v>
      </c>
      <c r="Y507" s="127">
        <v>5680</v>
      </c>
      <c r="Z507" s="125">
        <v>803.92200000000003</v>
      </c>
      <c r="AA507" s="127">
        <v>5680</v>
      </c>
      <c r="AB507" s="125">
        <v>803.94100000000003</v>
      </c>
      <c r="AC507" s="127">
        <v>5670</v>
      </c>
      <c r="AD507" s="125">
        <v>727.85299999999995</v>
      </c>
      <c r="AE507" s="127">
        <v>5680</v>
      </c>
      <c r="AF507" s="125">
        <v>729.31700000000001</v>
      </c>
      <c r="AG507" s="127">
        <v>5660</v>
      </c>
      <c r="AH507" s="125">
        <v>194.917</v>
      </c>
      <c r="AI507" s="127">
        <v>5660</v>
      </c>
      <c r="AJ507" s="125">
        <v>204.40700000000001</v>
      </c>
    </row>
    <row r="508" spans="1:36" ht="14.25">
      <c r="A508" s="128">
        <v>5690</v>
      </c>
      <c r="B508" s="124">
        <v>416.79500000000002</v>
      </c>
      <c r="C508" s="128">
        <v>5700</v>
      </c>
      <c r="D508" s="125">
        <v>413.72300000000001</v>
      </c>
      <c r="E508" s="126">
        <v>5690</v>
      </c>
      <c r="F508" s="125">
        <v>921.22400000000005</v>
      </c>
      <c r="G508" s="127">
        <v>5690</v>
      </c>
      <c r="H508" s="125">
        <v>920.91600000000005</v>
      </c>
      <c r="I508" s="127">
        <v>5690</v>
      </c>
      <c r="J508" s="125">
        <v>804.33699999999999</v>
      </c>
      <c r="K508" s="127">
        <v>5690</v>
      </c>
      <c r="L508" s="125">
        <v>803.95600000000002</v>
      </c>
      <c r="M508" s="127">
        <v>5690</v>
      </c>
      <c r="N508" s="125">
        <v>804.16600000000005</v>
      </c>
      <c r="O508" s="127">
        <v>5670</v>
      </c>
      <c r="P508" s="125">
        <v>805.30499999999995</v>
      </c>
      <c r="Q508" s="127">
        <v>5690</v>
      </c>
      <c r="R508" s="125">
        <v>804.90499999999997</v>
      </c>
      <c r="S508" s="127">
        <v>5690</v>
      </c>
      <c r="T508" s="125">
        <v>805.52300000000002</v>
      </c>
      <c r="U508" s="127">
        <v>5680</v>
      </c>
      <c r="V508" s="124">
        <v>804.625</v>
      </c>
      <c r="W508" s="127">
        <v>5690</v>
      </c>
      <c r="X508" s="125">
        <v>804.27200000000005</v>
      </c>
      <c r="Y508" s="127">
        <v>5690</v>
      </c>
      <c r="Z508" s="125">
        <v>802.71100000000001</v>
      </c>
      <c r="AA508" s="127">
        <v>5690</v>
      </c>
      <c r="AB508" s="125">
        <v>802.73099999999999</v>
      </c>
      <c r="AC508" s="127">
        <v>5680</v>
      </c>
      <c r="AD508" s="125">
        <v>726.64200000000005</v>
      </c>
      <c r="AE508" s="127">
        <v>5690</v>
      </c>
      <c r="AF508" s="125">
        <v>728.10699999999997</v>
      </c>
      <c r="AG508" s="127">
        <v>5670</v>
      </c>
      <c r="AH508" s="125">
        <v>194.52600000000001</v>
      </c>
      <c r="AI508" s="127">
        <v>5670</v>
      </c>
      <c r="AJ508" s="125">
        <v>204.00200000000001</v>
      </c>
    </row>
    <row r="509" spans="1:36" ht="14.25">
      <c r="A509" s="128">
        <v>5700</v>
      </c>
      <c r="B509" s="124">
        <v>416.02100000000002</v>
      </c>
      <c r="C509" s="128">
        <v>5710</v>
      </c>
      <c r="D509" s="125">
        <v>412.95400000000001</v>
      </c>
      <c r="E509" s="126">
        <v>5700</v>
      </c>
      <c r="F509" s="125">
        <v>919.73500000000001</v>
      </c>
      <c r="G509" s="127">
        <v>5700</v>
      </c>
      <c r="H509" s="125">
        <v>919.43</v>
      </c>
      <c r="I509" s="127">
        <v>5700</v>
      </c>
      <c r="J509" s="125">
        <v>803.12400000000002</v>
      </c>
      <c r="K509" s="127">
        <v>5700</v>
      </c>
      <c r="L509" s="125">
        <v>802.74300000000005</v>
      </c>
      <c r="M509" s="127">
        <v>5700</v>
      </c>
      <c r="N509" s="125">
        <v>802.95399999999995</v>
      </c>
      <c r="O509" s="127">
        <v>5680</v>
      </c>
      <c r="P509" s="125">
        <v>804.09199999999998</v>
      </c>
      <c r="Q509" s="127">
        <v>5700</v>
      </c>
      <c r="R509" s="125">
        <v>803.69200000000001</v>
      </c>
      <c r="S509" s="127">
        <v>5700</v>
      </c>
      <c r="T509" s="125">
        <v>804.31100000000004</v>
      </c>
      <c r="U509" s="127">
        <v>5690</v>
      </c>
      <c r="V509" s="124">
        <v>803.41499999999996</v>
      </c>
      <c r="W509" s="127">
        <v>5700</v>
      </c>
      <c r="X509" s="125">
        <v>803.06200000000001</v>
      </c>
      <c r="Y509" s="127">
        <v>5700</v>
      </c>
      <c r="Z509" s="125">
        <v>801.5</v>
      </c>
      <c r="AA509" s="127">
        <v>5700</v>
      </c>
      <c r="AB509" s="125">
        <v>801.52099999999996</v>
      </c>
      <c r="AC509" s="127">
        <v>5690</v>
      </c>
      <c r="AD509" s="125">
        <v>725.43100000000004</v>
      </c>
      <c r="AE509" s="127">
        <v>5700</v>
      </c>
      <c r="AF509" s="125">
        <v>726.89700000000005</v>
      </c>
      <c r="AG509" s="127">
        <v>5680</v>
      </c>
      <c r="AH509" s="125">
        <v>194.136</v>
      </c>
      <c r="AI509" s="127">
        <v>5680</v>
      </c>
      <c r="AJ509" s="125">
        <v>203.59700000000001</v>
      </c>
    </row>
    <row r="510" spans="1:36" ht="14.25">
      <c r="A510" s="128">
        <v>5710</v>
      </c>
      <c r="B510" s="124">
        <v>415.24700000000001</v>
      </c>
      <c r="C510" s="128">
        <v>5720</v>
      </c>
      <c r="D510" s="125">
        <v>412.18599999999998</v>
      </c>
      <c r="E510" s="126">
        <v>5710</v>
      </c>
      <c r="F510" s="125">
        <v>918.24699999999996</v>
      </c>
      <c r="G510" s="127">
        <v>5710</v>
      </c>
      <c r="H510" s="125">
        <v>917.94500000000005</v>
      </c>
      <c r="I510" s="127">
        <v>5710</v>
      </c>
      <c r="J510" s="125">
        <v>801.91099999999994</v>
      </c>
      <c r="K510" s="127">
        <v>5710</v>
      </c>
      <c r="L510" s="125">
        <v>801.529</v>
      </c>
      <c r="M510" s="127">
        <v>5710</v>
      </c>
      <c r="N510" s="125">
        <v>801.74099999999999</v>
      </c>
      <c r="O510" s="127">
        <v>5690</v>
      </c>
      <c r="P510" s="125">
        <v>802.87900000000002</v>
      </c>
      <c r="Q510" s="127">
        <v>5710</v>
      </c>
      <c r="R510" s="125">
        <v>802.47900000000004</v>
      </c>
      <c r="S510" s="127">
        <v>5710</v>
      </c>
      <c r="T510" s="125">
        <v>803.09900000000005</v>
      </c>
      <c r="U510" s="127">
        <v>5700</v>
      </c>
      <c r="V510" s="124">
        <v>802.20500000000004</v>
      </c>
      <c r="W510" s="127">
        <v>5710</v>
      </c>
      <c r="X510" s="125">
        <v>801.851</v>
      </c>
      <c r="Y510" s="127">
        <v>5710</v>
      </c>
      <c r="Z510" s="125">
        <v>800.28800000000001</v>
      </c>
      <c r="AA510" s="127">
        <v>5710</v>
      </c>
      <c r="AB510" s="125">
        <v>800.31100000000004</v>
      </c>
      <c r="AC510" s="127">
        <v>5700</v>
      </c>
      <c r="AD510" s="125">
        <v>724.221</v>
      </c>
      <c r="AE510" s="127">
        <v>5710</v>
      </c>
      <c r="AF510" s="125">
        <v>725.68799999999999</v>
      </c>
      <c r="AG510" s="127">
        <v>5690</v>
      </c>
      <c r="AH510" s="125">
        <v>193.745</v>
      </c>
      <c r="AI510" s="127">
        <v>5690</v>
      </c>
      <c r="AJ510" s="125">
        <v>203.19200000000001</v>
      </c>
    </row>
    <row r="511" spans="1:36" ht="14.25">
      <c r="A511" s="128">
        <v>5720</v>
      </c>
      <c r="B511" s="124">
        <v>414.47399999999999</v>
      </c>
      <c r="C511" s="128">
        <v>5730</v>
      </c>
      <c r="D511" s="125">
        <v>411.41800000000001</v>
      </c>
      <c r="E511" s="126">
        <v>5720</v>
      </c>
      <c r="F511" s="125">
        <v>916.75900000000001</v>
      </c>
      <c r="G511" s="127">
        <v>5720</v>
      </c>
      <c r="H511" s="125">
        <v>916.46</v>
      </c>
      <c r="I511" s="127">
        <v>5720</v>
      </c>
      <c r="J511" s="125">
        <v>800.69899999999996</v>
      </c>
      <c r="K511" s="127">
        <v>5720</v>
      </c>
      <c r="L511" s="125">
        <v>800.31600000000003</v>
      </c>
      <c r="M511" s="127">
        <v>5720</v>
      </c>
      <c r="N511" s="125">
        <v>800.52800000000002</v>
      </c>
      <c r="O511" s="127">
        <v>5700</v>
      </c>
      <c r="P511" s="125">
        <v>801.66600000000005</v>
      </c>
      <c r="Q511" s="127">
        <v>5720</v>
      </c>
      <c r="R511" s="125">
        <v>801.26599999999996</v>
      </c>
      <c r="S511" s="127">
        <v>5720</v>
      </c>
      <c r="T511" s="125">
        <v>801.88599999999997</v>
      </c>
      <c r="U511" s="127">
        <v>5710</v>
      </c>
      <c r="V511" s="124">
        <v>800.995</v>
      </c>
      <c r="W511" s="127">
        <v>5720</v>
      </c>
      <c r="X511" s="125">
        <v>800.64</v>
      </c>
      <c r="Y511" s="127">
        <v>5720</v>
      </c>
      <c r="Z511" s="125">
        <v>799.077</v>
      </c>
      <c r="AA511" s="127">
        <v>5720</v>
      </c>
      <c r="AB511" s="125">
        <v>799.101</v>
      </c>
      <c r="AC511" s="127">
        <v>5710</v>
      </c>
      <c r="AD511" s="125">
        <v>723.01</v>
      </c>
      <c r="AE511" s="127">
        <v>5720</v>
      </c>
      <c r="AF511" s="125">
        <v>724.47799999999995</v>
      </c>
      <c r="AG511" s="127">
        <v>5700</v>
      </c>
      <c r="AH511" s="125">
        <v>193.35400000000001</v>
      </c>
      <c r="AI511" s="127">
        <v>5700</v>
      </c>
      <c r="AJ511" s="125">
        <v>202.78700000000001</v>
      </c>
    </row>
    <row r="512" spans="1:36" ht="14.25">
      <c r="A512" s="128">
        <v>5730</v>
      </c>
      <c r="B512" s="124">
        <v>413.7</v>
      </c>
      <c r="C512" s="128">
        <v>5740</v>
      </c>
      <c r="D512" s="125">
        <v>410.65</v>
      </c>
      <c r="E512" s="126">
        <v>5730</v>
      </c>
      <c r="F512" s="125">
        <v>915.27099999999996</v>
      </c>
      <c r="G512" s="127">
        <v>5730</v>
      </c>
      <c r="H512" s="125">
        <v>914.97500000000002</v>
      </c>
      <c r="I512" s="127">
        <v>5730</v>
      </c>
      <c r="J512" s="125">
        <v>799.48599999999999</v>
      </c>
      <c r="K512" s="127">
        <v>5730</v>
      </c>
      <c r="L512" s="125">
        <v>799.10199999999998</v>
      </c>
      <c r="M512" s="127">
        <v>5730</v>
      </c>
      <c r="N512" s="125">
        <v>799.31600000000003</v>
      </c>
      <c r="O512" s="127">
        <v>5710</v>
      </c>
      <c r="P512" s="125">
        <v>800.45299999999997</v>
      </c>
      <c r="Q512" s="127">
        <v>5730</v>
      </c>
      <c r="R512" s="125">
        <v>800.05399999999997</v>
      </c>
      <c r="S512" s="127">
        <v>5730</v>
      </c>
      <c r="T512" s="125">
        <v>800.67399999999998</v>
      </c>
      <c r="U512" s="127">
        <v>5720</v>
      </c>
      <c r="V512" s="124">
        <v>799.78499999999997</v>
      </c>
      <c r="W512" s="127">
        <v>5730</v>
      </c>
      <c r="X512" s="125">
        <v>799.42899999999997</v>
      </c>
      <c r="Y512" s="127">
        <v>5730</v>
      </c>
      <c r="Z512" s="125">
        <v>797.86599999999999</v>
      </c>
      <c r="AA512" s="127">
        <v>5730</v>
      </c>
      <c r="AB512" s="125">
        <v>797.89099999999996</v>
      </c>
      <c r="AC512" s="127">
        <v>5720</v>
      </c>
      <c r="AD512" s="125">
        <v>721.79899999999998</v>
      </c>
      <c r="AE512" s="127">
        <v>5730</v>
      </c>
      <c r="AF512" s="125">
        <v>723.26800000000003</v>
      </c>
      <c r="AG512" s="127">
        <v>5710</v>
      </c>
      <c r="AH512" s="125">
        <v>192.96299999999999</v>
      </c>
      <c r="AI512" s="127">
        <v>5710</v>
      </c>
      <c r="AJ512" s="125">
        <v>202.38200000000001</v>
      </c>
    </row>
    <row r="513" spans="1:36" ht="14.25">
      <c r="A513" s="128">
        <v>5740</v>
      </c>
      <c r="B513" s="124">
        <v>412.92700000000002</v>
      </c>
      <c r="C513" s="128">
        <v>5750</v>
      </c>
      <c r="D513" s="125">
        <v>409.88200000000001</v>
      </c>
      <c r="E513" s="126">
        <v>5740</v>
      </c>
      <c r="F513" s="125">
        <v>913.78300000000002</v>
      </c>
      <c r="G513" s="127">
        <v>5740</v>
      </c>
      <c r="H513" s="125">
        <v>913.49</v>
      </c>
      <c r="I513" s="127">
        <v>5740</v>
      </c>
      <c r="J513" s="125">
        <v>798.27300000000002</v>
      </c>
      <c r="K513" s="127">
        <v>5740</v>
      </c>
      <c r="L513" s="125">
        <v>797.88800000000003</v>
      </c>
      <c r="M513" s="127">
        <v>5740</v>
      </c>
      <c r="N513" s="125">
        <v>798.10299999999995</v>
      </c>
      <c r="O513" s="127">
        <v>5720</v>
      </c>
      <c r="P513" s="125">
        <v>799.24099999999999</v>
      </c>
      <c r="Q513" s="127">
        <v>5740</v>
      </c>
      <c r="R513" s="125">
        <v>798.84100000000001</v>
      </c>
      <c r="S513" s="127">
        <v>5740</v>
      </c>
      <c r="T513" s="125">
        <v>799.46199999999999</v>
      </c>
      <c r="U513" s="127">
        <v>5730</v>
      </c>
      <c r="V513" s="124">
        <v>798.57500000000005</v>
      </c>
      <c r="W513" s="127">
        <v>5740</v>
      </c>
      <c r="X513" s="125">
        <v>798.21799999999996</v>
      </c>
      <c r="Y513" s="127">
        <v>5740</v>
      </c>
      <c r="Z513" s="125">
        <v>796.654</v>
      </c>
      <c r="AA513" s="127">
        <v>5740</v>
      </c>
      <c r="AB513" s="125">
        <v>796.68100000000004</v>
      </c>
      <c r="AC513" s="127">
        <v>5730</v>
      </c>
      <c r="AD513" s="125">
        <v>720.58799999999997</v>
      </c>
      <c r="AE513" s="127">
        <v>5740</v>
      </c>
      <c r="AF513" s="125">
        <v>722.05799999999999</v>
      </c>
      <c r="AG513" s="127">
        <v>5720</v>
      </c>
      <c r="AH513" s="125">
        <v>192.57300000000001</v>
      </c>
      <c r="AI513" s="127">
        <v>5720</v>
      </c>
      <c r="AJ513" s="125">
        <v>201.97800000000001</v>
      </c>
    </row>
    <row r="514" spans="1:36" ht="14.25">
      <c r="A514" s="128">
        <v>5750</v>
      </c>
      <c r="B514" s="124">
        <v>412.154</v>
      </c>
      <c r="C514" s="128">
        <v>5760</v>
      </c>
      <c r="D514" s="125">
        <v>409.11399999999998</v>
      </c>
      <c r="E514" s="126">
        <v>5750</v>
      </c>
      <c r="F514" s="125">
        <v>912.29499999999996</v>
      </c>
      <c r="G514" s="127">
        <v>5750</v>
      </c>
      <c r="H514" s="125">
        <v>912.005</v>
      </c>
      <c r="I514" s="127">
        <v>5750</v>
      </c>
      <c r="J514" s="125">
        <v>797.06</v>
      </c>
      <c r="K514" s="127">
        <v>5750</v>
      </c>
      <c r="L514" s="125">
        <v>796.67499999999995</v>
      </c>
      <c r="M514" s="127">
        <v>5750</v>
      </c>
      <c r="N514" s="125">
        <v>796.89</v>
      </c>
      <c r="O514" s="127">
        <v>5730</v>
      </c>
      <c r="P514" s="125">
        <v>798.02800000000002</v>
      </c>
      <c r="Q514" s="127">
        <v>5750</v>
      </c>
      <c r="R514" s="125">
        <v>797.62800000000004</v>
      </c>
      <c r="S514" s="127">
        <v>5750</v>
      </c>
      <c r="T514" s="125">
        <v>798.25</v>
      </c>
      <c r="U514" s="127">
        <v>5740</v>
      </c>
      <c r="V514" s="124">
        <v>797.36500000000001</v>
      </c>
      <c r="W514" s="127">
        <v>5750</v>
      </c>
      <c r="X514" s="125">
        <v>797.00699999999995</v>
      </c>
      <c r="Y514" s="127">
        <v>5750</v>
      </c>
      <c r="Z514" s="125">
        <v>795.44299999999998</v>
      </c>
      <c r="AA514" s="127">
        <v>5750</v>
      </c>
      <c r="AB514" s="125">
        <v>795.471</v>
      </c>
      <c r="AC514" s="127">
        <v>5740</v>
      </c>
      <c r="AD514" s="125">
        <v>719.37800000000004</v>
      </c>
      <c r="AE514" s="127">
        <v>5750</v>
      </c>
      <c r="AF514" s="125">
        <v>720.84900000000005</v>
      </c>
      <c r="AG514" s="127">
        <v>5730</v>
      </c>
      <c r="AH514" s="125">
        <v>192.18199999999999</v>
      </c>
      <c r="AI514" s="127">
        <v>5730</v>
      </c>
      <c r="AJ514" s="125">
        <v>201.57300000000001</v>
      </c>
    </row>
    <row r="515" spans="1:36" ht="14.25">
      <c r="A515" s="128">
        <v>5760</v>
      </c>
      <c r="B515" s="124">
        <v>411.38099999999997</v>
      </c>
      <c r="C515" s="128">
        <v>5770</v>
      </c>
      <c r="D515" s="125">
        <v>408.34699999999998</v>
      </c>
      <c r="E515" s="126">
        <v>5760</v>
      </c>
      <c r="F515" s="125">
        <v>910.80799999999999</v>
      </c>
      <c r="G515" s="127">
        <v>5760</v>
      </c>
      <c r="H515" s="125">
        <v>910.52</v>
      </c>
      <c r="I515" s="127">
        <v>5760</v>
      </c>
      <c r="J515" s="125">
        <v>795.84699999999998</v>
      </c>
      <c r="K515" s="127">
        <v>5760</v>
      </c>
      <c r="L515" s="125">
        <v>795.46100000000001</v>
      </c>
      <c r="M515" s="127">
        <v>5760</v>
      </c>
      <c r="N515" s="125">
        <v>795.678</v>
      </c>
      <c r="O515" s="127">
        <v>5740</v>
      </c>
      <c r="P515" s="125">
        <v>796.81500000000005</v>
      </c>
      <c r="Q515" s="127">
        <v>5760</v>
      </c>
      <c r="R515" s="125">
        <v>796.41499999999996</v>
      </c>
      <c r="S515" s="127">
        <v>5760</v>
      </c>
      <c r="T515" s="125">
        <v>797.03800000000001</v>
      </c>
      <c r="U515" s="127">
        <v>5750</v>
      </c>
      <c r="V515" s="124">
        <v>796.15499999999997</v>
      </c>
      <c r="W515" s="127">
        <v>5760</v>
      </c>
      <c r="X515" s="125">
        <v>795.79700000000003</v>
      </c>
      <c r="Y515" s="127">
        <v>5760</v>
      </c>
      <c r="Z515" s="125">
        <v>794.23199999999997</v>
      </c>
      <c r="AA515" s="127">
        <v>5760</v>
      </c>
      <c r="AB515" s="125">
        <v>794.26099999999997</v>
      </c>
      <c r="AC515" s="127">
        <v>5750</v>
      </c>
      <c r="AD515" s="125">
        <v>718.16700000000003</v>
      </c>
      <c r="AE515" s="127">
        <v>5760</v>
      </c>
      <c r="AF515" s="125">
        <v>719.63900000000001</v>
      </c>
      <c r="AG515" s="127">
        <v>5740</v>
      </c>
      <c r="AH515" s="125">
        <v>191.791</v>
      </c>
      <c r="AI515" s="127">
        <v>5740</v>
      </c>
      <c r="AJ515" s="125">
        <v>201.16800000000001</v>
      </c>
    </row>
    <row r="516" spans="1:36" ht="14.25">
      <c r="A516" s="128">
        <v>5770</v>
      </c>
      <c r="B516" s="124">
        <v>410.60899999999998</v>
      </c>
      <c r="C516" s="128">
        <v>5780</v>
      </c>
      <c r="D516" s="125">
        <v>407.57900000000001</v>
      </c>
      <c r="E516" s="126">
        <v>5770</v>
      </c>
      <c r="F516" s="125">
        <v>909.32</v>
      </c>
      <c r="G516" s="127">
        <v>5770</v>
      </c>
      <c r="H516" s="125">
        <v>909.03599999999994</v>
      </c>
      <c r="I516" s="127">
        <v>5770</v>
      </c>
      <c r="J516" s="125">
        <v>794.63499999999999</v>
      </c>
      <c r="K516" s="127">
        <v>5770</v>
      </c>
      <c r="L516" s="125">
        <v>794.24699999999996</v>
      </c>
      <c r="M516" s="127">
        <v>5770</v>
      </c>
      <c r="N516" s="125">
        <v>794.46500000000003</v>
      </c>
      <c r="O516" s="127">
        <v>5750</v>
      </c>
      <c r="P516" s="125">
        <v>795.60199999999998</v>
      </c>
      <c r="Q516" s="127">
        <v>5770</v>
      </c>
      <c r="R516" s="125">
        <v>795.20299999999997</v>
      </c>
      <c r="S516" s="127">
        <v>5770</v>
      </c>
      <c r="T516" s="125">
        <v>795.82500000000005</v>
      </c>
      <c r="U516" s="127">
        <v>5760</v>
      </c>
      <c r="V516" s="124">
        <v>794.94500000000005</v>
      </c>
      <c r="W516" s="127">
        <v>5770</v>
      </c>
      <c r="X516" s="125">
        <v>794.58600000000001</v>
      </c>
      <c r="Y516" s="127">
        <v>5770</v>
      </c>
      <c r="Z516" s="125">
        <v>793.02</v>
      </c>
      <c r="AA516" s="127">
        <v>5770</v>
      </c>
      <c r="AB516" s="125">
        <v>793.05100000000004</v>
      </c>
      <c r="AC516" s="127">
        <v>5760</v>
      </c>
      <c r="AD516" s="125">
        <v>716.95600000000002</v>
      </c>
      <c r="AE516" s="127">
        <v>5770</v>
      </c>
      <c r="AF516" s="125">
        <v>718.42899999999997</v>
      </c>
      <c r="AG516" s="127">
        <v>5750</v>
      </c>
      <c r="AH516" s="125">
        <v>191.40100000000001</v>
      </c>
      <c r="AI516" s="127">
        <v>5750</v>
      </c>
      <c r="AJ516" s="125">
        <v>200.76400000000001</v>
      </c>
    </row>
    <row r="517" spans="1:36" ht="14.25">
      <c r="A517" s="128">
        <v>5780</v>
      </c>
      <c r="B517" s="124">
        <v>409.83600000000001</v>
      </c>
      <c r="C517" s="128">
        <v>5790</v>
      </c>
      <c r="D517" s="125">
        <v>406.81200000000001</v>
      </c>
      <c r="E517" s="126">
        <v>5780</v>
      </c>
      <c r="F517" s="125">
        <v>907.83299999999997</v>
      </c>
      <c r="G517" s="127">
        <v>5780</v>
      </c>
      <c r="H517" s="125">
        <v>907.55100000000004</v>
      </c>
      <c r="I517" s="127">
        <v>5780</v>
      </c>
      <c r="J517" s="125">
        <v>793.42200000000003</v>
      </c>
      <c r="K517" s="127">
        <v>5780</v>
      </c>
      <c r="L517" s="125">
        <v>793.03399999999999</v>
      </c>
      <c r="M517" s="127">
        <v>5780</v>
      </c>
      <c r="N517" s="125">
        <v>793.25300000000004</v>
      </c>
      <c r="O517" s="127">
        <v>5760</v>
      </c>
      <c r="P517" s="125">
        <v>794.38900000000001</v>
      </c>
      <c r="Q517" s="127">
        <v>5780</v>
      </c>
      <c r="R517" s="125">
        <v>793.99</v>
      </c>
      <c r="S517" s="127">
        <v>5780</v>
      </c>
      <c r="T517" s="125">
        <v>794.61300000000006</v>
      </c>
      <c r="U517" s="127">
        <v>5770</v>
      </c>
      <c r="V517" s="124">
        <v>793.73500000000001</v>
      </c>
      <c r="W517" s="127">
        <v>5780</v>
      </c>
      <c r="X517" s="125">
        <v>793.375</v>
      </c>
      <c r="Y517" s="127">
        <v>5780</v>
      </c>
      <c r="Z517" s="125">
        <v>791.80899999999997</v>
      </c>
      <c r="AA517" s="127">
        <v>5780</v>
      </c>
      <c r="AB517" s="125">
        <v>791.84100000000001</v>
      </c>
      <c r="AC517" s="127">
        <v>5770</v>
      </c>
      <c r="AD517" s="125">
        <v>715.74599999999998</v>
      </c>
      <c r="AE517" s="127">
        <v>5780</v>
      </c>
      <c r="AF517" s="125">
        <v>717.21900000000005</v>
      </c>
      <c r="AG517" s="127">
        <v>5760</v>
      </c>
      <c r="AH517" s="125">
        <v>191.011</v>
      </c>
      <c r="AI517" s="127">
        <v>5760</v>
      </c>
      <c r="AJ517" s="125">
        <v>200.35900000000001</v>
      </c>
    </row>
    <row r="518" spans="1:36" ht="14.25">
      <c r="A518" s="128">
        <v>5790</v>
      </c>
      <c r="B518" s="124">
        <v>409.06400000000002</v>
      </c>
      <c r="C518" s="128">
        <v>5800</v>
      </c>
      <c r="D518" s="125">
        <v>406.04500000000002</v>
      </c>
      <c r="E518" s="126">
        <v>5790</v>
      </c>
      <c r="F518" s="125">
        <v>906.346</v>
      </c>
      <c r="G518" s="127">
        <v>5790</v>
      </c>
      <c r="H518" s="125">
        <v>906.06700000000001</v>
      </c>
      <c r="I518" s="127">
        <v>5790</v>
      </c>
      <c r="J518" s="125">
        <v>792.20899999999995</v>
      </c>
      <c r="K518" s="127">
        <v>5790</v>
      </c>
      <c r="L518" s="125">
        <v>791.82</v>
      </c>
      <c r="M518" s="127">
        <v>5790</v>
      </c>
      <c r="N518" s="125">
        <v>792.04</v>
      </c>
      <c r="O518" s="127">
        <v>5770</v>
      </c>
      <c r="P518" s="125">
        <v>793.17600000000004</v>
      </c>
      <c r="Q518" s="127">
        <v>5790</v>
      </c>
      <c r="R518" s="125">
        <v>792.77700000000004</v>
      </c>
      <c r="S518" s="127">
        <v>5790</v>
      </c>
      <c r="T518" s="125">
        <v>793.40099999999995</v>
      </c>
      <c r="U518" s="127">
        <v>5780</v>
      </c>
      <c r="V518" s="124">
        <v>792.52599999999995</v>
      </c>
      <c r="W518" s="127">
        <v>5790</v>
      </c>
      <c r="X518" s="125">
        <v>792.16399999999999</v>
      </c>
      <c r="Y518" s="127">
        <v>5790</v>
      </c>
      <c r="Z518" s="125">
        <v>790.59799999999996</v>
      </c>
      <c r="AA518" s="127">
        <v>5790</v>
      </c>
      <c r="AB518" s="125">
        <v>790.63099999999997</v>
      </c>
      <c r="AC518" s="127">
        <v>5780</v>
      </c>
      <c r="AD518" s="125">
        <v>714.53499999999997</v>
      </c>
      <c r="AE518" s="127">
        <v>5790</v>
      </c>
      <c r="AF518" s="125">
        <v>716.00900000000001</v>
      </c>
      <c r="AG518" s="127">
        <v>5770</v>
      </c>
      <c r="AH518" s="125">
        <v>190.62</v>
      </c>
      <c r="AI518" s="127">
        <v>5770</v>
      </c>
      <c r="AJ518" s="125">
        <v>199.95500000000001</v>
      </c>
    </row>
    <row r="519" spans="1:36" ht="14.25">
      <c r="A519" s="128">
        <v>5800</v>
      </c>
      <c r="B519" s="124">
        <v>408.29199999999997</v>
      </c>
      <c r="C519" s="128">
        <v>5810</v>
      </c>
      <c r="D519" s="125">
        <v>405.279</v>
      </c>
      <c r="E519" s="126">
        <v>5800</v>
      </c>
      <c r="F519" s="125">
        <v>904.85799999999995</v>
      </c>
      <c r="G519" s="127">
        <v>5800</v>
      </c>
      <c r="H519" s="125">
        <v>904.58299999999997</v>
      </c>
      <c r="I519" s="127">
        <v>5800</v>
      </c>
      <c r="J519" s="125">
        <v>790.99599999999998</v>
      </c>
      <c r="K519" s="127">
        <v>5800</v>
      </c>
      <c r="L519" s="125">
        <v>790.60599999999999</v>
      </c>
      <c r="M519" s="127">
        <v>5800</v>
      </c>
      <c r="N519" s="125">
        <v>790.827</v>
      </c>
      <c r="O519" s="127">
        <v>5780</v>
      </c>
      <c r="P519" s="125">
        <v>791.96299999999997</v>
      </c>
      <c r="Q519" s="127">
        <v>5800</v>
      </c>
      <c r="R519" s="125">
        <v>791.56500000000005</v>
      </c>
      <c r="S519" s="127">
        <v>5800</v>
      </c>
      <c r="T519" s="125">
        <v>792.18899999999996</v>
      </c>
      <c r="U519" s="127">
        <v>5790</v>
      </c>
      <c r="V519" s="124">
        <v>791.31600000000003</v>
      </c>
      <c r="W519" s="127">
        <v>5800</v>
      </c>
      <c r="X519" s="125">
        <v>790.95299999999997</v>
      </c>
      <c r="Y519" s="127">
        <v>5800</v>
      </c>
      <c r="Z519" s="125">
        <v>789.38599999999997</v>
      </c>
      <c r="AA519" s="127">
        <v>5800</v>
      </c>
      <c r="AB519" s="125">
        <v>789.42100000000005</v>
      </c>
      <c r="AC519" s="127">
        <v>5790</v>
      </c>
      <c r="AD519" s="125">
        <v>713.32399999999996</v>
      </c>
      <c r="AE519" s="127">
        <v>5800</v>
      </c>
      <c r="AF519" s="125">
        <v>714.8</v>
      </c>
      <c r="AG519" s="127">
        <v>5780</v>
      </c>
      <c r="AH519" s="125">
        <v>190.23</v>
      </c>
      <c r="AI519" s="127">
        <v>5780</v>
      </c>
      <c r="AJ519" s="125">
        <v>199.55099999999999</v>
      </c>
    </row>
    <row r="520" spans="1:36" ht="14.25">
      <c r="A520" s="128">
        <v>5810</v>
      </c>
      <c r="B520" s="124">
        <v>407.52</v>
      </c>
      <c r="C520" s="128">
        <v>5820</v>
      </c>
      <c r="D520" s="125">
        <v>404.512</v>
      </c>
      <c r="E520" s="126">
        <v>5810</v>
      </c>
      <c r="F520" s="125">
        <v>903.37099999999998</v>
      </c>
      <c r="G520" s="127">
        <v>5810</v>
      </c>
      <c r="H520" s="125">
        <v>903.09900000000005</v>
      </c>
      <c r="I520" s="127">
        <v>5810</v>
      </c>
      <c r="J520" s="125">
        <v>789.78300000000002</v>
      </c>
      <c r="K520" s="127">
        <v>5810</v>
      </c>
      <c r="L520" s="125">
        <v>789.39300000000003</v>
      </c>
      <c r="M520" s="127">
        <v>5810</v>
      </c>
      <c r="N520" s="125">
        <v>789.61500000000001</v>
      </c>
      <c r="O520" s="127">
        <v>5790</v>
      </c>
      <c r="P520" s="125">
        <v>790.75</v>
      </c>
      <c r="Q520" s="127">
        <v>5810</v>
      </c>
      <c r="R520" s="125">
        <v>790.35199999999998</v>
      </c>
      <c r="S520" s="127">
        <v>5810</v>
      </c>
      <c r="T520" s="125">
        <v>790.976</v>
      </c>
      <c r="U520" s="127">
        <v>5800</v>
      </c>
      <c r="V520" s="124">
        <v>790.10599999999999</v>
      </c>
      <c r="W520" s="127">
        <v>5810</v>
      </c>
      <c r="X520" s="125">
        <v>789.74199999999996</v>
      </c>
      <c r="Y520" s="127">
        <v>5810</v>
      </c>
      <c r="Z520" s="125">
        <v>788.17499999999995</v>
      </c>
      <c r="AA520" s="127">
        <v>5810</v>
      </c>
      <c r="AB520" s="125">
        <v>788.21100000000001</v>
      </c>
      <c r="AC520" s="127">
        <v>5800</v>
      </c>
      <c r="AD520" s="125">
        <v>712.11300000000006</v>
      </c>
      <c r="AE520" s="127">
        <v>5810</v>
      </c>
      <c r="AF520" s="125">
        <v>713.59</v>
      </c>
      <c r="AG520" s="127">
        <v>5790</v>
      </c>
      <c r="AH520" s="125">
        <v>189.84</v>
      </c>
      <c r="AI520" s="127">
        <v>5790</v>
      </c>
      <c r="AJ520" s="125">
        <v>199.14599999999999</v>
      </c>
    </row>
    <row r="521" spans="1:36" ht="14.25">
      <c r="A521" s="128">
        <v>5820</v>
      </c>
      <c r="B521" s="124">
        <v>406.74900000000002</v>
      </c>
      <c r="C521" s="128">
        <v>5830</v>
      </c>
      <c r="D521" s="125">
        <v>403.74599999999998</v>
      </c>
      <c r="E521" s="126">
        <v>5820</v>
      </c>
      <c r="F521" s="125">
        <v>901.88400000000001</v>
      </c>
      <c r="G521" s="127">
        <v>5820</v>
      </c>
      <c r="H521" s="125">
        <v>901.61500000000001</v>
      </c>
      <c r="I521" s="127">
        <v>5820</v>
      </c>
      <c r="J521" s="125">
        <v>788.57100000000003</v>
      </c>
      <c r="K521" s="127">
        <v>5820</v>
      </c>
      <c r="L521" s="125">
        <v>788.17899999999997</v>
      </c>
      <c r="M521" s="127">
        <v>5820</v>
      </c>
      <c r="N521" s="125">
        <v>788.40200000000004</v>
      </c>
      <c r="O521" s="127">
        <v>5800</v>
      </c>
      <c r="P521" s="125">
        <v>789.53700000000003</v>
      </c>
      <c r="Q521" s="127">
        <v>5820</v>
      </c>
      <c r="R521" s="125">
        <v>789.13900000000001</v>
      </c>
      <c r="S521" s="127">
        <v>5820</v>
      </c>
      <c r="T521" s="125">
        <v>789.76400000000001</v>
      </c>
      <c r="U521" s="127">
        <v>5810</v>
      </c>
      <c r="V521" s="124">
        <v>788.89599999999996</v>
      </c>
      <c r="W521" s="127">
        <v>5820</v>
      </c>
      <c r="X521" s="125">
        <v>788.53200000000004</v>
      </c>
      <c r="Y521" s="127">
        <v>5820</v>
      </c>
      <c r="Z521" s="125">
        <v>786.96400000000006</v>
      </c>
      <c r="AA521" s="127">
        <v>5820</v>
      </c>
      <c r="AB521" s="125">
        <v>787.00099999999998</v>
      </c>
      <c r="AC521" s="127">
        <v>5810</v>
      </c>
      <c r="AD521" s="125">
        <v>710.90300000000002</v>
      </c>
      <c r="AE521" s="127">
        <v>5820</v>
      </c>
      <c r="AF521" s="125">
        <v>712.38</v>
      </c>
      <c r="AG521" s="127">
        <v>5800</v>
      </c>
      <c r="AH521" s="125">
        <v>189.45</v>
      </c>
      <c r="AI521" s="127">
        <v>5800</v>
      </c>
      <c r="AJ521" s="125">
        <v>198.74199999999999</v>
      </c>
    </row>
    <row r="522" spans="1:36" ht="14.25">
      <c r="A522" s="128">
        <v>5830</v>
      </c>
      <c r="B522" s="124">
        <v>405.97699999999998</v>
      </c>
      <c r="C522" s="128">
        <v>5840</v>
      </c>
      <c r="D522" s="125">
        <v>402.97899999999998</v>
      </c>
      <c r="E522" s="126">
        <v>5830</v>
      </c>
      <c r="F522" s="125">
        <v>900.39800000000002</v>
      </c>
      <c r="G522" s="127">
        <v>5830</v>
      </c>
      <c r="H522" s="125">
        <v>900.13099999999997</v>
      </c>
      <c r="I522" s="127">
        <v>5830</v>
      </c>
      <c r="J522" s="125">
        <v>787.35799999999995</v>
      </c>
      <c r="K522" s="127">
        <v>5830</v>
      </c>
      <c r="L522" s="125">
        <v>786.96600000000001</v>
      </c>
      <c r="M522" s="127">
        <v>5830</v>
      </c>
      <c r="N522" s="125">
        <v>787.18899999999996</v>
      </c>
      <c r="O522" s="127">
        <v>5810</v>
      </c>
      <c r="P522" s="125">
        <v>788.32399999999996</v>
      </c>
      <c r="Q522" s="127">
        <v>5830</v>
      </c>
      <c r="R522" s="125">
        <v>787.92700000000002</v>
      </c>
      <c r="S522" s="127">
        <v>5830</v>
      </c>
      <c r="T522" s="125">
        <v>788.55200000000002</v>
      </c>
      <c r="U522" s="127">
        <v>5820</v>
      </c>
      <c r="V522" s="124">
        <v>787.68600000000004</v>
      </c>
      <c r="W522" s="127">
        <v>5830</v>
      </c>
      <c r="X522" s="125">
        <v>787.32100000000003</v>
      </c>
      <c r="Y522" s="127">
        <v>5830</v>
      </c>
      <c r="Z522" s="125">
        <v>785.75199999999995</v>
      </c>
      <c r="AA522" s="127">
        <v>5830</v>
      </c>
      <c r="AB522" s="125">
        <v>785.79100000000005</v>
      </c>
      <c r="AC522" s="127">
        <v>5820</v>
      </c>
      <c r="AD522" s="125">
        <v>709.69200000000001</v>
      </c>
      <c r="AE522" s="127">
        <v>5830</v>
      </c>
      <c r="AF522" s="125">
        <v>711.17</v>
      </c>
      <c r="AG522" s="127">
        <v>5810</v>
      </c>
      <c r="AH522" s="125">
        <v>189.06</v>
      </c>
      <c r="AI522" s="127">
        <v>5810</v>
      </c>
      <c r="AJ522" s="125">
        <v>198.33799999999999</v>
      </c>
    </row>
    <row r="523" spans="1:36" ht="14.25">
      <c r="A523" s="128">
        <v>5840</v>
      </c>
      <c r="B523" s="124">
        <v>405.20600000000002</v>
      </c>
      <c r="C523" s="128">
        <v>5850</v>
      </c>
      <c r="D523" s="125">
        <v>402.21300000000002</v>
      </c>
      <c r="E523" s="126">
        <v>5840</v>
      </c>
      <c r="F523" s="125">
        <v>898.91099999999994</v>
      </c>
      <c r="G523" s="127">
        <v>5840</v>
      </c>
      <c r="H523" s="125">
        <v>898.64700000000005</v>
      </c>
      <c r="I523" s="127">
        <v>5840</v>
      </c>
      <c r="J523" s="125">
        <v>786.14499999999998</v>
      </c>
      <c r="K523" s="127">
        <v>5840</v>
      </c>
      <c r="L523" s="125">
        <v>785.75199999999995</v>
      </c>
      <c r="M523" s="127">
        <v>5840</v>
      </c>
      <c r="N523" s="125">
        <v>785.97699999999998</v>
      </c>
      <c r="O523" s="127">
        <v>5820</v>
      </c>
      <c r="P523" s="125">
        <v>787.11199999999997</v>
      </c>
      <c r="Q523" s="127">
        <v>5840</v>
      </c>
      <c r="R523" s="125">
        <v>786.71400000000006</v>
      </c>
      <c r="S523" s="127">
        <v>5840</v>
      </c>
      <c r="T523" s="125">
        <v>787.34</v>
      </c>
      <c r="U523" s="127">
        <v>5830</v>
      </c>
      <c r="V523" s="124">
        <v>786.476</v>
      </c>
      <c r="W523" s="127">
        <v>5840</v>
      </c>
      <c r="X523" s="125">
        <v>786.11</v>
      </c>
      <c r="Y523" s="127">
        <v>5840</v>
      </c>
      <c r="Z523" s="125">
        <v>784.54100000000005</v>
      </c>
      <c r="AA523" s="127">
        <v>5840</v>
      </c>
      <c r="AB523" s="125">
        <v>784.58100000000002</v>
      </c>
      <c r="AC523" s="127">
        <v>5830</v>
      </c>
      <c r="AD523" s="125">
        <v>708.48099999999999</v>
      </c>
      <c r="AE523" s="127">
        <v>5840</v>
      </c>
      <c r="AF523" s="125">
        <v>709.96100000000001</v>
      </c>
      <c r="AG523" s="127">
        <v>5820</v>
      </c>
      <c r="AH523" s="125">
        <v>188.67</v>
      </c>
      <c r="AI523" s="127">
        <v>5820</v>
      </c>
      <c r="AJ523" s="125">
        <v>197.934</v>
      </c>
    </row>
    <row r="524" spans="1:36" ht="14.25">
      <c r="A524" s="128">
        <v>5850</v>
      </c>
      <c r="B524" s="124">
        <v>404.435</v>
      </c>
      <c r="C524" s="128">
        <v>5860</v>
      </c>
      <c r="D524" s="125">
        <v>401.447</v>
      </c>
      <c r="E524" s="126">
        <v>5850</v>
      </c>
      <c r="F524" s="125">
        <v>897.42499999999995</v>
      </c>
      <c r="G524" s="127">
        <v>5850</v>
      </c>
      <c r="H524" s="125">
        <v>897.16300000000001</v>
      </c>
      <c r="I524" s="127">
        <v>5850</v>
      </c>
      <c r="J524" s="125">
        <v>784.93200000000002</v>
      </c>
      <c r="K524" s="127">
        <v>5850</v>
      </c>
      <c r="L524" s="125">
        <v>784.53800000000001</v>
      </c>
      <c r="M524" s="127">
        <v>5850</v>
      </c>
      <c r="N524" s="125">
        <v>784.76400000000001</v>
      </c>
      <c r="O524" s="127">
        <v>5830</v>
      </c>
      <c r="P524" s="125">
        <v>785.899</v>
      </c>
      <c r="Q524" s="127">
        <v>5850</v>
      </c>
      <c r="R524" s="125">
        <v>785.50099999999998</v>
      </c>
      <c r="S524" s="127">
        <v>5850</v>
      </c>
      <c r="T524" s="125">
        <v>786.12699999999995</v>
      </c>
      <c r="U524" s="127">
        <v>5840</v>
      </c>
      <c r="V524" s="124">
        <v>785.26599999999996</v>
      </c>
      <c r="W524" s="127">
        <v>5850</v>
      </c>
      <c r="X524" s="125">
        <v>784.899</v>
      </c>
      <c r="Y524" s="127">
        <v>5850</v>
      </c>
      <c r="Z524" s="125">
        <v>783.33</v>
      </c>
      <c r="AA524" s="127">
        <v>5850</v>
      </c>
      <c r="AB524" s="125">
        <v>783.37099999999998</v>
      </c>
      <c r="AC524" s="127">
        <v>5840</v>
      </c>
      <c r="AD524" s="125">
        <v>707.27099999999996</v>
      </c>
      <c r="AE524" s="127">
        <v>5850</v>
      </c>
      <c r="AF524" s="125">
        <v>708.75099999999998</v>
      </c>
      <c r="AG524" s="127">
        <v>5830</v>
      </c>
      <c r="AH524" s="125">
        <v>188.28</v>
      </c>
      <c r="AI524" s="127">
        <v>5830</v>
      </c>
      <c r="AJ524" s="125">
        <v>197.53</v>
      </c>
    </row>
    <row r="525" spans="1:36" ht="14.25">
      <c r="A525" s="128">
        <v>5860</v>
      </c>
      <c r="B525" s="124">
        <v>403.66399999999999</v>
      </c>
      <c r="C525" s="128">
        <v>5870</v>
      </c>
      <c r="D525" s="125">
        <v>400.68200000000002</v>
      </c>
      <c r="E525" s="126">
        <v>5860</v>
      </c>
      <c r="F525" s="125">
        <v>895.93799999999999</v>
      </c>
      <c r="G525" s="127">
        <v>5860</v>
      </c>
      <c r="H525" s="125">
        <v>895.68</v>
      </c>
      <c r="I525" s="127">
        <v>5860</v>
      </c>
      <c r="J525" s="125">
        <v>783.72</v>
      </c>
      <c r="K525" s="127">
        <v>5860</v>
      </c>
      <c r="L525" s="125">
        <v>783.32500000000005</v>
      </c>
      <c r="M525" s="127">
        <v>5860</v>
      </c>
      <c r="N525" s="125">
        <v>783.55200000000002</v>
      </c>
      <c r="O525" s="127">
        <v>5840</v>
      </c>
      <c r="P525" s="125">
        <v>784.68600000000004</v>
      </c>
      <c r="Q525" s="127">
        <v>5860</v>
      </c>
      <c r="R525" s="125">
        <v>784.28800000000001</v>
      </c>
      <c r="S525" s="127">
        <v>5860</v>
      </c>
      <c r="T525" s="125">
        <v>784.91499999999996</v>
      </c>
      <c r="U525" s="127">
        <v>5850</v>
      </c>
      <c r="V525" s="124">
        <v>784.05600000000004</v>
      </c>
      <c r="W525" s="127">
        <v>5860</v>
      </c>
      <c r="X525" s="125">
        <v>783.68799999999999</v>
      </c>
      <c r="Y525" s="127">
        <v>5860</v>
      </c>
      <c r="Z525" s="125">
        <v>782.11800000000005</v>
      </c>
      <c r="AA525" s="127">
        <v>5860</v>
      </c>
      <c r="AB525" s="125">
        <v>782.16099999999994</v>
      </c>
      <c r="AC525" s="127">
        <v>5850</v>
      </c>
      <c r="AD525" s="125">
        <v>706.06</v>
      </c>
      <c r="AE525" s="127">
        <v>5860</v>
      </c>
      <c r="AF525" s="125">
        <v>707.54100000000005</v>
      </c>
      <c r="AG525" s="127">
        <v>5840</v>
      </c>
      <c r="AH525" s="125">
        <v>187.89099999999999</v>
      </c>
      <c r="AI525" s="127">
        <v>5840</v>
      </c>
      <c r="AJ525" s="125">
        <v>197.126</v>
      </c>
    </row>
    <row r="526" spans="1:36" ht="14.25">
      <c r="A526" s="128">
        <v>5870</v>
      </c>
      <c r="B526" s="124">
        <v>402.89299999999997</v>
      </c>
      <c r="C526" s="128">
        <v>5880</v>
      </c>
      <c r="D526" s="125">
        <v>399.916</v>
      </c>
      <c r="E526" s="126">
        <v>5870</v>
      </c>
      <c r="F526" s="125">
        <v>894.452</v>
      </c>
      <c r="G526" s="127">
        <v>5870</v>
      </c>
      <c r="H526" s="125">
        <v>894.19600000000003</v>
      </c>
      <c r="I526" s="127">
        <v>5870</v>
      </c>
      <c r="J526" s="125">
        <v>782.50699999999995</v>
      </c>
      <c r="K526" s="127">
        <v>5870</v>
      </c>
      <c r="L526" s="125">
        <v>782.11099999999999</v>
      </c>
      <c r="M526" s="127">
        <v>5870</v>
      </c>
      <c r="N526" s="125">
        <v>782.33900000000006</v>
      </c>
      <c r="O526" s="127">
        <v>5850</v>
      </c>
      <c r="P526" s="125">
        <v>783.47299999999996</v>
      </c>
      <c r="Q526" s="127">
        <v>5870</v>
      </c>
      <c r="R526" s="125">
        <v>783.07600000000002</v>
      </c>
      <c r="S526" s="127">
        <v>5870</v>
      </c>
      <c r="T526" s="125">
        <v>783.70299999999997</v>
      </c>
      <c r="U526" s="127">
        <v>5860</v>
      </c>
      <c r="V526" s="124">
        <v>782.846</v>
      </c>
      <c r="W526" s="127">
        <v>5870</v>
      </c>
      <c r="X526" s="125">
        <v>782.47699999999998</v>
      </c>
      <c r="Y526" s="127">
        <v>5870</v>
      </c>
      <c r="Z526" s="125">
        <v>780.90700000000004</v>
      </c>
      <c r="AA526" s="127">
        <v>5870</v>
      </c>
      <c r="AB526" s="125">
        <v>780.95100000000002</v>
      </c>
      <c r="AC526" s="127">
        <v>5860</v>
      </c>
      <c r="AD526" s="125">
        <v>704.84900000000005</v>
      </c>
      <c r="AE526" s="127">
        <v>5870</v>
      </c>
      <c r="AF526" s="125">
        <v>706.33100000000002</v>
      </c>
      <c r="AG526" s="127">
        <v>5850</v>
      </c>
      <c r="AH526" s="125">
        <v>187.501</v>
      </c>
      <c r="AI526" s="127">
        <v>5850</v>
      </c>
      <c r="AJ526" s="125">
        <v>196.72200000000001</v>
      </c>
    </row>
    <row r="527" spans="1:36" ht="14.25">
      <c r="A527" s="128">
        <v>5880</v>
      </c>
      <c r="B527" s="124">
        <v>402.12200000000001</v>
      </c>
      <c r="C527" s="128">
        <v>5890</v>
      </c>
      <c r="D527" s="125">
        <v>399.15100000000001</v>
      </c>
      <c r="E527" s="126">
        <v>5880</v>
      </c>
      <c r="F527" s="125">
        <v>892.96600000000001</v>
      </c>
      <c r="G527" s="127">
        <v>5880</v>
      </c>
      <c r="H527" s="125">
        <v>892.71299999999997</v>
      </c>
      <c r="I527" s="127">
        <v>5880</v>
      </c>
      <c r="J527" s="125">
        <v>781.29399999999998</v>
      </c>
      <c r="K527" s="127">
        <v>5880</v>
      </c>
      <c r="L527" s="125">
        <v>780.89700000000005</v>
      </c>
      <c r="M527" s="127">
        <v>5880</v>
      </c>
      <c r="N527" s="125">
        <v>781.12599999999998</v>
      </c>
      <c r="O527" s="127">
        <v>5860</v>
      </c>
      <c r="P527" s="125">
        <v>782.26</v>
      </c>
      <c r="Q527" s="127">
        <v>5880</v>
      </c>
      <c r="R527" s="125">
        <v>781.86300000000006</v>
      </c>
      <c r="S527" s="127">
        <v>5880</v>
      </c>
      <c r="T527" s="125">
        <v>782.49099999999999</v>
      </c>
      <c r="U527" s="127">
        <v>5870</v>
      </c>
      <c r="V527" s="124">
        <v>781.63599999999997</v>
      </c>
      <c r="W527" s="127">
        <v>5880</v>
      </c>
      <c r="X527" s="125">
        <v>781.26700000000005</v>
      </c>
      <c r="Y527" s="127">
        <v>5880</v>
      </c>
      <c r="Z527" s="125">
        <v>779.69600000000003</v>
      </c>
      <c r="AA527" s="127">
        <v>5880</v>
      </c>
      <c r="AB527" s="125">
        <v>779.74099999999999</v>
      </c>
      <c r="AC527" s="127">
        <v>5870</v>
      </c>
      <c r="AD527" s="125">
        <v>703.63900000000001</v>
      </c>
      <c r="AE527" s="127">
        <v>5880</v>
      </c>
      <c r="AF527" s="125">
        <v>705.12199999999996</v>
      </c>
      <c r="AG527" s="127">
        <v>5860</v>
      </c>
      <c r="AH527" s="125">
        <v>187.11099999999999</v>
      </c>
      <c r="AI527" s="127">
        <v>5860</v>
      </c>
      <c r="AJ527" s="125">
        <v>196.31899999999999</v>
      </c>
    </row>
    <row r="528" spans="1:36" ht="14.25">
      <c r="A528" s="128">
        <v>5890</v>
      </c>
      <c r="B528" s="124">
        <v>401.35199999999998</v>
      </c>
      <c r="C528" s="128">
        <v>5900</v>
      </c>
      <c r="D528" s="125">
        <v>398.38600000000002</v>
      </c>
      <c r="E528" s="126">
        <v>5890</v>
      </c>
      <c r="F528" s="125">
        <v>891.48</v>
      </c>
      <c r="G528" s="127">
        <v>5890</v>
      </c>
      <c r="H528" s="125">
        <v>891.23</v>
      </c>
      <c r="I528" s="127">
        <v>5890</v>
      </c>
      <c r="J528" s="125">
        <v>780.08100000000002</v>
      </c>
      <c r="K528" s="127">
        <v>5890</v>
      </c>
      <c r="L528" s="125">
        <v>779.68399999999997</v>
      </c>
      <c r="M528" s="127">
        <v>5890</v>
      </c>
      <c r="N528" s="125">
        <v>779.91399999999999</v>
      </c>
      <c r="O528" s="127">
        <v>5870</v>
      </c>
      <c r="P528" s="125">
        <v>781.04700000000003</v>
      </c>
      <c r="Q528" s="127">
        <v>5890</v>
      </c>
      <c r="R528" s="125">
        <v>780.65</v>
      </c>
      <c r="S528" s="127">
        <v>5890</v>
      </c>
      <c r="T528" s="125">
        <v>781.27800000000002</v>
      </c>
      <c r="U528" s="127">
        <v>5880</v>
      </c>
      <c r="V528" s="124">
        <v>780.42600000000004</v>
      </c>
      <c r="W528" s="127">
        <v>5890</v>
      </c>
      <c r="X528" s="125">
        <v>780.05600000000004</v>
      </c>
      <c r="Y528" s="127">
        <v>5890</v>
      </c>
      <c r="Z528" s="125">
        <v>778.48400000000004</v>
      </c>
      <c r="AA528" s="127">
        <v>5890</v>
      </c>
      <c r="AB528" s="125">
        <v>778.53099999999995</v>
      </c>
      <c r="AC528" s="127">
        <v>5880</v>
      </c>
      <c r="AD528" s="125">
        <v>702.428</v>
      </c>
      <c r="AE528" s="127">
        <v>5890</v>
      </c>
      <c r="AF528" s="125">
        <v>703.91200000000003</v>
      </c>
      <c r="AG528" s="127">
        <v>5870</v>
      </c>
      <c r="AH528" s="125">
        <v>186.72200000000001</v>
      </c>
      <c r="AI528" s="127">
        <v>5870</v>
      </c>
      <c r="AJ528" s="125">
        <v>195.91499999999999</v>
      </c>
    </row>
    <row r="529" spans="1:36" ht="14.25">
      <c r="A529" s="128">
        <v>5900</v>
      </c>
      <c r="B529" s="124">
        <v>400.58199999999999</v>
      </c>
      <c r="C529" s="128">
        <v>5910</v>
      </c>
      <c r="D529" s="125">
        <v>397.62099999999998</v>
      </c>
      <c r="E529" s="126">
        <v>5900</v>
      </c>
      <c r="F529" s="125">
        <v>889.99400000000003</v>
      </c>
      <c r="G529" s="127">
        <v>5900</v>
      </c>
      <c r="H529" s="125">
        <v>889.74599999999998</v>
      </c>
      <c r="I529" s="127">
        <v>5900</v>
      </c>
      <c r="J529" s="125">
        <v>778.86900000000003</v>
      </c>
      <c r="K529" s="127">
        <v>5900</v>
      </c>
      <c r="L529" s="125">
        <v>778.47</v>
      </c>
      <c r="M529" s="127">
        <v>5900</v>
      </c>
      <c r="N529" s="125">
        <v>778.70100000000002</v>
      </c>
      <c r="O529" s="127">
        <v>5880</v>
      </c>
      <c r="P529" s="125">
        <v>779.83399999999995</v>
      </c>
      <c r="Q529" s="127">
        <v>5900</v>
      </c>
      <c r="R529" s="125">
        <v>779.43799999999999</v>
      </c>
      <c r="S529" s="127">
        <v>5900</v>
      </c>
      <c r="T529" s="125">
        <v>780.06600000000003</v>
      </c>
      <c r="U529" s="127">
        <v>5890</v>
      </c>
      <c r="V529" s="124">
        <v>779.21600000000001</v>
      </c>
      <c r="W529" s="127">
        <v>5900</v>
      </c>
      <c r="X529" s="125">
        <v>778.84500000000003</v>
      </c>
      <c r="Y529" s="127">
        <v>5900</v>
      </c>
      <c r="Z529" s="125">
        <v>777.27300000000002</v>
      </c>
      <c r="AA529" s="127">
        <v>5900</v>
      </c>
      <c r="AB529" s="125">
        <v>777.32100000000003</v>
      </c>
      <c r="AC529" s="127">
        <v>5890</v>
      </c>
      <c r="AD529" s="125">
        <v>701.21699999999998</v>
      </c>
      <c r="AE529" s="127">
        <v>5900</v>
      </c>
      <c r="AF529" s="125">
        <v>702.702</v>
      </c>
      <c r="AG529" s="127">
        <v>5880</v>
      </c>
      <c r="AH529" s="125">
        <v>186.33199999999999</v>
      </c>
      <c r="AI529" s="127">
        <v>5880</v>
      </c>
      <c r="AJ529" s="125">
        <v>195.511</v>
      </c>
    </row>
    <row r="530" spans="1:36" ht="14.25">
      <c r="A530" s="128">
        <v>5910</v>
      </c>
      <c r="B530" s="124">
        <v>399.81200000000001</v>
      </c>
      <c r="C530" s="128">
        <v>5920</v>
      </c>
      <c r="D530" s="125">
        <v>396.85599999999999</v>
      </c>
      <c r="E530" s="126">
        <v>5910</v>
      </c>
      <c r="F530" s="125">
        <v>888.50800000000004</v>
      </c>
      <c r="G530" s="127">
        <v>5910</v>
      </c>
      <c r="H530" s="125">
        <v>888.26300000000003</v>
      </c>
      <c r="I530" s="127">
        <v>5910</v>
      </c>
      <c r="J530" s="125">
        <v>777.65599999999995</v>
      </c>
      <c r="K530" s="127">
        <v>5910</v>
      </c>
      <c r="L530" s="125">
        <v>777.25599999999997</v>
      </c>
      <c r="M530" s="127">
        <v>5910</v>
      </c>
      <c r="N530" s="125">
        <v>777.48900000000003</v>
      </c>
      <c r="O530" s="127">
        <v>5890</v>
      </c>
      <c r="P530" s="125">
        <v>778.62099999999998</v>
      </c>
      <c r="Q530" s="127">
        <v>5910</v>
      </c>
      <c r="R530" s="125">
        <v>778.22500000000002</v>
      </c>
      <c r="S530" s="127">
        <v>5910</v>
      </c>
      <c r="T530" s="125">
        <v>778.85400000000004</v>
      </c>
      <c r="U530" s="127">
        <v>5900</v>
      </c>
      <c r="V530" s="124">
        <v>778.00599999999997</v>
      </c>
      <c r="W530" s="127">
        <v>5910</v>
      </c>
      <c r="X530" s="125">
        <v>777.63400000000001</v>
      </c>
      <c r="Y530" s="127">
        <v>5910</v>
      </c>
      <c r="Z530" s="125">
        <v>776.06200000000001</v>
      </c>
      <c r="AA530" s="127">
        <v>5910</v>
      </c>
      <c r="AB530" s="125">
        <v>776.11099999999999</v>
      </c>
      <c r="AC530" s="127">
        <v>5900</v>
      </c>
      <c r="AD530" s="125">
        <v>700.00699999999995</v>
      </c>
      <c r="AE530" s="127">
        <v>5910</v>
      </c>
      <c r="AF530" s="125">
        <v>701.49199999999996</v>
      </c>
      <c r="AG530" s="127">
        <v>5890</v>
      </c>
      <c r="AH530" s="125">
        <v>185.94300000000001</v>
      </c>
      <c r="AI530" s="127">
        <v>5890</v>
      </c>
      <c r="AJ530" s="125">
        <v>195.108</v>
      </c>
    </row>
    <row r="531" spans="1:36" ht="14.25">
      <c r="A531" s="128">
        <v>5920</v>
      </c>
      <c r="B531" s="124">
        <v>399.04199999999997</v>
      </c>
      <c r="C531" s="128">
        <v>5930</v>
      </c>
      <c r="D531" s="125">
        <v>396.09199999999998</v>
      </c>
      <c r="E531" s="126">
        <v>5920</v>
      </c>
      <c r="F531" s="125">
        <v>887.02200000000005</v>
      </c>
      <c r="G531" s="127">
        <v>5920</v>
      </c>
      <c r="H531" s="125">
        <v>886.78099999999995</v>
      </c>
      <c r="I531" s="127">
        <v>5920</v>
      </c>
      <c r="J531" s="125">
        <v>776.44299999999998</v>
      </c>
      <c r="K531" s="127">
        <v>5920</v>
      </c>
      <c r="L531" s="125">
        <v>776.04300000000001</v>
      </c>
      <c r="M531" s="127">
        <v>5920</v>
      </c>
      <c r="N531" s="125">
        <v>776.27599999999995</v>
      </c>
      <c r="O531" s="127">
        <v>5900</v>
      </c>
      <c r="P531" s="125">
        <v>777.40899999999999</v>
      </c>
      <c r="Q531" s="127">
        <v>5920</v>
      </c>
      <c r="R531" s="125">
        <v>777.01199999999994</v>
      </c>
      <c r="S531" s="127">
        <v>5920</v>
      </c>
      <c r="T531" s="125">
        <v>777.64200000000005</v>
      </c>
      <c r="U531" s="127">
        <v>5910</v>
      </c>
      <c r="V531" s="124">
        <v>776.79700000000003</v>
      </c>
      <c r="W531" s="127">
        <v>5920</v>
      </c>
      <c r="X531" s="125">
        <v>776.423</v>
      </c>
      <c r="Y531" s="127">
        <v>5920</v>
      </c>
      <c r="Z531" s="125">
        <v>774.85</v>
      </c>
      <c r="AA531" s="127">
        <v>5920</v>
      </c>
      <c r="AB531" s="125">
        <v>774.90099999999995</v>
      </c>
      <c r="AC531" s="127">
        <v>5910</v>
      </c>
      <c r="AD531" s="125">
        <v>698.79600000000005</v>
      </c>
      <c r="AE531" s="127">
        <v>5920</v>
      </c>
      <c r="AF531" s="125">
        <v>700.28200000000004</v>
      </c>
      <c r="AG531" s="127">
        <v>5900</v>
      </c>
      <c r="AH531" s="125">
        <v>185.554</v>
      </c>
      <c r="AI531" s="127">
        <v>5900</v>
      </c>
      <c r="AJ531" s="125">
        <v>194.70500000000001</v>
      </c>
    </row>
    <row r="532" spans="1:36" ht="14.25">
      <c r="A532" s="128">
        <v>5930</v>
      </c>
      <c r="B532" s="124">
        <v>398.27300000000002</v>
      </c>
      <c r="C532" s="128">
        <v>5940</v>
      </c>
      <c r="D532" s="125">
        <v>395.327</v>
      </c>
      <c r="E532" s="126">
        <v>5930</v>
      </c>
      <c r="F532" s="125">
        <v>885.53700000000003</v>
      </c>
      <c r="G532" s="127">
        <v>5930</v>
      </c>
      <c r="H532" s="125">
        <v>885.298</v>
      </c>
      <c r="I532" s="127">
        <v>5930</v>
      </c>
      <c r="J532" s="125">
        <v>775.23</v>
      </c>
      <c r="K532" s="127">
        <v>5930</v>
      </c>
      <c r="L532" s="125">
        <v>774.82899999999995</v>
      </c>
      <c r="M532" s="127">
        <v>5930</v>
      </c>
      <c r="N532" s="125">
        <v>775.06299999999999</v>
      </c>
      <c r="O532" s="127">
        <v>5910</v>
      </c>
      <c r="P532" s="125">
        <v>776.19600000000003</v>
      </c>
      <c r="Q532" s="127">
        <v>5930</v>
      </c>
      <c r="R532" s="125">
        <v>775.8</v>
      </c>
      <c r="S532" s="127">
        <v>5930</v>
      </c>
      <c r="T532" s="125">
        <v>776.42899999999997</v>
      </c>
      <c r="U532" s="127">
        <v>5920</v>
      </c>
      <c r="V532" s="124">
        <v>775.58699999999999</v>
      </c>
      <c r="W532" s="127">
        <v>5930</v>
      </c>
      <c r="X532" s="125">
        <v>775.21199999999999</v>
      </c>
      <c r="Y532" s="127">
        <v>5930</v>
      </c>
      <c r="Z532" s="125">
        <v>773.63900000000001</v>
      </c>
      <c r="AA532" s="127">
        <v>5930</v>
      </c>
      <c r="AB532" s="125">
        <v>773.69100000000003</v>
      </c>
      <c r="AC532" s="127">
        <v>5920</v>
      </c>
      <c r="AD532" s="125">
        <v>697.58500000000004</v>
      </c>
      <c r="AE532" s="127">
        <v>5930</v>
      </c>
      <c r="AF532" s="125">
        <v>699.07299999999998</v>
      </c>
      <c r="AG532" s="127">
        <v>5910</v>
      </c>
      <c r="AH532" s="125">
        <v>185.16399999999999</v>
      </c>
      <c r="AI532" s="127">
        <v>5910</v>
      </c>
      <c r="AJ532" s="125">
        <v>194.30099999999999</v>
      </c>
    </row>
    <row r="533" spans="1:36" ht="14.25">
      <c r="A533" s="128">
        <v>5940</v>
      </c>
      <c r="B533" s="124">
        <v>397.50299999999999</v>
      </c>
      <c r="C533" s="128">
        <v>5950</v>
      </c>
      <c r="D533" s="125">
        <v>394.56299999999999</v>
      </c>
      <c r="E533" s="126">
        <v>5940</v>
      </c>
      <c r="F533" s="125">
        <v>884.05100000000004</v>
      </c>
      <c r="G533" s="127">
        <v>5940</v>
      </c>
      <c r="H533" s="125">
        <v>883.81500000000005</v>
      </c>
      <c r="I533" s="127">
        <v>5940</v>
      </c>
      <c r="J533" s="125">
        <v>774.01800000000003</v>
      </c>
      <c r="K533" s="127">
        <v>5940</v>
      </c>
      <c r="L533" s="125">
        <v>773.61599999999999</v>
      </c>
      <c r="M533" s="127">
        <v>5940</v>
      </c>
      <c r="N533" s="125">
        <v>773.851</v>
      </c>
      <c r="O533" s="127">
        <v>5920</v>
      </c>
      <c r="P533" s="125">
        <v>774.98299999999995</v>
      </c>
      <c r="Q533" s="127">
        <v>5940</v>
      </c>
      <c r="R533" s="125">
        <v>774.58699999999999</v>
      </c>
      <c r="S533" s="127">
        <v>5940</v>
      </c>
      <c r="T533" s="125">
        <v>775.21699999999998</v>
      </c>
      <c r="U533" s="127">
        <v>5930</v>
      </c>
      <c r="V533" s="124">
        <v>774.37699999999995</v>
      </c>
      <c r="W533" s="127">
        <v>5940</v>
      </c>
      <c r="X533" s="125">
        <v>774.00099999999998</v>
      </c>
      <c r="Y533" s="127">
        <v>5940</v>
      </c>
      <c r="Z533" s="125">
        <v>772.428</v>
      </c>
      <c r="AA533" s="127">
        <v>5940</v>
      </c>
      <c r="AB533" s="125">
        <v>772.48099999999999</v>
      </c>
      <c r="AC533" s="127">
        <v>5930</v>
      </c>
      <c r="AD533" s="125">
        <v>696.375</v>
      </c>
      <c r="AE533" s="127">
        <v>5940</v>
      </c>
      <c r="AF533" s="125">
        <v>697.86300000000006</v>
      </c>
      <c r="AG533" s="127">
        <v>5920</v>
      </c>
      <c r="AH533" s="125">
        <v>184.77500000000001</v>
      </c>
      <c r="AI533" s="127">
        <v>5920</v>
      </c>
      <c r="AJ533" s="125">
        <v>193.898</v>
      </c>
    </row>
    <row r="534" spans="1:36" ht="14.25">
      <c r="A534" s="128">
        <v>5950</v>
      </c>
      <c r="B534" s="124">
        <v>396.73399999999998</v>
      </c>
      <c r="C534" s="128">
        <v>5960</v>
      </c>
      <c r="D534" s="125">
        <v>393.79899999999998</v>
      </c>
      <c r="E534" s="126">
        <v>5950</v>
      </c>
      <c r="F534" s="125">
        <v>882.56600000000003</v>
      </c>
      <c r="G534" s="127">
        <v>5950</v>
      </c>
      <c r="H534" s="125">
        <v>882.33199999999999</v>
      </c>
      <c r="I534" s="127">
        <v>5950</v>
      </c>
      <c r="J534" s="125">
        <v>772.80499999999995</v>
      </c>
      <c r="K534" s="127">
        <v>5950</v>
      </c>
      <c r="L534" s="125">
        <v>772.40200000000004</v>
      </c>
      <c r="M534" s="127">
        <v>5950</v>
      </c>
      <c r="N534" s="125">
        <v>772.63800000000003</v>
      </c>
      <c r="O534" s="127">
        <v>5930</v>
      </c>
      <c r="P534" s="125">
        <v>773.77</v>
      </c>
      <c r="Q534" s="127">
        <v>5950</v>
      </c>
      <c r="R534" s="125">
        <v>773.37400000000002</v>
      </c>
      <c r="S534" s="127">
        <v>5950</v>
      </c>
      <c r="T534" s="125">
        <v>774.005</v>
      </c>
      <c r="U534" s="127">
        <v>5940</v>
      </c>
      <c r="V534" s="124">
        <v>773.16700000000003</v>
      </c>
      <c r="W534" s="127">
        <v>5950</v>
      </c>
      <c r="X534" s="125">
        <v>772.79100000000005</v>
      </c>
      <c r="Y534" s="127">
        <v>5950</v>
      </c>
      <c r="Z534" s="125">
        <v>771.21699999999998</v>
      </c>
      <c r="AA534" s="127">
        <v>5950</v>
      </c>
      <c r="AB534" s="125">
        <v>771.27099999999996</v>
      </c>
      <c r="AC534" s="127">
        <v>5940</v>
      </c>
      <c r="AD534" s="125">
        <v>695.16399999999999</v>
      </c>
      <c r="AE534" s="127">
        <v>5950</v>
      </c>
      <c r="AF534" s="125">
        <v>696.65300000000002</v>
      </c>
      <c r="AG534" s="127">
        <v>5930</v>
      </c>
      <c r="AH534" s="125">
        <v>184.386</v>
      </c>
      <c r="AI534" s="127">
        <v>5930</v>
      </c>
      <c r="AJ534" s="125">
        <v>193.495</v>
      </c>
    </row>
    <row r="535" spans="1:36" ht="14.25">
      <c r="A535" s="128">
        <v>5960</v>
      </c>
      <c r="B535" s="124">
        <v>395.96499999999997</v>
      </c>
      <c r="C535" s="128">
        <v>5970</v>
      </c>
      <c r="D535" s="125">
        <v>393.03500000000003</v>
      </c>
      <c r="E535" s="126">
        <v>5960</v>
      </c>
      <c r="F535" s="125">
        <v>881.08100000000002</v>
      </c>
      <c r="G535" s="127">
        <v>5960</v>
      </c>
      <c r="H535" s="125">
        <v>880.85</v>
      </c>
      <c r="I535" s="127">
        <v>5960</v>
      </c>
      <c r="J535" s="125">
        <v>771.59199999999998</v>
      </c>
      <c r="K535" s="127">
        <v>5960</v>
      </c>
      <c r="L535" s="125">
        <v>771.18799999999999</v>
      </c>
      <c r="M535" s="127">
        <v>5960</v>
      </c>
      <c r="N535" s="125">
        <v>771.42600000000004</v>
      </c>
      <c r="O535" s="127">
        <v>5940</v>
      </c>
      <c r="P535" s="125">
        <v>772.55700000000002</v>
      </c>
      <c r="Q535" s="127">
        <v>5960</v>
      </c>
      <c r="R535" s="125">
        <v>772.16200000000003</v>
      </c>
      <c r="S535" s="127">
        <v>5960</v>
      </c>
      <c r="T535" s="125">
        <v>772.79300000000001</v>
      </c>
      <c r="U535" s="127">
        <v>5950</v>
      </c>
      <c r="V535" s="124">
        <v>771.95699999999999</v>
      </c>
      <c r="W535" s="127">
        <v>5960</v>
      </c>
      <c r="X535" s="125">
        <v>771.58</v>
      </c>
      <c r="Y535" s="127">
        <v>5960</v>
      </c>
      <c r="Z535" s="125">
        <v>770.005</v>
      </c>
      <c r="AA535" s="127">
        <v>5960</v>
      </c>
      <c r="AB535" s="125">
        <v>770.06100000000004</v>
      </c>
      <c r="AC535" s="127">
        <v>5950</v>
      </c>
      <c r="AD535" s="125">
        <v>693.95299999999997</v>
      </c>
      <c r="AE535" s="127">
        <v>5960</v>
      </c>
      <c r="AF535" s="125">
        <v>695.44299999999998</v>
      </c>
      <c r="AG535" s="127">
        <v>5940</v>
      </c>
      <c r="AH535" s="125">
        <v>183.99700000000001</v>
      </c>
      <c r="AI535" s="127">
        <v>5940</v>
      </c>
      <c r="AJ535" s="125">
        <v>193.09200000000001</v>
      </c>
    </row>
    <row r="536" spans="1:36" ht="14.25">
      <c r="A536" s="128">
        <v>5970</v>
      </c>
      <c r="B536" s="124">
        <v>395.19600000000003</v>
      </c>
      <c r="C536" s="128">
        <v>5980</v>
      </c>
      <c r="D536" s="125">
        <v>392.27199999999999</v>
      </c>
      <c r="E536" s="126">
        <v>5970</v>
      </c>
      <c r="F536" s="125">
        <v>879.596</v>
      </c>
      <c r="G536" s="127">
        <v>5970</v>
      </c>
      <c r="H536" s="125">
        <v>879.36800000000005</v>
      </c>
      <c r="I536" s="127">
        <v>5970</v>
      </c>
      <c r="J536" s="125">
        <v>770.38</v>
      </c>
      <c r="K536" s="127">
        <v>5970</v>
      </c>
      <c r="L536" s="125">
        <v>769.97500000000002</v>
      </c>
      <c r="M536" s="127">
        <v>5970</v>
      </c>
      <c r="N536" s="125">
        <v>770.21299999999997</v>
      </c>
      <c r="O536" s="127">
        <v>5950</v>
      </c>
      <c r="P536" s="125">
        <v>771.34400000000005</v>
      </c>
      <c r="Q536" s="127">
        <v>5970</v>
      </c>
      <c r="R536" s="125">
        <v>770.94899999999996</v>
      </c>
      <c r="S536" s="127">
        <v>5970</v>
      </c>
      <c r="T536" s="125">
        <v>771.58</v>
      </c>
      <c r="U536" s="127">
        <v>5960</v>
      </c>
      <c r="V536" s="124">
        <v>770.74699999999996</v>
      </c>
      <c r="W536" s="127">
        <v>5970</v>
      </c>
      <c r="X536" s="125">
        <v>770.36900000000003</v>
      </c>
      <c r="Y536" s="127">
        <v>5970</v>
      </c>
      <c r="Z536" s="125">
        <v>768.79399999999998</v>
      </c>
      <c r="AA536" s="127">
        <v>5970</v>
      </c>
      <c r="AB536" s="125">
        <v>768.851</v>
      </c>
      <c r="AC536" s="127">
        <v>5960</v>
      </c>
      <c r="AD536" s="125">
        <v>692.74300000000005</v>
      </c>
      <c r="AE536" s="127">
        <v>5970</v>
      </c>
      <c r="AF536" s="125">
        <v>694.23299999999995</v>
      </c>
      <c r="AG536" s="127">
        <v>5950</v>
      </c>
      <c r="AH536" s="125">
        <v>183.608</v>
      </c>
      <c r="AI536" s="127">
        <v>5950</v>
      </c>
      <c r="AJ536" s="125">
        <v>192.68799999999999</v>
      </c>
    </row>
    <row r="537" spans="1:36" ht="14.25">
      <c r="A537" s="128">
        <v>5980</v>
      </c>
      <c r="B537" s="124">
        <v>394.428</v>
      </c>
      <c r="C537" s="128">
        <v>5990</v>
      </c>
      <c r="D537" s="125">
        <v>391.50799999999998</v>
      </c>
      <c r="E537" s="126">
        <v>5980</v>
      </c>
      <c r="F537" s="125">
        <v>878.11099999999999</v>
      </c>
      <c r="G537" s="127">
        <v>5980</v>
      </c>
      <c r="H537" s="125">
        <v>877.88499999999999</v>
      </c>
      <c r="I537" s="127">
        <v>5980</v>
      </c>
      <c r="J537" s="125">
        <v>769.16700000000003</v>
      </c>
      <c r="K537" s="127">
        <v>5980</v>
      </c>
      <c r="L537" s="125">
        <v>768.76099999999997</v>
      </c>
      <c r="M537" s="127">
        <v>5980</v>
      </c>
      <c r="N537" s="125">
        <v>769</v>
      </c>
      <c r="O537" s="127">
        <v>5960</v>
      </c>
      <c r="P537" s="125">
        <v>770.13099999999997</v>
      </c>
      <c r="Q537" s="127">
        <v>5980</v>
      </c>
      <c r="R537" s="125">
        <v>769.73599999999999</v>
      </c>
      <c r="S537" s="127">
        <v>5980</v>
      </c>
      <c r="T537" s="125">
        <v>770.36800000000005</v>
      </c>
      <c r="U537" s="127">
        <v>5970</v>
      </c>
      <c r="V537" s="124">
        <v>769.53700000000003</v>
      </c>
      <c r="W537" s="127">
        <v>5980</v>
      </c>
      <c r="X537" s="125">
        <v>769.15800000000002</v>
      </c>
      <c r="Y537" s="127">
        <v>5980</v>
      </c>
      <c r="Z537" s="125">
        <v>767.58299999999997</v>
      </c>
      <c r="AA537" s="127">
        <v>5980</v>
      </c>
      <c r="AB537" s="125">
        <v>767.64099999999996</v>
      </c>
      <c r="AC537" s="127">
        <v>5970</v>
      </c>
      <c r="AD537" s="125">
        <v>691.53200000000004</v>
      </c>
      <c r="AE537" s="127">
        <v>5980</v>
      </c>
      <c r="AF537" s="125">
        <v>693.024</v>
      </c>
      <c r="AG537" s="127">
        <v>5960</v>
      </c>
      <c r="AH537" s="125">
        <v>183.22</v>
      </c>
      <c r="AI537" s="127">
        <v>5960</v>
      </c>
      <c r="AJ537" s="125">
        <v>192.286</v>
      </c>
    </row>
    <row r="538" spans="1:36" ht="14.25">
      <c r="A538" s="128">
        <v>5990</v>
      </c>
      <c r="B538" s="124">
        <v>393.65899999999999</v>
      </c>
      <c r="C538" s="128">
        <v>6000</v>
      </c>
      <c r="D538" s="125">
        <v>390.745</v>
      </c>
      <c r="E538" s="126">
        <v>5990</v>
      </c>
      <c r="F538" s="125">
        <v>876.62599999999998</v>
      </c>
      <c r="G538" s="127">
        <v>5990</v>
      </c>
      <c r="H538" s="125">
        <v>876.40300000000002</v>
      </c>
      <c r="I538" s="127">
        <v>5990</v>
      </c>
      <c r="J538" s="125">
        <v>767.95399999999995</v>
      </c>
      <c r="K538" s="127">
        <v>5990</v>
      </c>
      <c r="L538" s="125">
        <v>767.54700000000003</v>
      </c>
      <c r="M538" s="127">
        <v>5990</v>
      </c>
      <c r="N538" s="125">
        <v>767.78800000000001</v>
      </c>
      <c r="O538" s="127">
        <v>5970</v>
      </c>
      <c r="P538" s="125">
        <v>768.91899999999998</v>
      </c>
      <c r="Q538" s="127">
        <v>5990</v>
      </c>
      <c r="R538" s="125">
        <v>768.524</v>
      </c>
      <c r="S538" s="127">
        <v>5990</v>
      </c>
      <c r="T538" s="125">
        <v>769.15599999999995</v>
      </c>
      <c r="U538" s="127">
        <v>5980</v>
      </c>
      <c r="V538" s="124">
        <v>768.327</v>
      </c>
      <c r="W538" s="127">
        <v>5990</v>
      </c>
      <c r="X538" s="125">
        <v>767.947</v>
      </c>
      <c r="Y538" s="127">
        <v>5990</v>
      </c>
      <c r="Z538" s="125">
        <v>766.37099999999998</v>
      </c>
      <c r="AA538" s="127">
        <v>5990</v>
      </c>
      <c r="AB538" s="125">
        <v>766.43100000000004</v>
      </c>
      <c r="AC538" s="127">
        <v>5980</v>
      </c>
      <c r="AD538" s="125">
        <v>690.32100000000003</v>
      </c>
      <c r="AE538" s="127">
        <v>5990</v>
      </c>
      <c r="AF538" s="125">
        <v>691.81399999999996</v>
      </c>
      <c r="AG538" s="127">
        <v>5970</v>
      </c>
      <c r="AH538" s="125">
        <v>182.83099999999999</v>
      </c>
      <c r="AI538" s="127">
        <v>5970</v>
      </c>
      <c r="AJ538" s="125">
        <v>191.88300000000001</v>
      </c>
    </row>
    <row r="539" spans="1:36" ht="14.25">
      <c r="A539" s="128">
        <v>6000</v>
      </c>
      <c r="B539" s="124">
        <v>392.89100000000002</v>
      </c>
      <c r="C539" s="128">
        <v>6010</v>
      </c>
      <c r="D539" s="125">
        <v>389.98200000000003</v>
      </c>
      <c r="E539" s="126">
        <v>6000</v>
      </c>
      <c r="F539" s="125">
        <v>875.14200000000005</v>
      </c>
      <c r="G539" s="127">
        <v>6000</v>
      </c>
      <c r="H539" s="125">
        <v>874.92100000000005</v>
      </c>
      <c r="I539" s="127">
        <v>6000</v>
      </c>
      <c r="J539" s="125">
        <v>766.74099999999999</v>
      </c>
      <c r="K539" s="127">
        <v>6000</v>
      </c>
      <c r="L539" s="125">
        <v>766.33399999999995</v>
      </c>
      <c r="M539" s="127">
        <v>6000</v>
      </c>
      <c r="N539" s="125">
        <v>766.57500000000005</v>
      </c>
      <c r="O539" s="127">
        <v>5980</v>
      </c>
      <c r="P539" s="125">
        <v>767.70600000000002</v>
      </c>
      <c r="Q539" s="127">
        <v>6000</v>
      </c>
      <c r="R539" s="125">
        <v>767.31100000000004</v>
      </c>
      <c r="S539" s="127">
        <v>6000</v>
      </c>
      <c r="T539" s="125">
        <v>767.94399999999996</v>
      </c>
      <c r="U539" s="127">
        <v>5990</v>
      </c>
      <c r="V539" s="124">
        <v>767.11699999999996</v>
      </c>
      <c r="W539" s="127">
        <v>6000</v>
      </c>
      <c r="X539" s="125">
        <v>766.73599999999999</v>
      </c>
      <c r="Y539" s="127">
        <v>6000</v>
      </c>
      <c r="Z539" s="125">
        <v>765.16</v>
      </c>
      <c r="AA539" s="127">
        <v>6000</v>
      </c>
      <c r="AB539" s="125">
        <v>765.221</v>
      </c>
      <c r="AC539" s="127">
        <v>5990</v>
      </c>
      <c r="AD539" s="125">
        <v>689.11</v>
      </c>
      <c r="AE539" s="127">
        <v>6000</v>
      </c>
      <c r="AF539" s="125">
        <v>690.60400000000004</v>
      </c>
      <c r="AG539" s="127">
        <v>5980</v>
      </c>
      <c r="AH539" s="125">
        <v>182.44200000000001</v>
      </c>
      <c r="AI539" s="127">
        <v>5980</v>
      </c>
      <c r="AJ539" s="125">
        <v>191.48</v>
      </c>
    </row>
    <row r="540" spans="1:36" ht="14.25">
      <c r="A540" s="128">
        <v>6010</v>
      </c>
      <c r="B540" s="124">
        <v>392.12299999999999</v>
      </c>
      <c r="C540" s="128">
        <v>6020</v>
      </c>
      <c r="D540" s="125">
        <v>389.21899999999999</v>
      </c>
      <c r="E540" s="126">
        <v>6010</v>
      </c>
      <c r="F540" s="125">
        <v>873.65700000000004</v>
      </c>
      <c r="G540" s="127">
        <v>6010</v>
      </c>
      <c r="H540" s="125">
        <v>873.43899999999996</v>
      </c>
      <c r="I540" s="127">
        <v>6010</v>
      </c>
      <c r="J540" s="125">
        <v>765.529</v>
      </c>
      <c r="K540" s="127">
        <v>6010</v>
      </c>
      <c r="L540" s="125">
        <v>765.12</v>
      </c>
      <c r="M540" s="127">
        <v>6010</v>
      </c>
      <c r="N540" s="125">
        <v>765.36300000000006</v>
      </c>
      <c r="O540" s="127">
        <v>5990</v>
      </c>
      <c r="P540" s="125">
        <v>766.49300000000005</v>
      </c>
      <c r="Q540" s="127">
        <v>6010</v>
      </c>
      <c r="R540" s="125">
        <v>766.09799999999996</v>
      </c>
      <c r="S540" s="127">
        <v>6010</v>
      </c>
      <c r="T540" s="125">
        <v>766.73199999999997</v>
      </c>
      <c r="U540" s="127">
        <v>6000</v>
      </c>
      <c r="V540" s="124">
        <v>765.90700000000004</v>
      </c>
      <c r="W540" s="127">
        <v>6010</v>
      </c>
      <c r="X540" s="125">
        <v>765.52599999999995</v>
      </c>
      <c r="Y540" s="127">
        <v>6010</v>
      </c>
      <c r="Z540" s="125">
        <v>763.94899999999996</v>
      </c>
      <c r="AA540" s="127">
        <v>6010</v>
      </c>
      <c r="AB540" s="125">
        <v>764.01099999999997</v>
      </c>
      <c r="AC540" s="127">
        <v>6000</v>
      </c>
      <c r="AD540" s="125">
        <v>687.9</v>
      </c>
      <c r="AE540" s="127">
        <v>6010</v>
      </c>
      <c r="AF540" s="125">
        <v>689.39400000000001</v>
      </c>
      <c r="AG540" s="127">
        <v>5990</v>
      </c>
      <c r="AH540" s="125">
        <v>182.054</v>
      </c>
      <c r="AI540" s="127">
        <v>5990</v>
      </c>
      <c r="AJ540" s="125">
        <v>191.077</v>
      </c>
    </row>
    <row r="541" spans="1:36" ht="14.25">
      <c r="A541" s="128">
        <v>6020</v>
      </c>
      <c r="B541" s="124">
        <v>391.35500000000002</v>
      </c>
      <c r="C541" s="128">
        <v>6030</v>
      </c>
      <c r="D541" s="125">
        <v>388.45600000000002</v>
      </c>
      <c r="E541" s="126">
        <v>6020</v>
      </c>
      <c r="F541" s="125">
        <v>872.173</v>
      </c>
      <c r="G541" s="127">
        <v>6020</v>
      </c>
      <c r="H541" s="125">
        <v>871.95699999999999</v>
      </c>
      <c r="I541" s="127">
        <v>6020</v>
      </c>
      <c r="J541" s="125">
        <v>764.31600000000003</v>
      </c>
      <c r="K541" s="127">
        <v>6020</v>
      </c>
      <c r="L541" s="125">
        <v>763.90700000000004</v>
      </c>
      <c r="M541" s="127">
        <v>6020</v>
      </c>
      <c r="N541" s="125">
        <v>764.15</v>
      </c>
      <c r="O541" s="127">
        <v>6000</v>
      </c>
      <c r="P541" s="125">
        <v>765.28</v>
      </c>
      <c r="Q541" s="127">
        <v>6020</v>
      </c>
      <c r="R541" s="125">
        <v>764.88599999999997</v>
      </c>
      <c r="S541" s="127">
        <v>6020</v>
      </c>
      <c r="T541" s="125">
        <v>765.51900000000001</v>
      </c>
      <c r="U541" s="127">
        <v>6010</v>
      </c>
      <c r="V541" s="124">
        <v>764.697</v>
      </c>
      <c r="W541" s="127">
        <v>6020</v>
      </c>
      <c r="X541" s="125">
        <v>764.31500000000005</v>
      </c>
      <c r="Y541" s="127">
        <v>6020</v>
      </c>
      <c r="Z541" s="125">
        <v>762.73800000000006</v>
      </c>
      <c r="AA541" s="127">
        <v>6020</v>
      </c>
      <c r="AB541" s="125">
        <v>762.80100000000004</v>
      </c>
      <c r="AC541" s="127">
        <v>6010</v>
      </c>
      <c r="AD541" s="125">
        <v>686.68899999999996</v>
      </c>
      <c r="AE541" s="127">
        <v>6020</v>
      </c>
      <c r="AF541" s="125">
        <v>688.18399999999997</v>
      </c>
      <c r="AG541" s="127">
        <v>6000</v>
      </c>
      <c r="AH541" s="125">
        <v>181.66499999999999</v>
      </c>
      <c r="AI541" s="127">
        <v>6000</v>
      </c>
      <c r="AJ541" s="125">
        <v>190.67400000000001</v>
      </c>
    </row>
    <row r="542" spans="1:36" ht="14.25">
      <c r="A542" s="128">
        <v>6030</v>
      </c>
      <c r="B542" s="124">
        <v>390.58699999999999</v>
      </c>
      <c r="C542" s="128">
        <v>6040</v>
      </c>
      <c r="D542" s="125">
        <v>387.69400000000002</v>
      </c>
      <c r="E542" s="126">
        <v>6030</v>
      </c>
      <c r="F542" s="125">
        <v>870.68799999999999</v>
      </c>
      <c r="G542" s="127">
        <v>6030</v>
      </c>
      <c r="H542" s="129">
        <v>870.476</v>
      </c>
      <c r="I542" s="127">
        <v>6030</v>
      </c>
      <c r="J542" s="125">
        <v>763.10299999999995</v>
      </c>
      <c r="K542" s="127">
        <v>6030</v>
      </c>
      <c r="L542" s="125">
        <v>762.69299999999998</v>
      </c>
      <c r="M542" s="127">
        <v>6030</v>
      </c>
      <c r="N542" s="125">
        <v>762.93799999999999</v>
      </c>
      <c r="O542" s="127">
        <v>6010</v>
      </c>
      <c r="P542" s="125">
        <v>764.06700000000001</v>
      </c>
      <c r="Q542" s="127">
        <v>6030</v>
      </c>
      <c r="R542" s="125">
        <v>763.673</v>
      </c>
      <c r="S542" s="127">
        <v>6030</v>
      </c>
      <c r="T542" s="125">
        <v>764.30700000000002</v>
      </c>
      <c r="U542" s="127">
        <v>6020</v>
      </c>
      <c r="V542" s="124">
        <v>763.48699999999997</v>
      </c>
      <c r="W542" s="127">
        <v>6030</v>
      </c>
      <c r="X542" s="125">
        <v>763.10400000000004</v>
      </c>
      <c r="Y542" s="127">
        <v>6030</v>
      </c>
      <c r="Z542" s="125">
        <v>761.52599999999995</v>
      </c>
      <c r="AA542" s="127">
        <v>6030</v>
      </c>
      <c r="AB542" s="125">
        <v>761.59100000000001</v>
      </c>
      <c r="AC542" s="127">
        <v>6020</v>
      </c>
      <c r="AD542" s="125">
        <v>685.47799999999995</v>
      </c>
      <c r="AE542" s="127">
        <v>6030</v>
      </c>
      <c r="AF542" s="125">
        <v>686.97500000000002</v>
      </c>
      <c r="AG542" s="127">
        <v>6010</v>
      </c>
      <c r="AH542" s="125">
        <v>181.27699999999999</v>
      </c>
      <c r="AI542" s="127">
        <v>6010</v>
      </c>
      <c r="AJ542" s="125">
        <v>190.27199999999999</v>
      </c>
    </row>
    <row r="543" spans="1:36" ht="14.25">
      <c r="A543" s="128">
        <v>6040</v>
      </c>
      <c r="B543" s="124">
        <v>389.82</v>
      </c>
      <c r="C543" s="128">
        <v>6050</v>
      </c>
      <c r="D543" s="125">
        <v>386.93200000000002</v>
      </c>
      <c r="E543" s="126">
        <v>6040</v>
      </c>
      <c r="F543" s="125">
        <v>869.20399999999995</v>
      </c>
      <c r="G543" s="127">
        <v>6040</v>
      </c>
      <c r="H543" s="129">
        <v>868.99400000000003</v>
      </c>
      <c r="I543" s="127">
        <v>6040</v>
      </c>
      <c r="J543" s="125">
        <v>761.89099999999996</v>
      </c>
      <c r="K543" s="127">
        <v>6040</v>
      </c>
      <c r="L543" s="125">
        <v>761.47900000000004</v>
      </c>
      <c r="M543" s="127">
        <v>6040</v>
      </c>
      <c r="N543" s="125">
        <v>761.72500000000002</v>
      </c>
      <c r="O543" s="127">
        <v>6020</v>
      </c>
      <c r="P543" s="125">
        <v>762.85400000000004</v>
      </c>
      <c r="Q543" s="127">
        <v>6040</v>
      </c>
      <c r="R543" s="125">
        <v>762.46</v>
      </c>
      <c r="S543" s="127">
        <v>6040</v>
      </c>
      <c r="T543" s="125">
        <v>763.09500000000003</v>
      </c>
      <c r="U543" s="127">
        <v>6030</v>
      </c>
      <c r="V543" s="124">
        <v>762.27700000000004</v>
      </c>
      <c r="W543" s="127">
        <v>6040</v>
      </c>
      <c r="X543" s="125">
        <v>761.89300000000003</v>
      </c>
      <c r="Y543" s="127">
        <v>6040</v>
      </c>
      <c r="Z543" s="125">
        <v>760.31500000000005</v>
      </c>
      <c r="AA543" s="127">
        <v>6040</v>
      </c>
      <c r="AB543" s="125">
        <v>760.38099999999997</v>
      </c>
      <c r="AC543" s="127">
        <v>6030</v>
      </c>
      <c r="AD543" s="125">
        <v>684.26800000000003</v>
      </c>
      <c r="AE543" s="127">
        <v>6040</v>
      </c>
      <c r="AF543" s="125">
        <v>685.76499999999999</v>
      </c>
      <c r="AG543" s="127">
        <v>6020</v>
      </c>
      <c r="AH543" s="125">
        <v>180.88800000000001</v>
      </c>
      <c r="AI543" s="127">
        <v>6020</v>
      </c>
      <c r="AJ543" s="125">
        <v>189.869</v>
      </c>
    </row>
    <row r="544" spans="1:36" ht="14.25">
      <c r="A544" s="128">
        <v>6050</v>
      </c>
      <c r="B544" s="124">
        <v>389.053</v>
      </c>
      <c r="C544" s="128">
        <v>6060</v>
      </c>
      <c r="D544" s="125">
        <v>386.17</v>
      </c>
      <c r="E544" s="126">
        <v>6050</v>
      </c>
      <c r="F544" s="125">
        <v>867.72</v>
      </c>
      <c r="G544" s="127">
        <v>6050</v>
      </c>
      <c r="H544" s="125">
        <v>867.51300000000003</v>
      </c>
      <c r="I544" s="127">
        <v>6050</v>
      </c>
      <c r="J544" s="125">
        <v>760.678</v>
      </c>
      <c r="K544" s="127">
        <v>6050</v>
      </c>
      <c r="L544" s="125">
        <v>760.26599999999996</v>
      </c>
      <c r="M544" s="127">
        <v>6050</v>
      </c>
      <c r="N544" s="125">
        <v>760.51300000000003</v>
      </c>
      <c r="O544" s="127">
        <v>6030</v>
      </c>
      <c r="P544" s="125">
        <v>761.64200000000005</v>
      </c>
      <c r="Q544" s="127">
        <v>6050</v>
      </c>
      <c r="R544" s="125">
        <v>761.24800000000005</v>
      </c>
      <c r="S544" s="127">
        <v>6050</v>
      </c>
      <c r="T544" s="125">
        <v>761.88300000000004</v>
      </c>
      <c r="U544" s="127">
        <v>6040</v>
      </c>
      <c r="V544" s="124">
        <v>761.06700000000001</v>
      </c>
      <c r="W544" s="127">
        <v>6050</v>
      </c>
      <c r="X544" s="125">
        <v>760.68200000000002</v>
      </c>
      <c r="Y544" s="127">
        <v>6050</v>
      </c>
      <c r="Z544" s="125">
        <v>759.10400000000004</v>
      </c>
      <c r="AA544" s="127">
        <v>6050</v>
      </c>
      <c r="AB544" s="125">
        <v>759.17100000000005</v>
      </c>
      <c r="AC544" s="127">
        <v>6040</v>
      </c>
      <c r="AD544" s="125">
        <v>683.05700000000002</v>
      </c>
      <c r="AE544" s="127">
        <v>6050</v>
      </c>
      <c r="AF544" s="125">
        <v>684.55499999999995</v>
      </c>
      <c r="AG544" s="127">
        <v>6030</v>
      </c>
      <c r="AH544" s="125">
        <v>180.5</v>
      </c>
      <c r="AI544" s="127">
        <v>6030</v>
      </c>
      <c r="AJ544" s="125">
        <v>189.46700000000001</v>
      </c>
    </row>
    <row r="545" spans="1:36" ht="14.25">
      <c r="A545" s="128">
        <v>6060</v>
      </c>
      <c r="B545" s="124">
        <v>388.286</v>
      </c>
      <c r="C545" s="128">
        <v>6070</v>
      </c>
      <c r="D545" s="125">
        <v>385.40800000000002</v>
      </c>
      <c r="E545" s="126">
        <v>6060</v>
      </c>
      <c r="F545" s="125">
        <v>866.23599999999999</v>
      </c>
      <c r="G545" s="127">
        <v>6060</v>
      </c>
      <c r="H545" s="125">
        <v>866.03099999999995</v>
      </c>
      <c r="I545" s="127">
        <v>6060</v>
      </c>
      <c r="J545" s="125">
        <v>759.46500000000003</v>
      </c>
      <c r="K545" s="127">
        <v>6060</v>
      </c>
      <c r="L545" s="125">
        <v>759.05200000000002</v>
      </c>
      <c r="M545" s="127">
        <v>6060</v>
      </c>
      <c r="N545" s="125">
        <v>759.3</v>
      </c>
      <c r="O545" s="127">
        <v>6040</v>
      </c>
      <c r="P545" s="125">
        <v>760.42899999999997</v>
      </c>
      <c r="Q545" s="127">
        <v>6060</v>
      </c>
      <c r="R545" s="125">
        <v>760.03499999999997</v>
      </c>
      <c r="S545" s="127">
        <v>6060</v>
      </c>
      <c r="T545" s="125">
        <v>760.67</v>
      </c>
      <c r="U545" s="127">
        <v>6050</v>
      </c>
      <c r="V545" s="124">
        <v>759.85699999999997</v>
      </c>
      <c r="W545" s="127">
        <v>6060</v>
      </c>
      <c r="X545" s="125">
        <v>759.471</v>
      </c>
      <c r="Y545" s="127">
        <v>6060</v>
      </c>
      <c r="Z545" s="125">
        <v>757.89200000000005</v>
      </c>
      <c r="AA545" s="127">
        <v>6060</v>
      </c>
      <c r="AB545" s="125">
        <v>757.96100000000001</v>
      </c>
      <c r="AC545" s="127">
        <v>6050</v>
      </c>
      <c r="AD545" s="125">
        <v>681.846</v>
      </c>
      <c r="AE545" s="127">
        <v>6060</v>
      </c>
      <c r="AF545" s="125">
        <v>683.34500000000003</v>
      </c>
      <c r="AG545" s="127">
        <v>6040</v>
      </c>
      <c r="AH545" s="125">
        <v>180.11199999999999</v>
      </c>
      <c r="AI545" s="127">
        <v>6040</v>
      </c>
      <c r="AJ545" s="125">
        <v>189.065</v>
      </c>
    </row>
    <row r="546" spans="1:36" ht="14.25">
      <c r="A546" s="128">
        <v>6070</v>
      </c>
      <c r="B546" s="124">
        <v>387.51900000000001</v>
      </c>
      <c r="C546" s="128">
        <v>6080</v>
      </c>
      <c r="D546" s="125">
        <v>384.64600000000002</v>
      </c>
      <c r="E546" s="126">
        <v>6070</v>
      </c>
      <c r="F546" s="125">
        <v>864.75199999999995</v>
      </c>
      <c r="G546" s="127">
        <v>6070</v>
      </c>
      <c r="H546" s="125">
        <v>864.55</v>
      </c>
      <c r="I546" s="127">
        <v>6070</v>
      </c>
      <c r="J546" s="125">
        <v>758.25199999999995</v>
      </c>
      <c r="K546" s="127">
        <v>6070</v>
      </c>
      <c r="L546" s="125">
        <v>757.83799999999997</v>
      </c>
      <c r="M546" s="127">
        <v>6070</v>
      </c>
      <c r="N546" s="125">
        <v>758.08699999999999</v>
      </c>
      <c r="O546" s="127">
        <v>6050</v>
      </c>
      <c r="P546" s="125">
        <v>759.21600000000001</v>
      </c>
      <c r="Q546" s="127">
        <v>6070</v>
      </c>
      <c r="R546" s="125">
        <v>758.822</v>
      </c>
      <c r="S546" s="127">
        <v>6070</v>
      </c>
      <c r="T546" s="125">
        <v>759.45799999999997</v>
      </c>
      <c r="U546" s="127">
        <v>6060</v>
      </c>
      <c r="V546" s="124">
        <v>758.64700000000005</v>
      </c>
      <c r="W546" s="127">
        <v>6070</v>
      </c>
      <c r="X546" s="125">
        <v>758.26</v>
      </c>
      <c r="Y546" s="127">
        <v>6070</v>
      </c>
      <c r="Z546" s="125">
        <v>756.68100000000004</v>
      </c>
      <c r="AA546" s="127">
        <v>6070</v>
      </c>
      <c r="AB546" s="125">
        <v>756.75099999999998</v>
      </c>
      <c r="AC546" s="127">
        <v>6060</v>
      </c>
      <c r="AD546" s="125">
        <v>680.63599999999997</v>
      </c>
      <c r="AE546" s="127">
        <v>6070</v>
      </c>
      <c r="AF546" s="125">
        <v>682.13499999999999</v>
      </c>
      <c r="AG546" s="127">
        <v>6050</v>
      </c>
      <c r="AH546" s="125">
        <v>179.72399999999999</v>
      </c>
      <c r="AI546" s="127">
        <v>6050</v>
      </c>
      <c r="AJ546" s="125">
        <v>188.66200000000001</v>
      </c>
    </row>
    <row r="547" spans="1:36" ht="14.25">
      <c r="A547" s="128">
        <v>6080</v>
      </c>
      <c r="B547" s="124">
        <v>386.75200000000001</v>
      </c>
      <c r="C547" s="128">
        <v>6090</v>
      </c>
      <c r="D547" s="125">
        <v>383.88400000000001</v>
      </c>
      <c r="E547" s="126">
        <v>6080</v>
      </c>
      <c r="F547" s="125">
        <v>863.26900000000001</v>
      </c>
      <c r="G547" s="127">
        <v>6080</v>
      </c>
      <c r="H547" s="125">
        <v>863.06899999999996</v>
      </c>
      <c r="I547" s="127">
        <v>6080</v>
      </c>
      <c r="J547" s="125">
        <v>757.04</v>
      </c>
      <c r="K547" s="127">
        <v>6080</v>
      </c>
      <c r="L547" s="125">
        <v>756.625</v>
      </c>
      <c r="M547" s="127">
        <v>6080</v>
      </c>
      <c r="N547" s="125">
        <v>756.875</v>
      </c>
      <c r="O547" s="127">
        <v>6060</v>
      </c>
      <c r="P547" s="125">
        <v>758.00300000000004</v>
      </c>
      <c r="Q547" s="127">
        <v>6080</v>
      </c>
      <c r="R547" s="125">
        <v>757.61</v>
      </c>
      <c r="S547" s="127">
        <v>6080</v>
      </c>
      <c r="T547" s="125">
        <v>758.24599999999998</v>
      </c>
      <c r="U547" s="127">
        <v>6070</v>
      </c>
      <c r="V547" s="124">
        <v>757.43799999999999</v>
      </c>
      <c r="W547" s="127">
        <v>6080</v>
      </c>
      <c r="X547" s="125">
        <v>757.05</v>
      </c>
      <c r="Y547" s="127">
        <v>6080</v>
      </c>
      <c r="Z547" s="125">
        <v>755.47</v>
      </c>
      <c r="AA547" s="127">
        <v>6080</v>
      </c>
      <c r="AB547" s="125">
        <v>755.54100000000005</v>
      </c>
      <c r="AC547" s="127">
        <v>6070</v>
      </c>
      <c r="AD547" s="125">
        <v>679.42499999999995</v>
      </c>
      <c r="AE547" s="127">
        <v>6080</v>
      </c>
      <c r="AF547" s="125">
        <v>680.92499999999995</v>
      </c>
      <c r="AG547" s="127">
        <v>6060</v>
      </c>
      <c r="AH547" s="125">
        <v>179.33600000000001</v>
      </c>
      <c r="AI547" s="127">
        <v>6060</v>
      </c>
      <c r="AJ547" s="125">
        <v>188.26</v>
      </c>
    </row>
    <row r="548" spans="1:36" ht="14.25">
      <c r="A548" s="128">
        <v>6090</v>
      </c>
      <c r="B548" s="124">
        <v>385.98599999999999</v>
      </c>
      <c r="C548" s="128">
        <v>6100</v>
      </c>
      <c r="D548" s="125">
        <v>383.12299999999999</v>
      </c>
      <c r="E548" s="126">
        <v>6090</v>
      </c>
      <c r="F548" s="125">
        <v>861.78499999999997</v>
      </c>
      <c r="G548" s="127">
        <v>6090</v>
      </c>
      <c r="H548" s="125">
        <v>861.58799999999997</v>
      </c>
      <c r="I548" s="127">
        <v>6090</v>
      </c>
      <c r="J548" s="125">
        <v>755.827</v>
      </c>
      <c r="K548" s="127">
        <v>6090</v>
      </c>
      <c r="L548" s="125">
        <v>755.41099999999994</v>
      </c>
      <c r="M548" s="127">
        <v>6090</v>
      </c>
      <c r="N548" s="125">
        <v>755.66200000000003</v>
      </c>
      <c r="O548" s="127">
        <v>6070</v>
      </c>
      <c r="P548" s="125">
        <v>756.79</v>
      </c>
      <c r="Q548" s="127">
        <v>6090</v>
      </c>
      <c r="R548" s="125">
        <v>756.39700000000005</v>
      </c>
      <c r="S548" s="127">
        <v>6090</v>
      </c>
      <c r="T548" s="125">
        <v>757.03399999999999</v>
      </c>
      <c r="U548" s="127">
        <v>6080</v>
      </c>
      <c r="V548" s="124">
        <v>756.22799999999995</v>
      </c>
      <c r="W548" s="127">
        <v>6090</v>
      </c>
      <c r="X548" s="125">
        <v>755.83900000000006</v>
      </c>
      <c r="Y548" s="127">
        <v>6090</v>
      </c>
      <c r="Z548" s="125">
        <v>754.25800000000004</v>
      </c>
      <c r="AA548" s="127">
        <v>6090</v>
      </c>
      <c r="AB548" s="125">
        <v>754.33100000000002</v>
      </c>
      <c r="AC548" s="127">
        <v>6080</v>
      </c>
      <c r="AD548" s="125">
        <v>678.21400000000006</v>
      </c>
      <c r="AE548" s="127">
        <v>6090</v>
      </c>
      <c r="AF548" s="125">
        <v>679.71600000000001</v>
      </c>
      <c r="AG548" s="127">
        <v>6070</v>
      </c>
      <c r="AH548" s="125">
        <v>178.94800000000001</v>
      </c>
      <c r="AI548" s="127">
        <v>6070</v>
      </c>
      <c r="AJ548" s="125">
        <v>187.858</v>
      </c>
    </row>
    <row r="549" spans="1:36" ht="14.25">
      <c r="A549" s="128">
        <v>6100</v>
      </c>
      <c r="B549" s="124">
        <v>385.21899999999999</v>
      </c>
      <c r="C549" s="128">
        <v>6110</v>
      </c>
      <c r="D549" s="125">
        <v>382.36200000000002</v>
      </c>
      <c r="E549" s="126">
        <v>6100</v>
      </c>
      <c r="F549" s="125">
        <v>860.30100000000004</v>
      </c>
      <c r="G549" s="127">
        <v>6100</v>
      </c>
      <c r="H549" s="125">
        <v>860.10699999999997</v>
      </c>
      <c r="I549" s="127">
        <v>6100</v>
      </c>
      <c r="J549" s="125">
        <v>754.61400000000003</v>
      </c>
      <c r="K549" s="127">
        <v>6100</v>
      </c>
      <c r="L549" s="125">
        <v>754.19799999999998</v>
      </c>
      <c r="M549" s="127">
        <v>6100</v>
      </c>
      <c r="N549" s="125">
        <v>754.45</v>
      </c>
      <c r="O549" s="127">
        <v>6080</v>
      </c>
      <c r="P549" s="125">
        <v>755.577</v>
      </c>
      <c r="Q549" s="127">
        <v>6100</v>
      </c>
      <c r="R549" s="125">
        <v>755.18499999999995</v>
      </c>
      <c r="S549" s="127">
        <v>6100</v>
      </c>
      <c r="T549" s="125">
        <v>755.82100000000003</v>
      </c>
      <c r="U549" s="127">
        <v>6090</v>
      </c>
      <c r="V549" s="124">
        <v>755.01800000000003</v>
      </c>
      <c r="W549" s="127">
        <v>6100</v>
      </c>
      <c r="X549" s="125">
        <v>754.62800000000004</v>
      </c>
      <c r="Y549" s="127">
        <v>6100</v>
      </c>
      <c r="Z549" s="125">
        <v>753.04700000000003</v>
      </c>
      <c r="AA549" s="127">
        <v>6100</v>
      </c>
      <c r="AB549" s="125">
        <v>753.12099999999998</v>
      </c>
      <c r="AC549" s="127">
        <v>6090</v>
      </c>
      <c r="AD549" s="125">
        <v>677.00400000000002</v>
      </c>
      <c r="AE549" s="127">
        <v>6100</v>
      </c>
      <c r="AF549" s="125">
        <v>678.50599999999997</v>
      </c>
      <c r="AG549" s="127">
        <v>6080</v>
      </c>
      <c r="AH549" s="125">
        <v>178.56</v>
      </c>
      <c r="AI549" s="127">
        <v>6080</v>
      </c>
      <c r="AJ549" s="125">
        <v>187.45599999999999</v>
      </c>
    </row>
    <row r="550" spans="1:36" ht="14.25">
      <c r="A550" s="128">
        <v>6110</v>
      </c>
      <c r="B550" s="124">
        <v>384.45299999999997</v>
      </c>
      <c r="C550" s="128">
        <v>6120</v>
      </c>
      <c r="D550" s="125">
        <v>381.601</v>
      </c>
      <c r="E550" s="126">
        <v>6110</v>
      </c>
      <c r="F550" s="125">
        <v>858.81799999999998</v>
      </c>
      <c r="G550" s="127">
        <v>6110</v>
      </c>
      <c r="H550" s="125">
        <v>858.62599999999998</v>
      </c>
      <c r="I550" s="127">
        <v>6110</v>
      </c>
      <c r="J550" s="125">
        <v>753.40200000000004</v>
      </c>
      <c r="K550" s="127">
        <v>6110</v>
      </c>
      <c r="L550" s="125">
        <v>752.98400000000004</v>
      </c>
      <c r="M550" s="127">
        <v>6110</v>
      </c>
      <c r="N550" s="125">
        <v>753.23699999999997</v>
      </c>
      <c r="O550" s="127">
        <v>6090</v>
      </c>
      <c r="P550" s="125">
        <v>754.36500000000001</v>
      </c>
      <c r="Q550" s="127">
        <v>6110</v>
      </c>
      <c r="R550" s="125">
        <v>753.97199999999998</v>
      </c>
      <c r="S550" s="127">
        <v>6110</v>
      </c>
      <c r="T550" s="125">
        <v>754.60900000000004</v>
      </c>
      <c r="U550" s="127">
        <v>6100</v>
      </c>
      <c r="V550" s="124">
        <v>753.80799999999999</v>
      </c>
      <c r="W550" s="127">
        <v>6110</v>
      </c>
      <c r="X550" s="125">
        <v>753.41700000000003</v>
      </c>
      <c r="Y550" s="127">
        <v>6110</v>
      </c>
      <c r="Z550" s="125">
        <v>751.83600000000001</v>
      </c>
      <c r="AA550" s="127">
        <v>6110</v>
      </c>
      <c r="AB550" s="125">
        <v>751.91099999999994</v>
      </c>
      <c r="AC550" s="127">
        <v>6100</v>
      </c>
      <c r="AD550" s="125">
        <v>675.79300000000001</v>
      </c>
      <c r="AE550" s="127">
        <v>6110</v>
      </c>
      <c r="AF550" s="125">
        <v>677.29600000000005</v>
      </c>
      <c r="AG550" s="127">
        <v>6090</v>
      </c>
      <c r="AH550" s="125">
        <v>178.172</v>
      </c>
      <c r="AI550" s="127">
        <v>6090</v>
      </c>
      <c r="AJ550" s="125">
        <v>187.054</v>
      </c>
    </row>
    <row r="551" spans="1:36" ht="14.25">
      <c r="A551" s="128">
        <v>6120</v>
      </c>
      <c r="B551" s="124">
        <v>383.68700000000001</v>
      </c>
      <c r="C551" s="128">
        <v>6130</v>
      </c>
      <c r="D551" s="125">
        <v>380.84</v>
      </c>
      <c r="E551" s="126">
        <v>6120</v>
      </c>
      <c r="F551" s="125">
        <v>857.33500000000004</v>
      </c>
      <c r="G551" s="127">
        <v>6120</v>
      </c>
      <c r="H551" s="125">
        <v>857.14499999999998</v>
      </c>
      <c r="I551" s="127">
        <v>6120</v>
      </c>
      <c r="J551" s="125">
        <v>752.18899999999996</v>
      </c>
      <c r="K551" s="127">
        <v>6120</v>
      </c>
      <c r="L551" s="125">
        <v>751.77</v>
      </c>
      <c r="M551" s="127">
        <v>6120</v>
      </c>
      <c r="N551" s="125">
        <v>752.02499999999998</v>
      </c>
      <c r="O551" s="127">
        <v>6100</v>
      </c>
      <c r="P551" s="125">
        <v>753.15200000000004</v>
      </c>
      <c r="Q551" s="127">
        <v>6120</v>
      </c>
      <c r="R551" s="125">
        <v>752.75900000000001</v>
      </c>
      <c r="S551" s="127">
        <v>6120</v>
      </c>
      <c r="T551" s="125">
        <v>753.39700000000005</v>
      </c>
      <c r="U551" s="127">
        <v>6110</v>
      </c>
      <c r="V551" s="124">
        <v>752.59799999999996</v>
      </c>
      <c r="W551" s="127">
        <v>6120</v>
      </c>
      <c r="X551" s="125">
        <v>752.20600000000002</v>
      </c>
      <c r="Y551" s="127">
        <v>6120</v>
      </c>
      <c r="Z551" s="125">
        <v>750.625</v>
      </c>
      <c r="AA551" s="127">
        <v>6120</v>
      </c>
      <c r="AB551" s="125">
        <v>750.70100000000002</v>
      </c>
      <c r="AC551" s="127">
        <v>6110</v>
      </c>
      <c r="AD551" s="125">
        <v>674.58199999999999</v>
      </c>
      <c r="AE551" s="127">
        <v>6120</v>
      </c>
      <c r="AF551" s="125">
        <v>676.08600000000001</v>
      </c>
      <c r="AG551" s="127">
        <v>6100</v>
      </c>
      <c r="AH551" s="125">
        <v>177.785</v>
      </c>
      <c r="AI551" s="127">
        <v>6100</v>
      </c>
      <c r="AJ551" s="125">
        <v>186.65299999999999</v>
      </c>
    </row>
    <row r="552" spans="1:36" ht="14.25">
      <c r="A552" s="128">
        <v>6130</v>
      </c>
      <c r="B552" s="124">
        <v>382.92200000000003</v>
      </c>
      <c r="C552" s="128">
        <v>6140</v>
      </c>
      <c r="D552" s="125">
        <v>380.08</v>
      </c>
      <c r="E552" s="126">
        <v>6130</v>
      </c>
      <c r="F552" s="125">
        <v>855.85199999999998</v>
      </c>
      <c r="G552" s="127">
        <v>6130</v>
      </c>
      <c r="H552" s="125">
        <v>855.66499999999996</v>
      </c>
      <c r="I552" s="127">
        <v>6130</v>
      </c>
      <c r="J552" s="125">
        <v>750.976</v>
      </c>
      <c r="K552" s="127">
        <v>6130</v>
      </c>
      <c r="L552" s="125">
        <v>750.55700000000002</v>
      </c>
      <c r="M552" s="127">
        <v>6130</v>
      </c>
      <c r="N552" s="125">
        <v>750.81200000000001</v>
      </c>
      <c r="O552" s="127">
        <v>6110</v>
      </c>
      <c r="P552" s="125">
        <v>751.93899999999996</v>
      </c>
      <c r="Q552" s="127">
        <v>6130</v>
      </c>
      <c r="R552" s="125">
        <v>751.54700000000003</v>
      </c>
      <c r="S552" s="127">
        <v>6130</v>
      </c>
      <c r="T552" s="125">
        <v>752.18499999999995</v>
      </c>
      <c r="U552" s="127">
        <v>6120</v>
      </c>
      <c r="V552" s="124">
        <v>751.38800000000003</v>
      </c>
      <c r="W552" s="127">
        <v>6130</v>
      </c>
      <c r="X552" s="125">
        <v>750.995</v>
      </c>
      <c r="Y552" s="127">
        <v>6130</v>
      </c>
      <c r="Z552" s="125">
        <v>749.41300000000001</v>
      </c>
      <c r="AA552" s="127">
        <v>6130</v>
      </c>
      <c r="AB552" s="125">
        <v>749.49099999999999</v>
      </c>
      <c r="AC552" s="127">
        <v>6120</v>
      </c>
      <c r="AD552" s="125">
        <v>673.37199999999996</v>
      </c>
      <c r="AE552" s="127">
        <v>6130</v>
      </c>
      <c r="AF552" s="125">
        <v>674.87599999999998</v>
      </c>
      <c r="AG552" s="127">
        <v>6110</v>
      </c>
      <c r="AH552" s="125">
        <v>177.39699999999999</v>
      </c>
      <c r="AI552" s="127">
        <v>6110</v>
      </c>
      <c r="AJ552" s="125">
        <v>186.251</v>
      </c>
    </row>
    <row r="553" spans="1:36" ht="14.25">
      <c r="A553" s="128">
        <v>6140</v>
      </c>
      <c r="B553" s="124">
        <v>382.15600000000001</v>
      </c>
      <c r="C553" s="128">
        <v>6150</v>
      </c>
      <c r="D553" s="125">
        <v>379.31900000000002</v>
      </c>
      <c r="E553" s="126">
        <v>6140</v>
      </c>
      <c r="F553" s="125">
        <v>854.36900000000003</v>
      </c>
      <c r="G553" s="127">
        <v>6140</v>
      </c>
      <c r="H553" s="125">
        <v>854.18399999999997</v>
      </c>
      <c r="I553" s="127">
        <v>6140</v>
      </c>
      <c r="J553" s="125">
        <v>749.76400000000001</v>
      </c>
      <c r="K553" s="127">
        <v>6140</v>
      </c>
      <c r="L553" s="125">
        <v>749.34299999999996</v>
      </c>
      <c r="M553" s="127">
        <v>6140</v>
      </c>
      <c r="N553" s="125">
        <v>749.6</v>
      </c>
      <c r="O553" s="127">
        <v>6120</v>
      </c>
      <c r="P553" s="125">
        <v>750.726</v>
      </c>
      <c r="Q553" s="127">
        <v>6140</v>
      </c>
      <c r="R553" s="125">
        <v>750.33399999999995</v>
      </c>
      <c r="S553" s="127">
        <v>6140</v>
      </c>
      <c r="T553" s="125">
        <v>750.97299999999996</v>
      </c>
      <c r="U553" s="127">
        <v>6130</v>
      </c>
      <c r="V553" s="124">
        <v>750.178</v>
      </c>
      <c r="W553" s="127">
        <v>6140</v>
      </c>
      <c r="X553" s="125">
        <v>749.78399999999999</v>
      </c>
      <c r="Y553" s="127">
        <v>6140</v>
      </c>
      <c r="Z553" s="125">
        <v>748.202</v>
      </c>
      <c r="AA553" s="127">
        <v>6140</v>
      </c>
      <c r="AB553" s="125">
        <v>748.28099999999995</v>
      </c>
      <c r="AC553" s="127">
        <v>6130</v>
      </c>
      <c r="AD553" s="125">
        <v>672.16099999999994</v>
      </c>
      <c r="AE553" s="127">
        <v>6140</v>
      </c>
      <c r="AF553" s="125">
        <v>673.66700000000003</v>
      </c>
      <c r="AG553" s="127">
        <v>6120</v>
      </c>
      <c r="AH553" s="125">
        <v>177.01</v>
      </c>
      <c r="AI553" s="127">
        <v>6120</v>
      </c>
      <c r="AJ553" s="125">
        <v>185.84899999999999</v>
      </c>
    </row>
    <row r="554" spans="1:36" ht="14.25">
      <c r="A554" s="128">
        <v>6150</v>
      </c>
      <c r="B554" s="124">
        <v>381.39100000000002</v>
      </c>
      <c r="C554" s="128">
        <v>6160</v>
      </c>
      <c r="D554" s="125">
        <v>378.55900000000003</v>
      </c>
      <c r="E554" s="126">
        <v>6150</v>
      </c>
      <c r="F554" s="125">
        <v>852.88599999999997</v>
      </c>
      <c r="G554" s="127">
        <v>6150</v>
      </c>
      <c r="H554" s="125">
        <v>852.70399999999995</v>
      </c>
      <c r="I554" s="127">
        <v>6150</v>
      </c>
      <c r="J554" s="125">
        <v>748.55100000000004</v>
      </c>
      <c r="K554" s="127">
        <v>6150</v>
      </c>
      <c r="L554" s="125">
        <v>748.13</v>
      </c>
      <c r="M554" s="127">
        <v>6150</v>
      </c>
      <c r="N554" s="125">
        <v>748.38699999999994</v>
      </c>
      <c r="O554" s="127">
        <v>6130</v>
      </c>
      <c r="P554" s="125">
        <v>749.51300000000003</v>
      </c>
      <c r="Q554" s="127">
        <v>6150</v>
      </c>
      <c r="R554" s="125">
        <v>749.12099999999998</v>
      </c>
      <c r="S554" s="127">
        <v>6150</v>
      </c>
      <c r="T554" s="125">
        <v>749.76</v>
      </c>
      <c r="U554" s="127">
        <v>6140</v>
      </c>
      <c r="V554" s="124">
        <v>748.96799999999996</v>
      </c>
      <c r="W554" s="127">
        <v>6150</v>
      </c>
      <c r="X554" s="125">
        <v>748.57299999999998</v>
      </c>
      <c r="Y554" s="127">
        <v>6150</v>
      </c>
      <c r="Z554" s="125">
        <v>746.99099999999999</v>
      </c>
      <c r="AA554" s="127">
        <v>6150</v>
      </c>
      <c r="AB554" s="125">
        <v>747.07100000000003</v>
      </c>
      <c r="AC554" s="127">
        <v>6140</v>
      </c>
      <c r="AD554" s="125">
        <v>670.95</v>
      </c>
      <c r="AE554" s="127">
        <v>6150</v>
      </c>
      <c r="AF554" s="125">
        <v>672.45699999999999</v>
      </c>
      <c r="AG554" s="127">
        <v>6130</v>
      </c>
      <c r="AH554" s="125">
        <v>176.62200000000001</v>
      </c>
      <c r="AI554" s="127">
        <v>6130</v>
      </c>
      <c r="AJ554" s="125">
        <v>185.44800000000001</v>
      </c>
    </row>
    <row r="555" spans="1:36" ht="14.25">
      <c r="A555" s="128">
        <v>6160</v>
      </c>
      <c r="B555" s="124">
        <v>380.62599999999998</v>
      </c>
      <c r="C555" s="128">
        <v>6170</v>
      </c>
      <c r="D555" s="125">
        <v>377.79899999999998</v>
      </c>
      <c r="E555" s="126">
        <v>6160</v>
      </c>
      <c r="F555" s="125">
        <v>851.40300000000002</v>
      </c>
      <c r="G555" s="127">
        <v>6160</v>
      </c>
      <c r="H555" s="125">
        <v>851.22299999999996</v>
      </c>
      <c r="I555" s="127">
        <v>6160</v>
      </c>
      <c r="J555" s="125">
        <v>747.33799999999997</v>
      </c>
      <c r="K555" s="127">
        <v>6160</v>
      </c>
      <c r="L555" s="125">
        <v>746.91600000000005</v>
      </c>
      <c r="M555" s="127">
        <v>6160</v>
      </c>
      <c r="N555" s="125">
        <v>747.17499999999995</v>
      </c>
      <c r="O555" s="127">
        <v>6140</v>
      </c>
      <c r="P555" s="125">
        <v>748.30100000000004</v>
      </c>
      <c r="Q555" s="127">
        <v>6160</v>
      </c>
      <c r="R555" s="125">
        <v>747.90899999999999</v>
      </c>
      <c r="S555" s="127">
        <v>6160</v>
      </c>
      <c r="T555" s="125">
        <v>748.548</v>
      </c>
      <c r="U555" s="127">
        <v>6150</v>
      </c>
      <c r="V555" s="124">
        <v>747.75800000000004</v>
      </c>
      <c r="W555" s="127">
        <v>6160</v>
      </c>
      <c r="X555" s="125">
        <v>747.36300000000006</v>
      </c>
      <c r="Y555" s="127">
        <v>6160</v>
      </c>
      <c r="Z555" s="125">
        <v>745.78</v>
      </c>
      <c r="AA555" s="127">
        <v>6160</v>
      </c>
      <c r="AB555" s="125">
        <v>745.86099999999999</v>
      </c>
      <c r="AC555" s="127">
        <v>6150</v>
      </c>
      <c r="AD555" s="125">
        <v>669.74</v>
      </c>
      <c r="AE555" s="127">
        <v>6160</v>
      </c>
      <c r="AF555" s="125">
        <v>671.24699999999996</v>
      </c>
      <c r="AG555" s="127">
        <v>6140</v>
      </c>
      <c r="AH555" s="125">
        <v>176.23500000000001</v>
      </c>
      <c r="AI555" s="127">
        <v>6140</v>
      </c>
      <c r="AJ555" s="125">
        <v>185.04599999999999</v>
      </c>
    </row>
    <row r="556" spans="1:36" ht="14.25">
      <c r="A556" s="128">
        <v>6170</v>
      </c>
      <c r="B556" s="124">
        <v>379.86099999999999</v>
      </c>
      <c r="C556" s="128">
        <v>6180</v>
      </c>
      <c r="D556" s="125">
        <v>377.03899999999999</v>
      </c>
      <c r="E556" s="126">
        <v>6170</v>
      </c>
      <c r="F556" s="125">
        <v>849.92100000000005</v>
      </c>
      <c r="G556" s="127">
        <v>6170</v>
      </c>
      <c r="H556" s="125">
        <v>849.74300000000005</v>
      </c>
      <c r="I556" s="127">
        <v>6170</v>
      </c>
      <c r="J556" s="125">
        <v>746.12599999999998</v>
      </c>
      <c r="K556" s="127">
        <v>6170</v>
      </c>
      <c r="L556" s="125">
        <v>745.702</v>
      </c>
      <c r="M556" s="127">
        <v>6170</v>
      </c>
      <c r="N556" s="125">
        <v>745.96199999999999</v>
      </c>
      <c r="O556" s="127">
        <v>6150</v>
      </c>
      <c r="P556" s="125">
        <v>747.08799999999997</v>
      </c>
      <c r="Q556" s="127">
        <v>6170</v>
      </c>
      <c r="R556" s="125">
        <v>746.69600000000003</v>
      </c>
      <c r="S556" s="127">
        <v>6170</v>
      </c>
      <c r="T556" s="125">
        <v>747.33600000000001</v>
      </c>
      <c r="U556" s="127">
        <v>6160</v>
      </c>
      <c r="V556" s="124">
        <v>746.548</v>
      </c>
      <c r="W556" s="127">
        <v>6170</v>
      </c>
      <c r="X556" s="125">
        <v>746.15200000000004</v>
      </c>
      <c r="Y556" s="127">
        <v>6170</v>
      </c>
      <c r="Z556" s="125">
        <v>744.56799999999998</v>
      </c>
      <c r="AA556" s="127">
        <v>6170</v>
      </c>
      <c r="AB556" s="125">
        <v>744.65099999999995</v>
      </c>
      <c r="AC556" s="127">
        <v>6160</v>
      </c>
      <c r="AD556" s="125">
        <v>668.529</v>
      </c>
      <c r="AE556" s="127">
        <v>6170</v>
      </c>
      <c r="AF556" s="125">
        <v>670.03700000000003</v>
      </c>
      <c r="AG556" s="127">
        <v>6150</v>
      </c>
      <c r="AH556" s="125">
        <v>175.84800000000001</v>
      </c>
      <c r="AI556" s="127">
        <v>6150</v>
      </c>
      <c r="AJ556" s="125">
        <v>184.64500000000001</v>
      </c>
    </row>
    <row r="557" spans="1:36" ht="14.25">
      <c r="A557" s="128">
        <v>6180</v>
      </c>
      <c r="B557" s="124">
        <v>379.096</v>
      </c>
      <c r="C557" s="128">
        <v>6190</v>
      </c>
      <c r="D557" s="125">
        <v>376.279</v>
      </c>
      <c r="E557" s="126">
        <v>6180</v>
      </c>
      <c r="F557" s="125">
        <v>848.43799999999999</v>
      </c>
      <c r="G557" s="127">
        <v>6180</v>
      </c>
      <c r="H557" s="125">
        <v>848.26300000000003</v>
      </c>
      <c r="I557" s="127">
        <v>6180</v>
      </c>
      <c r="J557" s="125">
        <v>744.91300000000001</v>
      </c>
      <c r="K557" s="127">
        <v>6180</v>
      </c>
      <c r="L557" s="125">
        <v>744.48900000000003</v>
      </c>
      <c r="M557" s="127">
        <v>6180</v>
      </c>
      <c r="N557" s="125">
        <v>744.75</v>
      </c>
      <c r="O557" s="127">
        <v>6160</v>
      </c>
      <c r="P557" s="125">
        <v>745.875</v>
      </c>
      <c r="Q557" s="127">
        <v>6180</v>
      </c>
      <c r="R557" s="125">
        <v>745.48400000000004</v>
      </c>
      <c r="S557" s="127">
        <v>6180</v>
      </c>
      <c r="T557" s="125">
        <v>746.12400000000002</v>
      </c>
      <c r="U557" s="127">
        <v>6170</v>
      </c>
      <c r="V557" s="124">
        <v>745.33799999999997</v>
      </c>
      <c r="W557" s="127">
        <v>6180</v>
      </c>
      <c r="X557" s="125">
        <v>744.94100000000003</v>
      </c>
      <c r="Y557" s="127">
        <v>6180</v>
      </c>
      <c r="Z557" s="125">
        <v>743.35699999999997</v>
      </c>
      <c r="AA557" s="127">
        <v>6180</v>
      </c>
      <c r="AB557" s="125">
        <v>743.44100000000003</v>
      </c>
      <c r="AC557" s="127">
        <v>6170</v>
      </c>
      <c r="AD557" s="125">
        <v>667.31799999999998</v>
      </c>
      <c r="AE557" s="127">
        <v>6180</v>
      </c>
      <c r="AF557" s="125">
        <v>668.827</v>
      </c>
      <c r="AG557" s="127">
        <v>6160</v>
      </c>
      <c r="AH557" s="125">
        <v>175.46100000000001</v>
      </c>
      <c r="AI557" s="127">
        <v>6160</v>
      </c>
      <c r="AJ557" s="125">
        <v>184.244</v>
      </c>
    </row>
    <row r="558" spans="1:36" ht="14.25">
      <c r="A558" s="128">
        <v>6190</v>
      </c>
      <c r="B558" s="124">
        <v>378.33100000000002</v>
      </c>
      <c r="C558" s="128">
        <v>6200</v>
      </c>
      <c r="D558" s="125">
        <v>375.52</v>
      </c>
      <c r="E558" s="126">
        <v>6190</v>
      </c>
      <c r="F558" s="125">
        <v>846.95600000000002</v>
      </c>
      <c r="G558" s="127">
        <v>6190</v>
      </c>
      <c r="H558" s="125">
        <v>846.78300000000002</v>
      </c>
      <c r="I558" s="127">
        <v>6190</v>
      </c>
      <c r="J558" s="125">
        <v>743.70100000000002</v>
      </c>
      <c r="K558" s="127">
        <v>6190</v>
      </c>
      <c r="L558" s="125">
        <v>743.27499999999998</v>
      </c>
      <c r="M558" s="127">
        <v>6190</v>
      </c>
      <c r="N558" s="125">
        <v>743.53700000000003</v>
      </c>
      <c r="O558" s="127">
        <v>6170</v>
      </c>
      <c r="P558" s="125">
        <v>744.66200000000003</v>
      </c>
      <c r="Q558" s="127">
        <v>6190</v>
      </c>
      <c r="R558" s="125">
        <v>744.27099999999996</v>
      </c>
      <c r="S558" s="127">
        <v>6190</v>
      </c>
      <c r="T558" s="125">
        <v>744.91099999999994</v>
      </c>
      <c r="U558" s="127">
        <v>6180</v>
      </c>
      <c r="V558" s="124">
        <v>744.12800000000004</v>
      </c>
      <c r="W558" s="127">
        <v>6190</v>
      </c>
      <c r="X558" s="125">
        <v>743.73</v>
      </c>
      <c r="Y558" s="127">
        <v>6190</v>
      </c>
      <c r="Z558" s="125">
        <v>742.14599999999996</v>
      </c>
      <c r="AA558" s="127">
        <v>6190</v>
      </c>
      <c r="AB558" s="125">
        <v>742.23099999999999</v>
      </c>
      <c r="AC558" s="127">
        <v>6180</v>
      </c>
      <c r="AD558" s="125">
        <v>666.10799999999995</v>
      </c>
      <c r="AE558" s="127">
        <v>6190</v>
      </c>
      <c r="AF558" s="125">
        <v>667.61800000000005</v>
      </c>
      <c r="AG558" s="127">
        <v>6170</v>
      </c>
      <c r="AH558" s="125">
        <v>175.07400000000001</v>
      </c>
      <c r="AI558" s="127">
        <v>6170</v>
      </c>
      <c r="AJ558" s="125">
        <v>183.84200000000001</v>
      </c>
    </row>
    <row r="559" spans="1:36" ht="14.25">
      <c r="A559" s="128">
        <v>6200</v>
      </c>
      <c r="B559" s="124">
        <v>377.56700000000001</v>
      </c>
      <c r="C559" s="128">
        <v>6210</v>
      </c>
      <c r="D559" s="125">
        <v>374.76100000000002</v>
      </c>
      <c r="E559" s="126">
        <v>6200</v>
      </c>
      <c r="F559" s="125">
        <v>845.47400000000005</v>
      </c>
      <c r="G559" s="127">
        <v>6200</v>
      </c>
      <c r="H559" s="125">
        <v>845.303</v>
      </c>
      <c r="I559" s="127">
        <v>6200</v>
      </c>
      <c r="J559" s="125">
        <v>742.48800000000006</v>
      </c>
      <c r="K559" s="127">
        <v>6200</v>
      </c>
      <c r="L559" s="125">
        <v>742.06200000000001</v>
      </c>
      <c r="M559" s="127">
        <v>6200</v>
      </c>
      <c r="N559" s="125">
        <v>742.32399999999996</v>
      </c>
      <c r="O559" s="127">
        <v>6180</v>
      </c>
      <c r="P559" s="125">
        <v>743.44899999999996</v>
      </c>
      <c r="Q559" s="127">
        <v>6200</v>
      </c>
      <c r="R559" s="125">
        <v>743.05799999999999</v>
      </c>
      <c r="S559" s="127">
        <v>6200</v>
      </c>
      <c r="T559" s="125">
        <v>743.69899999999996</v>
      </c>
      <c r="U559" s="127">
        <v>6190</v>
      </c>
      <c r="V559" s="124">
        <v>742.91800000000001</v>
      </c>
      <c r="W559" s="127">
        <v>6200</v>
      </c>
      <c r="X559" s="125">
        <v>742.51900000000001</v>
      </c>
      <c r="Y559" s="127">
        <v>6200</v>
      </c>
      <c r="Z559" s="125">
        <v>740.93399999999997</v>
      </c>
      <c r="AA559" s="127">
        <v>6200</v>
      </c>
      <c r="AB559" s="125">
        <v>741.02099999999996</v>
      </c>
      <c r="AC559" s="127">
        <v>6190</v>
      </c>
      <c r="AD559" s="125">
        <v>664.89700000000005</v>
      </c>
      <c r="AE559" s="127">
        <v>6200</v>
      </c>
      <c r="AF559" s="125">
        <v>666.40800000000002</v>
      </c>
      <c r="AG559" s="127">
        <v>6180</v>
      </c>
      <c r="AH559" s="125">
        <v>174.68700000000001</v>
      </c>
      <c r="AI559" s="127">
        <v>6180</v>
      </c>
      <c r="AJ559" s="125">
        <v>183.441</v>
      </c>
    </row>
    <row r="560" spans="1:36" ht="14.25">
      <c r="A560" s="128">
        <v>6210</v>
      </c>
      <c r="B560" s="124">
        <v>376.803</v>
      </c>
      <c r="C560" s="128">
        <v>6220</v>
      </c>
      <c r="D560" s="125">
        <v>374.00200000000001</v>
      </c>
      <c r="E560" s="126">
        <v>6210</v>
      </c>
      <c r="F560" s="125">
        <v>843.99099999999999</v>
      </c>
      <c r="G560" s="127">
        <v>6210</v>
      </c>
      <c r="H560" s="125">
        <v>843.82399999999996</v>
      </c>
      <c r="I560" s="127">
        <v>6210</v>
      </c>
      <c r="J560" s="125">
        <v>741.27499999999998</v>
      </c>
      <c r="K560" s="127">
        <v>6210</v>
      </c>
      <c r="L560" s="125">
        <v>740.84799999999996</v>
      </c>
      <c r="M560" s="127">
        <v>6210</v>
      </c>
      <c r="N560" s="125">
        <v>741.11199999999997</v>
      </c>
      <c r="O560" s="127">
        <v>6190</v>
      </c>
      <c r="P560" s="125">
        <v>742.23699999999997</v>
      </c>
      <c r="Q560" s="127">
        <v>6210</v>
      </c>
      <c r="R560" s="125">
        <v>741.846</v>
      </c>
      <c r="S560" s="127">
        <v>6210</v>
      </c>
      <c r="T560" s="125">
        <v>742.48699999999997</v>
      </c>
      <c r="U560" s="127">
        <v>6200</v>
      </c>
      <c r="V560" s="124">
        <v>741.70799999999997</v>
      </c>
      <c r="W560" s="127">
        <v>6210</v>
      </c>
      <c r="X560" s="125">
        <v>741.30799999999999</v>
      </c>
      <c r="Y560" s="127">
        <v>6210</v>
      </c>
      <c r="Z560" s="125">
        <v>739.72299999999996</v>
      </c>
      <c r="AA560" s="127">
        <v>6210</v>
      </c>
      <c r="AB560" s="125">
        <v>739.81100000000004</v>
      </c>
      <c r="AC560" s="127">
        <v>6200</v>
      </c>
      <c r="AD560" s="125">
        <v>663.68600000000004</v>
      </c>
      <c r="AE560" s="127">
        <v>6210</v>
      </c>
      <c r="AF560" s="125">
        <v>665.19799999999998</v>
      </c>
      <c r="AG560" s="127">
        <v>6190</v>
      </c>
      <c r="AH560" s="125">
        <v>174.3</v>
      </c>
      <c r="AI560" s="127">
        <v>6190</v>
      </c>
      <c r="AJ560" s="125">
        <v>183.04</v>
      </c>
    </row>
    <row r="561" spans="1:36" ht="14.25">
      <c r="A561" s="128">
        <v>6220</v>
      </c>
      <c r="B561" s="124">
        <v>376.03899999999999</v>
      </c>
      <c r="C561" s="128">
        <v>6230</v>
      </c>
      <c r="D561" s="125">
        <v>373.24299999999999</v>
      </c>
      <c r="E561" s="126">
        <v>6220</v>
      </c>
      <c r="F561" s="125">
        <v>842.50900000000001</v>
      </c>
      <c r="G561" s="127">
        <v>6220</v>
      </c>
      <c r="H561" s="125">
        <v>842.34400000000005</v>
      </c>
      <c r="I561" s="127">
        <v>6220</v>
      </c>
      <c r="J561" s="125">
        <v>740.06299999999999</v>
      </c>
      <c r="K561" s="127">
        <v>6220</v>
      </c>
      <c r="L561" s="125">
        <v>739.63400000000001</v>
      </c>
      <c r="M561" s="127">
        <v>6220</v>
      </c>
      <c r="N561" s="125">
        <v>739.899</v>
      </c>
      <c r="O561" s="127">
        <v>6200</v>
      </c>
      <c r="P561" s="125">
        <v>741.024</v>
      </c>
      <c r="Q561" s="127">
        <v>6220</v>
      </c>
      <c r="R561" s="125">
        <v>740.63300000000004</v>
      </c>
      <c r="S561" s="127">
        <v>6220</v>
      </c>
      <c r="T561" s="125">
        <v>741.27499999999998</v>
      </c>
      <c r="U561" s="127">
        <v>6210</v>
      </c>
      <c r="V561" s="124">
        <v>740.49800000000005</v>
      </c>
      <c r="W561" s="127">
        <v>6220</v>
      </c>
      <c r="X561" s="125">
        <v>740.09699999999998</v>
      </c>
      <c r="Y561" s="127">
        <v>6220</v>
      </c>
      <c r="Z561" s="125">
        <v>738.51199999999994</v>
      </c>
      <c r="AA561" s="127">
        <v>6220</v>
      </c>
      <c r="AB561" s="125">
        <v>738.601</v>
      </c>
      <c r="AC561" s="127">
        <v>6210</v>
      </c>
      <c r="AD561" s="125">
        <v>662.476</v>
      </c>
      <c r="AE561" s="127">
        <v>6220</v>
      </c>
      <c r="AF561" s="125">
        <v>663.98800000000006</v>
      </c>
      <c r="AG561" s="127">
        <v>6200</v>
      </c>
      <c r="AH561" s="125">
        <v>173.91300000000001</v>
      </c>
      <c r="AI561" s="127">
        <v>6200</v>
      </c>
      <c r="AJ561" s="125">
        <v>182.63900000000001</v>
      </c>
    </row>
    <row r="562" spans="1:36" ht="14.25">
      <c r="A562" s="128">
        <v>6230</v>
      </c>
      <c r="B562" s="124">
        <v>375.27499999999998</v>
      </c>
      <c r="C562" s="128">
        <v>6240</v>
      </c>
      <c r="D562" s="125">
        <v>372.48399999999998</v>
      </c>
      <c r="E562" s="126">
        <v>6230</v>
      </c>
      <c r="F562" s="125">
        <v>841.02800000000002</v>
      </c>
      <c r="G562" s="127">
        <v>6230</v>
      </c>
      <c r="H562" s="125">
        <v>840.86500000000001</v>
      </c>
      <c r="I562" s="127">
        <v>6230</v>
      </c>
      <c r="J562" s="125">
        <v>738.85</v>
      </c>
      <c r="K562" s="127">
        <v>6230</v>
      </c>
      <c r="L562" s="125">
        <v>738.42100000000005</v>
      </c>
      <c r="M562" s="127">
        <v>6230</v>
      </c>
      <c r="N562" s="125">
        <v>738.68700000000001</v>
      </c>
      <c r="O562" s="127">
        <v>6210</v>
      </c>
      <c r="P562" s="125">
        <v>739.81100000000004</v>
      </c>
      <c r="Q562" s="127">
        <v>6230</v>
      </c>
      <c r="R562" s="125">
        <v>739.42100000000005</v>
      </c>
      <c r="S562" s="127">
        <v>6230</v>
      </c>
      <c r="T562" s="125">
        <v>740.06299999999999</v>
      </c>
      <c r="U562" s="127">
        <v>6220</v>
      </c>
      <c r="V562" s="124">
        <v>739.28800000000001</v>
      </c>
      <c r="W562" s="127">
        <v>6230</v>
      </c>
      <c r="X562" s="125">
        <v>738.88599999999997</v>
      </c>
      <c r="Y562" s="127">
        <v>6230</v>
      </c>
      <c r="Z562" s="125">
        <v>737.30100000000004</v>
      </c>
      <c r="AA562" s="127">
        <v>6230</v>
      </c>
      <c r="AB562" s="125">
        <v>737.39099999999996</v>
      </c>
      <c r="AC562" s="127">
        <v>6220</v>
      </c>
      <c r="AD562" s="125">
        <v>661.26499999999999</v>
      </c>
      <c r="AE562" s="127">
        <v>6230</v>
      </c>
      <c r="AF562" s="125">
        <v>662.77800000000002</v>
      </c>
      <c r="AG562" s="127">
        <v>6210</v>
      </c>
      <c r="AH562" s="125">
        <v>173.52699999999999</v>
      </c>
      <c r="AI562" s="127">
        <v>6210</v>
      </c>
      <c r="AJ562" s="125">
        <v>182.238</v>
      </c>
    </row>
    <row r="563" spans="1:36" ht="14.25">
      <c r="A563" s="128">
        <v>6240</v>
      </c>
      <c r="B563" s="124">
        <v>374.512</v>
      </c>
      <c r="C563" s="128">
        <v>6250</v>
      </c>
      <c r="D563" s="125">
        <v>371.726</v>
      </c>
      <c r="E563" s="126">
        <v>6240</v>
      </c>
      <c r="F563" s="125">
        <v>839.54600000000005</v>
      </c>
      <c r="G563" s="127">
        <v>6240</v>
      </c>
      <c r="H563" s="125">
        <v>839.38499999999999</v>
      </c>
      <c r="I563" s="127">
        <v>6240</v>
      </c>
      <c r="J563" s="125">
        <v>737.63699999999994</v>
      </c>
      <c r="K563" s="127">
        <v>6240</v>
      </c>
      <c r="L563" s="125">
        <v>737.20699999999999</v>
      </c>
      <c r="M563" s="127">
        <v>6240</v>
      </c>
      <c r="N563" s="125">
        <v>737.47400000000005</v>
      </c>
      <c r="O563" s="127">
        <v>6220</v>
      </c>
      <c r="P563" s="125">
        <v>738.59799999999996</v>
      </c>
      <c r="Q563" s="127">
        <v>6240</v>
      </c>
      <c r="R563" s="125">
        <v>738.20799999999997</v>
      </c>
      <c r="S563" s="127">
        <v>6240</v>
      </c>
      <c r="T563" s="125">
        <v>738.85</v>
      </c>
      <c r="U563" s="127">
        <v>6230</v>
      </c>
      <c r="V563" s="124">
        <v>738.07799999999997</v>
      </c>
      <c r="W563" s="127">
        <v>6240</v>
      </c>
      <c r="X563" s="125">
        <v>737.67600000000004</v>
      </c>
      <c r="Y563" s="127">
        <v>6240</v>
      </c>
      <c r="Z563" s="125">
        <v>736.08900000000006</v>
      </c>
      <c r="AA563" s="127">
        <v>6240</v>
      </c>
      <c r="AB563" s="125">
        <v>736.18100000000004</v>
      </c>
      <c r="AC563" s="127">
        <v>6230</v>
      </c>
      <c r="AD563" s="125">
        <v>660.05399999999997</v>
      </c>
      <c r="AE563" s="127">
        <v>6240</v>
      </c>
      <c r="AF563" s="125">
        <v>661.56799999999998</v>
      </c>
      <c r="AG563" s="127">
        <v>6220</v>
      </c>
      <c r="AH563" s="125">
        <v>173.14</v>
      </c>
      <c r="AI563" s="127">
        <v>6220</v>
      </c>
      <c r="AJ563" s="125">
        <v>181.83799999999999</v>
      </c>
    </row>
    <row r="564" spans="1:36" ht="14.25">
      <c r="A564" s="128">
        <v>6250</v>
      </c>
      <c r="B564" s="124">
        <v>373.74799999999999</v>
      </c>
      <c r="C564" s="128">
        <v>6260</v>
      </c>
      <c r="D564" s="125">
        <v>370.96699999999998</v>
      </c>
      <c r="E564" s="126">
        <v>6250</v>
      </c>
      <c r="F564" s="125">
        <v>838.06399999999996</v>
      </c>
      <c r="G564" s="127">
        <v>6250</v>
      </c>
      <c r="H564" s="125">
        <v>837.90599999999995</v>
      </c>
      <c r="I564" s="127">
        <v>6250</v>
      </c>
      <c r="J564" s="125">
        <v>736.42499999999995</v>
      </c>
      <c r="K564" s="127">
        <v>6250</v>
      </c>
      <c r="L564" s="125">
        <v>735.99300000000005</v>
      </c>
      <c r="M564" s="127">
        <v>6250</v>
      </c>
      <c r="N564" s="125">
        <v>736.26199999999994</v>
      </c>
      <c r="O564" s="127">
        <v>6230</v>
      </c>
      <c r="P564" s="125">
        <v>737.38499999999999</v>
      </c>
      <c r="Q564" s="127">
        <v>6250</v>
      </c>
      <c r="R564" s="125">
        <v>736.995</v>
      </c>
      <c r="S564" s="127">
        <v>6250</v>
      </c>
      <c r="T564" s="125">
        <v>737.63800000000003</v>
      </c>
      <c r="U564" s="127">
        <v>6240</v>
      </c>
      <c r="V564" s="124">
        <v>736.86800000000005</v>
      </c>
      <c r="W564" s="127">
        <v>6250</v>
      </c>
      <c r="X564" s="125">
        <v>736.46500000000003</v>
      </c>
      <c r="Y564" s="127">
        <v>6250</v>
      </c>
      <c r="Z564" s="125">
        <v>734.87800000000004</v>
      </c>
      <c r="AA564" s="127">
        <v>6250</v>
      </c>
      <c r="AB564" s="125">
        <v>734.971</v>
      </c>
      <c r="AC564" s="127">
        <v>6240</v>
      </c>
      <c r="AD564" s="125">
        <v>658.84400000000005</v>
      </c>
      <c r="AE564" s="127">
        <v>6250</v>
      </c>
      <c r="AF564" s="125">
        <v>660.35799999999995</v>
      </c>
      <c r="AG564" s="127">
        <v>6230</v>
      </c>
      <c r="AH564" s="125">
        <v>172.75299999999999</v>
      </c>
      <c r="AI564" s="127">
        <v>6230</v>
      </c>
      <c r="AJ564" s="125">
        <v>181.43700000000001</v>
      </c>
    </row>
    <row r="565" spans="1:36" ht="14.25">
      <c r="A565" s="128">
        <v>6260</v>
      </c>
      <c r="B565" s="124">
        <v>372.98500000000001</v>
      </c>
      <c r="C565" s="128">
        <v>6270</v>
      </c>
      <c r="D565" s="125">
        <v>370.209</v>
      </c>
      <c r="E565" s="126">
        <v>6260</v>
      </c>
      <c r="F565" s="125">
        <v>836.58299999999997</v>
      </c>
      <c r="G565" s="127">
        <v>6260</v>
      </c>
      <c r="H565" s="125">
        <v>836.42700000000002</v>
      </c>
      <c r="I565" s="127">
        <v>6260</v>
      </c>
      <c r="J565" s="125">
        <v>735.21199999999999</v>
      </c>
      <c r="K565" s="127">
        <v>6260</v>
      </c>
      <c r="L565" s="125">
        <v>734.78</v>
      </c>
      <c r="M565" s="127">
        <v>6260</v>
      </c>
      <c r="N565" s="125">
        <v>735.04899999999998</v>
      </c>
      <c r="O565" s="127">
        <v>6240</v>
      </c>
      <c r="P565" s="125">
        <v>736.173</v>
      </c>
      <c r="Q565" s="127">
        <v>6260</v>
      </c>
      <c r="R565" s="125">
        <v>735.78300000000002</v>
      </c>
      <c r="S565" s="127">
        <v>6260</v>
      </c>
      <c r="T565" s="125">
        <v>736.42600000000004</v>
      </c>
      <c r="U565" s="127">
        <v>6250</v>
      </c>
      <c r="V565" s="124">
        <v>735.65800000000002</v>
      </c>
      <c r="W565" s="127">
        <v>6260</v>
      </c>
      <c r="X565" s="125">
        <v>735.25400000000002</v>
      </c>
      <c r="Y565" s="127">
        <v>6260</v>
      </c>
      <c r="Z565" s="125">
        <v>733.66700000000003</v>
      </c>
      <c r="AA565" s="127">
        <v>6260</v>
      </c>
      <c r="AB565" s="125">
        <v>733.76099999999997</v>
      </c>
      <c r="AC565" s="127">
        <v>6250</v>
      </c>
      <c r="AD565" s="125">
        <v>657.63300000000004</v>
      </c>
      <c r="AE565" s="127">
        <v>6260</v>
      </c>
      <c r="AF565" s="125">
        <v>659.149</v>
      </c>
      <c r="AG565" s="127">
        <v>6240</v>
      </c>
      <c r="AH565" s="125">
        <v>172.36699999999999</v>
      </c>
      <c r="AI565" s="127">
        <v>6240</v>
      </c>
      <c r="AJ565" s="125">
        <v>181.036</v>
      </c>
    </row>
    <row r="566" spans="1:36" ht="14.25">
      <c r="A566" s="128">
        <v>6270</v>
      </c>
      <c r="B566" s="124">
        <v>372.22199999999998</v>
      </c>
      <c r="C566" s="128">
        <v>6280</v>
      </c>
      <c r="D566" s="125">
        <v>369.45100000000002</v>
      </c>
      <c r="E566" s="126">
        <v>6270</v>
      </c>
      <c r="F566" s="125">
        <v>835.101</v>
      </c>
      <c r="G566" s="127">
        <v>6270</v>
      </c>
      <c r="H566" s="125">
        <v>834.947</v>
      </c>
      <c r="I566" s="127">
        <v>6270</v>
      </c>
      <c r="J566" s="125">
        <v>733.99900000000002</v>
      </c>
      <c r="K566" s="127">
        <v>6270</v>
      </c>
      <c r="L566" s="125">
        <v>733.56600000000003</v>
      </c>
      <c r="M566" s="127">
        <v>6270</v>
      </c>
      <c r="N566" s="125">
        <v>733.83699999999999</v>
      </c>
      <c r="O566" s="127">
        <v>6250</v>
      </c>
      <c r="P566" s="125">
        <v>734.96</v>
      </c>
      <c r="Q566" s="127">
        <v>6270</v>
      </c>
      <c r="R566" s="125">
        <v>734.57</v>
      </c>
      <c r="S566" s="127">
        <v>6270</v>
      </c>
      <c r="T566" s="125">
        <v>735.21400000000006</v>
      </c>
      <c r="U566" s="127">
        <v>6260</v>
      </c>
      <c r="V566" s="124">
        <v>734.44799999999998</v>
      </c>
      <c r="W566" s="127">
        <v>6270</v>
      </c>
      <c r="X566" s="125">
        <v>734.04300000000001</v>
      </c>
      <c r="Y566" s="127">
        <v>6270</v>
      </c>
      <c r="Z566" s="125">
        <v>732.45600000000002</v>
      </c>
      <c r="AA566" s="127">
        <v>6270</v>
      </c>
      <c r="AB566" s="125">
        <v>732.55100000000004</v>
      </c>
      <c r="AC566" s="127">
        <v>6260</v>
      </c>
      <c r="AD566" s="125">
        <v>656.42200000000003</v>
      </c>
      <c r="AE566" s="127">
        <v>6270</v>
      </c>
      <c r="AF566" s="125">
        <v>657.93899999999996</v>
      </c>
      <c r="AG566" s="127">
        <v>6250</v>
      </c>
      <c r="AH566" s="125">
        <v>171.98099999999999</v>
      </c>
      <c r="AI566" s="127">
        <v>6250</v>
      </c>
      <c r="AJ566" s="125">
        <v>180.636</v>
      </c>
    </row>
    <row r="567" spans="1:36" ht="14.25">
      <c r="A567" s="128">
        <v>6280</v>
      </c>
      <c r="B567" s="124">
        <v>371.46</v>
      </c>
      <c r="C567" s="128">
        <v>6290</v>
      </c>
      <c r="D567" s="125">
        <v>368.69400000000002</v>
      </c>
      <c r="E567" s="126">
        <v>6280</v>
      </c>
      <c r="F567" s="125">
        <v>833.62</v>
      </c>
      <c r="G567" s="127">
        <v>6280</v>
      </c>
      <c r="H567" s="125">
        <v>833.46900000000005</v>
      </c>
      <c r="I567" s="127">
        <v>6280</v>
      </c>
      <c r="J567" s="125">
        <v>732.78700000000003</v>
      </c>
      <c r="K567" s="127">
        <v>6280</v>
      </c>
      <c r="L567" s="125">
        <v>732.35299999999995</v>
      </c>
      <c r="M567" s="127">
        <v>6280</v>
      </c>
      <c r="N567" s="125">
        <v>732.62400000000002</v>
      </c>
      <c r="O567" s="127">
        <v>6260</v>
      </c>
      <c r="P567" s="125">
        <v>733.74699999999996</v>
      </c>
      <c r="Q567" s="127">
        <v>6280</v>
      </c>
      <c r="R567" s="125">
        <v>733.35799999999995</v>
      </c>
      <c r="S567" s="127">
        <v>6280</v>
      </c>
      <c r="T567" s="125">
        <v>734.00099999999998</v>
      </c>
      <c r="U567" s="127">
        <v>6270</v>
      </c>
      <c r="V567" s="124">
        <v>733.23800000000006</v>
      </c>
      <c r="W567" s="127">
        <v>6280</v>
      </c>
      <c r="X567" s="125">
        <v>732.83199999999999</v>
      </c>
      <c r="Y567" s="127">
        <v>6280</v>
      </c>
      <c r="Z567" s="125">
        <v>731.24400000000003</v>
      </c>
      <c r="AA567" s="127">
        <v>6280</v>
      </c>
      <c r="AB567" s="125">
        <v>731.34100000000001</v>
      </c>
      <c r="AC567" s="127">
        <v>6270</v>
      </c>
      <c r="AD567" s="125">
        <v>655.21199999999999</v>
      </c>
      <c r="AE567" s="127">
        <v>6280</v>
      </c>
      <c r="AF567" s="125">
        <v>656.72900000000004</v>
      </c>
      <c r="AG567" s="127">
        <v>6260</v>
      </c>
      <c r="AH567" s="125">
        <v>171.595</v>
      </c>
      <c r="AI567" s="127">
        <v>6260</v>
      </c>
      <c r="AJ567" s="125">
        <v>180.23500000000001</v>
      </c>
    </row>
    <row r="568" spans="1:36" ht="14.25">
      <c r="A568" s="128">
        <v>6290</v>
      </c>
      <c r="B568" s="124">
        <v>370.697</v>
      </c>
      <c r="C568" s="128">
        <v>6300</v>
      </c>
      <c r="D568" s="125">
        <v>367.93599999999998</v>
      </c>
      <c r="E568" s="126">
        <v>6290</v>
      </c>
      <c r="F568" s="125">
        <v>832.13900000000001</v>
      </c>
      <c r="G568" s="127">
        <v>6290</v>
      </c>
      <c r="H568" s="125">
        <v>831.99</v>
      </c>
      <c r="I568" s="127">
        <v>6290</v>
      </c>
      <c r="J568" s="125">
        <v>731.57399999999996</v>
      </c>
      <c r="K568" s="127">
        <v>6290</v>
      </c>
      <c r="L568" s="125">
        <v>731.13900000000001</v>
      </c>
      <c r="M568" s="127">
        <v>6290</v>
      </c>
      <c r="N568" s="125">
        <v>731.41200000000003</v>
      </c>
      <c r="O568" s="127">
        <v>6270</v>
      </c>
      <c r="P568" s="125">
        <v>732.53399999999999</v>
      </c>
      <c r="Q568" s="127">
        <v>6290</v>
      </c>
      <c r="R568" s="125">
        <v>732.14499999999998</v>
      </c>
      <c r="S568" s="127">
        <v>6290</v>
      </c>
      <c r="T568" s="125">
        <v>732.78899999999999</v>
      </c>
      <c r="U568" s="127">
        <v>6280</v>
      </c>
      <c r="V568" s="124">
        <v>732.02800000000002</v>
      </c>
      <c r="W568" s="127">
        <v>6290</v>
      </c>
      <c r="X568" s="125">
        <v>731.62099999999998</v>
      </c>
      <c r="Y568" s="127">
        <v>6290</v>
      </c>
      <c r="Z568" s="125">
        <v>730.03300000000002</v>
      </c>
      <c r="AA568" s="127">
        <v>6290</v>
      </c>
      <c r="AB568" s="125">
        <v>730.13099999999997</v>
      </c>
      <c r="AC568" s="127">
        <v>6280</v>
      </c>
      <c r="AD568" s="125">
        <v>654.00099999999998</v>
      </c>
      <c r="AE568" s="127">
        <v>6290</v>
      </c>
      <c r="AF568" s="125">
        <v>655.51900000000001</v>
      </c>
      <c r="AG568" s="127">
        <v>6270</v>
      </c>
      <c r="AH568" s="125">
        <v>171.208</v>
      </c>
      <c r="AI568" s="127">
        <v>6270</v>
      </c>
      <c r="AJ568" s="125">
        <v>179.83500000000001</v>
      </c>
    </row>
    <row r="569" spans="1:36" ht="14.25">
      <c r="A569" s="128">
        <v>6300</v>
      </c>
      <c r="B569" s="124">
        <v>369.935</v>
      </c>
      <c r="C569" s="128">
        <v>6310</v>
      </c>
      <c r="D569" s="125">
        <v>367.17899999999997</v>
      </c>
      <c r="E569" s="126">
        <v>6300</v>
      </c>
      <c r="F569" s="125">
        <v>830.65800000000002</v>
      </c>
      <c r="G569" s="127">
        <v>6300</v>
      </c>
      <c r="H569" s="125">
        <v>830.51099999999997</v>
      </c>
      <c r="I569" s="127">
        <v>6300</v>
      </c>
      <c r="J569" s="125">
        <v>730.36199999999997</v>
      </c>
      <c r="K569" s="127">
        <v>6300</v>
      </c>
      <c r="L569" s="125">
        <v>729.92499999999995</v>
      </c>
      <c r="M569" s="127">
        <v>6300</v>
      </c>
      <c r="N569" s="125">
        <v>730.19899999999996</v>
      </c>
      <c r="O569" s="127">
        <v>6280</v>
      </c>
      <c r="P569" s="125">
        <v>731.322</v>
      </c>
      <c r="Q569" s="127">
        <v>6300</v>
      </c>
      <c r="R569" s="125">
        <v>730.93299999999999</v>
      </c>
      <c r="S569" s="127">
        <v>6300</v>
      </c>
      <c r="T569" s="125">
        <v>731.577</v>
      </c>
      <c r="U569" s="127">
        <v>6290</v>
      </c>
      <c r="V569" s="124">
        <v>730.81799999999998</v>
      </c>
      <c r="W569" s="127">
        <v>6300</v>
      </c>
      <c r="X569" s="125">
        <v>730.41</v>
      </c>
      <c r="Y569" s="127">
        <v>6300</v>
      </c>
      <c r="Z569" s="125">
        <v>728.822</v>
      </c>
      <c r="AA569" s="127">
        <v>6300</v>
      </c>
      <c r="AB569" s="125">
        <v>728.92100000000005</v>
      </c>
      <c r="AC569" s="127">
        <v>6290</v>
      </c>
      <c r="AD569" s="125">
        <v>652.79</v>
      </c>
      <c r="AE569" s="127">
        <v>6300</v>
      </c>
      <c r="AF569" s="125">
        <v>654.30899999999997</v>
      </c>
      <c r="AG569" s="127">
        <v>6280</v>
      </c>
      <c r="AH569" s="125">
        <v>170.822</v>
      </c>
      <c r="AI569" s="127">
        <v>6280</v>
      </c>
      <c r="AJ569" s="125">
        <v>179.435</v>
      </c>
    </row>
    <row r="570" spans="1:36" ht="14.25">
      <c r="A570" s="128">
        <v>6310</v>
      </c>
      <c r="B570" s="124">
        <v>369.17200000000003</v>
      </c>
      <c r="C570" s="128">
        <v>6320</v>
      </c>
      <c r="D570" s="125">
        <v>366.42200000000003</v>
      </c>
      <c r="E570" s="126">
        <v>6310</v>
      </c>
      <c r="F570" s="125">
        <v>829.17700000000002</v>
      </c>
      <c r="G570" s="127">
        <v>6310</v>
      </c>
      <c r="H570" s="125">
        <v>829.03200000000004</v>
      </c>
      <c r="I570" s="127">
        <v>6310</v>
      </c>
      <c r="J570" s="125">
        <v>729.149</v>
      </c>
      <c r="K570" s="127">
        <v>6310</v>
      </c>
      <c r="L570" s="125">
        <v>728.71199999999999</v>
      </c>
      <c r="M570" s="127">
        <v>6310</v>
      </c>
      <c r="N570" s="125">
        <v>728.98699999999997</v>
      </c>
      <c r="O570" s="127">
        <v>6290</v>
      </c>
      <c r="P570" s="125">
        <v>730.10900000000004</v>
      </c>
      <c r="Q570" s="127">
        <v>6310</v>
      </c>
      <c r="R570" s="125">
        <v>729.72</v>
      </c>
      <c r="S570" s="127">
        <v>6310</v>
      </c>
      <c r="T570" s="125">
        <v>730.36500000000001</v>
      </c>
      <c r="U570" s="127">
        <v>6300</v>
      </c>
      <c r="V570" s="124">
        <v>729.60799999999995</v>
      </c>
      <c r="W570" s="127">
        <v>6310</v>
      </c>
      <c r="X570" s="125">
        <v>729.19899999999996</v>
      </c>
      <c r="Y570" s="127">
        <v>6310</v>
      </c>
      <c r="Z570" s="125">
        <v>727.61099999999999</v>
      </c>
      <c r="AA570" s="127">
        <v>6310</v>
      </c>
      <c r="AB570" s="125">
        <v>727.71100000000001</v>
      </c>
      <c r="AC570" s="127">
        <v>6300</v>
      </c>
      <c r="AD570" s="125">
        <v>651.58000000000004</v>
      </c>
      <c r="AE570" s="127">
        <v>6310</v>
      </c>
      <c r="AF570" s="125">
        <v>653.09900000000005</v>
      </c>
      <c r="AG570" s="127">
        <v>6290</v>
      </c>
      <c r="AH570" s="125">
        <v>170.43700000000001</v>
      </c>
      <c r="AI570" s="127">
        <v>6290</v>
      </c>
      <c r="AJ570" s="125">
        <v>179.035</v>
      </c>
    </row>
    <row r="571" spans="1:36" ht="14.25">
      <c r="A571" s="128">
        <v>6320</v>
      </c>
      <c r="B571" s="124">
        <v>368.41</v>
      </c>
      <c r="C571" s="128">
        <v>6330</v>
      </c>
      <c r="D571" s="125">
        <v>365.66500000000002</v>
      </c>
      <c r="E571" s="126">
        <v>6320</v>
      </c>
      <c r="F571" s="125">
        <v>827.69600000000003</v>
      </c>
      <c r="G571" s="127">
        <v>6320</v>
      </c>
      <c r="H571" s="125">
        <v>827.55399999999997</v>
      </c>
      <c r="I571" s="127">
        <v>6320</v>
      </c>
      <c r="J571" s="125">
        <v>727.93600000000004</v>
      </c>
      <c r="K571" s="127">
        <v>6320</v>
      </c>
      <c r="L571" s="125">
        <v>727.49800000000005</v>
      </c>
      <c r="M571" s="127">
        <v>6320</v>
      </c>
      <c r="N571" s="125">
        <v>727.774</v>
      </c>
      <c r="O571" s="127">
        <v>6300</v>
      </c>
      <c r="P571" s="125">
        <v>728.89599999999996</v>
      </c>
      <c r="Q571" s="127">
        <v>6320</v>
      </c>
      <c r="R571" s="125">
        <v>728.50699999999995</v>
      </c>
      <c r="S571" s="127">
        <v>6320</v>
      </c>
      <c r="T571" s="125">
        <v>729.15300000000002</v>
      </c>
      <c r="U571" s="127">
        <v>6310</v>
      </c>
      <c r="V571" s="124">
        <v>728.39800000000002</v>
      </c>
      <c r="W571" s="127">
        <v>6320</v>
      </c>
      <c r="X571" s="125">
        <v>727.98800000000006</v>
      </c>
      <c r="Y571" s="127">
        <v>6320</v>
      </c>
      <c r="Z571" s="125">
        <v>726.399</v>
      </c>
      <c r="AA571" s="127">
        <v>6320</v>
      </c>
      <c r="AB571" s="125">
        <v>726.50099999999998</v>
      </c>
      <c r="AC571" s="127">
        <v>6310</v>
      </c>
      <c r="AD571" s="125">
        <v>650.36900000000003</v>
      </c>
      <c r="AE571" s="127">
        <v>6320</v>
      </c>
      <c r="AF571" s="125">
        <v>651.89</v>
      </c>
      <c r="AG571" s="127">
        <v>6300</v>
      </c>
      <c r="AH571" s="125">
        <v>170.05099999999999</v>
      </c>
      <c r="AI571" s="127">
        <v>6300</v>
      </c>
      <c r="AJ571" s="125">
        <v>178.63499999999999</v>
      </c>
    </row>
    <row r="572" spans="1:36" ht="14.25">
      <c r="A572" s="128">
        <v>6330</v>
      </c>
      <c r="B572" s="124">
        <v>367.649</v>
      </c>
      <c r="C572" s="128">
        <v>6340</v>
      </c>
      <c r="D572" s="125">
        <v>364.90800000000002</v>
      </c>
      <c r="E572" s="126">
        <v>6330</v>
      </c>
      <c r="F572" s="125">
        <v>826.21500000000003</v>
      </c>
      <c r="G572" s="127">
        <v>6330</v>
      </c>
      <c r="H572" s="125">
        <v>826.07500000000005</v>
      </c>
      <c r="I572" s="127">
        <v>6330</v>
      </c>
      <c r="J572" s="125">
        <v>726.72400000000005</v>
      </c>
      <c r="K572" s="127">
        <v>6330</v>
      </c>
      <c r="L572" s="125">
        <v>726.28399999999999</v>
      </c>
      <c r="M572" s="127">
        <v>6330</v>
      </c>
      <c r="N572" s="125">
        <v>726.56200000000001</v>
      </c>
      <c r="O572" s="127">
        <v>6310</v>
      </c>
      <c r="P572" s="125">
        <v>727.68299999999999</v>
      </c>
      <c r="Q572" s="127">
        <v>6330</v>
      </c>
      <c r="R572" s="125">
        <v>727.29499999999996</v>
      </c>
      <c r="S572" s="127">
        <v>6330</v>
      </c>
      <c r="T572" s="125">
        <v>727.94</v>
      </c>
      <c r="U572" s="127">
        <v>6320</v>
      </c>
      <c r="V572" s="124">
        <v>727.18799999999999</v>
      </c>
      <c r="W572" s="127">
        <v>6330</v>
      </c>
      <c r="X572" s="125">
        <v>726.77800000000002</v>
      </c>
      <c r="Y572" s="127">
        <v>6330</v>
      </c>
      <c r="Z572" s="125">
        <v>725.18799999999999</v>
      </c>
      <c r="AA572" s="127">
        <v>6330</v>
      </c>
      <c r="AB572" s="125">
        <v>725.29100000000005</v>
      </c>
      <c r="AC572" s="127">
        <v>6320</v>
      </c>
      <c r="AD572" s="125">
        <v>649.15800000000002</v>
      </c>
      <c r="AE572" s="127">
        <v>6330</v>
      </c>
      <c r="AF572" s="125">
        <v>650.67999999999995</v>
      </c>
      <c r="AG572" s="127">
        <v>6310</v>
      </c>
      <c r="AH572" s="125">
        <v>169.66499999999999</v>
      </c>
      <c r="AI572" s="127">
        <v>6310</v>
      </c>
      <c r="AJ572" s="125">
        <v>178.23500000000001</v>
      </c>
    </row>
    <row r="573" spans="1:36" ht="14.25">
      <c r="A573" s="128">
        <v>6340</v>
      </c>
      <c r="B573" s="124">
        <v>366.887</v>
      </c>
      <c r="C573" s="128">
        <v>6350</v>
      </c>
      <c r="D573" s="125">
        <v>364.15100000000001</v>
      </c>
      <c r="E573" s="126">
        <v>6340</v>
      </c>
      <c r="F573" s="125">
        <v>824.73500000000001</v>
      </c>
      <c r="G573" s="127">
        <v>6340</v>
      </c>
      <c r="H573" s="125">
        <v>824.59699999999998</v>
      </c>
      <c r="I573" s="127">
        <v>6340</v>
      </c>
      <c r="J573" s="125">
        <v>725.51099999999997</v>
      </c>
      <c r="K573" s="127">
        <v>6340</v>
      </c>
      <c r="L573" s="125">
        <v>725.07100000000003</v>
      </c>
      <c r="M573" s="127">
        <v>6340</v>
      </c>
      <c r="N573" s="125">
        <v>725.34900000000005</v>
      </c>
      <c r="O573" s="127">
        <v>6320</v>
      </c>
      <c r="P573" s="125">
        <v>726.47</v>
      </c>
      <c r="Q573" s="127">
        <v>6340</v>
      </c>
      <c r="R573" s="125">
        <v>726.08199999999999</v>
      </c>
      <c r="S573" s="127">
        <v>6340</v>
      </c>
      <c r="T573" s="125">
        <v>726.72799999999995</v>
      </c>
      <c r="U573" s="127">
        <v>6330</v>
      </c>
      <c r="V573" s="125">
        <v>725.97799999999995</v>
      </c>
      <c r="W573" s="127">
        <v>6340</v>
      </c>
      <c r="X573" s="125">
        <v>725.56700000000001</v>
      </c>
      <c r="Y573" s="127">
        <v>6340</v>
      </c>
      <c r="Z573" s="125">
        <v>723.97699999999998</v>
      </c>
      <c r="AA573" s="127">
        <v>6340</v>
      </c>
      <c r="AB573" s="125">
        <v>724.08100000000002</v>
      </c>
      <c r="AC573" s="127">
        <v>6330</v>
      </c>
      <c r="AD573" s="125">
        <v>647.94799999999998</v>
      </c>
      <c r="AE573" s="127">
        <v>6340</v>
      </c>
      <c r="AF573" s="125">
        <v>649.47</v>
      </c>
      <c r="AG573" s="127">
        <v>6320</v>
      </c>
      <c r="AH573" s="125">
        <v>169.279</v>
      </c>
      <c r="AI573" s="127">
        <v>6320</v>
      </c>
      <c r="AJ573" s="125">
        <v>177.83500000000001</v>
      </c>
    </row>
    <row r="574" spans="1:36" ht="14.25">
      <c r="A574" s="128">
        <v>6350</v>
      </c>
      <c r="B574" s="124">
        <v>366.12599999999998</v>
      </c>
      <c r="C574" s="128">
        <v>6360</v>
      </c>
      <c r="D574" s="125">
        <v>363.39499999999998</v>
      </c>
      <c r="E574" s="126">
        <v>6350</v>
      </c>
      <c r="F574" s="125">
        <v>823.25400000000002</v>
      </c>
      <c r="G574" s="127">
        <v>6350</v>
      </c>
      <c r="H574" s="125">
        <v>823.11900000000003</v>
      </c>
      <c r="I574" s="127">
        <v>6350</v>
      </c>
      <c r="J574" s="125">
        <v>724.29899999999998</v>
      </c>
      <c r="K574" s="127">
        <v>6350</v>
      </c>
      <c r="L574" s="125">
        <v>723.85699999999997</v>
      </c>
      <c r="M574" s="127">
        <v>6350</v>
      </c>
      <c r="N574" s="125">
        <v>724.13699999999994</v>
      </c>
      <c r="O574" s="127">
        <v>6330</v>
      </c>
      <c r="P574" s="125">
        <v>725.25800000000004</v>
      </c>
      <c r="Q574" s="127">
        <v>6350</v>
      </c>
      <c r="R574" s="125">
        <v>724.87</v>
      </c>
      <c r="S574" s="127">
        <v>6350</v>
      </c>
      <c r="T574" s="125">
        <v>725.51599999999996</v>
      </c>
      <c r="U574" s="127">
        <v>6340</v>
      </c>
      <c r="V574" s="125">
        <v>724.76800000000003</v>
      </c>
      <c r="W574" s="127">
        <v>6350</v>
      </c>
      <c r="X574" s="125">
        <v>724.35599999999999</v>
      </c>
      <c r="Y574" s="127">
        <v>6350</v>
      </c>
      <c r="Z574" s="125">
        <v>722.76499999999999</v>
      </c>
      <c r="AA574" s="127">
        <v>6350</v>
      </c>
      <c r="AB574" s="125">
        <v>722.87099999999998</v>
      </c>
      <c r="AC574" s="127">
        <v>6340</v>
      </c>
      <c r="AD574" s="125">
        <v>646.73699999999997</v>
      </c>
      <c r="AE574" s="127">
        <v>6350</v>
      </c>
      <c r="AF574" s="125">
        <v>648.26</v>
      </c>
      <c r="AG574" s="127">
        <v>6330</v>
      </c>
      <c r="AH574" s="125">
        <v>168.89400000000001</v>
      </c>
      <c r="AI574" s="127">
        <v>6330</v>
      </c>
      <c r="AJ574" s="125">
        <v>177.435</v>
      </c>
    </row>
    <row r="575" spans="1:36" ht="14.25">
      <c r="A575" s="128">
        <v>6360</v>
      </c>
      <c r="B575" s="124">
        <v>365.36500000000001</v>
      </c>
      <c r="C575" s="128">
        <v>6370</v>
      </c>
      <c r="D575" s="125">
        <v>362.63900000000001</v>
      </c>
      <c r="E575" s="126">
        <v>6360</v>
      </c>
      <c r="F575" s="125">
        <v>821.774</v>
      </c>
      <c r="G575" s="127">
        <v>6360</v>
      </c>
      <c r="H575" s="125">
        <v>821.64099999999996</v>
      </c>
      <c r="I575" s="127">
        <v>6360</v>
      </c>
      <c r="J575" s="125">
        <v>723.08600000000001</v>
      </c>
      <c r="K575" s="127">
        <v>6360</v>
      </c>
      <c r="L575" s="125">
        <v>722.64400000000001</v>
      </c>
      <c r="M575" s="127">
        <v>6360</v>
      </c>
      <c r="N575" s="125">
        <v>722.92399999999998</v>
      </c>
      <c r="O575" s="127">
        <v>6340</v>
      </c>
      <c r="P575" s="125">
        <v>724.04499999999996</v>
      </c>
      <c r="Q575" s="127">
        <v>6360</v>
      </c>
      <c r="R575" s="125">
        <v>723.65700000000004</v>
      </c>
      <c r="S575" s="127">
        <v>6360</v>
      </c>
      <c r="T575" s="125">
        <v>724.30399999999997</v>
      </c>
      <c r="U575" s="127">
        <v>6350</v>
      </c>
      <c r="V575" s="125">
        <v>723.55799999999999</v>
      </c>
      <c r="W575" s="127">
        <v>6360</v>
      </c>
      <c r="X575" s="125">
        <v>723.14499999999998</v>
      </c>
      <c r="Y575" s="127">
        <v>6360</v>
      </c>
      <c r="Z575" s="125">
        <v>721.55399999999997</v>
      </c>
      <c r="AA575" s="127">
        <v>6360</v>
      </c>
      <c r="AB575" s="125">
        <v>721.66099999999994</v>
      </c>
      <c r="AC575" s="127">
        <v>6350</v>
      </c>
      <c r="AD575" s="125">
        <v>645.52700000000004</v>
      </c>
      <c r="AE575" s="127">
        <v>6360</v>
      </c>
      <c r="AF575" s="125">
        <v>647.04999999999995</v>
      </c>
      <c r="AG575" s="127">
        <v>6340</v>
      </c>
      <c r="AH575" s="125">
        <v>168.50800000000001</v>
      </c>
      <c r="AI575" s="127">
        <v>6340</v>
      </c>
      <c r="AJ575" s="125">
        <v>177.036</v>
      </c>
    </row>
    <row r="576" spans="1:36" ht="14.25">
      <c r="A576" s="128">
        <v>6370</v>
      </c>
      <c r="B576" s="124">
        <v>364.60399999999998</v>
      </c>
      <c r="C576" s="128">
        <v>6380</v>
      </c>
      <c r="D576" s="125">
        <v>361.88299999999998</v>
      </c>
      <c r="E576" s="126">
        <v>6370</v>
      </c>
      <c r="F576" s="125">
        <v>820.29399999999998</v>
      </c>
      <c r="G576" s="127">
        <v>6370</v>
      </c>
      <c r="H576" s="125">
        <v>820.16200000000003</v>
      </c>
      <c r="I576" s="127">
        <v>6370</v>
      </c>
      <c r="J576" s="125">
        <v>721.87300000000005</v>
      </c>
      <c r="K576" s="127">
        <v>6370</v>
      </c>
      <c r="L576" s="125">
        <v>721.43</v>
      </c>
      <c r="M576" s="127">
        <v>6370</v>
      </c>
      <c r="N576" s="125">
        <v>721.71199999999999</v>
      </c>
      <c r="O576" s="127">
        <v>6350</v>
      </c>
      <c r="P576" s="125">
        <v>722.83199999999999</v>
      </c>
      <c r="Q576" s="127">
        <v>6370</v>
      </c>
      <c r="R576" s="125">
        <v>722.44399999999996</v>
      </c>
      <c r="S576" s="127">
        <v>6370</v>
      </c>
      <c r="T576" s="125">
        <v>723.09100000000001</v>
      </c>
      <c r="U576" s="127">
        <v>6360</v>
      </c>
      <c r="V576" s="125">
        <v>722.34799999999996</v>
      </c>
      <c r="W576" s="127">
        <v>6370</v>
      </c>
      <c r="X576" s="125">
        <v>721.93399999999997</v>
      </c>
      <c r="Y576" s="127">
        <v>6370</v>
      </c>
      <c r="Z576" s="125">
        <v>720.34299999999996</v>
      </c>
      <c r="AA576" s="127">
        <v>6370</v>
      </c>
      <c r="AB576" s="125">
        <v>720.45100000000002</v>
      </c>
      <c r="AC576" s="127">
        <v>6360</v>
      </c>
      <c r="AD576" s="125">
        <v>644.31600000000003</v>
      </c>
      <c r="AE576" s="127">
        <v>6370</v>
      </c>
      <c r="AF576" s="125">
        <v>645.84</v>
      </c>
      <c r="AG576" s="127">
        <v>6350</v>
      </c>
      <c r="AH576" s="125">
        <v>168.12299999999999</v>
      </c>
      <c r="AI576" s="127">
        <v>6350</v>
      </c>
      <c r="AJ576" s="125">
        <v>176.636</v>
      </c>
    </row>
    <row r="577" spans="1:36" ht="14.25">
      <c r="A577" s="128">
        <v>6380</v>
      </c>
      <c r="B577" s="124">
        <v>363.84300000000002</v>
      </c>
      <c r="C577" s="128">
        <v>6390</v>
      </c>
      <c r="D577" s="125">
        <v>361.12700000000001</v>
      </c>
      <c r="E577" s="126">
        <v>6380</v>
      </c>
      <c r="F577" s="125">
        <v>818.81399999999996</v>
      </c>
      <c r="G577" s="127">
        <v>6380</v>
      </c>
      <c r="H577" s="125">
        <v>818.68499999999995</v>
      </c>
      <c r="I577" s="127">
        <v>6380</v>
      </c>
      <c r="J577" s="125">
        <v>720.66099999999994</v>
      </c>
      <c r="K577" s="127">
        <v>6380</v>
      </c>
      <c r="L577" s="125">
        <v>720.21699999999998</v>
      </c>
      <c r="M577" s="127">
        <v>6380</v>
      </c>
      <c r="N577" s="125">
        <v>720.49900000000002</v>
      </c>
      <c r="O577" s="127">
        <v>6360</v>
      </c>
      <c r="P577" s="125">
        <v>721.61900000000003</v>
      </c>
      <c r="Q577" s="127">
        <v>6380</v>
      </c>
      <c r="R577" s="125">
        <v>721.23199999999997</v>
      </c>
      <c r="S577" s="127">
        <v>6380</v>
      </c>
      <c r="T577" s="125">
        <v>721.87900000000002</v>
      </c>
      <c r="U577" s="127">
        <v>6370</v>
      </c>
      <c r="V577" s="125">
        <v>721.13800000000003</v>
      </c>
      <c r="W577" s="127">
        <v>6380</v>
      </c>
      <c r="X577" s="125">
        <v>720.72299999999996</v>
      </c>
      <c r="Y577" s="127">
        <v>6380</v>
      </c>
      <c r="Z577" s="125">
        <v>719.13199999999995</v>
      </c>
      <c r="AA577" s="127">
        <v>6380</v>
      </c>
      <c r="AB577" s="125">
        <v>719.24099999999999</v>
      </c>
      <c r="AC577" s="127">
        <v>6370</v>
      </c>
      <c r="AD577" s="125">
        <v>643.10500000000002</v>
      </c>
      <c r="AE577" s="127">
        <v>6380</v>
      </c>
      <c r="AF577" s="125">
        <v>644.63</v>
      </c>
      <c r="AG577" s="127">
        <v>6360</v>
      </c>
      <c r="AH577" s="125">
        <v>167.738</v>
      </c>
      <c r="AI577" s="127">
        <v>6360</v>
      </c>
      <c r="AJ577" s="125">
        <v>176.23699999999999</v>
      </c>
    </row>
    <row r="578" spans="1:36" ht="14.25">
      <c r="A578" s="128">
        <v>6390</v>
      </c>
      <c r="B578" s="124">
        <v>363.08199999999999</v>
      </c>
      <c r="C578" s="128">
        <v>6400</v>
      </c>
      <c r="D578" s="125">
        <v>360.37200000000001</v>
      </c>
      <c r="E578" s="126">
        <v>6390</v>
      </c>
      <c r="F578" s="125">
        <v>817.33399999999995</v>
      </c>
      <c r="G578" s="127">
        <v>6390</v>
      </c>
      <c r="H578" s="125">
        <v>817.20699999999999</v>
      </c>
      <c r="I578" s="127">
        <v>6390</v>
      </c>
      <c r="J578" s="125">
        <v>719.44799999999998</v>
      </c>
      <c r="K578" s="127">
        <v>6390</v>
      </c>
      <c r="L578" s="125">
        <v>719.00300000000004</v>
      </c>
      <c r="M578" s="127">
        <v>6390</v>
      </c>
      <c r="N578" s="125">
        <v>719.28700000000003</v>
      </c>
      <c r="O578" s="127">
        <v>6370</v>
      </c>
      <c r="P578" s="125">
        <v>720.40700000000004</v>
      </c>
      <c r="Q578" s="127">
        <v>6390</v>
      </c>
      <c r="R578" s="125">
        <v>720.01900000000001</v>
      </c>
      <c r="S578" s="127">
        <v>6390</v>
      </c>
      <c r="T578" s="125">
        <v>720.66700000000003</v>
      </c>
      <c r="U578" s="127">
        <v>6380</v>
      </c>
      <c r="V578" s="125">
        <v>719.928</v>
      </c>
      <c r="W578" s="127">
        <v>6390</v>
      </c>
      <c r="X578" s="125">
        <v>719.51199999999994</v>
      </c>
      <c r="Y578" s="127">
        <v>6390</v>
      </c>
      <c r="Z578" s="125">
        <v>717.92</v>
      </c>
      <c r="AA578" s="127">
        <v>6390</v>
      </c>
      <c r="AB578" s="125">
        <v>718.03099999999995</v>
      </c>
      <c r="AC578" s="127">
        <v>6380</v>
      </c>
      <c r="AD578" s="125">
        <v>641.89499999999998</v>
      </c>
      <c r="AE578" s="127">
        <v>6390</v>
      </c>
      <c r="AF578" s="125">
        <v>643.42100000000005</v>
      </c>
      <c r="AG578" s="127">
        <v>6370</v>
      </c>
      <c r="AH578" s="125">
        <v>167.35300000000001</v>
      </c>
      <c r="AI578" s="127">
        <v>6370</v>
      </c>
      <c r="AJ578" s="125">
        <v>175.83699999999999</v>
      </c>
    </row>
    <row r="579" spans="1:36" ht="14.25">
      <c r="A579" s="128">
        <v>6400</v>
      </c>
      <c r="B579" s="124">
        <v>362.322</v>
      </c>
      <c r="C579" s="128">
        <v>6410</v>
      </c>
      <c r="D579" s="125">
        <v>359.61599999999999</v>
      </c>
      <c r="E579" s="126">
        <v>6400</v>
      </c>
      <c r="F579" s="125">
        <v>815.85400000000004</v>
      </c>
      <c r="G579" s="127">
        <v>6400</v>
      </c>
      <c r="H579" s="125">
        <v>815.72900000000004</v>
      </c>
      <c r="I579" s="127">
        <v>6400</v>
      </c>
      <c r="J579" s="125">
        <v>718.23599999999999</v>
      </c>
      <c r="K579" s="127">
        <v>6400</v>
      </c>
      <c r="L579" s="125">
        <v>717.78899999999999</v>
      </c>
      <c r="M579" s="127">
        <v>6400</v>
      </c>
      <c r="N579" s="125">
        <v>718.07399999999996</v>
      </c>
      <c r="O579" s="127">
        <v>6380</v>
      </c>
      <c r="P579" s="125">
        <v>719.19399999999996</v>
      </c>
      <c r="Q579" s="127">
        <v>6400</v>
      </c>
      <c r="R579" s="125">
        <v>718.80700000000002</v>
      </c>
      <c r="S579" s="127">
        <v>6400</v>
      </c>
      <c r="T579" s="125">
        <v>719.45500000000004</v>
      </c>
      <c r="U579" s="127">
        <v>6390</v>
      </c>
      <c r="V579" s="125">
        <v>718.71799999999996</v>
      </c>
      <c r="W579" s="127">
        <v>6400</v>
      </c>
      <c r="X579" s="125">
        <v>718.30100000000004</v>
      </c>
      <c r="Y579" s="127">
        <v>6400</v>
      </c>
      <c r="Z579" s="125">
        <v>716.70899999999995</v>
      </c>
      <c r="AA579" s="127">
        <v>6400</v>
      </c>
      <c r="AB579" s="125">
        <v>716.82100000000003</v>
      </c>
      <c r="AC579" s="127">
        <v>6390</v>
      </c>
      <c r="AD579" s="125">
        <v>640.68399999999997</v>
      </c>
      <c r="AE579" s="127">
        <v>6400</v>
      </c>
      <c r="AF579" s="125">
        <v>642.21100000000001</v>
      </c>
      <c r="AG579" s="127">
        <v>6380</v>
      </c>
      <c r="AH579" s="125">
        <v>166.96799999999999</v>
      </c>
      <c r="AI579" s="127">
        <v>6380</v>
      </c>
      <c r="AJ579" s="125">
        <v>175.43799999999999</v>
      </c>
    </row>
    <row r="580" spans="1:36" ht="14.25">
      <c r="A580" s="128">
        <v>6410</v>
      </c>
      <c r="B580" s="124">
        <v>361.56200000000001</v>
      </c>
      <c r="C580" s="128">
        <v>6420</v>
      </c>
      <c r="D580" s="125">
        <v>358.86099999999999</v>
      </c>
      <c r="E580" s="126">
        <v>6410</v>
      </c>
      <c r="F580" s="125">
        <v>814.37400000000002</v>
      </c>
      <c r="G580" s="127">
        <v>6410</v>
      </c>
      <c r="H580" s="125">
        <v>814.25199999999995</v>
      </c>
      <c r="I580" s="127">
        <v>6410</v>
      </c>
      <c r="J580" s="125">
        <v>717.02300000000002</v>
      </c>
      <c r="K580" s="127">
        <v>6410</v>
      </c>
      <c r="L580" s="125">
        <v>716.57600000000002</v>
      </c>
      <c r="M580" s="127">
        <v>6410</v>
      </c>
      <c r="N580" s="125">
        <v>716.86199999999997</v>
      </c>
      <c r="O580" s="127">
        <v>6390</v>
      </c>
      <c r="P580" s="125">
        <v>717.98099999999999</v>
      </c>
      <c r="Q580" s="127">
        <v>6410</v>
      </c>
      <c r="R580" s="125">
        <v>717.59400000000005</v>
      </c>
      <c r="S580" s="127">
        <v>6410</v>
      </c>
      <c r="T580" s="125">
        <v>718.24300000000005</v>
      </c>
      <c r="U580" s="127">
        <v>6400</v>
      </c>
      <c r="V580" s="125">
        <v>717.50800000000004</v>
      </c>
      <c r="W580" s="127">
        <v>6410</v>
      </c>
      <c r="X580" s="125">
        <v>717.09</v>
      </c>
      <c r="Y580" s="127">
        <v>6410</v>
      </c>
      <c r="Z580" s="125">
        <v>715.49800000000005</v>
      </c>
      <c r="AA580" s="127">
        <v>6410</v>
      </c>
      <c r="AB580" s="125">
        <v>715.61099999999999</v>
      </c>
      <c r="AC580" s="127">
        <v>6400</v>
      </c>
      <c r="AD580" s="125">
        <v>639.47299999999996</v>
      </c>
      <c r="AE580" s="127">
        <v>6410</v>
      </c>
      <c r="AF580" s="125">
        <v>641.00099999999998</v>
      </c>
      <c r="AG580" s="127">
        <v>6390</v>
      </c>
      <c r="AH580" s="125">
        <v>166.583</v>
      </c>
      <c r="AI580" s="127">
        <v>6390</v>
      </c>
      <c r="AJ580" s="125">
        <v>175.03899999999999</v>
      </c>
    </row>
    <row r="581" spans="1:36" ht="14.25">
      <c r="A581" s="128">
        <v>6420</v>
      </c>
      <c r="B581" s="124">
        <v>360.80200000000002</v>
      </c>
      <c r="C581" s="128">
        <v>6430</v>
      </c>
      <c r="D581" s="125">
        <v>358.10599999999999</v>
      </c>
      <c r="E581" s="126">
        <v>6420</v>
      </c>
      <c r="F581" s="125">
        <v>812.89499999999998</v>
      </c>
      <c r="G581" s="127">
        <v>6420</v>
      </c>
      <c r="H581" s="125">
        <v>812.774</v>
      </c>
      <c r="I581" s="127">
        <v>6420</v>
      </c>
      <c r="J581" s="125">
        <v>715.81100000000004</v>
      </c>
      <c r="K581" s="127">
        <v>6420</v>
      </c>
      <c r="L581" s="125">
        <v>715.36199999999997</v>
      </c>
      <c r="M581" s="127">
        <v>6420</v>
      </c>
      <c r="N581" s="125">
        <v>715.649</v>
      </c>
      <c r="O581" s="127">
        <v>6400</v>
      </c>
      <c r="P581" s="125">
        <v>716.76800000000003</v>
      </c>
      <c r="Q581" s="127">
        <v>6420</v>
      </c>
      <c r="R581" s="125">
        <v>716.38199999999995</v>
      </c>
      <c r="S581" s="127">
        <v>6420</v>
      </c>
      <c r="T581" s="125">
        <v>717.03</v>
      </c>
      <c r="U581" s="127">
        <v>6410</v>
      </c>
      <c r="V581" s="125">
        <v>716.298</v>
      </c>
      <c r="W581" s="127">
        <v>6420</v>
      </c>
      <c r="X581" s="125">
        <v>715.88</v>
      </c>
      <c r="Y581" s="127">
        <v>6420</v>
      </c>
      <c r="Z581" s="125">
        <v>714.28700000000003</v>
      </c>
      <c r="AA581" s="127">
        <v>6420</v>
      </c>
      <c r="AB581" s="125">
        <v>714.40099999999995</v>
      </c>
      <c r="AC581" s="127">
        <v>6410</v>
      </c>
      <c r="AD581" s="125">
        <v>638.26300000000003</v>
      </c>
      <c r="AE581" s="127">
        <v>6420</v>
      </c>
      <c r="AF581" s="125">
        <v>639.79100000000005</v>
      </c>
      <c r="AG581" s="127">
        <v>6400</v>
      </c>
      <c r="AH581" s="125">
        <v>166.19800000000001</v>
      </c>
      <c r="AI581" s="127">
        <v>6400</v>
      </c>
      <c r="AJ581" s="125">
        <v>174.64</v>
      </c>
    </row>
    <row r="582" spans="1:36" ht="14.25">
      <c r="A582" s="128">
        <v>6430</v>
      </c>
      <c r="B582" s="124">
        <v>360.04199999999997</v>
      </c>
      <c r="C582" s="128">
        <v>6440</v>
      </c>
      <c r="D582" s="125">
        <v>357.351</v>
      </c>
      <c r="E582" s="126">
        <v>6430</v>
      </c>
      <c r="F582" s="125">
        <v>811.41499999999996</v>
      </c>
      <c r="G582" s="127">
        <v>6430</v>
      </c>
      <c r="H582" s="125">
        <v>811.29700000000003</v>
      </c>
      <c r="I582" s="127">
        <v>6430</v>
      </c>
      <c r="J582" s="125">
        <v>714.59799999999996</v>
      </c>
      <c r="K582" s="127">
        <v>6430</v>
      </c>
      <c r="L582" s="125">
        <v>714.14800000000002</v>
      </c>
      <c r="M582" s="127">
        <v>6430</v>
      </c>
      <c r="N582" s="125">
        <v>714.43700000000001</v>
      </c>
      <c r="O582" s="127">
        <v>6410</v>
      </c>
      <c r="P582" s="125">
        <v>715.55600000000004</v>
      </c>
      <c r="Q582" s="127">
        <v>6430</v>
      </c>
      <c r="R582" s="125">
        <v>715.16899999999998</v>
      </c>
      <c r="S582" s="127">
        <v>6430</v>
      </c>
      <c r="T582" s="125">
        <v>715.81799999999998</v>
      </c>
      <c r="U582" s="127">
        <v>6420</v>
      </c>
      <c r="V582" s="125">
        <v>715.08799999999997</v>
      </c>
      <c r="W582" s="127">
        <v>6430</v>
      </c>
      <c r="X582" s="125">
        <v>714.66899999999998</v>
      </c>
      <c r="Y582" s="127">
        <v>6430</v>
      </c>
      <c r="Z582" s="125">
        <v>713.07600000000002</v>
      </c>
      <c r="AA582" s="127">
        <v>6430</v>
      </c>
      <c r="AB582" s="125">
        <v>713.19100000000003</v>
      </c>
      <c r="AC582" s="127">
        <v>6420</v>
      </c>
      <c r="AD582" s="125">
        <v>637.05200000000002</v>
      </c>
      <c r="AE582" s="127">
        <v>6430</v>
      </c>
      <c r="AF582" s="125">
        <v>638.58100000000002</v>
      </c>
      <c r="AG582" s="127">
        <v>6410</v>
      </c>
      <c r="AH582" s="125">
        <v>165.81299999999999</v>
      </c>
      <c r="AI582" s="127">
        <v>6410</v>
      </c>
      <c r="AJ582" s="125">
        <v>174.24100000000001</v>
      </c>
    </row>
    <row r="583" spans="1:36" ht="14.25">
      <c r="A583" s="128">
        <v>6440</v>
      </c>
      <c r="B583" s="124">
        <v>359.28300000000002</v>
      </c>
      <c r="C583" s="128">
        <v>6450</v>
      </c>
      <c r="D583" s="125">
        <v>356.59699999999998</v>
      </c>
      <c r="E583" s="126">
        <v>6440</v>
      </c>
      <c r="F583" s="125">
        <v>809.93600000000004</v>
      </c>
      <c r="G583" s="127">
        <v>6440</v>
      </c>
      <c r="H583" s="125">
        <v>809.81899999999996</v>
      </c>
      <c r="I583" s="127">
        <v>6440</v>
      </c>
      <c r="J583" s="125">
        <v>713.38499999999999</v>
      </c>
      <c r="K583" s="127">
        <v>6440</v>
      </c>
      <c r="L583" s="125">
        <v>712.93499999999995</v>
      </c>
      <c r="M583" s="127">
        <v>6440</v>
      </c>
      <c r="N583" s="125">
        <v>713.22500000000002</v>
      </c>
      <c r="O583" s="127">
        <v>6420</v>
      </c>
      <c r="P583" s="125">
        <v>714.34299999999996</v>
      </c>
      <c r="Q583" s="127">
        <v>6440</v>
      </c>
      <c r="R583" s="125">
        <v>713.95699999999999</v>
      </c>
      <c r="S583" s="127">
        <v>6440</v>
      </c>
      <c r="T583" s="125">
        <v>714.60599999999999</v>
      </c>
      <c r="U583" s="127">
        <v>6430</v>
      </c>
      <c r="V583" s="125">
        <v>713.87800000000004</v>
      </c>
      <c r="W583" s="127">
        <v>6440</v>
      </c>
      <c r="X583" s="125">
        <v>713.45799999999997</v>
      </c>
      <c r="Y583" s="127">
        <v>6440</v>
      </c>
      <c r="Z583" s="125">
        <v>711.86400000000003</v>
      </c>
      <c r="AA583" s="127">
        <v>6440</v>
      </c>
      <c r="AB583" s="125">
        <v>711.98099999999999</v>
      </c>
      <c r="AC583" s="127">
        <v>6430</v>
      </c>
      <c r="AD583" s="125">
        <v>635.84100000000001</v>
      </c>
      <c r="AE583" s="127">
        <v>6440</v>
      </c>
      <c r="AF583" s="125">
        <v>637.37099999999998</v>
      </c>
      <c r="AG583" s="127">
        <v>6420</v>
      </c>
      <c r="AH583" s="125">
        <v>165.428</v>
      </c>
      <c r="AI583" s="127">
        <v>6420</v>
      </c>
      <c r="AJ583" s="125">
        <v>173.84200000000001</v>
      </c>
    </row>
    <row r="584" spans="1:36" ht="14.25">
      <c r="A584" s="128">
        <v>6450</v>
      </c>
      <c r="B584" s="124">
        <v>358.52300000000002</v>
      </c>
      <c r="C584" s="128">
        <v>6460</v>
      </c>
      <c r="D584" s="125">
        <v>355.84199999999998</v>
      </c>
      <c r="E584" s="126">
        <v>6450</v>
      </c>
      <c r="F584" s="125">
        <v>808.45699999999999</v>
      </c>
      <c r="G584" s="127">
        <v>6450</v>
      </c>
      <c r="H584" s="125">
        <v>808.34199999999998</v>
      </c>
      <c r="I584" s="127">
        <v>6450</v>
      </c>
      <c r="J584" s="125">
        <v>712.173</v>
      </c>
      <c r="K584" s="127">
        <v>6450</v>
      </c>
      <c r="L584" s="125">
        <v>711.721</v>
      </c>
      <c r="M584" s="127">
        <v>6450</v>
      </c>
      <c r="N584" s="125">
        <v>712.01199999999994</v>
      </c>
      <c r="O584" s="127">
        <v>6430</v>
      </c>
      <c r="P584" s="125">
        <v>713.13</v>
      </c>
      <c r="Q584" s="127">
        <v>6450</v>
      </c>
      <c r="R584" s="125">
        <v>712.74400000000003</v>
      </c>
      <c r="S584" s="127">
        <v>6450</v>
      </c>
      <c r="T584" s="125">
        <v>713.39400000000001</v>
      </c>
      <c r="U584" s="127">
        <v>6440</v>
      </c>
      <c r="V584" s="125">
        <v>712.66800000000001</v>
      </c>
      <c r="W584" s="127">
        <v>6450</v>
      </c>
      <c r="X584" s="125">
        <v>712.24699999999996</v>
      </c>
      <c r="Y584" s="127">
        <v>6450</v>
      </c>
      <c r="Z584" s="125">
        <v>710.65300000000002</v>
      </c>
      <c r="AA584" s="127">
        <v>6450</v>
      </c>
      <c r="AB584" s="125">
        <v>710.77099999999996</v>
      </c>
      <c r="AC584" s="127">
        <v>6440</v>
      </c>
      <c r="AD584" s="125">
        <v>634.63099999999997</v>
      </c>
      <c r="AE584" s="127">
        <v>6450</v>
      </c>
      <c r="AF584" s="125">
        <v>636.16099999999994</v>
      </c>
      <c r="AG584" s="127">
        <v>6430</v>
      </c>
      <c r="AH584" s="125">
        <v>165.04400000000001</v>
      </c>
      <c r="AI584" s="127">
        <v>6430</v>
      </c>
      <c r="AJ584" s="125">
        <v>173.44300000000001</v>
      </c>
    </row>
    <row r="585" spans="1:36" ht="14.25">
      <c r="A585" s="128">
        <v>6460</v>
      </c>
      <c r="B585" s="124">
        <v>357.76400000000001</v>
      </c>
      <c r="C585" s="128">
        <v>6470</v>
      </c>
      <c r="D585" s="125">
        <v>355.08800000000002</v>
      </c>
      <c r="E585" s="126">
        <v>6460</v>
      </c>
      <c r="F585" s="125">
        <v>806.97799999999995</v>
      </c>
      <c r="G585" s="127">
        <v>6460</v>
      </c>
      <c r="H585" s="125">
        <v>806.86500000000001</v>
      </c>
      <c r="I585" s="127">
        <v>6460</v>
      </c>
      <c r="J585" s="125">
        <v>710.96</v>
      </c>
      <c r="K585" s="127">
        <v>6460</v>
      </c>
      <c r="L585" s="125">
        <v>710.50800000000004</v>
      </c>
      <c r="M585" s="127">
        <v>6460</v>
      </c>
      <c r="N585" s="125">
        <v>710.8</v>
      </c>
      <c r="O585" s="127">
        <v>6440</v>
      </c>
      <c r="P585" s="125">
        <v>711.91700000000003</v>
      </c>
      <c r="Q585" s="127">
        <v>6460</v>
      </c>
      <c r="R585" s="125">
        <v>711.53099999999995</v>
      </c>
      <c r="S585" s="127">
        <v>6460</v>
      </c>
      <c r="T585" s="125">
        <v>712.18100000000004</v>
      </c>
      <c r="U585" s="127">
        <v>6450</v>
      </c>
      <c r="V585" s="125">
        <v>711.45799999999997</v>
      </c>
      <c r="W585" s="127">
        <v>6460</v>
      </c>
      <c r="X585" s="125">
        <v>711.03599999999994</v>
      </c>
      <c r="Y585" s="127">
        <v>6460</v>
      </c>
      <c r="Z585" s="125">
        <v>709.44200000000001</v>
      </c>
      <c r="AA585" s="127">
        <v>6460</v>
      </c>
      <c r="AB585" s="125">
        <v>709.56100000000004</v>
      </c>
      <c r="AC585" s="127">
        <v>6450</v>
      </c>
      <c r="AD585" s="125">
        <v>633.41999999999996</v>
      </c>
      <c r="AE585" s="127">
        <v>6460</v>
      </c>
      <c r="AF585" s="125">
        <v>634.95100000000002</v>
      </c>
      <c r="AG585" s="127">
        <v>6440</v>
      </c>
      <c r="AH585" s="125">
        <v>164.65899999999999</v>
      </c>
      <c r="AI585" s="127">
        <v>6440</v>
      </c>
      <c r="AJ585" s="125">
        <v>173.04499999999999</v>
      </c>
    </row>
    <row r="586" spans="1:36" ht="14.25">
      <c r="A586" s="128">
        <v>6470</v>
      </c>
      <c r="B586" s="124">
        <v>357.005</v>
      </c>
      <c r="C586" s="128">
        <v>6480</v>
      </c>
      <c r="D586" s="125">
        <v>354.334</v>
      </c>
      <c r="E586" s="126">
        <v>6470</v>
      </c>
      <c r="F586" s="125">
        <v>805.49900000000002</v>
      </c>
      <c r="G586" s="127">
        <v>6470</v>
      </c>
      <c r="H586" s="125">
        <v>805.38800000000003</v>
      </c>
      <c r="I586" s="127">
        <v>6470</v>
      </c>
      <c r="J586" s="125">
        <v>709.74800000000005</v>
      </c>
      <c r="K586" s="127">
        <v>6470</v>
      </c>
      <c r="L586" s="125">
        <v>709.29399999999998</v>
      </c>
      <c r="M586" s="127">
        <v>6470</v>
      </c>
      <c r="N586" s="125">
        <v>709.58699999999999</v>
      </c>
      <c r="O586" s="127">
        <v>6450</v>
      </c>
      <c r="P586" s="125">
        <v>710.70500000000004</v>
      </c>
      <c r="Q586" s="127">
        <v>6470</v>
      </c>
      <c r="R586" s="125">
        <v>710.31899999999996</v>
      </c>
      <c r="S586" s="127">
        <v>6470</v>
      </c>
      <c r="T586" s="125">
        <v>710.96900000000005</v>
      </c>
      <c r="U586" s="127">
        <v>6460</v>
      </c>
      <c r="V586" s="125">
        <v>710.24800000000005</v>
      </c>
      <c r="W586" s="127">
        <v>6470</v>
      </c>
      <c r="X586" s="125">
        <v>709.82500000000005</v>
      </c>
      <c r="Y586" s="127">
        <v>6470</v>
      </c>
      <c r="Z586" s="125">
        <v>708.23099999999999</v>
      </c>
      <c r="AA586" s="127">
        <v>6470</v>
      </c>
      <c r="AB586" s="125">
        <v>708.351</v>
      </c>
      <c r="AC586" s="127">
        <v>6460</v>
      </c>
      <c r="AD586" s="125">
        <v>632.20899999999995</v>
      </c>
      <c r="AE586" s="127">
        <v>6470</v>
      </c>
      <c r="AF586" s="125">
        <v>633.74199999999996</v>
      </c>
      <c r="AG586" s="127">
        <v>6450</v>
      </c>
      <c r="AH586" s="125">
        <v>164.27500000000001</v>
      </c>
      <c r="AI586" s="127">
        <v>6450</v>
      </c>
      <c r="AJ586" s="125">
        <v>172.64599999999999</v>
      </c>
    </row>
    <row r="587" spans="1:36" ht="14.25">
      <c r="A587" s="128">
        <v>6480</v>
      </c>
      <c r="B587" s="124">
        <v>356.24599999999998</v>
      </c>
      <c r="C587" s="128">
        <v>6490</v>
      </c>
      <c r="D587" s="125">
        <v>353.58</v>
      </c>
      <c r="E587" s="126">
        <v>6480</v>
      </c>
      <c r="F587" s="125">
        <v>804.02</v>
      </c>
      <c r="G587" s="127">
        <v>6480</v>
      </c>
      <c r="H587" s="125">
        <v>803.91099999999994</v>
      </c>
      <c r="I587" s="127">
        <v>6480</v>
      </c>
      <c r="J587" s="125">
        <v>708.53499999999997</v>
      </c>
      <c r="K587" s="127">
        <v>6480</v>
      </c>
      <c r="L587" s="125">
        <v>708.08</v>
      </c>
      <c r="M587" s="127">
        <v>6480</v>
      </c>
      <c r="N587" s="125">
        <v>708.375</v>
      </c>
      <c r="O587" s="127">
        <v>6460</v>
      </c>
      <c r="P587" s="125">
        <v>709.49199999999996</v>
      </c>
      <c r="Q587" s="127">
        <v>6480</v>
      </c>
      <c r="R587" s="125">
        <v>709.10599999999999</v>
      </c>
      <c r="S587" s="127">
        <v>6480</v>
      </c>
      <c r="T587" s="125">
        <v>709.75699999999995</v>
      </c>
      <c r="U587" s="127">
        <v>6470</v>
      </c>
      <c r="V587" s="125">
        <v>709.03800000000001</v>
      </c>
      <c r="W587" s="127">
        <v>6480</v>
      </c>
      <c r="X587" s="125">
        <v>708.61400000000003</v>
      </c>
      <c r="Y587" s="127">
        <v>6480</v>
      </c>
      <c r="Z587" s="125">
        <v>707.01900000000001</v>
      </c>
      <c r="AA587" s="127">
        <v>6480</v>
      </c>
      <c r="AB587" s="125">
        <v>707.14099999999996</v>
      </c>
      <c r="AC587" s="127">
        <v>6470</v>
      </c>
      <c r="AD587" s="125">
        <v>630.99900000000002</v>
      </c>
      <c r="AE587" s="127">
        <v>6480</v>
      </c>
      <c r="AF587" s="125">
        <v>632.53200000000004</v>
      </c>
      <c r="AG587" s="127">
        <v>6460</v>
      </c>
      <c r="AH587" s="125">
        <v>163.89099999999999</v>
      </c>
      <c r="AI587" s="127">
        <v>6460</v>
      </c>
      <c r="AJ587" s="125">
        <v>172.24799999999999</v>
      </c>
    </row>
    <row r="588" spans="1:36" ht="14.25">
      <c r="A588" s="128">
        <v>6490</v>
      </c>
      <c r="B588" s="124">
        <v>355.488</v>
      </c>
      <c r="C588" s="128">
        <v>6500</v>
      </c>
      <c r="D588" s="125">
        <v>352.827</v>
      </c>
      <c r="E588" s="126">
        <v>6490</v>
      </c>
      <c r="F588" s="125">
        <v>802.54100000000005</v>
      </c>
      <c r="G588" s="127">
        <v>6490</v>
      </c>
      <c r="H588" s="125">
        <v>802.43499999999995</v>
      </c>
      <c r="I588" s="127">
        <v>6490</v>
      </c>
      <c r="J588" s="125">
        <v>707.32299999999998</v>
      </c>
      <c r="K588" s="127">
        <v>6490</v>
      </c>
      <c r="L588" s="125">
        <v>706.86699999999996</v>
      </c>
      <c r="M588" s="127">
        <v>6490</v>
      </c>
      <c r="N588" s="125">
        <v>707.16200000000003</v>
      </c>
      <c r="O588" s="127">
        <v>6470</v>
      </c>
      <c r="P588" s="125">
        <v>708.279</v>
      </c>
      <c r="Q588" s="127">
        <v>6490</v>
      </c>
      <c r="R588" s="125">
        <v>707.89400000000001</v>
      </c>
      <c r="S588" s="127">
        <v>6490</v>
      </c>
      <c r="T588" s="125">
        <v>708.54499999999996</v>
      </c>
      <c r="U588" s="127">
        <v>6480</v>
      </c>
      <c r="V588" s="125">
        <v>707.82799999999997</v>
      </c>
      <c r="W588" s="127">
        <v>6490</v>
      </c>
      <c r="X588" s="125">
        <v>707.40300000000002</v>
      </c>
      <c r="Y588" s="127">
        <v>6490</v>
      </c>
      <c r="Z588" s="125">
        <v>705.80799999999999</v>
      </c>
      <c r="AA588" s="127">
        <v>6490</v>
      </c>
      <c r="AB588" s="125">
        <v>705.93100000000004</v>
      </c>
      <c r="AC588" s="127">
        <v>6480</v>
      </c>
      <c r="AD588" s="125">
        <v>629.78800000000001</v>
      </c>
      <c r="AE588" s="127">
        <v>6490</v>
      </c>
      <c r="AF588" s="125">
        <v>631.322</v>
      </c>
      <c r="AG588" s="127">
        <v>6470</v>
      </c>
      <c r="AH588" s="125">
        <v>163.50700000000001</v>
      </c>
      <c r="AI588" s="127">
        <v>6470</v>
      </c>
      <c r="AJ588" s="125">
        <v>171.84899999999999</v>
      </c>
    </row>
    <row r="589" spans="1:36" ht="14.25">
      <c r="A589" s="128">
        <v>6500</v>
      </c>
      <c r="B589" s="124">
        <v>354.73</v>
      </c>
      <c r="C589" s="128">
        <v>6510</v>
      </c>
      <c r="D589" s="125">
        <v>352.07299999999998</v>
      </c>
      <c r="E589" s="126">
        <v>6500</v>
      </c>
      <c r="F589" s="125">
        <v>801.06200000000001</v>
      </c>
      <c r="G589" s="127">
        <v>6500</v>
      </c>
      <c r="H589" s="125">
        <v>800.95799999999997</v>
      </c>
      <c r="I589" s="127">
        <v>6500</v>
      </c>
      <c r="J589" s="125">
        <v>706.11</v>
      </c>
      <c r="K589" s="127">
        <v>6500</v>
      </c>
      <c r="L589" s="125">
        <v>705.65300000000002</v>
      </c>
      <c r="M589" s="127">
        <v>6500</v>
      </c>
      <c r="N589" s="125">
        <v>705.95</v>
      </c>
      <c r="O589" s="127">
        <v>6480</v>
      </c>
      <c r="P589" s="125">
        <v>707.06600000000003</v>
      </c>
      <c r="Q589" s="127">
        <v>6500</v>
      </c>
      <c r="R589" s="125">
        <v>706.68100000000004</v>
      </c>
      <c r="S589" s="127">
        <v>6500</v>
      </c>
      <c r="T589" s="125">
        <v>707.33299999999997</v>
      </c>
      <c r="U589" s="127">
        <v>6490</v>
      </c>
      <c r="V589" s="125">
        <v>706.61800000000005</v>
      </c>
      <c r="W589" s="127">
        <v>6500</v>
      </c>
      <c r="X589" s="125">
        <v>706.19200000000001</v>
      </c>
      <c r="Y589" s="127">
        <v>6500</v>
      </c>
      <c r="Z589" s="125">
        <v>704.59699999999998</v>
      </c>
      <c r="AA589" s="127">
        <v>6500</v>
      </c>
      <c r="AB589" s="125">
        <v>704.721</v>
      </c>
      <c r="AC589" s="127">
        <v>6490</v>
      </c>
      <c r="AD589" s="125">
        <v>628.57799999999997</v>
      </c>
      <c r="AE589" s="127">
        <v>6500</v>
      </c>
      <c r="AF589" s="125">
        <v>630.11199999999997</v>
      </c>
      <c r="AG589" s="127">
        <v>6480</v>
      </c>
      <c r="AH589" s="125">
        <v>163.12299999999999</v>
      </c>
      <c r="AI589" s="127">
        <v>6480</v>
      </c>
      <c r="AJ589" s="125">
        <v>171.45099999999999</v>
      </c>
    </row>
    <row r="590" spans="1:36" ht="14.25">
      <c r="A590" s="128">
        <v>6510</v>
      </c>
      <c r="B590" s="124">
        <v>353.97199999999998</v>
      </c>
      <c r="C590" s="128">
        <v>6520</v>
      </c>
      <c r="D590" s="125">
        <v>351.32</v>
      </c>
      <c r="E590" s="126">
        <v>6510</v>
      </c>
      <c r="F590" s="125">
        <v>799.58399999999995</v>
      </c>
      <c r="G590" s="127">
        <v>6510</v>
      </c>
      <c r="H590" s="125">
        <v>799.48199999999997</v>
      </c>
      <c r="I590" s="127">
        <v>6510</v>
      </c>
      <c r="J590" s="125">
        <v>704.89800000000002</v>
      </c>
      <c r="K590" s="127">
        <v>6510</v>
      </c>
      <c r="L590" s="125">
        <v>704.44</v>
      </c>
      <c r="M590" s="127">
        <v>6510</v>
      </c>
      <c r="N590" s="125">
        <v>704.73699999999997</v>
      </c>
      <c r="O590" s="127">
        <v>6490</v>
      </c>
      <c r="P590" s="125">
        <v>705.85400000000004</v>
      </c>
      <c r="Q590" s="127">
        <v>6510</v>
      </c>
      <c r="R590" s="125">
        <v>705.46900000000005</v>
      </c>
      <c r="S590" s="127">
        <v>6510</v>
      </c>
      <c r="T590" s="125">
        <v>706.12</v>
      </c>
      <c r="U590" s="127">
        <v>6500</v>
      </c>
      <c r="V590" s="125">
        <v>705.40800000000002</v>
      </c>
      <c r="W590" s="127">
        <v>6510</v>
      </c>
      <c r="X590" s="125">
        <v>704.98199999999997</v>
      </c>
      <c r="Y590" s="127">
        <v>6510</v>
      </c>
      <c r="Z590" s="125">
        <v>703.38599999999997</v>
      </c>
      <c r="AA590" s="127">
        <v>6510</v>
      </c>
      <c r="AB590" s="125">
        <v>703.51099999999997</v>
      </c>
      <c r="AC590" s="127">
        <v>6500</v>
      </c>
      <c r="AD590" s="125">
        <v>627.36699999999996</v>
      </c>
      <c r="AE590" s="127">
        <v>6510</v>
      </c>
      <c r="AF590" s="125">
        <v>628.90200000000004</v>
      </c>
      <c r="AG590" s="127">
        <v>6490</v>
      </c>
      <c r="AH590" s="125">
        <v>162.739</v>
      </c>
      <c r="AI590" s="127">
        <v>6490</v>
      </c>
      <c r="AJ590" s="125">
        <v>171.053</v>
      </c>
    </row>
    <row r="591" spans="1:36" ht="14.25">
      <c r="A591" s="128">
        <v>6520</v>
      </c>
      <c r="B591" s="124">
        <v>353.214</v>
      </c>
      <c r="C591" s="128">
        <v>6530</v>
      </c>
      <c r="D591" s="125">
        <v>350.56700000000001</v>
      </c>
      <c r="E591" s="126">
        <v>6520</v>
      </c>
      <c r="F591" s="125">
        <v>798.10500000000002</v>
      </c>
      <c r="G591" s="127">
        <v>6520</v>
      </c>
      <c r="H591" s="125">
        <v>798.005</v>
      </c>
      <c r="I591" s="127">
        <v>6520</v>
      </c>
      <c r="J591" s="132">
        <v>703.68499999999995</v>
      </c>
      <c r="K591" s="127">
        <v>6520</v>
      </c>
      <c r="L591" s="125">
        <v>703.226</v>
      </c>
      <c r="M591" s="127">
        <v>6520</v>
      </c>
      <c r="N591" s="125">
        <v>703.52499999999998</v>
      </c>
      <c r="O591" s="127">
        <v>6500</v>
      </c>
      <c r="P591" s="125">
        <v>704.64099999999996</v>
      </c>
      <c r="Q591" s="127">
        <v>6520</v>
      </c>
      <c r="R591" s="125">
        <v>704.25599999999997</v>
      </c>
      <c r="S591" s="127">
        <v>6520</v>
      </c>
      <c r="T591" s="125">
        <v>704.90800000000002</v>
      </c>
      <c r="U591" s="127">
        <v>6510</v>
      </c>
      <c r="V591" s="125">
        <v>704.19799999999998</v>
      </c>
      <c r="W591" s="127">
        <v>6520</v>
      </c>
      <c r="X591" s="125">
        <v>703.77099999999996</v>
      </c>
      <c r="Y591" s="127">
        <v>6520</v>
      </c>
      <c r="Z591" s="125">
        <v>702.17399999999998</v>
      </c>
      <c r="AA591" s="127">
        <v>6520</v>
      </c>
      <c r="AB591" s="125">
        <v>702.30100000000004</v>
      </c>
      <c r="AC591" s="127">
        <v>6510</v>
      </c>
      <c r="AD591" s="125">
        <v>626.15599999999995</v>
      </c>
      <c r="AE591" s="127">
        <v>6520</v>
      </c>
      <c r="AF591" s="125">
        <v>627.69200000000001</v>
      </c>
      <c r="AG591" s="127">
        <v>6500</v>
      </c>
      <c r="AH591" s="125">
        <v>162.35499999999999</v>
      </c>
      <c r="AI591" s="127">
        <v>6500</v>
      </c>
      <c r="AJ591" s="125">
        <v>170.655</v>
      </c>
    </row>
    <row r="592" spans="1:36" ht="14.25">
      <c r="A592" s="128">
        <v>6530</v>
      </c>
      <c r="B592" s="124">
        <v>352.45600000000002</v>
      </c>
      <c r="C592" s="128">
        <v>6540</v>
      </c>
      <c r="D592" s="125">
        <v>349.81400000000002</v>
      </c>
      <c r="E592" s="126">
        <v>6530</v>
      </c>
      <c r="F592" s="125">
        <v>796.62699999999995</v>
      </c>
      <c r="G592" s="127">
        <v>6530</v>
      </c>
      <c r="H592" s="125">
        <v>796.529</v>
      </c>
      <c r="I592" s="127">
        <v>6530</v>
      </c>
      <c r="J592" s="125">
        <v>702.47299999999996</v>
      </c>
      <c r="K592" s="127">
        <v>6530</v>
      </c>
      <c r="L592" s="125">
        <v>702.01300000000003</v>
      </c>
      <c r="M592" s="127">
        <v>6530</v>
      </c>
      <c r="N592" s="125">
        <v>702.31200000000001</v>
      </c>
      <c r="O592" s="127">
        <v>6510</v>
      </c>
      <c r="P592" s="125">
        <v>703.428</v>
      </c>
      <c r="Q592" s="127">
        <v>6530</v>
      </c>
      <c r="R592" s="125">
        <v>703.04399999999998</v>
      </c>
      <c r="S592" s="127">
        <v>6530</v>
      </c>
      <c r="T592" s="125">
        <v>703.69600000000003</v>
      </c>
      <c r="U592" s="127">
        <v>6520</v>
      </c>
      <c r="V592" s="125">
        <v>702.98800000000006</v>
      </c>
      <c r="W592" s="127">
        <v>6530</v>
      </c>
      <c r="X592" s="125">
        <v>702.56</v>
      </c>
      <c r="Y592" s="127">
        <v>6530</v>
      </c>
      <c r="Z592" s="125">
        <v>700.96299999999997</v>
      </c>
      <c r="AA592" s="127">
        <v>6530</v>
      </c>
      <c r="AB592" s="125">
        <v>701.09100000000001</v>
      </c>
      <c r="AC592" s="127">
        <v>6520</v>
      </c>
      <c r="AD592" s="125">
        <v>624.94600000000003</v>
      </c>
      <c r="AE592" s="127">
        <v>6530</v>
      </c>
      <c r="AF592" s="125">
        <v>626.48199999999997</v>
      </c>
      <c r="AG592" s="127">
        <v>6510</v>
      </c>
      <c r="AH592" s="125">
        <v>161.971</v>
      </c>
      <c r="AI592" s="127">
        <v>6510</v>
      </c>
      <c r="AJ592" s="125">
        <v>170.25700000000001</v>
      </c>
    </row>
    <row r="593" spans="1:36" ht="14.25">
      <c r="A593" s="128">
        <v>6540</v>
      </c>
      <c r="B593" s="124">
        <v>351.69799999999998</v>
      </c>
      <c r="C593" s="128">
        <v>6550</v>
      </c>
      <c r="D593" s="125">
        <v>349.06200000000001</v>
      </c>
      <c r="E593" s="126">
        <v>6540</v>
      </c>
      <c r="F593" s="125">
        <v>795.149</v>
      </c>
      <c r="G593" s="127">
        <v>6540</v>
      </c>
      <c r="H593" s="125">
        <v>795.053</v>
      </c>
      <c r="I593" s="127">
        <v>6540</v>
      </c>
      <c r="J593" s="125">
        <v>701.26</v>
      </c>
      <c r="K593" s="127">
        <v>6540</v>
      </c>
      <c r="L593" s="125">
        <v>700.79899999999998</v>
      </c>
      <c r="M593" s="127">
        <v>6540</v>
      </c>
      <c r="N593" s="125">
        <v>701.1</v>
      </c>
      <c r="O593" s="127">
        <v>6520</v>
      </c>
      <c r="P593" s="125">
        <v>702.21600000000001</v>
      </c>
      <c r="Q593" s="127">
        <v>6540</v>
      </c>
      <c r="R593" s="125">
        <v>701.83100000000002</v>
      </c>
      <c r="S593" s="127">
        <v>6540</v>
      </c>
      <c r="T593" s="125">
        <v>702.48400000000004</v>
      </c>
      <c r="U593" s="127">
        <v>6530</v>
      </c>
      <c r="V593" s="125">
        <v>701.77800000000002</v>
      </c>
      <c r="W593" s="127">
        <v>6540</v>
      </c>
      <c r="X593" s="125">
        <v>701.34900000000005</v>
      </c>
      <c r="Y593" s="127">
        <v>6540</v>
      </c>
      <c r="Z593" s="125">
        <v>699.75199999999995</v>
      </c>
      <c r="AA593" s="127">
        <v>6540</v>
      </c>
      <c r="AB593" s="125">
        <v>699.88099999999997</v>
      </c>
      <c r="AC593" s="127">
        <v>6530</v>
      </c>
      <c r="AD593" s="125">
        <v>623.73500000000001</v>
      </c>
      <c r="AE593" s="127">
        <v>6540</v>
      </c>
      <c r="AF593" s="125">
        <v>625.27200000000005</v>
      </c>
      <c r="AG593" s="127">
        <v>6520</v>
      </c>
      <c r="AH593" s="125">
        <v>161.58799999999999</v>
      </c>
      <c r="AI593" s="127">
        <v>6520</v>
      </c>
      <c r="AJ593" s="125">
        <v>169.85900000000001</v>
      </c>
    </row>
    <row r="594" spans="1:36" ht="14.25">
      <c r="A594" s="128">
        <v>6550</v>
      </c>
      <c r="B594" s="124">
        <v>350.94099999999997</v>
      </c>
      <c r="C594" s="128">
        <v>6560</v>
      </c>
      <c r="D594" s="125">
        <v>348.30900000000003</v>
      </c>
      <c r="E594" s="126">
        <v>6550</v>
      </c>
      <c r="F594" s="125">
        <v>793.67100000000005</v>
      </c>
      <c r="G594" s="127">
        <v>6550</v>
      </c>
      <c r="H594" s="125">
        <v>793.577</v>
      </c>
      <c r="I594" s="127">
        <v>6550</v>
      </c>
      <c r="J594" s="125">
        <v>700.04700000000003</v>
      </c>
      <c r="K594" s="127">
        <v>6550</v>
      </c>
      <c r="L594" s="125">
        <v>699.58500000000004</v>
      </c>
      <c r="M594" s="127">
        <v>6550</v>
      </c>
      <c r="N594" s="125">
        <v>699.88699999999994</v>
      </c>
      <c r="O594" s="127">
        <v>6530</v>
      </c>
      <c r="P594" s="125">
        <v>701.00300000000004</v>
      </c>
      <c r="Q594" s="127">
        <v>6550</v>
      </c>
      <c r="R594" s="125">
        <v>700.61900000000003</v>
      </c>
      <c r="S594" s="127">
        <v>6550</v>
      </c>
      <c r="T594" s="125">
        <v>701.27200000000005</v>
      </c>
      <c r="U594" s="127">
        <v>6540</v>
      </c>
      <c r="V594" s="125">
        <v>700.56799999999998</v>
      </c>
      <c r="W594" s="127">
        <v>6550</v>
      </c>
      <c r="X594" s="125">
        <v>700.13800000000003</v>
      </c>
      <c r="Y594" s="127">
        <v>6550</v>
      </c>
      <c r="Z594" s="125">
        <v>698.54100000000005</v>
      </c>
      <c r="AA594" s="127">
        <v>6550</v>
      </c>
      <c r="AB594" s="125">
        <v>698.67100000000005</v>
      </c>
      <c r="AC594" s="127">
        <v>6540</v>
      </c>
      <c r="AD594" s="125">
        <v>622.524</v>
      </c>
      <c r="AE594" s="127">
        <v>6550</v>
      </c>
      <c r="AF594" s="125">
        <v>624.06299999999999</v>
      </c>
      <c r="AG594" s="127">
        <v>6530</v>
      </c>
      <c r="AH594" s="125">
        <v>161.20400000000001</v>
      </c>
      <c r="AI594" s="127">
        <v>6530</v>
      </c>
      <c r="AJ594" s="125">
        <v>169.46100000000001</v>
      </c>
    </row>
    <row r="595" spans="1:36" ht="14.25">
      <c r="A595" s="128">
        <v>6560</v>
      </c>
      <c r="B595" s="124">
        <v>350.18400000000003</v>
      </c>
      <c r="C595" s="128">
        <v>6570</v>
      </c>
      <c r="D595" s="125">
        <v>347.55700000000002</v>
      </c>
      <c r="E595" s="126">
        <v>6560</v>
      </c>
      <c r="F595" s="125">
        <v>792.19299999999998</v>
      </c>
      <c r="G595" s="127">
        <v>6560</v>
      </c>
      <c r="H595" s="125">
        <v>792.101</v>
      </c>
      <c r="I595" s="127">
        <v>6560</v>
      </c>
      <c r="J595" s="125">
        <v>698.83500000000004</v>
      </c>
      <c r="K595" s="127">
        <v>6560</v>
      </c>
      <c r="L595" s="125">
        <v>698.37199999999996</v>
      </c>
      <c r="M595" s="127">
        <v>6560</v>
      </c>
      <c r="N595" s="125">
        <v>698.67499999999995</v>
      </c>
      <c r="O595" s="127">
        <v>6540</v>
      </c>
      <c r="P595" s="125">
        <v>699.79</v>
      </c>
      <c r="Q595" s="127">
        <v>6560</v>
      </c>
      <c r="R595" s="125">
        <v>699.40599999999995</v>
      </c>
      <c r="S595" s="127">
        <v>6560</v>
      </c>
      <c r="T595" s="125">
        <v>700.05899999999997</v>
      </c>
      <c r="U595" s="127">
        <v>6550</v>
      </c>
      <c r="V595" s="125">
        <v>699.35799999999995</v>
      </c>
      <c r="W595" s="127">
        <v>6560</v>
      </c>
      <c r="X595" s="125">
        <v>698.92700000000002</v>
      </c>
      <c r="Y595" s="127">
        <v>6560</v>
      </c>
      <c r="Z595" s="125">
        <v>697.32899999999995</v>
      </c>
      <c r="AA595" s="127">
        <v>6560</v>
      </c>
      <c r="AB595" s="125">
        <v>697.46100000000001</v>
      </c>
      <c r="AC595" s="127">
        <v>6550</v>
      </c>
      <c r="AD595" s="125">
        <v>621.31399999999996</v>
      </c>
      <c r="AE595" s="127">
        <v>6560</v>
      </c>
      <c r="AF595" s="125">
        <v>622.85299999999995</v>
      </c>
      <c r="AG595" s="127">
        <v>6540</v>
      </c>
      <c r="AH595" s="125">
        <v>160.821</v>
      </c>
      <c r="AI595" s="127">
        <v>6540</v>
      </c>
      <c r="AJ595" s="125">
        <v>169.06399999999999</v>
      </c>
    </row>
    <row r="596" spans="1:36" ht="14.25">
      <c r="A596" s="128">
        <v>6570</v>
      </c>
      <c r="B596" s="124">
        <v>349.42700000000002</v>
      </c>
      <c r="C596" s="128">
        <v>6580</v>
      </c>
      <c r="D596" s="125">
        <v>346.80500000000001</v>
      </c>
      <c r="E596" s="126">
        <v>6570</v>
      </c>
      <c r="F596" s="125">
        <v>790.71500000000003</v>
      </c>
      <c r="G596" s="127">
        <v>6570</v>
      </c>
      <c r="H596" s="125">
        <v>790.625</v>
      </c>
      <c r="I596" s="127">
        <v>6570</v>
      </c>
      <c r="J596" s="125">
        <v>697.62199999999996</v>
      </c>
      <c r="K596" s="127">
        <v>6570</v>
      </c>
      <c r="L596" s="125">
        <v>697.15800000000002</v>
      </c>
      <c r="M596" s="127">
        <v>6570</v>
      </c>
      <c r="N596" s="125">
        <v>697.46299999999997</v>
      </c>
      <c r="O596" s="127">
        <v>6550</v>
      </c>
      <c r="P596" s="125">
        <v>698.577</v>
      </c>
      <c r="Q596" s="127">
        <v>6570</v>
      </c>
      <c r="R596" s="125">
        <v>698.19399999999996</v>
      </c>
      <c r="S596" s="127">
        <v>6570</v>
      </c>
      <c r="T596" s="125">
        <v>698.84699999999998</v>
      </c>
      <c r="U596" s="127">
        <v>6560</v>
      </c>
      <c r="V596" s="125">
        <v>698.14800000000002</v>
      </c>
      <c r="W596" s="127">
        <v>6570</v>
      </c>
      <c r="X596" s="125">
        <v>697.71600000000001</v>
      </c>
      <c r="Y596" s="127">
        <v>6570</v>
      </c>
      <c r="Z596" s="125">
        <v>696.11800000000005</v>
      </c>
      <c r="AA596" s="127">
        <v>6570</v>
      </c>
      <c r="AB596" s="125">
        <v>696.25099999999998</v>
      </c>
      <c r="AC596" s="127">
        <v>6560</v>
      </c>
      <c r="AD596" s="125">
        <v>620.10299999999995</v>
      </c>
      <c r="AE596" s="127">
        <v>6570</v>
      </c>
      <c r="AF596" s="125">
        <v>621.64300000000003</v>
      </c>
      <c r="AG596" s="127">
        <v>6550</v>
      </c>
      <c r="AH596" s="125">
        <v>160.43700000000001</v>
      </c>
      <c r="AI596" s="127">
        <v>6550</v>
      </c>
      <c r="AJ596" s="125">
        <v>168.666</v>
      </c>
    </row>
    <row r="597" spans="1:36" ht="14.25">
      <c r="A597" s="128">
        <v>6580</v>
      </c>
      <c r="B597" s="124">
        <v>348.67</v>
      </c>
      <c r="C597" s="128">
        <v>6590</v>
      </c>
      <c r="D597" s="125">
        <v>346.053</v>
      </c>
      <c r="E597" s="126">
        <v>6580</v>
      </c>
      <c r="F597" s="125">
        <v>789.23800000000006</v>
      </c>
      <c r="G597" s="127">
        <v>6580</v>
      </c>
      <c r="H597" s="125">
        <v>789.149</v>
      </c>
      <c r="I597" s="127">
        <v>6580</v>
      </c>
      <c r="J597" s="125">
        <v>696.41</v>
      </c>
      <c r="K597" s="127">
        <v>6580</v>
      </c>
      <c r="L597" s="125">
        <v>695.94399999999996</v>
      </c>
      <c r="M597" s="127">
        <v>6580</v>
      </c>
      <c r="N597" s="125">
        <v>696.25</v>
      </c>
      <c r="O597" s="127">
        <v>6560</v>
      </c>
      <c r="P597" s="125">
        <v>697.36500000000001</v>
      </c>
      <c r="Q597" s="127">
        <v>6580</v>
      </c>
      <c r="R597" s="125">
        <v>696.98099999999999</v>
      </c>
      <c r="S597" s="127">
        <v>6580</v>
      </c>
      <c r="T597" s="125">
        <v>697.63499999999999</v>
      </c>
      <c r="U597" s="127">
        <v>6570</v>
      </c>
      <c r="V597" s="125">
        <v>696.93799999999999</v>
      </c>
      <c r="W597" s="127">
        <v>6580</v>
      </c>
      <c r="X597" s="125">
        <v>696.505</v>
      </c>
      <c r="Y597" s="127">
        <v>6580</v>
      </c>
      <c r="Z597" s="125">
        <v>694.90700000000004</v>
      </c>
      <c r="AA597" s="127">
        <v>6580</v>
      </c>
      <c r="AB597" s="125">
        <v>695.04100000000005</v>
      </c>
      <c r="AC597" s="127">
        <v>6570</v>
      </c>
      <c r="AD597" s="125">
        <v>618.89200000000005</v>
      </c>
      <c r="AE597" s="127">
        <v>6580</v>
      </c>
      <c r="AF597" s="125">
        <v>620.43299999999999</v>
      </c>
      <c r="AG597" s="127">
        <v>6560</v>
      </c>
      <c r="AH597" s="125">
        <v>160.054</v>
      </c>
      <c r="AI597" s="127">
        <v>6560</v>
      </c>
      <c r="AJ597" s="125">
        <v>168.26900000000001</v>
      </c>
    </row>
    <row r="598" spans="1:36" ht="14.25">
      <c r="A598" s="128">
        <v>6590</v>
      </c>
      <c r="B598" s="124">
        <v>347.91399999999999</v>
      </c>
      <c r="C598" s="128">
        <v>6600</v>
      </c>
      <c r="D598" s="125">
        <v>345.30200000000002</v>
      </c>
      <c r="E598" s="126">
        <v>6590</v>
      </c>
      <c r="F598" s="125">
        <v>787.76</v>
      </c>
      <c r="G598" s="127">
        <v>6590</v>
      </c>
      <c r="H598" s="125">
        <v>787.673</v>
      </c>
      <c r="I598" s="127">
        <v>6590</v>
      </c>
      <c r="J598" s="125">
        <v>695.197</v>
      </c>
      <c r="K598" s="127">
        <v>6590</v>
      </c>
      <c r="L598" s="125">
        <v>694.73099999999999</v>
      </c>
      <c r="M598" s="127">
        <v>6590</v>
      </c>
      <c r="N598" s="125">
        <v>695.03800000000001</v>
      </c>
      <c r="O598" s="127">
        <v>6570</v>
      </c>
      <c r="P598" s="125">
        <v>696.15200000000004</v>
      </c>
      <c r="Q598" s="127">
        <v>6590</v>
      </c>
      <c r="R598" s="125">
        <v>695.76900000000001</v>
      </c>
      <c r="S598" s="127">
        <v>6590</v>
      </c>
      <c r="T598" s="125">
        <v>696.423</v>
      </c>
      <c r="U598" s="127">
        <v>6580</v>
      </c>
      <c r="V598" s="125">
        <v>695.72799999999995</v>
      </c>
      <c r="W598" s="127">
        <v>6590</v>
      </c>
      <c r="X598" s="125">
        <v>695.29399999999998</v>
      </c>
      <c r="Y598" s="127">
        <v>6590</v>
      </c>
      <c r="Z598" s="125">
        <v>693.69600000000003</v>
      </c>
      <c r="AA598" s="127">
        <v>6590</v>
      </c>
      <c r="AB598" s="125">
        <v>693.83100000000002</v>
      </c>
      <c r="AC598" s="127">
        <v>6580</v>
      </c>
      <c r="AD598" s="125">
        <v>617.68200000000002</v>
      </c>
      <c r="AE598" s="127">
        <v>6590</v>
      </c>
      <c r="AF598" s="125">
        <v>619.22299999999996</v>
      </c>
      <c r="AG598" s="127">
        <v>6570</v>
      </c>
      <c r="AH598" s="125">
        <v>159.67099999999999</v>
      </c>
      <c r="AI598" s="127">
        <v>6570</v>
      </c>
      <c r="AJ598" s="125">
        <v>167.87100000000001</v>
      </c>
    </row>
    <row r="599" spans="1:36" ht="14.25">
      <c r="A599" s="128">
        <v>6600</v>
      </c>
      <c r="B599" s="124">
        <v>347.15800000000002</v>
      </c>
      <c r="C599" s="128">
        <v>6610</v>
      </c>
      <c r="D599" s="125">
        <v>344.55</v>
      </c>
      <c r="E599" s="126">
        <v>6600</v>
      </c>
      <c r="F599" s="125">
        <v>786.28300000000002</v>
      </c>
      <c r="G599" s="127">
        <v>6600</v>
      </c>
      <c r="H599" s="125">
        <v>786.19799999999998</v>
      </c>
      <c r="I599" s="127">
        <v>6600</v>
      </c>
      <c r="J599" s="125">
        <v>693.98500000000001</v>
      </c>
      <c r="K599" s="127">
        <v>6600</v>
      </c>
      <c r="L599" s="125">
        <v>693.51700000000005</v>
      </c>
      <c r="M599" s="127">
        <v>6600</v>
      </c>
      <c r="N599" s="125">
        <v>693.82500000000005</v>
      </c>
      <c r="O599" s="127">
        <v>6580</v>
      </c>
      <c r="P599" s="125">
        <v>694.93899999999996</v>
      </c>
      <c r="Q599" s="127">
        <v>6600</v>
      </c>
      <c r="R599" s="125">
        <v>694.55600000000004</v>
      </c>
      <c r="S599" s="127">
        <v>6600</v>
      </c>
      <c r="T599" s="125">
        <v>695.21</v>
      </c>
      <c r="U599" s="127">
        <v>6590</v>
      </c>
      <c r="V599" s="125">
        <v>694.51800000000003</v>
      </c>
      <c r="W599" s="127">
        <v>6600</v>
      </c>
      <c r="X599" s="125">
        <v>694.08299999999997</v>
      </c>
      <c r="Y599" s="127">
        <v>6600</v>
      </c>
      <c r="Z599" s="125">
        <v>692.48500000000001</v>
      </c>
      <c r="AA599" s="127">
        <v>6600</v>
      </c>
      <c r="AB599" s="125">
        <v>692.62099999999998</v>
      </c>
      <c r="AC599" s="127">
        <v>6590</v>
      </c>
      <c r="AD599" s="125">
        <v>616.471</v>
      </c>
      <c r="AE599" s="127">
        <v>6600</v>
      </c>
      <c r="AF599" s="125">
        <v>618.01300000000003</v>
      </c>
      <c r="AG599" s="127">
        <v>6580</v>
      </c>
      <c r="AH599" s="125">
        <v>159.28800000000001</v>
      </c>
      <c r="AI599" s="127">
        <v>6580</v>
      </c>
      <c r="AJ599" s="125">
        <v>167.47399999999999</v>
      </c>
    </row>
    <row r="600" spans="1:36" ht="14.25">
      <c r="A600" s="128">
        <v>6610</v>
      </c>
      <c r="B600" s="124">
        <v>346.40199999999999</v>
      </c>
      <c r="C600" s="128">
        <v>6620</v>
      </c>
      <c r="D600" s="125">
        <v>343.79899999999998</v>
      </c>
      <c r="E600" s="126">
        <v>6610</v>
      </c>
      <c r="F600" s="125">
        <v>784.80499999999995</v>
      </c>
      <c r="G600" s="127">
        <v>6610</v>
      </c>
      <c r="H600" s="125">
        <v>784.72199999999998</v>
      </c>
      <c r="I600" s="127">
        <v>6610</v>
      </c>
      <c r="J600" s="125">
        <v>692.77200000000005</v>
      </c>
      <c r="K600" s="127">
        <v>6610</v>
      </c>
      <c r="L600" s="125">
        <v>692.30399999999997</v>
      </c>
      <c r="M600" s="127">
        <v>6610</v>
      </c>
      <c r="N600" s="125">
        <v>692.61300000000006</v>
      </c>
      <c r="O600" s="127">
        <v>6590</v>
      </c>
      <c r="P600" s="125">
        <v>693.726</v>
      </c>
      <c r="Q600" s="127">
        <v>6610</v>
      </c>
      <c r="R600" s="125">
        <v>693.34400000000005</v>
      </c>
      <c r="S600" s="127">
        <v>6610</v>
      </c>
      <c r="T600" s="125">
        <v>693.99800000000005</v>
      </c>
      <c r="U600" s="127">
        <v>6600</v>
      </c>
      <c r="V600" s="125">
        <v>693.30799999999999</v>
      </c>
      <c r="W600" s="127">
        <v>6610</v>
      </c>
      <c r="X600" s="125">
        <v>692.87199999999996</v>
      </c>
      <c r="Y600" s="127">
        <v>6610</v>
      </c>
      <c r="Z600" s="125">
        <v>691.27300000000002</v>
      </c>
      <c r="AA600" s="127">
        <v>6610</v>
      </c>
      <c r="AB600" s="125">
        <v>691.41099999999994</v>
      </c>
      <c r="AC600" s="127">
        <v>6600</v>
      </c>
      <c r="AD600" s="125">
        <v>615.26</v>
      </c>
      <c r="AE600" s="127">
        <v>6610</v>
      </c>
      <c r="AF600" s="125">
        <v>616.803</v>
      </c>
      <c r="AG600" s="127">
        <v>6590</v>
      </c>
      <c r="AH600" s="125">
        <v>158.905</v>
      </c>
      <c r="AI600" s="127">
        <v>6590</v>
      </c>
      <c r="AJ600" s="125">
        <v>167.077</v>
      </c>
    </row>
    <row r="601" spans="1:36" ht="14.25">
      <c r="A601" s="128">
        <v>6620</v>
      </c>
      <c r="B601" s="124">
        <v>345.64600000000002</v>
      </c>
      <c r="C601" s="128">
        <v>6630</v>
      </c>
      <c r="D601" s="125">
        <v>343.048</v>
      </c>
      <c r="E601" s="126">
        <v>6620</v>
      </c>
      <c r="F601" s="125">
        <v>783.32799999999997</v>
      </c>
      <c r="G601" s="127">
        <v>6620</v>
      </c>
      <c r="H601" s="125">
        <v>783.24699999999996</v>
      </c>
      <c r="I601" s="127">
        <v>6620</v>
      </c>
      <c r="J601" s="125">
        <v>691.56</v>
      </c>
      <c r="K601" s="127">
        <v>6620</v>
      </c>
      <c r="L601" s="125">
        <v>691.09</v>
      </c>
      <c r="M601" s="127">
        <v>6620</v>
      </c>
      <c r="N601" s="125">
        <v>691.4</v>
      </c>
      <c r="O601" s="127">
        <v>6600</v>
      </c>
      <c r="P601" s="125">
        <v>692.51400000000001</v>
      </c>
      <c r="Q601" s="127">
        <v>6620</v>
      </c>
      <c r="R601" s="125">
        <v>692.13099999999997</v>
      </c>
      <c r="S601" s="127">
        <v>6620</v>
      </c>
      <c r="T601" s="125">
        <v>692.78599999999994</v>
      </c>
      <c r="U601" s="127">
        <v>6610</v>
      </c>
      <c r="V601" s="125">
        <v>692.09799999999996</v>
      </c>
      <c r="W601" s="127">
        <v>6620</v>
      </c>
      <c r="X601" s="125">
        <v>691.66200000000003</v>
      </c>
      <c r="Y601" s="127">
        <v>6620</v>
      </c>
      <c r="Z601" s="125">
        <v>690.06200000000001</v>
      </c>
      <c r="AA601" s="127">
        <v>6620</v>
      </c>
      <c r="AB601" s="125">
        <v>690.20100000000002</v>
      </c>
      <c r="AC601" s="127">
        <v>6610</v>
      </c>
      <c r="AD601" s="125">
        <v>614.04999999999995</v>
      </c>
      <c r="AE601" s="127">
        <v>6620</v>
      </c>
      <c r="AF601" s="125">
        <v>615.59299999999996</v>
      </c>
      <c r="AG601" s="127">
        <v>6600</v>
      </c>
      <c r="AH601" s="125">
        <v>158.52199999999999</v>
      </c>
      <c r="AI601" s="127">
        <v>6600</v>
      </c>
      <c r="AJ601" s="125">
        <v>166.68</v>
      </c>
    </row>
    <row r="602" spans="1:36" ht="14.25">
      <c r="A602" s="128">
        <v>6630</v>
      </c>
      <c r="B602" s="124">
        <v>344.89</v>
      </c>
      <c r="C602" s="128">
        <v>6640</v>
      </c>
      <c r="D602" s="125">
        <v>342.29700000000003</v>
      </c>
      <c r="E602" s="126">
        <v>6630</v>
      </c>
      <c r="F602" s="125">
        <v>781.851</v>
      </c>
      <c r="G602" s="127">
        <v>6630</v>
      </c>
      <c r="H602" s="125">
        <v>781.77200000000005</v>
      </c>
      <c r="I602" s="127">
        <v>6630</v>
      </c>
      <c r="J602" s="125">
        <v>690.34699999999998</v>
      </c>
      <c r="K602" s="127">
        <v>6630</v>
      </c>
      <c r="L602" s="125">
        <v>689.87699999999995</v>
      </c>
      <c r="M602" s="127">
        <v>6630</v>
      </c>
      <c r="N602" s="125">
        <v>690.18799999999999</v>
      </c>
      <c r="O602" s="127">
        <v>6610</v>
      </c>
      <c r="P602" s="125">
        <v>691.30100000000004</v>
      </c>
      <c r="Q602" s="127">
        <v>6630</v>
      </c>
      <c r="R602" s="125">
        <v>690.91899999999998</v>
      </c>
      <c r="S602" s="127">
        <v>6630</v>
      </c>
      <c r="T602" s="125">
        <v>691.57399999999996</v>
      </c>
      <c r="U602" s="127">
        <v>6620</v>
      </c>
      <c r="V602" s="125">
        <v>690.88800000000003</v>
      </c>
      <c r="W602" s="127">
        <v>6630</v>
      </c>
      <c r="X602" s="125">
        <v>690.45100000000002</v>
      </c>
      <c r="Y602" s="127">
        <v>6630</v>
      </c>
      <c r="Z602" s="125">
        <v>688.851</v>
      </c>
      <c r="AA602" s="127">
        <v>6630</v>
      </c>
      <c r="AB602" s="125">
        <v>688.99099999999999</v>
      </c>
      <c r="AC602" s="127">
        <v>6620</v>
      </c>
      <c r="AD602" s="125">
        <v>612.83900000000006</v>
      </c>
      <c r="AE602" s="127">
        <v>6630</v>
      </c>
      <c r="AF602" s="125">
        <v>614.38300000000004</v>
      </c>
      <c r="AG602" s="127">
        <v>6610</v>
      </c>
      <c r="AH602" s="125">
        <v>158.13999999999999</v>
      </c>
      <c r="AI602" s="127">
        <v>6610</v>
      </c>
      <c r="AJ602" s="125">
        <v>166.28299999999999</v>
      </c>
    </row>
    <row r="603" spans="1:36" ht="14.25">
      <c r="A603" s="128">
        <v>6640</v>
      </c>
      <c r="B603" s="124">
        <v>344.13499999999999</v>
      </c>
      <c r="C603" s="128">
        <v>6650</v>
      </c>
      <c r="D603" s="125">
        <v>341.54700000000003</v>
      </c>
      <c r="E603" s="126">
        <v>6640</v>
      </c>
      <c r="F603" s="125">
        <v>780.37400000000002</v>
      </c>
      <c r="G603" s="127">
        <v>6640</v>
      </c>
      <c r="H603" s="125">
        <v>780.29600000000005</v>
      </c>
      <c r="I603" s="127">
        <v>6640</v>
      </c>
      <c r="J603" s="125">
        <v>689.13499999999999</v>
      </c>
      <c r="K603" s="127">
        <v>6640</v>
      </c>
      <c r="L603" s="125">
        <v>688.66300000000001</v>
      </c>
      <c r="M603" s="127">
        <v>6640</v>
      </c>
      <c r="N603" s="125">
        <v>688.976</v>
      </c>
      <c r="O603" s="127">
        <v>6620</v>
      </c>
      <c r="P603" s="125">
        <v>690.08799999999997</v>
      </c>
      <c r="Q603" s="127">
        <v>6640</v>
      </c>
      <c r="R603" s="125">
        <v>689.70600000000002</v>
      </c>
      <c r="S603" s="127">
        <v>6640</v>
      </c>
      <c r="T603" s="125">
        <v>690.36199999999997</v>
      </c>
      <c r="U603" s="127">
        <v>6630</v>
      </c>
      <c r="V603" s="125">
        <v>689.678</v>
      </c>
      <c r="W603" s="127">
        <v>6640</v>
      </c>
      <c r="X603" s="125">
        <v>689.24</v>
      </c>
      <c r="Y603" s="127">
        <v>6640</v>
      </c>
      <c r="Z603" s="125">
        <v>687.64</v>
      </c>
      <c r="AA603" s="127">
        <v>6640</v>
      </c>
      <c r="AB603" s="125">
        <v>687.78099999999995</v>
      </c>
      <c r="AC603" s="127">
        <v>6630</v>
      </c>
      <c r="AD603" s="125">
        <v>611.62900000000002</v>
      </c>
      <c r="AE603" s="127">
        <v>6640</v>
      </c>
      <c r="AF603" s="125">
        <v>613.17399999999998</v>
      </c>
      <c r="AG603" s="127">
        <v>6620</v>
      </c>
      <c r="AH603" s="125">
        <v>157.75700000000001</v>
      </c>
      <c r="AI603" s="127">
        <v>6620</v>
      </c>
      <c r="AJ603" s="125">
        <v>165.886</v>
      </c>
    </row>
    <row r="604" spans="1:36" ht="14.25">
      <c r="A604" s="128">
        <v>6650</v>
      </c>
      <c r="B604" s="124">
        <v>343.37900000000002</v>
      </c>
      <c r="C604" s="128">
        <v>6660</v>
      </c>
      <c r="D604" s="125">
        <v>340.79599999999999</v>
      </c>
      <c r="E604" s="126">
        <v>6650</v>
      </c>
      <c r="F604" s="125">
        <v>778.89700000000005</v>
      </c>
      <c r="G604" s="127">
        <v>6650</v>
      </c>
      <c r="H604" s="125">
        <v>778.82100000000003</v>
      </c>
      <c r="I604" s="127">
        <v>6650</v>
      </c>
      <c r="J604" s="125">
        <v>687.92200000000003</v>
      </c>
      <c r="K604" s="127">
        <v>6650</v>
      </c>
      <c r="L604" s="125">
        <v>687.44899999999996</v>
      </c>
      <c r="M604" s="127">
        <v>6650</v>
      </c>
      <c r="N604" s="125">
        <v>687.76300000000003</v>
      </c>
      <c r="O604" s="127">
        <v>6630</v>
      </c>
      <c r="P604" s="125">
        <v>688.87599999999998</v>
      </c>
      <c r="Q604" s="127">
        <v>6650</v>
      </c>
      <c r="R604" s="125">
        <v>688.49400000000003</v>
      </c>
      <c r="S604" s="127">
        <v>6650</v>
      </c>
      <c r="T604" s="125">
        <v>689.149</v>
      </c>
      <c r="U604" s="127">
        <v>6640</v>
      </c>
      <c r="V604" s="125">
        <v>688.46799999999996</v>
      </c>
      <c r="W604" s="127">
        <v>6650</v>
      </c>
      <c r="X604" s="125">
        <v>688.029</v>
      </c>
      <c r="Y604" s="127">
        <v>6650</v>
      </c>
      <c r="Z604" s="125">
        <v>686.428</v>
      </c>
      <c r="AA604" s="127">
        <v>6650</v>
      </c>
      <c r="AB604" s="125">
        <v>686.57100000000003</v>
      </c>
      <c r="AC604" s="127">
        <v>6640</v>
      </c>
      <c r="AD604" s="125">
        <v>610.41800000000001</v>
      </c>
      <c r="AE604" s="127">
        <v>6650</v>
      </c>
      <c r="AF604" s="125">
        <v>611.96400000000006</v>
      </c>
      <c r="AG604" s="127">
        <v>6630</v>
      </c>
      <c r="AH604" s="125">
        <v>157.375</v>
      </c>
      <c r="AI604" s="127">
        <v>6630</v>
      </c>
      <c r="AJ604" s="125">
        <v>165.49</v>
      </c>
    </row>
    <row r="605" spans="1:36" ht="14.25">
      <c r="A605" s="128">
        <v>6660</v>
      </c>
      <c r="B605" s="124">
        <v>342.62400000000002</v>
      </c>
      <c r="C605" s="128">
        <v>6670</v>
      </c>
      <c r="D605" s="125">
        <v>340.04599999999999</v>
      </c>
      <c r="E605" s="126">
        <v>6660</v>
      </c>
      <c r="F605" s="125">
        <v>777.42</v>
      </c>
      <c r="G605" s="127">
        <v>6660</v>
      </c>
      <c r="H605" s="125">
        <v>777.34699999999998</v>
      </c>
      <c r="I605" s="127">
        <v>6660</v>
      </c>
      <c r="J605" s="125">
        <v>686.71</v>
      </c>
      <c r="K605" s="127">
        <v>6660</v>
      </c>
      <c r="L605" s="125">
        <v>686.23599999999999</v>
      </c>
      <c r="M605" s="127">
        <v>6660</v>
      </c>
      <c r="N605" s="125">
        <v>686.55100000000004</v>
      </c>
      <c r="O605" s="127">
        <v>6640</v>
      </c>
      <c r="P605" s="125">
        <v>687.66300000000001</v>
      </c>
      <c r="Q605" s="127">
        <v>6660</v>
      </c>
      <c r="R605" s="125">
        <v>687.28099999999995</v>
      </c>
      <c r="S605" s="127">
        <v>6660</v>
      </c>
      <c r="T605" s="125">
        <v>687.93700000000001</v>
      </c>
      <c r="U605" s="127">
        <v>6650</v>
      </c>
      <c r="V605" s="125">
        <v>687.25800000000004</v>
      </c>
      <c r="W605" s="127">
        <v>6660</v>
      </c>
      <c r="X605" s="125">
        <v>686.81799999999998</v>
      </c>
      <c r="Y605" s="127">
        <v>6660</v>
      </c>
      <c r="Z605" s="125">
        <v>685.21699999999998</v>
      </c>
      <c r="AA605" s="127">
        <v>6660</v>
      </c>
      <c r="AB605" s="125">
        <v>685.36099999999999</v>
      </c>
      <c r="AC605" s="127">
        <v>6650</v>
      </c>
      <c r="AD605" s="125">
        <v>609.20699999999999</v>
      </c>
      <c r="AE605" s="127">
        <v>6660</v>
      </c>
      <c r="AF605" s="125">
        <v>610.75400000000002</v>
      </c>
      <c r="AG605" s="127">
        <v>6640</v>
      </c>
      <c r="AH605" s="125">
        <v>156.99199999999999</v>
      </c>
      <c r="AI605" s="127">
        <v>6640</v>
      </c>
      <c r="AJ605" s="125">
        <v>165.09299999999999</v>
      </c>
    </row>
    <row r="606" spans="1:36" ht="14.25">
      <c r="A606" s="128">
        <v>6670</v>
      </c>
      <c r="B606" s="124">
        <v>341.86900000000003</v>
      </c>
      <c r="C606" s="128">
        <v>6680</v>
      </c>
      <c r="D606" s="125">
        <v>339.29599999999999</v>
      </c>
      <c r="E606" s="126">
        <v>6670</v>
      </c>
      <c r="F606" s="125">
        <v>775.94399999999996</v>
      </c>
      <c r="G606" s="127">
        <v>6670</v>
      </c>
      <c r="H606" s="125">
        <v>775.87199999999996</v>
      </c>
      <c r="I606" s="127">
        <v>6670</v>
      </c>
      <c r="J606" s="125">
        <v>685.49699999999996</v>
      </c>
      <c r="K606" s="127">
        <v>6670</v>
      </c>
      <c r="L606" s="125">
        <v>685.02200000000005</v>
      </c>
      <c r="M606" s="127">
        <v>6670</v>
      </c>
      <c r="N606" s="125">
        <v>685.33799999999997</v>
      </c>
      <c r="O606" s="127">
        <v>6650</v>
      </c>
      <c r="P606" s="125">
        <v>686.45</v>
      </c>
      <c r="Q606" s="127">
        <v>6670</v>
      </c>
      <c r="R606" s="125">
        <v>686.06899999999996</v>
      </c>
      <c r="S606" s="127">
        <v>6670</v>
      </c>
      <c r="T606" s="125">
        <v>686.72500000000002</v>
      </c>
      <c r="U606" s="127">
        <v>6660</v>
      </c>
      <c r="V606" s="125">
        <v>686.048</v>
      </c>
      <c r="W606" s="127">
        <v>6670</v>
      </c>
      <c r="X606" s="125">
        <v>685.60699999999997</v>
      </c>
      <c r="Y606" s="127">
        <v>6670</v>
      </c>
      <c r="Z606" s="125">
        <v>684.00599999999997</v>
      </c>
      <c r="AA606" s="127">
        <v>6670</v>
      </c>
      <c r="AB606" s="125">
        <v>684.15099999999995</v>
      </c>
      <c r="AC606" s="127">
        <v>6660</v>
      </c>
      <c r="AD606" s="125">
        <v>607.99699999999996</v>
      </c>
      <c r="AE606" s="127">
        <v>6670</v>
      </c>
      <c r="AF606" s="125">
        <v>609.54399999999998</v>
      </c>
      <c r="AG606" s="127">
        <v>6650</v>
      </c>
      <c r="AH606" s="125">
        <v>156.61000000000001</v>
      </c>
      <c r="AI606" s="127">
        <v>6650</v>
      </c>
      <c r="AJ606" s="125">
        <v>164.697</v>
      </c>
    </row>
    <row r="607" spans="1:36" ht="14.25">
      <c r="A607" s="128">
        <v>6680</v>
      </c>
      <c r="B607" s="124">
        <v>341.11500000000001</v>
      </c>
      <c r="C607" s="128">
        <v>6690</v>
      </c>
      <c r="D607" s="125">
        <v>338.54599999999999</v>
      </c>
      <c r="E607" s="126">
        <v>6680</v>
      </c>
      <c r="F607" s="125">
        <v>774.46699999999998</v>
      </c>
      <c r="G607" s="127">
        <v>6680</v>
      </c>
      <c r="H607" s="125">
        <v>774.39700000000005</v>
      </c>
      <c r="I607" s="127">
        <v>6680</v>
      </c>
      <c r="J607" s="125">
        <v>684.28499999999997</v>
      </c>
      <c r="K607" s="127">
        <v>6680</v>
      </c>
      <c r="L607" s="125">
        <v>683.80799999999999</v>
      </c>
      <c r="M607" s="127">
        <v>6680</v>
      </c>
      <c r="N607" s="125">
        <v>684.12599999999998</v>
      </c>
      <c r="O607" s="127">
        <v>6660</v>
      </c>
      <c r="P607" s="125">
        <v>685.23800000000006</v>
      </c>
      <c r="Q607" s="127">
        <v>6680</v>
      </c>
      <c r="R607" s="125">
        <v>684.85599999999999</v>
      </c>
      <c r="S607" s="127">
        <v>6680</v>
      </c>
      <c r="T607" s="125">
        <v>685.51300000000003</v>
      </c>
      <c r="U607" s="127">
        <v>6670</v>
      </c>
      <c r="V607" s="125">
        <v>684.83799999999997</v>
      </c>
      <c r="W607" s="127">
        <v>6680</v>
      </c>
      <c r="X607" s="125">
        <v>684.39599999999996</v>
      </c>
      <c r="Y607" s="127">
        <v>6680</v>
      </c>
      <c r="Z607" s="125">
        <v>682.79499999999996</v>
      </c>
      <c r="AA607" s="127">
        <v>6680</v>
      </c>
      <c r="AB607" s="125">
        <v>682.94100000000003</v>
      </c>
      <c r="AC607" s="127">
        <v>6670</v>
      </c>
      <c r="AD607" s="125">
        <v>606.78599999999994</v>
      </c>
      <c r="AE607" s="127">
        <v>6680</v>
      </c>
      <c r="AF607" s="125">
        <v>608.33399999999995</v>
      </c>
      <c r="AG607" s="127">
        <v>6660</v>
      </c>
      <c r="AH607" s="125">
        <v>156.22800000000001</v>
      </c>
      <c r="AI607" s="127">
        <v>6660</v>
      </c>
      <c r="AJ607" s="125">
        <v>164.3</v>
      </c>
    </row>
    <row r="608" spans="1:36" ht="14.25">
      <c r="A608" s="128">
        <v>6690</v>
      </c>
      <c r="B608" s="124">
        <v>340.36</v>
      </c>
      <c r="C608" s="128">
        <v>6700</v>
      </c>
      <c r="D608" s="125">
        <v>337.79599999999999</v>
      </c>
      <c r="E608" s="126">
        <v>6690</v>
      </c>
      <c r="F608" s="125">
        <v>772.99099999999999</v>
      </c>
      <c r="G608" s="127">
        <v>6690</v>
      </c>
      <c r="H608" s="125">
        <v>772.92200000000003</v>
      </c>
      <c r="I608" s="127">
        <v>6690</v>
      </c>
      <c r="J608" s="125">
        <v>683.072</v>
      </c>
      <c r="K608" s="127">
        <v>6690</v>
      </c>
      <c r="L608" s="125">
        <v>682.59500000000003</v>
      </c>
      <c r="M608" s="127">
        <v>6690</v>
      </c>
      <c r="N608" s="125">
        <v>682.91399999999999</v>
      </c>
      <c r="O608" s="127">
        <v>6670</v>
      </c>
      <c r="P608" s="125">
        <v>684.02499999999998</v>
      </c>
      <c r="Q608" s="127">
        <v>6690</v>
      </c>
      <c r="R608" s="125">
        <v>683.64400000000001</v>
      </c>
      <c r="S608" s="127">
        <v>6690</v>
      </c>
      <c r="T608" s="125">
        <v>684.30100000000004</v>
      </c>
      <c r="U608" s="127">
        <v>6680</v>
      </c>
      <c r="V608" s="125">
        <v>683.62800000000004</v>
      </c>
      <c r="W608" s="127">
        <v>6690</v>
      </c>
      <c r="X608" s="125">
        <v>683.18499999999995</v>
      </c>
      <c r="Y608" s="127">
        <v>6690</v>
      </c>
      <c r="Z608" s="125">
        <v>681.58399999999995</v>
      </c>
      <c r="AA608" s="127">
        <v>6690</v>
      </c>
      <c r="AB608" s="125">
        <v>681.73099999999999</v>
      </c>
      <c r="AC608" s="127">
        <v>6680</v>
      </c>
      <c r="AD608" s="125">
        <v>605.57600000000002</v>
      </c>
      <c r="AE608" s="127">
        <v>6690</v>
      </c>
      <c r="AF608" s="125">
        <v>607.12400000000002</v>
      </c>
      <c r="AG608" s="127">
        <v>6670</v>
      </c>
      <c r="AH608" s="125">
        <v>155.846</v>
      </c>
      <c r="AI608" s="127">
        <v>6670</v>
      </c>
      <c r="AJ608" s="125">
        <v>163.904</v>
      </c>
    </row>
    <row r="609" spans="1:36" ht="14.25">
      <c r="A609" s="128">
        <v>6700</v>
      </c>
      <c r="B609" s="124">
        <v>339.60599999999999</v>
      </c>
      <c r="C609" s="128">
        <v>6710</v>
      </c>
      <c r="D609" s="125">
        <v>337.04700000000003</v>
      </c>
      <c r="E609" s="126">
        <v>6700</v>
      </c>
      <c r="F609" s="125">
        <v>771.51499999999999</v>
      </c>
      <c r="G609" s="127">
        <v>6700</v>
      </c>
      <c r="H609" s="125">
        <v>771.44799999999998</v>
      </c>
      <c r="I609" s="127">
        <v>6700</v>
      </c>
      <c r="J609" s="125">
        <v>681.86</v>
      </c>
      <c r="K609" s="127">
        <v>6700</v>
      </c>
      <c r="L609" s="125">
        <v>681.38099999999997</v>
      </c>
      <c r="M609" s="127">
        <v>6700</v>
      </c>
      <c r="N609" s="125">
        <v>681.70100000000002</v>
      </c>
      <c r="O609" s="127">
        <v>6680</v>
      </c>
      <c r="P609" s="125">
        <v>682.81200000000001</v>
      </c>
      <c r="Q609" s="127">
        <v>6700</v>
      </c>
      <c r="R609" s="125">
        <v>682.43100000000004</v>
      </c>
      <c r="S609" s="127">
        <v>6700</v>
      </c>
      <c r="T609" s="125">
        <v>683.08799999999997</v>
      </c>
      <c r="U609" s="127">
        <v>6690</v>
      </c>
      <c r="V609" s="125">
        <v>682.41700000000003</v>
      </c>
      <c r="W609" s="127">
        <v>6700</v>
      </c>
      <c r="X609" s="125">
        <v>681.97400000000005</v>
      </c>
      <c r="Y609" s="127">
        <v>6700</v>
      </c>
      <c r="Z609" s="125">
        <v>680.37199999999996</v>
      </c>
      <c r="AA609" s="127">
        <v>6700</v>
      </c>
      <c r="AB609" s="125">
        <v>680.52099999999996</v>
      </c>
      <c r="AC609" s="127">
        <v>6690</v>
      </c>
      <c r="AD609" s="125">
        <v>604.36500000000001</v>
      </c>
      <c r="AE609" s="127">
        <v>6700</v>
      </c>
      <c r="AF609" s="125">
        <v>605.91399999999999</v>
      </c>
      <c r="AG609" s="127">
        <v>6680</v>
      </c>
      <c r="AH609" s="125">
        <v>155.464</v>
      </c>
      <c r="AI609" s="127">
        <v>6680</v>
      </c>
      <c r="AJ609" s="125">
        <v>163.50800000000001</v>
      </c>
    </row>
    <row r="610" spans="1:36" ht="14.25">
      <c r="A610" s="128">
        <v>6710</v>
      </c>
      <c r="B610" s="124">
        <v>338.85199999999998</v>
      </c>
      <c r="C610" s="128">
        <v>6720</v>
      </c>
      <c r="D610" s="125">
        <v>336.298</v>
      </c>
      <c r="E610" s="126">
        <v>6710</v>
      </c>
      <c r="F610" s="125">
        <v>770.03800000000001</v>
      </c>
      <c r="G610" s="127">
        <v>6710</v>
      </c>
      <c r="H610" s="125">
        <v>769.97299999999996</v>
      </c>
      <c r="I610" s="127">
        <v>6710</v>
      </c>
      <c r="J610" s="125">
        <v>680.64800000000002</v>
      </c>
      <c r="K610" s="127">
        <v>6710</v>
      </c>
      <c r="L610" s="125">
        <v>680.16800000000001</v>
      </c>
      <c r="M610" s="127">
        <v>6710</v>
      </c>
      <c r="N610" s="125">
        <v>680.48900000000003</v>
      </c>
      <c r="O610" s="127">
        <v>6690</v>
      </c>
      <c r="P610" s="125">
        <v>681.6</v>
      </c>
      <c r="Q610" s="127">
        <v>6710</v>
      </c>
      <c r="R610" s="125">
        <v>681.21900000000005</v>
      </c>
      <c r="S610" s="127">
        <v>6710</v>
      </c>
      <c r="T610" s="125">
        <v>681.87599999999998</v>
      </c>
      <c r="U610" s="127">
        <v>6700</v>
      </c>
      <c r="V610" s="125">
        <v>681.20699999999999</v>
      </c>
      <c r="W610" s="127">
        <v>6710</v>
      </c>
      <c r="X610" s="125">
        <v>680.76300000000003</v>
      </c>
      <c r="Y610" s="127">
        <v>6710</v>
      </c>
      <c r="Z610" s="125">
        <v>679.16099999999994</v>
      </c>
      <c r="AA610" s="127">
        <v>6710</v>
      </c>
      <c r="AB610" s="125">
        <v>679.31100000000004</v>
      </c>
      <c r="AC610" s="127">
        <v>6700</v>
      </c>
      <c r="AD610" s="125">
        <v>603.154</v>
      </c>
      <c r="AE610" s="127">
        <v>6710</v>
      </c>
      <c r="AF610" s="125">
        <v>604.70399999999995</v>
      </c>
      <c r="AG610" s="127">
        <v>6690</v>
      </c>
      <c r="AH610" s="125">
        <v>155.08199999999999</v>
      </c>
      <c r="AI610" s="127">
        <v>6690</v>
      </c>
      <c r="AJ610" s="125">
        <v>163.11199999999999</v>
      </c>
    </row>
    <row r="611" spans="1:36" ht="14.25">
      <c r="A611" s="128">
        <v>6720</v>
      </c>
      <c r="B611" s="124">
        <v>338.09800000000001</v>
      </c>
      <c r="C611" s="128">
        <v>6730</v>
      </c>
      <c r="D611" s="125">
        <v>335.54899999999998</v>
      </c>
      <c r="E611" s="126">
        <v>6720</v>
      </c>
      <c r="F611" s="125">
        <v>768.56200000000001</v>
      </c>
      <c r="G611" s="127">
        <v>6720</v>
      </c>
      <c r="H611" s="125">
        <v>768.49900000000002</v>
      </c>
      <c r="I611" s="127">
        <v>6720</v>
      </c>
      <c r="J611" s="125">
        <v>679.43499999999995</v>
      </c>
      <c r="K611" s="127">
        <v>6720</v>
      </c>
      <c r="L611" s="125">
        <v>678.95399999999995</v>
      </c>
      <c r="M611" s="127">
        <v>6720</v>
      </c>
      <c r="N611" s="125">
        <v>679.27599999999995</v>
      </c>
      <c r="O611" s="127">
        <v>6700</v>
      </c>
      <c r="P611" s="125">
        <v>680.38699999999994</v>
      </c>
      <c r="Q611" s="127">
        <v>6720</v>
      </c>
      <c r="R611" s="125">
        <v>680.00599999999997</v>
      </c>
      <c r="S611" s="127">
        <v>6720</v>
      </c>
      <c r="T611" s="125">
        <v>680.66399999999999</v>
      </c>
      <c r="U611" s="127">
        <v>6710</v>
      </c>
      <c r="V611" s="125">
        <v>679.99699999999996</v>
      </c>
      <c r="W611" s="127">
        <v>6720</v>
      </c>
      <c r="X611" s="125">
        <v>679.55200000000002</v>
      </c>
      <c r="Y611" s="127">
        <v>6720</v>
      </c>
      <c r="Z611" s="125">
        <v>677.95</v>
      </c>
      <c r="AA611" s="127">
        <v>6720</v>
      </c>
      <c r="AB611" s="125">
        <v>678.101</v>
      </c>
      <c r="AC611" s="127">
        <v>6710</v>
      </c>
      <c r="AD611" s="125">
        <v>601.94399999999996</v>
      </c>
      <c r="AE611" s="127">
        <v>6720</v>
      </c>
      <c r="AF611" s="125">
        <v>603.49400000000003</v>
      </c>
      <c r="AG611" s="127">
        <v>6700</v>
      </c>
      <c r="AH611" s="125">
        <v>154.70099999999999</v>
      </c>
      <c r="AI611" s="127">
        <v>6700</v>
      </c>
      <c r="AJ611" s="125">
        <v>162.71600000000001</v>
      </c>
    </row>
    <row r="612" spans="1:36" ht="14.25">
      <c r="A612" s="128">
        <v>6730</v>
      </c>
      <c r="B612" s="124">
        <v>337.34500000000003</v>
      </c>
      <c r="C612" s="128">
        <v>6740</v>
      </c>
      <c r="D612" s="125">
        <v>334.8</v>
      </c>
      <c r="E612" s="126">
        <v>6730</v>
      </c>
      <c r="F612" s="125">
        <v>767.08699999999999</v>
      </c>
      <c r="G612" s="127">
        <v>6730</v>
      </c>
      <c r="H612" s="125">
        <v>767.02499999999998</v>
      </c>
      <c r="I612" s="127">
        <v>6730</v>
      </c>
      <c r="J612" s="125">
        <v>678.22299999999996</v>
      </c>
      <c r="K612" s="127">
        <v>6730</v>
      </c>
      <c r="L612" s="125">
        <v>677.74099999999999</v>
      </c>
      <c r="M612" s="127">
        <v>6730</v>
      </c>
      <c r="N612" s="125">
        <v>678.06399999999996</v>
      </c>
      <c r="O612" s="127">
        <v>6710</v>
      </c>
      <c r="P612" s="125">
        <v>679.17399999999998</v>
      </c>
      <c r="Q612" s="127">
        <v>6730</v>
      </c>
      <c r="R612" s="125">
        <v>678.79399999999998</v>
      </c>
      <c r="S612" s="127">
        <v>6730</v>
      </c>
      <c r="T612" s="125">
        <v>679.452</v>
      </c>
      <c r="U612" s="127">
        <v>6720</v>
      </c>
      <c r="V612" s="125">
        <v>678.78700000000003</v>
      </c>
      <c r="W612" s="127">
        <v>6730</v>
      </c>
      <c r="X612" s="125">
        <v>678.34100000000001</v>
      </c>
      <c r="Y612" s="127">
        <v>6730</v>
      </c>
      <c r="Z612" s="125">
        <v>676.73900000000003</v>
      </c>
      <c r="AA612" s="127">
        <v>6730</v>
      </c>
      <c r="AB612" s="125">
        <v>676.89099999999996</v>
      </c>
      <c r="AC612" s="127">
        <v>6720</v>
      </c>
      <c r="AD612" s="125">
        <v>600.73299999999995</v>
      </c>
      <c r="AE612" s="127">
        <v>6730</v>
      </c>
      <c r="AF612" s="125">
        <v>602.28399999999999</v>
      </c>
      <c r="AG612" s="127">
        <v>6710</v>
      </c>
      <c r="AH612" s="125">
        <v>154.31899999999999</v>
      </c>
      <c r="AI612" s="127">
        <v>6710</v>
      </c>
      <c r="AJ612" s="125">
        <v>162.32</v>
      </c>
    </row>
    <row r="613" spans="1:36" ht="14.25">
      <c r="A613" s="128">
        <v>6740</v>
      </c>
      <c r="B613" s="124">
        <v>336.59100000000001</v>
      </c>
      <c r="C613" s="128">
        <v>6750</v>
      </c>
      <c r="D613" s="125">
        <v>334.05200000000002</v>
      </c>
      <c r="E613" s="126">
        <v>6740</v>
      </c>
      <c r="F613" s="125">
        <v>765.61099999999999</v>
      </c>
      <c r="G613" s="127">
        <v>6740</v>
      </c>
      <c r="H613" s="125">
        <v>765.55100000000004</v>
      </c>
      <c r="I613" s="127">
        <v>6740</v>
      </c>
      <c r="J613" s="125">
        <v>677.01</v>
      </c>
      <c r="K613" s="127">
        <v>6740</v>
      </c>
      <c r="L613" s="125">
        <v>676.52700000000004</v>
      </c>
      <c r="M613" s="127">
        <v>6740</v>
      </c>
      <c r="N613" s="125">
        <v>676.851</v>
      </c>
      <c r="O613" s="127">
        <v>6720</v>
      </c>
      <c r="P613" s="125">
        <v>677.96199999999999</v>
      </c>
      <c r="Q613" s="127">
        <v>6740</v>
      </c>
      <c r="R613" s="125">
        <v>677.58100000000002</v>
      </c>
      <c r="S613" s="127">
        <v>6740</v>
      </c>
      <c r="T613" s="125">
        <v>678.24</v>
      </c>
      <c r="U613" s="127">
        <v>6730</v>
      </c>
      <c r="V613" s="125">
        <v>677.577</v>
      </c>
      <c r="W613" s="127">
        <v>6740</v>
      </c>
      <c r="X613" s="125">
        <v>677.13099999999997</v>
      </c>
      <c r="Y613" s="127">
        <v>6740</v>
      </c>
      <c r="Z613" s="125">
        <v>675.52800000000002</v>
      </c>
      <c r="AA613" s="127">
        <v>6740</v>
      </c>
      <c r="AB613" s="125">
        <v>675.68100000000004</v>
      </c>
      <c r="AC613" s="127">
        <v>6730</v>
      </c>
      <c r="AD613" s="125">
        <v>599.52200000000005</v>
      </c>
      <c r="AE613" s="127">
        <v>6740</v>
      </c>
      <c r="AF613" s="125">
        <v>601.07399999999996</v>
      </c>
      <c r="AG613" s="127">
        <v>6720</v>
      </c>
      <c r="AH613" s="125">
        <v>153.93799999999999</v>
      </c>
      <c r="AI613" s="127">
        <v>6720</v>
      </c>
      <c r="AJ613" s="125">
        <v>161.92500000000001</v>
      </c>
    </row>
    <row r="614" spans="1:36" ht="14.25">
      <c r="A614" s="128">
        <v>6750</v>
      </c>
      <c r="B614" s="124">
        <v>335.83800000000002</v>
      </c>
      <c r="C614" s="128">
        <v>6760</v>
      </c>
      <c r="D614" s="125">
        <v>333.303</v>
      </c>
      <c r="E614" s="126">
        <v>6750</v>
      </c>
      <c r="F614" s="125">
        <v>764.13499999999999</v>
      </c>
      <c r="G614" s="127">
        <v>6750</v>
      </c>
      <c r="H614" s="125">
        <v>764.077</v>
      </c>
      <c r="I614" s="127">
        <v>6750</v>
      </c>
      <c r="J614" s="125">
        <v>675.798</v>
      </c>
      <c r="K614" s="127">
        <v>6750</v>
      </c>
      <c r="L614" s="125">
        <v>675.31299999999999</v>
      </c>
      <c r="M614" s="127">
        <v>6750</v>
      </c>
      <c r="N614" s="125">
        <v>675.63900000000001</v>
      </c>
      <c r="O614" s="127">
        <v>6730</v>
      </c>
      <c r="P614" s="125">
        <v>676.74900000000002</v>
      </c>
      <c r="Q614" s="127">
        <v>6750</v>
      </c>
      <c r="R614" s="125">
        <v>676.36900000000003</v>
      </c>
      <c r="S614" s="127">
        <v>6750</v>
      </c>
      <c r="T614" s="125">
        <v>677.02700000000004</v>
      </c>
      <c r="U614" s="127">
        <v>6740</v>
      </c>
      <c r="V614" s="125">
        <v>676.36699999999996</v>
      </c>
      <c r="W614" s="127">
        <v>6750</v>
      </c>
      <c r="X614" s="125">
        <v>675.92</v>
      </c>
      <c r="Y614" s="127">
        <v>6750</v>
      </c>
      <c r="Z614" s="125">
        <v>674.31600000000003</v>
      </c>
      <c r="AA614" s="127">
        <v>6750</v>
      </c>
      <c r="AB614" s="125">
        <v>674.471</v>
      </c>
      <c r="AC614" s="127">
        <v>6740</v>
      </c>
      <c r="AD614" s="125">
        <v>598.31200000000001</v>
      </c>
      <c r="AE614" s="127">
        <v>6750</v>
      </c>
      <c r="AF614" s="125">
        <v>599.86500000000001</v>
      </c>
      <c r="AG614" s="127">
        <v>6730</v>
      </c>
      <c r="AH614" s="125">
        <v>153.55600000000001</v>
      </c>
      <c r="AI614" s="127">
        <v>6730</v>
      </c>
      <c r="AJ614" s="125">
        <v>161.529</v>
      </c>
    </row>
    <row r="615" spans="1:36" ht="14.25">
      <c r="A615" s="128">
        <v>6760</v>
      </c>
      <c r="B615" s="124">
        <v>335.08499999999998</v>
      </c>
      <c r="C615" s="128">
        <v>6770</v>
      </c>
      <c r="D615" s="125">
        <v>332.55500000000001</v>
      </c>
      <c r="E615" s="126">
        <v>6760</v>
      </c>
      <c r="F615" s="125">
        <v>762.65899999999999</v>
      </c>
      <c r="G615" s="127">
        <v>6760</v>
      </c>
      <c r="H615" s="125">
        <v>762.60299999999995</v>
      </c>
      <c r="I615" s="127">
        <v>6760</v>
      </c>
      <c r="J615" s="125">
        <v>674.58500000000004</v>
      </c>
      <c r="K615" s="127">
        <v>6760</v>
      </c>
      <c r="L615" s="125">
        <v>674.1</v>
      </c>
      <c r="M615" s="127">
        <v>6760</v>
      </c>
      <c r="N615" s="125">
        <v>674.42700000000002</v>
      </c>
      <c r="O615" s="127">
        <v>6740</v>
      </c>
      <c r="P615" s="125">
        <v>675.53599999999994</v>
      </c>
      <c r="Q615" s="127">
        <v>6760</v>
      </c>
      <c r="R615" s="125">
        <v>675.15599999999995</v>
      </c>
      <c r="S615" s="127">
        <v>6760</v>
      </c>
      <c r="T615" s="125">
        <v>675.81500000000005</v>
      </c>
      <c r="U615" s="127">
        <v>6750</v>
      </c>
      <c r="V615" s="125">
        <v>675.15700000000004</v>
      </c>
      <c r="W615" s="127">
        <v>6760</v>
      </c>
      <c r="X615" s="125">
        <v>674.70899999999995</v>
      </c>
      <c r="Y615" s="127">
        <v>6760</v>
      </c>
      <c r="Z615" s="125">
        <v>673.10500000000002</v>
      </c>
      <c r="AA615" s="127">
        <v>6760</v>
      </c>
      <c r="AB615" s="125">
        <v>673.26099999999997</v>
      </c>
      <c r="AC615" s="127">
        <v>6750</v>
      </c>
      <c r="AD615" s="125">
        <v>597.101</v>
      </c>
      <c r="AE615" s="127">
        <v>6760</v>
      </c>
      <c r="AF615" s="125">
        <v>598.65499999999997</v>
      </c>
      <c r="AG615" s="127">
        <v>6740</v>
      </c>
      <c r="AH615" s="125">
        <v>153.17500000000001</v>
      </c>
      <c r="AI615" s="127">
        <v>6740</v>
      </c>
      <c r="AJ615" s="125">
        <v>161.13399999999999</v>
      </c>
    </row>
    <row r="616" spans="1:36" ht="14.25">
      <c r="A616" s="128">
        <v>6770</v>
      </c>
      <c r="B616" s="124">
        <v>334.33300000000003</v>
      </c>
      <c r="C616" s="128">
        <v>6780</v>
      </c>
      <c r="D616" s="125">
        <v>331.80700000000002</v>
      </c>
      <c r="E616" s="126">
        <v>6770</v>
      </c>
      <c r="F616" s="125">
        <v>761.18399999999997</v>
      </c>
      <c r="G616" s="127">
        <v>6770</v>
      </c>
      <c r="H616" s="125">
        <v>761.12900000000002</v>
      </c>
      <c r="I616" s="127">
        <v>6770</v>
      </c>
      <c r="J616" s="125">
        <v>673.37300000000005</v>
      </c>
      <c r="K616" s="127">
        <v>6770</v>
      </c>
      <c r="L616" s="125">
        <v>672.88599999999997</v>
      </c>
      <c r="M616" s="127">
        <v>6770</v>
      </c>
      <c r="N616" s="125">
        <v>673.21400000000006</v>
      </c>
      <c r="O616" s="127">
        <v>6750</v>
      </c>
      <c r="P616" s="125">
        <v>674.32399999999996</v>
      </c>
      <c r="Q616" s="127">
        <v>6770</v>
      </c>
      <c r="R616" s="125">
        <v>673.94399999999996</v>
      </c>
      <c r="S616" s="127">
        <v>6770</v>
      </c>
      <c r="T616" s="125">
        <v>674.60299999999995</v>
      </c>
      <c r="U616" s="127">
        <v>6760</v>
      </c>
      <c r="V616" s="125">
        <v>673.947</v>
      </c>
      <c r="W616" s="127">
        <v>6770</v>
      </c>
      <c r="X616" s="125">
        <v>673.49800000000005</v>
      </c>
      <c r="Y616" s="127">
        <v>6770</v>
      </c>
      <c r="Z616" s="125">
        <v>671.89400000000001</v>
      </c>
      <c r="AA616" s="127">
        <v>6770</v>
      </c>
      <c r="AB616" s="125">
        <v>672.05100000000004</v>
      </c>
      <c r="AC616" s="127">
        <v>6760</v>
      </c>
      <c r="AD616" s="125">
        <v>595.89099999999996</v>
      </c>
      <c r="AE616" s="127">
        <v>6770</v>
      </c>
      <c r="AF616" s="125">
        <v>597.44500000000005</v>
      </c>
      <c r="AG616" s="127">
        <v>6750</v>
      </c>
      <c r="AH616" s="125">
        <v>152.79400000000001</v>
      </c>
      <c r="AI616" s="127">
        <v>6750</v>
      </c>
      <c r="AJ616" s="125">
        <v>160.738</v>
      </c>
    </row>
    <row r="617" spans="1:36" ht="14.25">
      <c r="A617" s="128">
        <v>6780</v>
      </c>
      <c r="B617" s="124">
        <v>333.58</v>
      </c>
      <c r="C617" s="128">
        <v>6790</v>
      </c>
      <c r="D617" s="125">
        <v>331.05900000000003</v>
      </c>
      <c r="E617" s="126">
        <v>6780</v>
      </c>
      <c r="F617" s="125">
        <v>759.70899999999995</v>
      </c>
      <c r="G617" s="127">
        <v>6780</v>
      </c>
      <c r="H617" s="125">
        <v>759.65599999999995</v>
      </c>
      <c r="I617" s="127">
        <v>6780</v>
      </c>
      <c r="J617" s="125">
        <v>672.16</v>
      </c>
      <c r="K617" s="127">
        <v>6780</v>
      </c>
      <c r="L617" s="125">
        <v>671.673</v>
      </c>
      <c r="M617" s="127">
        <v>6780</v>
      </c>
      <c r="N617" s="125">
        <v>672.00199999999995</v>
      </c>
      <c r="O617" s="127">
        <v>6760</v>
      </c>
      <c r="P617" s="125">
        <v>673.11099999999999</v>
      </c>
      <c r="Q617" s="127">
        <v>6780</v>
      </c>
      <c r="R617" s="125">
        <v>672.73099999999999</v>
      </c>
      <c r="S617" s="127">
        <v>6780</v>
      </c>
      <c r="T617" s="125">
        <v>673.39099999999996</v>
      </c>
      <c r="U617" s="127">
        <v>6770</v>
      </c>
      <c r="V617" s="125">
        <v>672.73699999999997</v>
      </c>
      <c r="W617" s="127">
        <v>6780</v>
      </c>
      <c r="X617" s="125">
        <v>672.28700000000003</v>
      </c>
      <c r="Y617" s="127">
        <v>6780</v>
      </c>
      <c r="Z617" s="125">
        <v>670.68299999999999</v>
      </c>
      <c r="AA617" s="127">
        <v>6780</v>
      </c>
      <c r="AB617" s="125">
        <v>670.84100000000001</v>
      </c>
      <c r="AC617" s="127">
        <v>6770</v>
      </c>
      <c r="AD617" s="125">
        <v>594.67999999999995</v>
      </c>
      <c r="AE617" s="127">
        <v>6780</v>
      </c>
      <c r="AF617" s="125">
        <v>596.23500000000001</v>
      </c>
      <c r="AG617" s="127">
        <v>6760</v>
      </c>
      <c r="AH617" s="125">
        <v>152.41300000000001</v>
      </c>
      <c r="AI617" s="127">
        <v>6760</v>
      </c>
      <c r="AJ617" s="125">
        <v>160.34299999999999</v>
      </c>
    </row>
    <row r="618" spans="1:36" ht="14.25">
      <c r="A618" s="128">
        <v>6790</v>
      </c>
      <c r="B618" s="124">
        <v>332.82799999999997</v>
      </c>
      <c r="C618" s="128">
        <v>6800</v>
      </c>
      <c r="D618" s="125">
        <v>330.31099999999998</v>
      </c>
      <c r="E618" s="126">
        <v>6790</v>
      </c>
      <c r="F618" s="125">
        <v>758.23299999999995</v>
      </c>
      <c r="G618" s="127">
        <v>6790</v>
      </c>
      <c r="H618" s="125">
        <v>758.18200000000002</v>
      </c>
      <c r="I618" s="127">
        <v>6790</v>
      </c>
      <c r="J618" s="125">
        <v>670.94799999999998</v>
      </c>
      <c r="K618" s="127">
        <v>6790</v>
      </c>
      <c r="L618" s="125">
        <v>670.45899999999995</v>
      </c>
      <c r="M618" s="127">
        <v>6790</v>
      </c>
      <c r="N618" s="125">
        <v>670.78899999999999</v>
      </c>
      <c r="O618" s="127">
        <v>6770</v>
      </c>
      <c r="P618" s="125">
        <v>671.89800000000002</v>
      </c>
      <c r="Q618" s="127">
        <v>6790</v>
      </c>
      <c r="R618" s="125">
        <v>671.51900000000001</v>
      </c>
      <c r="S618" s="127">
        <v>6790</v>
      </c>
      <c r="T618" s="125">
        <v>672.17899999999997</v>
      </c>
      <c r="U618" s="127">
        <v>6780</v>
      </c>
      <c r="V618" s="125">
        <v>671.52700000000004</v>
      </c>
      <c r="W618" s="127">
        <v>6790</v>
      </c>
      <c r="X618" s="125">
        <v>671.07600000000002</v>
      </c>
      <c r="Y618" s="127">
        <v>6790</v>
      </c>
      <c r="Z618" s="125">
        <v>669.47199999999998</v>
      </c>
      <c r="AA618" s="127">
        <v>6790</v>
      </c>
      <c r="AB618" s="125">
        <v>669.63099999999997</v>
      </c>
      <c r="AC618" s="127">
        <v>6780</v>
      </c>
      <c r="AD618" s="125">
        <v>593.46900000000005</v>
      </c>
      <c r="AE618" s="127">
        <v>6790</v>
      </c>
      <c r="AF618" s="125">
        <v>595.02499999999998</v>
      </c>
      <c r="AG618" s="127">
        <v>6770</v>
      </c>
      <c r="AH618" s="125">
        <v>152.03200000000001</v>
      </c>
      <c r="AI618" s="127">
        <v>6770</v>
      </c>
      <c r="AJ618" s="125">
        <v>159.94800000000001</v>
      </c>
    </row>
    <row r="619" spans="1:36" ht="14.25">
      <c r="A619" s="128">
        <v>6800</v>
      </c>
      <c r="B619" s="124">
        <v>332.07600000000002</v>
      </c>
      <c r="C619" s="128">
        <v>6810</v>
      </c>
      <c r="D619" s="125">
        <v>329.56400000000002</v>
      </c>
      <c r="E619" s="126">
        <v>6800</v>
      </c>
      <c r="F619" s="125">
        <v>756.75800000000004</v>
      </c>
      <c r="G619" s="127">
        <v>6800</v>
      </c>
      <c r="H619" s="125">
        <v>756.70899999999995</v>
      </c>
      <c r="I619" s="127">
        <v>6800</v>
      </c>
      <c r="J619" s="125">
        <v>669.73500000000001</v>
      </c>
      <c r="K619" s="127">
        <v>6800</v>
      </c>
      <c r="L619" s="125">
        <v>669.24599999999998</v>
      </c>
      <c r="M619" s="127">
        <v>6800</v>
      </c>
      <c r="N619" s="125">
        <v>669.577</v>
      </c>
      <c r="O619" s="127">
        <v>6780</v>
      </c>
      <c r="P619" s="125">
        <v>670.68600000000004</v>
      </c>
      <c r="Q619" s="127">
        <v>6800</v>
      </c>
      <c r="R619" s="125">
        <v>670.30700000000002</v>
      </c>
      <c r="S619" s="127">
        <v>6800</v>
      </c>
      <c r="T619" s="125">
        <v>670.96600000000001</v>
      </c>
      <c r="U619" s="127">
        <v>6790</v>
      </c>
      <c r="V619" s="125">
        <v>670.31700000000001</v>
      </c>
      <c r="W619" s="127">
        <v>6800</v>
      </c>
      <c r="X619" s="125">
        <v>669.86500000000001</v>
      </c>
      <c r="Y619" s="127">
        <v>6800</v>
      </c>
      <c r="Z619" s="125">
        <v>668.26</v>
      </c>
      <c r="AA619" s="127">
        <v>6800</v>
      </c>
      <c r="AB619" s="125">
        <v>668.42100000000005</v>
      </c>
      <c r="AC619" s="127">
        <v>6790</v>
      </c>
      <c r="AD619" s="125">
        <v>592.25900000000001</v>
      </c>
      <c r="AE619" s="127">
        <v>6800</v>
      </c>
      <c r="AF619" s="125">
        <v>593.81500000000005</v>
      </c>
      <c r="AG619" s="127">
        <v>6780</v>
      </c>
      <c r="AH619" s="125">
        <v>151.65100000000001</v>
      </c>
      <c r="AI619" s="127">
        <v>6780</v>
      </c>
      <c r="AJ619" s="125">
        <v>159.553</v>
      </c>
    </row>
    <row r="620" spans="1:36" ht="14.25">
      <c r="A620" s="128">
        <v>6810</v>
      </c>
      <c r="B620" s="124">
        <v>331.32400000000001</v>
      </c>
      <c r="C620" s="128">
        <v>6820</v>
      </c>
      <c r="D620" s="125">
        <v>328.81700000000001</v>
      </c>
      <c r="E620" s="126">
        <v>6810</v>
      </c>
      <c r="F620" s="125">
        <v>755.28300000000002</v>
      </c>
      <c r="G620" s="127">
        <v>6810</v>
      </c>
      <c r="H620" s="125">
        <v>755.23500000000001</v>
      </c>
      <c r="I620" s="127">
        <v>6810</v>
      </c>
      <c r="J620" s="125">
        <v>668.52300000000002</v>
      </c>
      <c r="K620" s="127">
        <v>6810</v>
      </c>
      <c r="L620" s="125">
        <v>668.03200000000004</v>
      </c>
      <c r="M620" s="127">
        <v>6810</v>
      </c>
      <c r="N620" s="125">
        <v>668.36500000000001</v>
      </c>
      <c r="O620" s="127">
        <v>6790</v>
      </c>
      <c r="P620" s="125">
        <v>669.47299999999996</v>
      </c>
      <c r="Q620" s="127">
        <v>6810</v>
      </c>
      <c r="R620" s="125">
        <v>669.09400000000005</v>
      </c>
      <c r="S620" s="127">
        <v>6810</v>
      </c>
      <c r="T620" s="125">
        <v>669.75400000000002</v>
      </c>
      <c r="U620" s="127">
        <v>6800</v>
      </c>
      <c r="V620" s="125">
        <v>669.10699999999997</v>
      </c>
      <c r="W620" s="127">
        <v>6810</v>
      </c>
      <c r="X620" s="125">
        <v>668.654</v>
      </c>
      <c r="Y620" s="127">
        <v>6810</v>
      </c>
      <c r="Z620" s="125">
        <v>667.04899999999998</v>
      </c>
      <c r="AA620" s="127">
        <v>6810</v>
      </c>
      <c r="AB620" s="125">
        <v>667.21100000000001</v>
      </c>
      <c r="AC620" s="127">
        <v>6800</v>
      </c>
      <c r="AD620" s="125">
        <v>591.048</v>
      </c>
      <c r="AE620" s="127">
        <v>6810</v>
      </c>
      <c r="AF620" s="125">
        <v>592.60500000000002</v>
      </c>
      <c r="AG620" s="127">
        <v>6790</v>
      </c>
      <c r="AH620" s="125">
        <v>151.27099999999999</v>
      </c>
      <c r="AI620" s="127">
        <v>6790</v>
      </c>
      <c r="AJ620" s="125">
        <v>159.15799999999999</v>
      </c>
    </row>
    <row r="621" spans="1:36" ht="14.25">
      <c r="A621" s="128">
        <v>6820</v>
      </c>
      <c r="B621" s="124">
        <v>330.572</v>
      </c>
      <c r="C621" s="128">
        <v>6830</v>
      </c>
      <c r="D621" s="125">
        <v>328.07</v>
      </c>
      <c r="E621" s="126">
        <v>6820</v>
      </c>
      <c r="F621" s="125">
        <v>753.80899999999997</v>
      </c>
      <c r="G621" s="127">
        <v>6820</v>
      </c>
      <c r="H621" s="125">
        <v>753.76199999999994</v>
      </c>
      <c r="I621" s="127">
        <v>6820</v>
      </c>
      <c r="J621" s="125">
        <v>667.31</v>
      </c>
      <c r="K621" s="127">
        <v>6820</v>
      </c>
      <c r="L621" s="125">
        <v>666.81799999999998</v>
      </c>
      <c r="M621" s="127">
        <v>6820</v>
      </c>
      <c r="N621" s="125">
        <v>667.15200000000004</v>
      </c>
      <c r="O621" s="127">
        <v>6800</v>
      </c>
      <c r="P621" s="125">
        <v>668.26</v>
      </c>
      <c r="Q621" s="127">
        <v>6820</v>
      </c>
      <c r="R621" s="125">
        <v>667.88199999999995</v>
      </c>
      <c r="S621" s="127">
        <v>6820</v>
      </c>
      <c r="T621" s="125">
        <v>668.54200000000003</v>
      </c>
      <c r="U621" s="127">
        <v>6810</v>
      </c>
      <c r="V621" s="125">
        <v>667.89700000000005</v>
      </c>
      <c r="W621" s="127">
        <v>6820</v>
      </c>
      <c r="X621" s="125">
        <v>667.44299999999998</v>
      </c>
      <c r="Y621" s="127">
        <v>6820</v>
      </c>
      <c r="Z621" s="125">
        <v>665.83799999999997</v>
      </c>
      <c r="AA621" s="127">
        <v>6820</v>
      </c>
      <c r="AB621" s="125">
        <v>666.00099999999998</v>
      </c>
      <c r="AC621" s="127">
        <v>6810</v>
      </c>
      <c r="AD621" s="125">
        <v>589.83799999999997</v>
      </c>
      <c r="AE621" s="127">
        <v>6820</v>
      </c>
      <c r="AF621" s="125">
        <v>591.39499999999998</v>
      </c>
      <c r="AG621" s="127">
        <v>6800</v>
      </c>
      <c r="AH621" s="125">
        <v>150.88999999999999</v>
      </c>
      <c r="AI621" s="127">
        <v>6800</v>
      </c>
      <c r="AJ621" s="125">
        <v>158.76300000000001</v>
      </c>
    </row>
    <row r="622" spans="1:36" ht="14.25">
      <c r="A622" s="128">
        <v>6830</v>
      </c>
      <c r="B622" s="124">
        <v>329.82</v>
      </c>
      <c r="C622" s="128">
        <v>6840</v>
      </c>
      <c r="D622" s="125">
        <v>327.32299999999998</v>
      </c>
      <c r="E622" s="126">
        <v>6830</v>
      </c>
      <c r="F622" s="125">
        <v>752.33399999999995</v>
      </c>
      <c r="G622" s="127">
        <v>6830</v>
      </c>
      <c r="H622" s="125">
        <v>752.28899999999999</v>
      </c>
      <c r="I622" s="127">
        <v>6830</v>
      </c>
      <c r="J622" s="125">
        <v>666.09799999999996</v>
      </c>
      <c r="K622" s="127">
        <v>6830</v>
      </c>
      <c r="L622" s="125">
        <v>665.60500000000002</v>
      </c>
      <c r="M622" s="127">
        <v>6830</v>
      </c>
      <c r="N622" s="125">
        <v>665.94</v>
      </c>
      <c r="O622" s="127">
        <v>6810</v>
      </c>
      <c r="P622" s="125">
        <v>667.048</v>
      </c>
      <c r="Q622" s="127">
        <v>6830</v>
      </c>
      <c r="R622" s="125">
        <v>666.66899999999998</v>
      </c>
      <c r="S622" s="127">
        <v>6830</v>
      </c>
      <c r="T622" s="125">
        <v>667.33</v>
      </c>
      <c r="U622" s="127">
        <v>6820</v>
      </c>
      <c r="V622" s="125">
        <v>666.68700000000001</v>
      </c>
      <c r="W622" s="127">
        <v>6830</v>
      </c>
      <c r="X622" s="125">
        <v>666.23199999999997</v>
      </c>
      <c r="Y622" s="127">
        <v>6830</v>
      </c>
      <c r="Z622" s="125">
        <v>664.62699999999995</v>
      </c>
      <c r="AA622" s="127">
        <v>6830</v>
      </c>
      <c r="AB622" s="125">
        <v>664.79100000000005</v>
      </c>
      <c r="AC622" s="127">
        <v>6820</v>
      </c>
      <c r="AD622" s="125">
        <v>588.62699999999995</v>
      </c>
      <c r="AE622" s="127">
        <v>6830</v>
      </c>
      <c r="AF622" s="125">
        <v>590.18499999999995</v>
      </c>
      <c r="AG622" s="127">
        <v>6810</v>
      </c>
      <c r="AH622" s="125">
        <v>150.51</v>
      </c>
      <c r="AI622" s="127">
        <v>6810</v>
      </c>
      <c r="AJ622" s="125">
        <v>158.369</v>
      </c>
    </row>
    <row r="623" spans="1:36" ht="14.25">
      <c r="A623" s="128">
        <v>6840</v>
      </c>
      <c r="B623" s="124">
        <v>329.06900000000002</v>
      </c>
      <c r="C623" s="128">
        <v>6850</v>
      </c>
      <c r="D623" s="125">
        <v>326.577</v>
      </c>
      <c r="E623" s="126">
        <v>6840</v>
      </c>
      <c r="F623" s="125">
        <v>750.85900000000004</v>
      </c>
      <c r="G623" s="127">
        <v>6840</v>
      </c>
      <c r="H623" s="125">
        <v>750.81600000000003</v>
      </c>
      <c r="I623" s="127">
        <v>6840</v>
      </c>
      <c r="J623" s="125">
        <v>664.88599999999997</v>
      </c>
      <c r="K623" s="127">
        <v>6840</v>
      </c>
      <c r="L623" s="125">
        <v>664.39099999999996</v>
      </c>
      <c r="M623" s="127">
        <v>6840</v>
      </c>
      <c r="N623" s="125">
        <v>664.72799999999995</v>
      </c>
      <c r="O623" s="127">
        <v>6820</v>
      </c>
      <c r="P623" s="125">
        <v>665.83500000000004</v>
      </c>
      <c r="Q623" s="127">
        <v>6840</v>
      </c>
      <c r="R623" s="125">
        <v>665.45699999999999</v>
      </c>
      <c r="S623" s="127">
        <v>6840</v>
      </c>
      <c r="T623" s="125">
        <v>666.11800000000005</v>
      </c>
      <c r="U623" s="127">
        <v>6830</v>
      </c>
      <c r="V623" s="125">
        <v>665.47699999999998</v>
      </c>
      <c r="W623" s="127">
        <v>6840</v>
      </c>
      <c r="X623" s="125">
        <v>665.02099999999996</v>
      </c>
      <c r="Y623" s="127">
        <v>6840</v>
      </c>
      <c r="Z623" s="125">
        <v>663.41600000000005</v>
      </c>
      <c r="AA623" s="127">
        <v>6840</v>
      </c>
      <c r="AB623" s="125">
        <v>663.58100000000002</v>
      </c>
      <c r="AC623" s="127">
        <v>6830</v>
      </c>
      <c r="AD623" s="125">
        <v>587.41600000000005</v>
      </c>
      <c r="AE623" s="127">
        <v>6840</v>
      </c>
      <c r="AF623" s="125">
        <v>588.97500000000002</v>
      </c>
      <c r="AG623" s="127">
        <v>6820</v>
      </c>
      <c r="AH623" s="125">
        <v>150.12899999999999</v>
      </c>
      <c r="AI623" s="127">
        <v>6820</v>
      </c>
      <c r="AJ623" s="125">
        <v>157.97399999999999</v>
      </c>
    </row>
    <row r="624" spans="1:36" ht="14.25">
      <c r="A624" s="128">
        <v>6850</v>
      </c>
      <c r="B624" s="124">
        <v>328.31799999999998</v>
      </c>
      <c r="C624" s="128">
        <v>6860</v>
      </c>
      <c r="D624" s="125">
        <v>325.83</v>
      </c>
      <c r="E624" s="126">
        <v>6850</v>
      </c>
      <c r="F624" s="125">
        <v>749.38499999999999</v>
      </c>
      <c r="G624" s="127">
        <v>6850</v>
      </c>
      <c r="H624" s="125">
        <v>749.34299999999996</v>
      </c>
      <c r="I624" s="127">
        <v>6850</v>
      </c>
      <c r="J624" s="125">
        <v>663.673</v>
      </c>
      <c r="K624" s="127">
        <v>6850</v>
      </c>
      <c r="L624" s="125">
        <v>663.178</v>
      </c>
      <c r="M624" s="127">
        <v>6850</v>
      </c>
      <c r="N624" s="125">
        <v>663.51499999999999</v>
      </c>
      <c r="O624" s="127">
        <v>6830</v>
      </c>
      <c r="P624" s="125">
        <v>664.62199999999996</v>
      </c>
      <c r="Q624" s="127">
        <v>6850</v>
      </c>
      <c r="R624" s="125">
        <v>664.24400000000003</v>
      </c>
      <c r="S624" s="127">
        <v>6850</v>
      </c>
      <c r="T624" s="125">
        <v>664.90499999999997</v>
      </c>
      <c r="U624" s="127">
        <v>6840</v>
      </c>
      <c r="V624" s="125">
        <v>664.26700000000005</v>
      </c>
      <c r="W624" s="127">
        <v>6850</v>
      </c>
      <c r="X624" s="125">
        <v>663.81</v>
      </c>
      <c r="Y624" s="127">
        <v>6850</v>
      </c>
      <c r="Z624" s="125">
        <v>662.20399999999995</v>
      </c>
      <c r="AA624" s="127">
        <v>6850</v>
      </c>
      <c r="AB624" s="125">
        <v>662.37099999999998</v>
      </c>
      <c r="AC624" s="127">
        <v>6840</v>
      </c>
      <c r="AD624" s="125">
        <v>586.20600000000002</v>
      </c>
      <c r="AE624" s="127">
        <v>6850</v>
      </c>
      <c r="AF624" s="125">
        <v>587.76499999999999</v>
      </c>
      <c r="AG624" s="127">
        <v>6830</v>
      </c>
      <c r="AH624" s="125">
        <v>149.749</v>
      </c>
      <c r="AI624" s="127">
        <v>6830</v>
      </c>
      <c r="AJ624" s="125">
        <v>157.58000000000001</v>
      </c>
    </row>
    <row r="625" spans="1:36" ht="14.25">
      <c r="A625" s="128">
        <v>6860</v>
      </c>
      <c r="B625" s="124">
        <v>327.56700000000001</v>
      </c>
      <c r="C625" s="128">
        <v>6870</v>
      </c>
      <c r="D625" s="125">
        <v>325.084</v>
      </c>
      <c r="E625" s="126">
        <v>6860</v>
      </c>
      <c r="F625" s="125">
        <v>747.91</v>
      </c>
      <c r="G625" s="127">
        <v>6860</v>
      </c>
      <c r="H625" s="125">
        <v>747.87</v>
      </c>
      <c r="I625" s="127">
        <v>6860</v>
      </c>
      <c r="J625" s="125">
        <v>662.46100000000001</v>
      </c>
      <c r="K625" s="127">
        <v>6860</v>
      </c>
      <c r="L625" s="125">
        <v>661.96400000000006</v>
      </c>
      <c r="M625" s="127">
        <v>6860</v>
      </c>
      <c r="N625" s="125">
        <v>662.303</v>
      </c>
      <c r="O625" s="127">
        <v>6840</v>
      </c>
      <c r="P625" s="125">
        <v>663.41</v>
      </c>
      <c r="Q625" s="127">
        <v>6860</v>
      </c>
      <c r="R625" s="125">
        <v>663.03200000000004</v>
      </c>
      <c r="S625" s="127">
        <v>6860</v>
      </c>
      <c r="T625" s="125">
        <v>663.69299999999998</v>
      </c>
      <c r="U625" s="127">
        <v>6850</v>
      </c>
      <c r="V625" s="125">
        <v>663.05700000000002</v>
      </c>
      <c r="W625" s="127">
        <v>6860</v>
      </c>
      <c r="X625" s="125">
        <v>662.59900000000005</v>
      </c>
      <c r="Y625" s="127">
        <v>6860</v>
      </c>
      <c r="Z625" s="125">
        <v>660.99300000000005</v>
      </c>
      <c r="AA625" s="127">
        <v>6860</v>
      </c>
      <c r="AB625" s="125">
        <v>661.16099999999994</v>
      </c>
      <c r="AC625" s="127">
        <v>6850</v>
      </c>
      <c r="AD625" s="125">
        <v>584.995</v>
      </c>
      <c r="AE625" s="127">
        <v>6860</v>
      </c>
      <c r="AF625" s="125">
        <v>586.55499999999995</v>
      </c>
      <c r="AG625" s="127">
        <v>6840</v>
      </c>
      <c r="AH625" s="125">
        <v>149.369</v>
      </c>
      <c r="AI625" s="127">
        <v>6840</v>
      </c>
      <c r="AJ625" s="125">
        <v>157.185</v>
      </c>
    </row>
    <row r="626" spans="1:36" ht="14.25">
      <c r="A626" s="128">
        <v>6870</v>
      </c>
      <c r="B626" s="124">
        <v>326.81599999999997</v>
      </c>
      <c r="C626" s="128">
        <v>6880</v>
      </c>
      <c r="D626" s="125">
        <v>324.33800000000002</v>
      </c>
      <c r="E626" s="126">
        <v>6870</v>
      </c>
      <c r="F626" s="125">
        <v>746.43600000000004</v>
      </c>
      <c r="G626" s="127">
        <v>6870</v>
      </c>
      <c r="H626" s="125">
        <v>746.39700000000005</v>
      </c>
      <c r="I626" s="127">
        <v>6870</v>
      </c>
      <c r="J626" s="125">
        <v>661.24800000000005</v>
      </c>
      <c r="K626" s="127">
        <v>6870</v>
      </c>
      <c r="L626" s="125">
        <v>660.75</v>
      </c>
      <c r="M626" s="127">
        <v>6870</v>
      </c>
      <c r="N626" s="125">
        <v>661.09</v>
      </c>
      <c r="O626" s="127">
        <v>6850</v>
      </c>
      <c r="P626" s="125">
        <v>662.197</v>
      </c>
      <c r="Q626" s="127">
        <v>6870</v>
      </c>
      <c r="R626" s="125">
        <v>661.81899999999996</v>
      </c>
      <c r="S626" s="127">
        <v>6870</v>
      </c>
      <c r="T626" s="125">
        <v>662.48099999999999</v>
      </c>
      <c r="U626" s="127">
        <v>6860</v>
      </c>
      <c r="V626" s="125">
        <v>661.846</v>
      </c>
      <c r="W626" s="127">
        <v>6870</v>
      </c>
      <c r="X626" s="125">
        <v>661.38800000000003</v>
      </c>
      <c r="Y626" s="127">
        <v>6870</v>
      </c>
      <c r="Z626" s="125">
        <v>659.78200000000004</v>
      </c>
      <c r="AA626" s="127">
        <v>6870</v>
      </c>
      <c r="AB626" s="125">
        <v>659.95100000000002</v>
      </c>
      <c r="AC626" s="127">
        <v>6860</v>
      </c>
      <c r="AD626" s="125">
        <v>583.78499999999997</v>
      </c>
      <c r="AE626" s="127">
        <v>6870</v>
      </c>
      <c r="AF626" s="125">
        <v>585.34500000000003</v>
      </c>
      <c r="AG626" s="127">
        <v>6850</v>
      </c>
      <c r="AH626" s="125">
        <v>148.989</v>
      </c>
      <c r="AI626" s="127">
        <v>6850</v>
      </c>
      <c r="AJ626" s="125">
        <v>156.791</v>
      </c>
    </row>
    <row r="627" spans="1:36" ht="14.25">
      <c r="A627" s="128">
        <v>6880</v>
      </c>
      <c r="B627" s="124">
        <v>326.06599999999997</v>
      </c>
      <c r="C627" s="128">
        <v>6890</v>
      </c>
      <c r="D627" s="125">
        <v>323.59199999999998</v>
      </c>
      <c r="E627" s="126">
        <v>6880</v>
      </c>
      <c r="F627" s="125">
        <v>744.96199999999999</v>
      </c>
      <c r="G627" s="127">
        <v>6880</v>
      </c>
      <c r="H627" s="125">
        <v>744.92499999999995</v>
      </c>
      <c r="I627" s="127">
        <v>6880</v>
      </c>
      <c r="J627" s="125">
        <v>660.03599999999994</v>
      </c>
      <c r="K627" s="127">
        <v>6880</v>
      </c>
      <c r="L627" s="125">
        <v>659.53700000000003</v>
      </c>
      <c r="M627" s="127">
        <v>6880</v>
      </c>
      <c r="N627" s="125">
        <v>659.87800000000004</v>
      </c>
      <c r="O627" s="127">
        <v>6860</v>
      </c>
      <c r="P627" s="125">
        <v>660.98400000000004</v>
      </c>
      <c r="Q627" s="127">
        <v>6880</v>
      </c>
      <c r="R627" s="125">
        <v>660.60699999999997</v>
      </c>
      <c r="S627" s="127">
        <v>6880</v>
      </c>
      <c r="T627" s="125">
        <v>661.26900000000001</v>
      </c>
      <c r="U627" s="127">
        <v>6870</v>
      </c>
      <c r="V627" s="125">
        <v>660.63599999999997</v>
      </c>
      <c r="W627" s="127">
        <v>6880</v>
      </c>
      <c r="X627" s="125">
        <v>660.17700000000002</v>
      </c>
      <c r="Y627" s="127">
        <v>6880</v>
      </c>
      <c r="Z627" s="125">
        <v>658.57100000000003</v>
      </c>
      <c r="AA627" s="127">
        <v>6880</v>
      </c>
      <c r="AB627" s="125">
        <v>658.74099999999999</v>
      </c>
      <c r="AC627" s="127">
        <v>6870</v>
      </c>
      <c r="AD627" s="125">
        <v>582.57399999999996</v>
      </c>
      <c r="AE627" s="127">
        <v>6880</v>
      </c>
      <c r="AF627" s="125">
        <v>584.13599999999997</v>
      </c>
      <c r="AG627" s="127">
        <v>6860</v>
      </c>
      <c r="AH627" s="125">
        <v>148.60900000000001</v>
      </c>
      <c r="AI627" s="127">
        <v>6860</v>
      </c>
      <c r="AJ627" s="125">
        <v>156.39699999999999</v>
      </c>
    </row>
    <row r="628" spans="1:36" ht="14.25">
      <c r="A628" s="128">
        <v>6890</v>
      </c>
      <c r="B628" s="124">
        <v>325.31599999999997</v>
      </c>
      <c r="C628" s="128">
        <v>6900</v>
      </c>
      <c r="D628" s="125">
        <v>322.84699999999998</v>
      </c>
      <c r="E628" s="126">
        <v>6890</v>
      </c>
      <c r="F628" s="125">
        <v>743.48800000000006</v>
      </c>
      <c r="G628" s="127">
        <v>6890</v>
      </c>
      <c r="H628" s="125">
        <v>743.452</v>
      </c>
      <c r="I628" s="127">
        <v>6890</v>
      </c>
      <c r="J628" s="125">
        <v>658.82399999999996</v>
      </c>
      <c r="K628" s="127">
        <v>6890</v>
      </c>
      <c r="L628" s="125">
        <v>658.32299999999998</v>
      </c>
      <c r="M628" s="127">
        <v>6890</v>
      </c>
      <c r="N628" s="125">
        <v>658.66600000000005</v>
      </c>
      <c r="O628" s="127">
        <v>6870</v>
      </c>
      <c r="P628" s="125">
        <v>659.77200000000005</v>
      </c>
      <c r="Q628" s="127">
        <v>6890</v>
      </c>
      <c r="R628" s="125">
        <v>659.39499999999998</v>
      </c>
      <c r="S628" s="127">
        <v>6890</v>
      </c>
      <c r="T628" s="125">
        <v>660.05700000000002</v>
      </c>
      <c r="U628" s="127">
        <v>6880</v>
      </c>
      <c r="V628" s="125">
        <v>659.42600000000004</v>
      </c>
      <c r="W628" s="127">
        <v>6890</v>
      </c>
      <c r="X628" s="125">
        <v>658.96699999999998</v>
      </c>
      <c r="Y628" s="127">
        <v>6890</v>
      </c>
      <c r="Z628" s="125">
        <v>657.36</v>
      </c>
      <c r="AA628" s="127">
        <v>6890</v>
      </c>
      <c r="AB628" s="125">
        <v>657.53099999999995</v>
      </c>
      <c r="AC628" s="127">
        <v>6880</v>
      </c>
      <c r="AD628" s="125">
        <v>581.36300000000006</v>
      </c>
      <c r="AE628" s="127">
        <v>6890</v>
      </c>
      <c r="AF628" s="125">
        <v>582.92600000000004</v>
      </c>
      <c r="AG628" s="127">
        <v>6870</v>
      </c>
      <c r="AH628" s="125">
        <v>148.22999999999999</v>
      </c>
      <c r="AI628" s="127">
        <v>6870</v>
      </c>
      <c r="AJ628" s="125">
        <v>156.00299999999999</v>
      </c>
    </row>
    <row r="629" spans="1:36" ht="14.25">
      <c r="A629" s="128">
        <v>6900</v>
      </c>
      <c r="B629" s="124">
        <v>324.56599999999997</v>
      </c>
      <c r="C629" s="128">
        <v>6910</v>
      </c>
      <c r="D629" s="125">
        <v>322.101</v>
      </c>
      <c r="E629" s="126">
        <v>6900</v>
      </c>
      <c r="F629" s="125">
        <v>742.01400000000001</v>
      </c>
      <c r="G629" s="127">
        <v>6900</v>
      </c>
      <c r="H629" s="125">
        <v>741.98</v>
      </c>
      <c r="I629" s="127">
        <v>6900</v>
      </c>
      <c r="J629" s="125">
        <v>657.61099999999999</v>
      </c>
      <c r="K629" s="127">
        <v>6900</v>
      </c>
      <c r="L629" s="125">
        <v>657.11</v>
      </c>
      <c r="M629" s="127">
        <v>6900</v>
      </c>
      <c r="N629" s="125">
        <v>657.45299999999997</v>
      </c>
      <c r="O629" s="127">
        <v>6880</v>
      </c>
      <c r="P629" s="125">
        <v>658.55899999999997</v>
      </c>
      <c r="Q629" s="127">
        <v>6900</v>
      </c>
      <c r="R629" s="125">
        <v>658.18200000000002</v>
      </c>
      <c r="S629" s="127">
        <v>6900</v>
      </c>
      <c r="T629" s="125">
        <v>658.84400000000005</v>
      </c>
      <c r="U629" s="127">
        <v>6890</v>
      </c>
      <c r="V629" s="125">
        <v>658.21600000000001</v>
      </c>
      <c r="W629" s="127">
        <v>6900</v>
      </c>
      <c r="X629" s="125">
        <v>657.75599999999997</v>
      </c>
      <c r="Y629" s="127">
        <v>6900</v>
      </c>
      <c r="Z629" s="125">
        <v>656.149</v>
      </c>
      <c r="AA629" s="127">
        <v>6900</v>
      </c>
      <c r="AB629" s="125">
        <v>656.32100000000003</v>
      </c>
      <c r="AC629" s="127">
        <v>6890</v>
      </c>
      <c r="AD629" s="125">
        <v>580.15300000000002</v>
      </c>
      <c r="AE629" s="127">
        <v>6900</v>
      </c>
      <c r="AF629" s="125">
        <v>581.71600000000001</v>
      </c>
      <c r="AG629" s="127">
        <v>6880</v>
      </c>
      <c r="AH629" s="125">
        <v>147.85</v>
      </c>
      <c r="AI629" s="127">
        <v>6880</v>
      </c>
      <c r="AJ629" s="125">
        <v>155.60900000000001</v>
      </c>
    </row>
    <row r="630" spans="1:36" ht="14.25">
      <c r="A630" s="128">
        <v>6910</v>
      </c>
      <c r="B630" s="124">
        <v>323.81599999999997</v>
      </c>
      <c r="C630" s="128">
        <v>6920</v>
      </c>
      <c r="D630" s="125">
        <v>321.35599999999999</v>
      </c>
      <c r="E630" s="126">
        <v>6910</v>
      </c>
      <c r="F630" s="125">
        <v>740.54</v>
      </c>
      <c r="G630" s="127">
        <v>6910</v>
      </c>
      <c r="H630" s="125">
        <v>740.50800000000004</v>
      </c>
      <c r="I630" s="127">
        <v>6910</v>
      </c>
      <c r="J630" s="125">
        <v>656.399</v>
      </c>
      <c r="K630" s="127">
        <v>6910</v>
      </c>
      <c r="L630" s="125">
        <v>655.89599999999996</v>
      </c>
      <c r="M630" s="127">
        <v>6910</v>
      </c>
      <c r="N630" s="125">
        <v>656.24099999999999</v>
      </c>
      <c r="O630" s="127">
        <v>6890</v>
      </c>
      <c r="P630" s="125">
        <v>657.346</v>
      </c>
      <c r="Q630" s="127">
        <v>6910</v>
      </c>
      <c r="R630" s="125">
        <v>656.97</v>
      </c>
      <c r="S630" s="127">
        <v>6910</v>
      </c>
      <c r="T630" s="125">
        <v>657.63199999999995</v>
      </c>
      <c r="U630" s="127">
        <v>6900</v>
      </c>
      <c r="V630" s="125">
        <v>657.00599999999997</v>
      </c>
      <c r="W630" s="127">
        <v>6910</v>
      </c>
      <c r="X630" s="125">
        <v>656.54499999999996</v>
      </c>
      <c r="Y630" s="127">
        <v>6910</v>
      </c>
      <c r="Z630" s="125">
        <v>654.93700000000001</v>
      </c>
      <c r="AA630" s="127">
        <v>6910</v>
      </c>
      <c r="AB630" s="125">
        <v>655.11099999999999</v>
      </c>
      <c r="AC630" s="127">
        <v>6900</v>
      </c>
      <c r="AD630" s="125">
        <v>578.94200000000001</v>
      </c>
      <c r="AE630" s="127">
        <v>6910</v>
      </c>
      <c r="AF630" s="125">
        <v>580.50599999999997</v>
      </c>
      <c r="AG630" s="127">
        <v>6890</v>
      </c>
      <c r="AH630" s="125">
        <v>147.471</v>
      </c>
      <c r="AI630" s="127">
        <v>6890</v>
      </c>
      <c r="AJ630" s="125">
        <v>155.215</v>
      </c>
    </row>
    <row r="631" spans="1:36" ht="14.25">
      <c r="A631" s="128">
        <v>6920</v>
      </c>
      <c r="B631" s="124">
        <v>323.06599999999997</v>
      </c>
      <c r="C631" s="128">
        <v>6930</v>
      </c>
      <c r="D631" s="125">
        <v>320.61099999999999</v>
      </c>
      <c r="E631" s="126">
        <v>6920</v>
      </c>
      <c r="F631" s="125">
        <v>739.06600000000003</v>
      </c>
      <c r="G631" s="127">
        <v>6920</v>
      </c>
      <c r="H631" s="125">
        <v>739.03499999999997</v>
      </c>
      <c r="I631" s="127">
        <v>6920</v>
      </c>
      <c r="J631" s="125">
        <v>655.18600000000004</v>
      </c>
      <c r="K631" s="127">
        <v>6920</v>
      </c>
      <c r="L631" s="125">
        <v>654.68200000000002</v>
      </c>
      <c r="M631" s="127">
        <v>6920</v>
      </c>
      <c r="N631" s="125">
        <v>655.029</v>
      </c>
      <c r="O631" s="127">
        <v>6900</v>
      </c>
      <c r="P631" s="125">
        <v>656.13400000000001</v>
      </c>
      <c r="Q631" s="127">
        <v>6920</v>
      </c>
      <c r="R631" s="125">
        <v>655.75699999999995</v>
      </c>
      <c r="S631" s="127">
        <v>6920</v>
      </c>
      <c r="T631" s="125">
        <v>656.42</v>
      </c>
      <c r="U631" s="127">
        <v>6910</v>
      </c>
      <c r="V631" s="125">
        <v>655.79600000000005</v>
      </c>
      <c r="W631" s="127">
        <v>6920</v>
      </c>
      <c r="X631" s="125">
        <v>655.33399999999995</v>
      </c>
      <c r="Y631" s="127">
        <v>6920</v>
      </c>
      <c r="Z631" s="125">
        <v>653.726</v>
      </c>
      <c r="AA631" s="127">
        <v>6920</v>
      </c>
      <c r="AB631" s="125">
        <v>653.90099999999995</v>
      </c>
      <c r="AC631" s="127">
        <v>6910</v>
      </c>
      <c r="AD631" s="125">
        <v>577.73199999999997</v>
      </c>
      <c r="AE631" s="127">
        <v>6920</v>
      </c>
      <c r="AF631" s="125">
        <v>579.29600000000005</v>
      </c>
      <c r="AG631" s="127">
        <v>6900</v>
      </c>
      <c r="AH631" s="125">
        <v>147.09100000000001</v>
      </c>
      <c r="AI631" s="127">
        <v>6900</v>
      </c>
      <c r="AJ631" s="125">
        <v>154.822</v>
      </c>
    </row>
    <row r="632" spans="1:36" ht="14.25">
      <c r="A632" s="128">
        <v>6930</v>
      </c>
      <c r="B632" s="124">
        <v>322.31700000000001</v>
      </c>
      <c r="C632" s="128">
        <v>6940</v>
      </c>
      <c r="D632" s="125">
        <v>319.86599999999999</v>
      </c>
      <c r="E632" s="126">
        <v>6930</v>
      </c>
      <c r="F632" s="125">
        <v>737.59299999999996</v>
      </c>
      <c r="G632" s="127">
        <v>6930</v>
      </c>
      <c r="H632" s="125">
        <v>737.56299999999999</v>
      </c>
      <c r="I632" s="127">
        <v>6930</v>
      </c>
      <c r="J632" s="125">
        <v>653.97400000000005</v>
      </c>
      <c r="K632" s="127">
        <v>6930</v>
      </c>
      <c r="L632" s="125">
        <v>653.46900000000005</v>
      </c>
      <c r="M632" s="127">
        <v>6930</v>
      </c>
      <c r="N632" s="125">
        <v>653.81600000000003</v>
      </c>
      <c r="O632" s="127">
        <v>6910</v>
      </c>
      <c r="P632" s="125">
        <v>654.92100000000005</v>
      </c>
      <c r="Q632" s="127">
        <v>6930</v>
      </c>
      <c r="R632" s="125">
        <v>654.54499999999996</v>
      </c>
      <c r="S632" s="127">
        <v>6930</v>
      </c>
      <c r="T632" s="125">
        <v>655.20799999999997</v>
      </c>
      <c r="U632" s="127">
        <v>6920</v>
      </c>
      <c r="V632" s="125">
        <v>654.58600000000001</v>
      </c>
      <c r="W632" s="127">
        <v>6930</v>
      </c>
      <c r="X632" s="125">
        <v>654.12300000000005</v>
      </c>
      <c r="Y632" s="127">
        <v>6930</v>
      </c>
      <c r="Z632" s="125">
        <v>652.51499999999999</v>
      </c>
      <c r="AA632" s="127">
        <v>6930</v>
      </c>
      <c r="AB632" s="125">
        <v>652.69100000000003</v>
      </c>
      <c r="AC632" s="127">
        <v>6920</v>
      </c>
      <c r="AD632" s="125">
        <v>576.52099999999996</v>
      </c>
      <c r="AE632" s="127">
        <v>6930</v>
      </c>
      <c r="AF632" s="125">
        <v>578.08600000000001</v>
      </c>
      <c r="AG632" s="127">
        <v>6910</v>
      </c>
      <c r="AH632" s="125">
        <v>146.71199999999999</v>
      </c>
      <c r="AI632" s="127">
        <v>6910</v>
      </c>
      <c r="AJ632" s="125">
        <v>154.428</v>
      </c>
    </row>
    <row r="633" spans="1:36" ht="14.25">
      <c r="A633" s="128">
        <v>6940</v>
      </c>
      <c r="B633" s="124">
        <v>321.36799999999999</v>
      </c>
      <c r="C633" s="128">
        <v>6950</v>
      </c>
      <c r="D633" s="125">
        <v>319.12200000000001</v>
      </c>
      <c r="E633" s="126">
        <v>6940</v>
      </c>
      <c r="F633" s="125">
        <v>736.11900000000003</v>
      </c>
      <c r="G633" s="127">
        <v>6940</v>
      </c>
      <c r="H633" s="125">
        <v>736.09100000000001</v>
      </c>
      <c r="I633" s="127">
        <v>6940</v>
      </c>
      <c r="J633" s="125">
        <v>652.76199999999994</v>
      </c>
      <c r="K633" s="127">
        <v>6940</v>
      </c>
      <c r="L633" s="125">
        <v>652.255</v>
      </c>
      <c r="M633" s="127">
        <v>6940</v>
      </c>
      <c r="N633" s="125">
        <v>652.60400000000004</v>
      </c>
      <c r="O633" s="127">
        <v>6920</v>
      </c>
      <c r="P633" s="125">
        <v>653.70899999999995</v>
      </c>
      <c r="Q633" s="127">
        <v>6940</v>
      </c>
      <c r="R633" s="125">
        <v>653.33199999999999</v>
      </c>
      <c r="S633" s="127">
        <v>6940</v>
      </c>
      <c r="T633" s="125">
        <v>653.99599999999998</v>
      </c>
      <c r="U633" s="127">
        <v>6930</v>
      </c>
      <c r="V633" s="125">
        <v>653.37599999999998</v>
      </c>
      <c r="W633" s="127">
        <v>6940</v>
      </c>
      <c r="X633" s="125">
        <v>652.91200000000003</v>
      </c>
      <c r="Y633" s="127">
        <v>6940</v>
      </c>
      <c r="Z633" s="125">
        <v>651.30399999999997</v>
      </c>
      <c r="AA633" s="127">
        <v>6940</v>
      </c>
      <c r="AB633" s="125">
        <v>651.48099999999999</v>
      </c>
      <c r="AC633" s="127">
        <v>6930</v>
      </c>
      <c r="AD633" s="125">
        <v>575.31100000000004</v>
      </c>
      <c r="AE633" s="127">
        <v>6940</v>
      </c>
      <c r="AF633" s="125">
        <v>576.87599999999998</v>
      </c>
      <c r="AG633" s="127">
        <v>6920</v>
      </c>
      <c r="AH633" s="125">
        <v>146.333</v>
      </c>
      <c r="AI633" s="127">
        <v>6920</v>
      </c>
      <c r="AJ633" s="125">
        <v>154.035</v>
      </c>
    </row>
    <row r="634" spans="1:36" ht="14.25">
      <c r="A634" s="128">
        <v>6950</v>
      </c>
      <c r="B634" s="124">
        <v>320.81900000000002</v>
      </c>
      <c r="C634" s="128">
        <v>6960</v>
      </c>
      <c r="D634" s="125">
        <v>318.37700000000001</v>
      </c>
      <c r="E634" s="126">
        <v>6950</v>
      </c>
      <c r="F634" s="125">
        <v>734.64599999999996</v>
      </c>
      <c r="G634" s="127">
        <v>6950</v>
      </c>
      <c r="H634" s="125">
        <v>734.61900000000003</v>
      </c>
      <c r="I634" s="127">
        <v>6950</v>
      </c>
      <c r="J634" s="125">
        <v>651.54899999999998</v>
      </c>
      <c r="K634" s="127">
        <v>6950</v>
      </c>
      <c r="L634" s="125">
        <v>651.04200000000003</v>
      </c>
      <c r="M634" s="127">
        <v>6950</v>
      </c>
      <c r="N634" s="125">
        <v>651.39099999999996</v>
      </c>
      <c r="O634" s="127">
        <v>6930</v>
      </c>
      <c r="P634" s="125">
        <v>652.49599999999998</v>
      </c>
      <c r="Q634" s="127">
        <v>6950</v>
      </c>
      <c r="R634" s="125">
        <v>652.12</v>
      </c>
      <c r="S634" s="127">
        <v>6950</v>
      </c>
      <c r="T634" s="125">
        <v>652.78300000000002</v>
      </c>
      <c r="U634" s="127">
        <v>6940</v>
      </c>
      <c r="V634" s="125">
        <v>652.16600000000005</v>
      </c>
      <c r="W634" s="127">
        <v>6950</v>
      </c>
      <c r="X634" s="125">
        <v>651.70100000000002</v>
      </c>
      <c r="Y634" s="127">
        <v>6950</v>
      </c>
      <c r="Z634" s="125">
        <v>650.09299999999996</v>
      </c>
      <c r="AA634" s="127">
        <v>6950</v>
      </c>
      <c r="AB634" s="125">
        <v>650.27099999999996</v>
      </c>
      <c r="AC634" s="127">
        <v>6940</v>
      </c>
      <c r="AD634" s="125">
        <v>574.1</v>
      </c>
      <c r="AE634" s="127">
        <v>6950</v>
      </c>
      <c r="AF634" s="125">
        <v>575.66600000000005</v>
      </c>
      <c r="AG634" s="127">
        <v>6930</v>
      </c>
      <c r="AH634" s="125">
        <v>145.95400000000001</v>
      </c>
      <c r="AI634" s="127">
        <v>6930</v>
      </c>
      <c r="AJ634" s="125">
        <v>153.64099999999999</v>
      </c>
    </row>
    <row r="635" spans="1:36" ht="14.25">
      <c r="A635" s="128">
        <v>6960</v>
      </c>
      <c r="B635" s="124">
        <v>320.07</v>
      </c>
      <c r="C635" s="128">
        <v>6970</v>
      </c>
      <c r="D635" s="125">
        <v>317.63299999999998</v>
      </c>
      <c r="E635" s="126">
        <v>6960</v>
      </c>
      <c r="F635" s="125">
        <v>733.173</v>
      </c>
      <c r="G635" s="127">
        <v>6960</v>
      </c>
      <c r="H635" s="125">
        <v>733.14800000000002</v>
      </c>
      <c r="I635" s="127">
        <v>6960</v>
      </c>
      <c r="J635" s="125">
        <v>650.33699999999999</v>
      </c>
      <c r="K635" s="127">
        <v>6960</v>
      </c>
      <c r="L635" s="125">
        <v>649.82799999999997</v>
      </c>
      <c r="M635" s="127">
        <v>6960</v>
      </c>
      <c r="N635" s="125">
        <v>650.17899999999997</v>
      </c>
      <c r="O635" s="127">
        <v>6940</v>
      </c>
      <c r="P635" s="125">
        <v>651.28300000000002</v>
      </c>
      <c r="Q635" s="127">
        <v>6960</v>
      </c>
      <c r="R635" s="125">
        <v>650.90800000000002</v>
      </c>
      <c r="S635" s="127">
        <v>6960</v>
      </c>
      <c r="T635" s="125">
        <v>651.57100000000003</v>
      </c>
      <c r="U635" s="127">
        <v>6950</v>
      </c>
      <c r="V635" s="125">
        <v>650.95600000000002</v>
      </c>
      <c r="W635" s="127">
        <v>6960</v>
      </c>
      <c r="X635" s="125">
        <v>650.49</v>
      </c>
      <c r="Y635" s="127">
        <v>6960</v>
      </c>
      <c r="Z635" s="125">
        <v>648.88099999999997</v>
      </c>
      <c r="AA635" s="127">
        <v>6960</v>
      </c>
      <c r="AB635" s="125">
        <v>649.06100000000004</v>
      </c>
      <c r="AC635" s="127">
        <v>6950</v>
      </c>
      <c r="AD635" s="125">
        <v>572.89</v>
      </c>
      <c r="AE635" s="127">
        <v>6960</v>
      </c>
      <c r="AF635" s="125">
        <v>574.45600000000002</v>
      </c>
      <c r="AG635" s="127">
        <v>6940</v>
      </c>
      <c r="AH635" s="125">
        <v>145.57499999999999</v>
      </c>
      <c r="AI635" s="127">
        <v>6940</v>
      </c>
      <c r="AJ635" s="125">
        <v>153.24799999999999</v>
      </c>
    </row>
    <row r="636" spans="1:36" ht="14.25">
      <c r="A636" s="128">
        <v>6970</v>
      </c>
      <c r="B636" s="124">
        <v>319.32100000000003</v>
      </c>
      <c r="C636" s="128">
        <v>6980</v>
      </c>
      <c r="D636" s="125">
        <v>316.88900000000001</v>
      </c>
      <c r="E636" s="126">
        <v>6970</v>
      </c>
      <c r="F636" s="125">
        <v>731.7</v>
      </c>
      <c r="G636" s="127">
        <v>6970</v>
      </c>
      <c r="H636" s="125">
        <v>731.67600000000004</v>
      </c>
      <c r="I636" s="127">
        <v>6970</v>
      </c>
      <c r="J636" s="125">
        <v>649.12400000000002</v>
      </c>
      <c r="K636" s="127">
        <v>6970</v>
      </c>
      <c r="L636" s="125">
        <v>648.61500000000001</v>
      </c>
      <c r="M636" s="127">
        <v>6970</v>
      </c>
      <c r="N636" s="125">
        <v>648.96699999999998</v>
      </c>
      <c r="O636" s="127">
        <v>6950</v>
      </c>
      <c r="P636" s="125">
        <v>650.07100000000003</v>
      </c>
      <c r="Q636" s="127">
        <v>6970</v>
      </c>
      <c r="R636" s="125">
        <v>649.69500000000005</v>
      </c>
      <c r="S636" s="127">
        <v>6970</v>
      </c>
      <c r="T636" s="125">
        <v>650.35900000000004</v>
      </c>
      <c r="U636" s="127">
        <v>6960</v>
      </c>
      <c r="V636" s="125">
        <v>649.74599999999998</v>
      </c>
      <c r="W636" s="127">
        <v>6970</v>
      </c>
      <c r="X636" s="125">
        <v>649.279</v>
      </c>
      <c r="Y636" s="127">
        <v>6970</v>
      </c>
      <c r="Z636" s="125">
        <v>647.66999999999996</v>
      </c>
      <c r="AA636" s="127">
        <v>6970</v>
      </c>
      <c r="AB636" s="125">
        <v>647.851</v>
      </c>
      <c r="AC636" s="127">
        <v>6960</v>
      </c>
      <c r="AD636" s="125">
        <v>571.67899999999997</v>
      </c>
      <c r="AE636" s="127">
        <v>6970</v>
      </c>
      <c r="AF636" s="125">
        <v>573.24599999999998</v>
      </c>
      <c r="AG636" s="127">
        <v>6950</v>
      </c>
      <c r="AH636" s="125">
        <v>145.196</v>
      </c>
      <c r="AI636" s="127">
        <v>6950</v>
      </c>
      <c r="AJ636" s="125">
        <v>152.85499999999999</v>
      </c>
    </row>
    <row r="637" spans="1:36" ht="14.25">
      <c r="A637" s="128">
        <v>6980</v>
      </c>
      <c r="B637" s="124">
        <v>318.57299999999998</v>
      </c>
      <c r="C637" s="128">
        <v>6990</v>
      </c>
      <c r="D637" s="125">
        <v>316.14600000000002</v>
      </c>
      <c r="E637" s="126">
        <v>6980</v>
      </c>
      <c r="F637" s="125">
        <v>730.22699999999998</v>
      </c>
      <c r="G637" s="127">
        <v>6980</v>
      </c>
      <c r="H637" s="125">
        <v>730.20399999999995</v>
      </c>
      <c r="I637" s="127">
        <v>6980</v>
      </c>
      <c r="J637" s="125">
        <v>647.91200000000003</v>
      </c>
      <c r="K637" s="127">
        <v>6980</v>
      </c>
      <c r="L637" s="125">
        <v>647.40099999999995</v>
      </c>
      <c r="M637" s="127">
        <v>6980</v>
      </c>
      <c r="N637" s="125">
        <v>647.75400000000002</v>
      </c>
      <c r="O637" s="127">
        <v>6960</v>
      </c>
      <c r="P637" s="125">
        <v>648.85799999999995</v>
      </c>
      <c r="Q637" s="127">
        <v>6980</v>
      </c>
      <c r="R637" s="125">
        <v>648.48299999999995</v>
      </c>
      <c r="S637" s="127">
        <v>6980</v>
      </c>
      <c r="T637" s="125">
        <v>649.14700000000005</v>
      </c>
      <c r="U637" s="127">
        <v>6970</v>
      </c>
      <c r="V637" s="125">
        <v>648.53599999999994</v>
      </c>
      <c r="W637" s="127">
        <v>6980</v>
      </c>
      <c r="X637" s="125">
        <v>648.06799999999998</v>
      </c>
      <c r="Y637" s="127">
        <v>6980</v>
      </c>
      <c r="Z637" s="125">
        <v>646.45899999999995</v>
      </c>
      <c r="AA637" s="127">
        <v>6980</v>
      </c>
      <c r="AB637" s="125">
        <v>646.64099999999996</v>
      </c>
      <c r="AC637" s="127">
        <v>6970</v>
      </c>
      <c r="AD637" s="125">
        <v>570.46900000000005</v>
      </c>
      <c r="AE637" s="127">
        <v>6980</v>
      </c>
      <c r="AF637" s="125">
        <v>572.03599999999994</v>
      </c>
      <c r="AG637" s="127">
        <v>6960</v>
      </c>
      <c r="AH637" s="125">
        <v>144.81700000000001</v>
      </c>
      <c r="AI637" s="127">
        <v>6960</v>
      </c>
      <c r="AJ637" s="125">
        <v>152.46199999999999</v>
      </c>
    </row>
    <row r="638" spans="1:36" ht="14.25">
      <c r="A638" s="128">
        <v>6990</v>
      </c>
      <c r="B638" s="124">
        <v>317.82499999999999</v>
      </c>
      <c r="C638" s="128">
        <v>7000</v>
      </c>
      <c r="D638" s="125">
        <v>315.40199999999999</v>
      </c>
      <c r="E638" s="126">
        <v>6990</v>
      </c>
      <c r="F638" s="125">
        <v>728.75400000000002</v>
      </c>
      <c r="G638" s="127">
        <v>6990</v>
      </c>
      <c r="H638" s="125">
        <v>728.73299999999995</v>
      </c>
      <c r="I638" s="127">
        <v>6990</v>
      </c>
      <c r="J638" s="125">
        <v>646.70000000000005</v>
      </c>
      <c r="K638" s="127">
        <v>6990</v>
      </c>
      <c r="L638" s="125">
        <v>646.18700000000001</v>
      </c>
      <c r="M638" s="127">
        <v>6990</v>
      </c>
      <c r="N638" s="125">
        <v>646.54200000000003</v>
      </c>
      <c r="O638" s="127">
        <v>6970</v>
      </c>
      <c r="P638" s="125">
        <v>647.64599999999996</v>
      </c>
      <c r="Q638" s="127">
        <v>6990</v>
      </c>
      <c r="R638" s="125">
        <v>647.27</v>
      </c>
      <c r="S638" s="127">
        <v>6990</v>
      </c>
      <c r="T638" s="125">
        <v>647.93499999999995</v>
      </c>
      <c r="U638" s="127">
        <v>6980</v>
      </c>
      <c r="V638" s="125">
        <v>647.32600000000002</v>
      </c>
      <c r="W638" s="127">
        <v>6990</v>
      </c>
      <c r="X638" s="125">
        <v>646.85699999999997</v>
      </c>
      <c r="Y638" s="127">
        <v>6990</v>
      </c>
      <c r="Z638" s="125">
        <v>645.24800000000005</v>
      </c>
      <c r="AA638" s="127">
        <v>6990</v>
      </c>
      <c r="AB638" s="125">
        <v>645.43100000000004</v>
      </c>
      <c r="AC638" s="127">
        <v>6980</v>
      </c>
      <c r="AD638" s="125">
        <v>569.25800000000004</v>
      </c>
      <c r="AE638" s="127">
        <v>6990</v>
      </c>
      <c r="AF638" s="125">
        <v>570.827</v>
      </c>
      <c r="AG638" s="127">
        <v>6970</v>
      </c>
      <c r="AH638" s="125">
        <v>144.43899999999999</v>
      </c>
      <c r="AI638" s="127">
        <v>6970</v>
      </c>
      <c r="AJ638" s="125">
        <v>152.06899999999999</v>
      </c>
    </row>
    <row r="639" spans="1:36" ht="14.25">
      <c r="A639" s="128">
        <v>7000</v>
      </c>
      <c r="B639" s="124">
        <v>317.077</v>
      </c>
      <c r="C639" s="128">
        <v>7010</v>
      </c>
      <c r="D639" s="125">
        <v>314.65899999999999</v>
      </c>
      <c r="E639" s="126">
        <v>7000</v>
      </c>
      <c r="F639" s="125">
        <v>727.28099999999995</v>
      </c>
      <c r="G639" s="127">
        <v>7000</v>
      </c>
      <c r="H639" s="125">
        <v>727.26199999999994</v>
      </c>
      <c r="I639" s="127">
        <v>7000</v>
      </c>
      <c r="J639" s="125">
        <v>645.48699999999997</v>
      </c>
      <c r="K639" s="127">
        <v>7000</v>
      </c>
      <c r="L639" s="125">
        <v>644.97400000000005</v>
      </c>
      <c r="M639" s="127">
        <v>7000</v>
      </c>
      <c r="N639" s="125">
        <v>645.33000000000004</v>
      </c>
      <c r="O639" s="127">
        <v>6980</v>
      </c>
      <c r="P639" s="125">
        <v>646.43299999999999</v>
      </c>
      <c r="Q639" s="127">
        <v>7000</v>
      </c>
      <c r="R639" s="125">
        <v>646.05799999999999</v>
      </c>
      <c r="S639" s="127">
        <v>7000</v>
      </c>
      <c r="T639" s="125">
        <v>646.72299999999996</v>
      </c>
      <c r="U639" s="127">
        <v>6990</v>
      </c>
      <c r="V639" s="125">
        <v>646.11500000000001</v>
      </c>
      <c r="W639" s="127">
        <v>7000</v>
      </c>
      <c r="X639" s="125">
        <v>645.64599999999996</v>
      </c>
      <c r="Y639" s="127">
        <v>7000</v>
      </c>
      <c r="Z639" s="125">
        <v>644.03700000000003</v>
      </c>
      <c r="AA639" s="127">
        <v>7000</v>
      </c>
      <c r="AB639" s="125">
        <v>644.22</v>
      </c>
      <c r="AC639" s="127">
        <v>6990</v>
      </c>
      <c r="AD639" s="125">
        <v>568.048</v>
      </c>
      <c r="AE639" s="127">
        <v>7000</v>
      </c>
      <c r="AF639" s="125">
        <v>569.61699999999996</v>
      </c>
      <c r="AG639" s="127">
        <v>6980</v>
      </c>
      <c r="AH639" s="125">
        <v>144.06</v>
      </c>
      <c r="AI639" s="127">
        <v>6980</v>
      </c>
      <c r="AJ639" s="125">
        <v>151.67699999999999</v>
      </c>
    </row>
    <row r="640" spans="1:36" ht="14.25">
      <c r="A640" s="128">
        <v>7010</v>
      </c>
      <c r="B640" s="124">
        <v>316.32900000000001</v>
      </c>
      <c r="C640" s="128">
        <v>7020</v>
      </c>
      <c r="D640" s="125">
        <v>313.916</v>
      </c>
      <c r="E640" s="126">
        <v>7010</v>
      </c>
      <c r="F640" s="125">
        <v>725.80799999999999</v>
      </c>
      <c r="G640" s="127">
        <v>7010</v>
      </c>
      <c r="H640" s="125">
        <v>725.79</v>
      </c>
      <c r="I640" s="127">
        <v>7010</v>
      </c>
      <c r="J640" s="125">
        <v>644.27499999999998</v>
      </c>
      <c r="K640" s="127">
        <v>7010</v>
      </c>
      <c r="L640" s="125">
        <v>643.76</v>
      </c>
      <c r="M640" s="127">
        <v>7010</v>
      </c>
      <c r="N640" s="125">
        <v>644.11699999999996</v>
      </c>
      <c r="O640" s="127">
        <v>6990</v>
      </c>
      <c r="P640" s="125">
        <v>645.22</v>
      </c>
      <c r="Q640" s="127">
        <v>7010</v>
      </c>
      <c r="R640" s="125">
        <v>644.846</v>
      </c>
      <c r="S640" s="127">
        <v>7010</v>
      </c>
      <c r="T640" s="125">
        <v>645.51</v>
      </c>
      <c r="U640" s="127">
        <v>7000</v>
      </c>
      <c r="V640" s="125">
        <v>644.90499999999997</v>
      </c>
      <c r="W640" s="127">
        <v>7010</v>
      </c>
      <c r="X640" s="125">
        <v>644.43499999999995</v>
      </c>
      <c r="Y640" s="127">
        <v>7010</v>
      </c>
      <c r="Z640" s="125">
        <v>642.82600000000002</v>
      </c>
      <c r="AA640" s="127">
        <v>7010</v>
      </c>
      <c r="AB640" s="125">
        <v>643.01</v>
      </c>
      <c r="AC640" s="127">
        <v>7000</v>
      </c>
      <c r="AD640" s="125">
        <v>566.83699999999999</v>
      </c>
      <c r="AE640" s="127">
        <v>7010</v>
      </c>
      <c r="AF640" s="125">
        <v>568.40700000000004</v>
      </c>
      <c r="AG640" s="127">
        <v>6990</v>
      </c>
      <c r="AH640" s="125">
        <v>143.68199999999999</v>
      </c>
      <c r="AI640" s="127">
        <v>6990</v>
      </c>
      <c r="AJ640" s="125">
        <v>151.28399999999999</v>
      </c>
    </row>
    <row r="641" spans="1:36" ht="14.25">
      <c r="A641" s="128">
        <v>7020</v>
      </c>
      <c r="B641" s="124">
        <v>315.58199999999999</v>
      </c>
      <c r="C641" s="128">
        <v>7030</v>
      </c>
      <c r="D641" s="125">
        <v>313.173</v>
      </c>
      <c r="E641" s="126">
        <v>7020</v>
      </c>
      <c r="F641" s="125">
        <v>724.33600000000001</v>
      </c>
      <c r="G641" s="127">
        <v>7020</v>
      </c>
      <c r="H641" s="125">
        <v>724.31899999999996</v>
      </c>
      <c r="I641" s="127">
        <v>7020</v>
      </c>
      <c r="J641" s="132">
        <v>643.06299999999999</v>
      </c>
      <c r="K641" s="127">
        <v>7020</v>
      </c>
      <c r="L641" s="125">
        <v>642.54700000000003</v>
      </c>
      <c r="M641" s="127">
        <v>7020</v>
      </c>
      <c r="N641" s="125">
        <v>642.90499999999997</v>
      </c>
      <c r="O641" s="127">
        <v>7000</v>
      </c>
      <c r="P641" s="125">
        <v>644.00800000000004</v>
      </c>
      <c r="Q641" s="127">
        <v>7020</v>
      </c>
      <c r="R641" s="125">
        <v>643.63300000000004</v>
      </c>
      <c r="S641" s="127">
        <v>7020</v>
      </c>
      <c r="T641" s="125">
        <v>644.298</v>
      </c>
      <c r="U641" s="127">
        <v>7010</v>
      </c>
      <c r="V641" s="125">
        <v>643.69500000000005</v>
      </c>
      <c r="W641" s="127">
        <v>7020</v>
      </c>
      <c r="X641" s="125">
        <v>643.22400000000005</v>
      </c>
      <c r="Y641" s="127">
        <v>7020</v>
      </c>
      <c r="Z641" s="125">
        <v>641.61400000000003</v>
      </c>
      <c r="AA641" s="127">
        <v>7020</v>
      </c>
      <c r="AB641" s="125">
        <v>641.79999999999995</v>
      </c>
      <c r="AC641" s="127">
        <v>7010</v>
      </c>
      <c r="AD641" s="125">
        <v>565.62699999999995</v>
      </c>
      <c r="AE641" s="127">
        <v>7020</v>
      </c>
      <c r="AF641" s="125">
        <v>567.197</v>
      </c>
      <c r="AG641" s="127">
        <v>7000</v>
      </c>
      <c r="AH641" s="125">
        <v>143.304</v>
      </c>
      <c r="AI641" s="127">
        <v>7000</v>
      </c>
      <c r="AJ641" s="125">
        <v>150.89099999999999</v>
      </c>
    </row>
    <row r="642" spans="1:36" ht="14.25">
      <c r="A642" s="128">
        <v>7030</v>
      </c>
      <c r="B642" s="124">
        <v>314.834</v>
      </c>
      <c r="C642" s="128">
        <v>7040</v>
      </c>
      <c r="D642" s="125">
        <v>312.43</v>
      </c>
      <c r="E642" s="126">
        <v>7030</v>
      </c>
      <c r="F642" s="125">
        <v>722.86300000000006</v>
      </c>
      <c r="G642" s="127">
        <v>7030</v>
      </c>
      <c r="H642" s="125">
        <v>722.84799999999996</v>
      </c>
      <c r="I642" s="127">
        <v>7030</v>
      </c>
      <c r="J642" s="125">
        <v>641.85</v>
      </c>
      <c r="K642" s="127">
        <v>7030</v>
      </c>
      <c r="L642" s="125">
        <v>641.33299999999997</v>
      </c>
      <c r="M642" s="127">
        <v>7030</v>
      </c>
      <c r="N642" s="125">
        <v>641.69299999999998</v>
      </c>
      <c r="O642" s="127">
        <v>7010</v>
      </c>
      <c r="P642" s="125">
        <v>642.79499999999996</v>
      </c>
      <c r="Q642" s="127">
        <v>7030</v>
      </c>
      <c r="R642" s="125">
        <v>642.42100000000005</v>
      </c>
      <c r="S642" s="127">
        <v>7030</v>
      </c>
      <c r="T642" s="125">
        <v>643.08600000000001</v>
      </c>
      <c r="U642" s="127">
        <v>7020</v>
      </c>
      <c r="V642" s="125">
        <v>642.48500000000001</v>
      </c>
      <c r="W642" s="127">
        <v>7030</v>
      </c>
      <c r="X642" s="125">
        <v>642.01300000000003</v>
      </c>
      <c r="Y642" s="127">
        <v>7030</v>
      </c>
      <c r="Z642" s="125">
        <v>640.40300000000002</v>
      </c>
      <c r="AA642" s="127">
        <v>7030</v>
      </c>
      <c r="AB642" s="125">
        <v>640.59</v>
      </c>
      <c r="AC642" s="127">
        <v>7020</v>
      </c>
      <c r="AD642" s="125">
        <v>564.41600000000005</v>
      </c>
      <c r="AE642" s="127">
        <v>7030</v>
      </c>
      <c r="AF642" s="125">
        <v>565.98699999999997</v>
      </c>
      <c r="AG642" s="127">
        <v>7010</v>
      </c>
      <c r="AH642" s="125">
        <v>142.92599999999999</v>
      </c>
      <c r="AI642" s="127">
        <v>7010</v>
      </c>
      <c r="AJ642" s="125">
        <v>150.499</v>
      </c>
    </row>
    <row r="643" spans="1:36" ht="14.25">
      <c r="A643" s="128">
        <v>7040</v>
      </c>
      <c r="B643" s="124">
        <v>314.08699999999999</v>
      </c>
      <c r="C643" s="128">
        <v>7050</v>
      </c>
      <c r="D643" s="125">
        <v>311.68700000000001</v>
      </c>
      <c r="E643" s="126">
        <v>7040</v>
      </c>
      <c r="F643" s="125">
        <v>721.39099999999996</v>
      </c>
      <c r="G643" s="127">
        <v>7040</v>
      </c>
      <c r="H643" s="125">
        <v>721.37699999999995</v>
      </c>
      <c r="I643" s="127">
        <v>7040</v>
      </c>
      <c r="J643" s="125">
        <v>640.63800000000003</v>
      </c>
      <c r="K643" s="127">
        <v>7040</v>
      </c>
      <c r="L643" s="125">
        <v>640.12</v>
      </c>
      <c r="M643" s="127">
        <v>7040</v>
      </c>
      <c r="N643" s="125">
        <v>640.48</v>
      </c>
      <c r="O643" s="127">
        <v>7020</v>
      </c>
      <c r="P643" s="125">
        <v>641.58299999999997</v>
      </c>
      <c r="Q643" s="127">
        <v>7040</v>
      </c>
      <c r="R643" s="125">
        <v>641.20799999999997</v>
      </c>
      <c r="S643" s="127">
        <v>7040</v>
      </c>
      <c r="T643" s="125">
        <v>641.87400000000002</v>
      </c>
      <c r="U643" s="127">
        <v>7030</v>
      </c>
      <c r="V643" s="125">
        <v>641.27499999999998</v>
      </c>
      <c r="W643" s="127">
        <v>7040</v>
      </c>
      <c r="X643" s="125">
        <v>640.80200000000002</v>
      </c>
      <c r="Y643" s="127">
        <v>7040</v>
      </c>
      <c r="Z643" s="125">
        <v>639.19200000000001</v>
      </c>
      <c r="AA643" s="127">
        <v>7040</v>
      </c>
      <c r="AB643" s="125">
        <v>639.38</v>
      </c>
      <c r="AC643" s="127">
        <v>7030</v>
      </c>
      <c r="AD643" s="125">
        <v>563.20600000000002</v>
      </c>
      <c r="AE643" s="127">
        <v>7040</v>
      </c>
      <c r="AF643" s="125">
        <v>564.77700000000004</v>
      </c>
      <c r="AG643" s="127">
        <v>7020</v>
      </c>
      <c r="AH643" s="125">
        <v>142.548</v>
      </c>
      <c r="AI643" s="127">
        <v>7020</v>
      </c>
      <c r="AJ643" s="125">
        <v>150.107</v>
      </c>
    </row>
    <row r="644" spans="1:36" ht="14.25">
      <c r="A644" s="128">
        <v>7050</v>
      </c>
      <c r="B644" s="124">
        <v>313.33999999999997</v>
      </c>
      <c r="C644" s="128">
        <v>7060</v>
      </c>
      <c r="D644" s="125">
        <v>310.94499999999999</v>
      </c>
      <c r="E644" s="126">
        <v>7050</v>
      </c>
      <c r="F644" s="125">
        <v>719.91899999999998</v>
      </c>
      <c r="G644" s="127">
        <v>7050</v>
      </c>
      <c r="H644" s="125">
        <v>719.90599999999995</v>
      </c>
      <c r="I644" s="127">
        <v>7050</v>
      </c>
      <c r="J644" s="125">
        <v>639.42600000000004</v>
      </c>
      <c r="K644" s="127">
        <v>7050</v>
      </c>
      <c r="L644" s="125">
        <v>638.90599999999995</v>
      </c>
      <c r="M644" s="127">
        <v>7050</v>
      </c>
      <c r="N644" s="125">
        <v>639.26800000000003</v>
      </c>
      <c r="O644" s="127">
        <v>7030</v>
      </c>
      <c r="P644" s="125">
        <v>640.37</v>
      </c>
      <c r="Q644" s="127">
        <v>7050</v>
      </c>
      <c r="R644" s="125">
        <v>639.99599999999998</v>
      </c>
      <c r="S644" s="127">
        <v>7050</v>
      </c>
      <c r="T644" s="125">
        <v>640.66200000000003</v>
      </c>
      <c r="U644" s="127">
        <v>7040</v>
      </c>
      <c r="V644" s="125">
        <v>640.06500000000005</v>
      </c>
      <c r="W644" s="127">
        <v>7050</v>
      </c>
      <c r="X644" s="125">
        <v>639.59100000000001</v>
      </c>
      <c r="Y644" s="127">
        <v>7050</v>
      </c>
      <c r="Z644" s="125">
        <v>637.98099999999999</v>
      </c>
      <c r="AA644" s="127">
        <v>7050</v>
      </c>
      <c r="AB644" s="125">
        <v>638.16999999999996</v>
      </c>
      <c r="AC644" s="127">
        <v>7040</v>
      </c>
      <c r="AD644" s="125">
        <v>561.99599999999998</v>
      </c>
      <c r="AE644" s="127">
        <v>7050</v>
      </c>
      <c r="AF644" s="125">
        <v>563.56700000000001</v>
      </c>
      <c r="AG644" s="127">
        <v>7030</v>
      </c>
      <c r="AH644" s="125">
        <v>142.16999999999999</v>
      </c>
      <c r="AI644" s="127">
        <v>7030</v>
      </c>
      <c r="AJ644" s="125">
        <v>149.715</v>
      </c>
    </row>
    <row r="645" spans="1:36" ht="14.25">
      <c r="A645" s="128">
        <v>7060</v>
      </c>
      <c r="B645" s="124">
        <v>312.39400000000001</v>
      </c>
      <c r="C645" s="128">
        <v>7070</v>
      </c>
      <c r="D645" s="125">
        <v>310.20299999999997</v>
      </c>
      <c r="E645" s="126">
        <v>7060</v>
      </c>
      <c r="F645" s="125">
        <v>718.447</v>
      </c>
      <c r="G645" s="127">
        <v>7060</v>
      </c>
      <c r="H645" s="125">
        <v>718.43499999999995</v>
      </c>
      <c r="I645" s="127">
        <v>7060</v>
      </c>
      <c r="J645" s="125">
        <v>638.21299999999997</v>
      </c>
      <c r="K645" s="127">
        <v>7060</v>
      </c>
      <c r="L645" s="125">
        <v>637.69200000000001</v>
      </c>
      <c r="M645" s="127">
        <v>7060</v>
      </c>
      <c r="N645" s="125">
        <v>638.05600000000004</v>
      </c>
      <c r="O645" s="127">
        <v>7040</v>
      </c>
      <c r="P645" s="125">
        <v>639.15700000000004</v>
      </c>
      <c r="Q645" s="127">
        <v>7060</v>
      </c>
      <c r="R645" s="125">
        <v>638.78399999999999</v>
      </c>
      <c r="S645" s="127">
        <v>7060</v>
      </c>
      <c r="T645" s="125">
        <v>639.44899999999996</v>
      </c>
      <c r="U645" s="127">
        <v>7050</v>
      </c>
      <c r="V645" s="125">
        <v>638.85500000000002</v>
      </c>
      <c r="W645" s="127">
        <v>7060</v>
      </c>
      <c r="X645" s="125">
        <v>638.38</v>
      </c>
      <c r="Y645" s="127">
        <v>7060</v>
      </c>
      <c r="Z645" s="125">
        <v>636.77</v>
      </c>
      <c r="AA645" s="127">
        <v>7060</v>
      </c>
      <c r="AB645" s="125">
        <v>636.96</v>
      </c>
      <c r="AC645" s="127">
        <v>7050</v>
      </c>
      <c r="AD645" s="125">
        <v>560.78499999999997</v>
      </c>
      <c r="AE645" s="127">
        <v>7060</v>
      </c>
      <c r="AF645" s="125">
        <v>562.35799999999995</v>
      </c>
      <c r="AG645" s="127">
        <v>7040</v>
      </c>
      <c r="AH645" s="125">
        <v>141.792</v>
      </c>
      <c r="AI645" s="127">
        <v>7040</v>
      </c>
      <c r="AJ645" s="125">
        <v>149.32300000000001</v>
      </c>
    </row>
    <row r="646" spans="1:36" ht="14.25">
      <c r="A646" s="128">
        <v>7070</v>
      </c>
      <c r="B646" s="124">
        <v>311.84699999999998</v>
      </c>
      <c r="C646" s="128">
        <v>7080</v>
      </c>
      <c r="D646" s="125">
        <v>309.46100000000001</v>
      </c>
      <c r="E646" s="126">
        <v>7070</v>
      </c>
      <c r="F646" s="125">
        <v>716.97500000000002</v>
      </c>
      <c r="G646" s="127">
        <v>7070</v>
      </c>
      <c r="H646" s="125">
        <v>716.96500000000003</v>
      </c>
      <c r="I646" s="127">
        <v>7070</v>
      </c>
      <c r="J646" s="125">
        <v>637.00099999999998</v>
      </c>
      <c r="K646" s="127">
        <v>7070</v>
      </c>
      <c r="L646" s="125">
        <v>636.47900000000004</v>
      </c>
      <c r="M646" s="127">
        <v>7070</v>
      </c>
      <c r="N646" s="125">
        <v>636.84299999999996</v>
      </c>
      <c r="O646" s="127">
        <v>7050</v>
      </c>
      <c r="P646" s="125">
        <v>637.94500000000005</v>
      </c>
      <c r="Q646" s="127">
        <v>7070</v>
      </c>
      <c r="R646" s="125">
        <v>637.57100000000003</v>
      </c>
      <c r="S646" s="127">
        <v>7070</v>
      </c>
      <c r="T646" s="125">
        <v>638.23699999999997</v>
      </c>
      <c r="U646" s="127">
        <v>7060</v>
      </c>
      <c r="V646" s="125">
        <v>637.64499999999998</v>
      </c>
      <c r="W646" s="127">
        <v>7070</v>
      </c>
      <c r="X646" s="125">
        <v>637.16899999999998</v>
      </c>
      <c r="Y646" s="127">
        <v>7070</v>
      </c>
      <c r="Z646" s="125">
        <v>635.55899999999997</v>
      </c>
      <c r="AA646" s="127">
        <v>7070</v>
      </c>
      <c r="AB646" s="125">
        <v>635.75</v>
      </c>
      <c r="AC646" s="127">
        <v>7060</v>
      </c>
      <c r="AD646" s="125">
        <v>559.57500000000005</v>
      </c>
      <c r="AE646" s="127">
        <v>7070</v>
      </c>
      <c r="AF646" s="125">
        <v>561.14800000000002</v>
      </c>
      <c r="AG646" s="127">
        <v>7050</v>
      </c>
      <c r="AH646" s="125">
        <v>141.41399999999999</v>
      </c>
      <c r="AI646" s="127">
        <v>7050</v>
      </c>
      <c r="AJ646" s="125">
        <v>148.93100000000001</v>
      </c>
    </row>
    <row r="647" spans="1:36" ht="14.25">
      <c r="A647" s="128">
        <v>7080</v>
      </c>
      <c r="B647" s="124">
        <v>311.101</v>
      </c>
      <c r="C647" s="128">
        <v>7090</v>
      </c>
      <c r="D647" s="125">
        <v>308.71899999999999</v>
      </c>
      <c r="E647" s="126">
        <v>7080</v>
      </c>
      <c r="F647" s="125">
        <v>715.50300000000004</v>
      </c>
      <c r="G647" s="127">
        <v>7080</v>
      </c>
      <c r="H647" s="125">
        <v>715.49400000000003</v>
      </c>
      <c r="I647" s="127">
        <v>7080</v>
      </c>
      <c r="J647" s="125">
        <v>635.78800000000001</v>
      </c>
      <c r="K647" s="127">
        <v>7080</v>
      </c>
      <c r="L647" s="125">
        <v>635.26499999999999</v>
      </c>
      <c r="M647" s="127">
        <v>7080</v>
      </c>
      <c r="N647" s="125">
        <v>635.63099999999997</v>
      </c>
      <c r="O647" s="127">
        <v>7060</v>
      </c>
      <c r="P647" s="125">
        <v>636.73199999999997</v>
      </c>
      <c r="Q647" s="127">
        <v>7080</v>
      </c>
      <c r="R647" s="125">
        <v>636.35900000000004</v>
      </c>
      <c r="S647" s="127">
        <v>7080</v>
      </c>
      <c r="T647" s="125">
        <v>637.02499999999998</v>
      </c>
      <c r="U647" s="127">
        <v>7070</v>
      </c>
      <c r="V647" s="125">
        <v>636.43499999999995</v>
      </c>
      <c r="W647" s="127">
        <v>7080</v>
      </c>
      <c r="X647" s="125">
        <v>635.95899999999995</v>
      </c>
      <c r="Y647" s="127">
        <v>7080</v>
      </c>
      <c r="Z647" s="125">
        <v>634.34699999999998</v>
      </c>
      <c r="AA647" s="127">
        <v>7080</v>
      </c>
      <c r="AB647" s="125">
        <v>634.54</v>
      </c>
      <c r="AC647" s="127">
        <v>7070</v>
      </c>
      <c r="AD647" s="125">
        <v>558.36400000000003</v>
      </c>
      <c r="AE647" s="127">
        <v>7080</v>
      </c>
      <c r="AF647" s="125">
        <v>559.93799999999999</v>
      </c>
      <c r="AG647" s="127">
        <v>7060</v>
      </c>
      <c r="AH647" s="125">
        <v>141.03700000000001</v>
      </c>
      <c r="AI647" s="127">
        <v>7060</v>
      </c>
      <c r="AJ647" s="125">
        <v>148.53899999999999</v>
      </c>
    </row>
    <row r="648" spans="1:36" ht="14.25">
      <c r="A648" s="128">
        <v>7090</v>
      </c>
      <c r="B648" s="124">
        <v>310.35500000000002</v>
      </c>
      <c r="C648" s="128">
        <v>7100</v>
      </c>
      <c r="D648" s="125">
        <v>307.97800000000001</v>
      </c>
      <c r="E648" s="126">
        <v>7090</v>
      </c>
      <c r="F648" s="125">
        <v>714.03099999999995</v>
      </c>
      <c r="G648" s="127">
        <v>7090</v>
      </c>
      <c r="H648" s="125">
        <v>714.024</v>
      </c>
      <c r="I648" s="127">
        <v>7090</v>
      </c>
      <c r="J648" s="125">
        <v>634.57600000000002</v>
      </c>
      <c r="K648" s="127">
        <v>7090</v>
      </c>
      <c r="L648" s="125">
        <v>634.05200000000002</v>
      </c>
      <c r="M648" s="127">
        <v>7090</v>
      </c>
      <c r="N648" s="125">
        <v>634.41899999999998</v>
      </c>
      <c r="O648" s="127">
        <v>7070</v>
      </c>
      <c r="P648" s="125">
        <v>635.51900000000001</v>
      </c>
      <c r="Q648" s="127">
        <v>7090</v>
      </c>
      <c r="R648" s="125">
        <v>635.14599999999996</v>
      </c>
      <c r="S648" s="127">
        <v>7090</v>
      </c>
      <c r="T648" s="125">
        <v>635.81299999999999</v>
      </c>
      <c r="U648" s="127">
        <v>7080</v>
      </c>
      <c r="V648" s="125">
        <v>635.22500000000002</v>
      </c>
      <c r="W648" s="127">
        <v>7090</v>
      </c>
      <c r="X648" s="125">
        <v>634.74800000000005</v>
      </c>
      <c r="Y648" s="127">
        <v>7090</v>
      </c>
      <c r="Z648" s="125">
        <v>633.13599999999997</v>
      </c>
      <c r="AA648" s="127">
        <v>7090</v>
      </c>
      <c r="AB648" s="125">
        <v>633.33000000000004</v>
      </c>
      <c r="AC648" s="127">
        <v>7080</v>
      </c>
      <c r="AD648" s="125">
        <v>557.154</v>
      </c>
      <c r="AE648" s="127">
        <v>7090</v>
      </c>
      <c r="AF648" s="125">
        <v>558.72799999999995</v>
      </c>
      <c r="AG648" s="127">
        <v>7070</v>
      </c>
      <c r="AH648" s="125">
        <v>140.65899999999999</v>
      </c>
      <c r="AI648" s="127">
        <v>7070</v>
      </c>
      <c r="AJ648" s="125">
        <v>148.14699999999999</v>
      </c>
    </row>
    <row r="649" spans="1:36" ht="14.25">
      <c r="A649" s="128">
        <v>7100</v>
      </c>
      <c r="B649" s="124">
        <v>309.60899999999998</v>
      </c>
      <c r="C649" s="128">
        <v>7110</v>
      </c>
      <c r="D649" s="125">
        <v>307.23599999999999</v>
      </c>
      <c r="E649" s="126">
        <v>7100</v>
      </c>
      <c r="F649" s="125">
        <v>712.56</v>
      </c>
      <c r="G649" s="127">
        <v>7100</v>
      </c>
      <c r="H649" s="125">
        <v>712.553</v>
      </c>
      <c r="I649" s="127">
        <v>7100</v>
      </c>
      <c r="J649" s="125">
        <v>633.36400000000003</v>
      </c>
      <c r="K649" s="127">
        <v>7100</v>
      </c>
      <c r="L649" s="125">
        <v>632.83799999999997</v>
      </c>
      <c r="M649" s="127">
        <v>7100</v>
      </c>
      <c r="N649" s="125">
        <v>633.20600000000002</v>
      </c>
      <c r="O649" s="127">
        <v>7080</v>
      </c>
      <c r="P649" s="125">
        <v>634.30700000000002</v>
      </c>
      <c r="Q649" s="127">
        <v>7100</v>
      </c>
      <c r="R649" s="125">
        <v>633.93399999999997</v>
      </c>
      <c r="S649" s="127">
        <v>7100</v>
      </c>
      <c r="T649" s="125">
        <v>634.601</v>
      </c>
      <c r="U649" s="127">
        <v>7090</v>
      </c>
      <c r="V649" s="125">
        <v>634.01400000000001</v>
      </c>
      <c r="W649" s="127">
        <v>7100</v>
      </c>
      <c r="X649" s="125">
        <v>633.53700000000003</v>
      </c>
      <c r="Y649" s="127">
        <v>7100</v>
      </c>
      <c r="Z649" s="125">
        <v>631.92499999999995</v>
      </c>
      <c r="AA649" s="127">
        <v>7100</v>
      </c>
      <c r="AB649" s="125">
        <v>632.12</v>
      </c>
      <c r="AC649" s="127">
        <v>7090</v>
      </c>
      <c r="AD649" s="125">
        <v>555.94399999999996</v>
      </c>
      <c r="AE649" s="127">
        <v>7100</v>
      </c>
      <c r="AF649" s="125">
        <v>557.51800000000003</v>
      </c>
      <c r="AG649" s="127">
        <v>7080</v>
      </c>
      <c r="AH649" s="125">
        <v>140.28200000000001</v>
      </c>
      <c r="AI649" s="127">
        <v>7080</v>
      </c>
      <c r="AJ649" s="125">
        <v>147.755</v>
      </c>
    </row>
    <row r="650" spans="1:36" ht="14.25">
      <c r="A650" s="128">
        <v>7110</v>
      </c>
      <c r="B650" s="124">
        <v>308.863</v>
      </c>
      <c r="C650" s="128">
        <v>7120</v>
      </c>
      <c r="D650" s="125">
        <v>306.495</v>
      </c>
      <c r="E650" s="126">
        <v>7110</v>
      </c>
      <c r="F650" s="125">
        <v>711.08799999999997</v>
      </c>
      <c r="G650" s="127">
        <v>7110</v>
      </c>
      <c r="H650" s="125">
        <v>711.08299999999997</v>
      </c>
      <c r="I650" s="127">
        <v>7110</v>
      </c>
      <c r="J650" s="125">
        <v>632.15099999999995</v>
      </c>
      <c r="K650" s="127">
        <v>7110</v>
      </c>
      <c r="L650" s="125">
        <v>631.625</v>
      </c>
      <c r="M650" s="127">
        <v>7110</v>
      </c>
      <c r="N650" s="125">
        <v>631.99400000000003</v>
      </c>
      <c r="O650" s="127">
        <v>7090</v>
      </c>
      <c r="P650" s="125">
        <v>633.09400000000005</v>
      </c>
      <c r="Q650" s="127">
        <v>7110</v>
      </c>
      <c r="R650" s="125">
        <v>632.72199999999998</v>
      </c>
      <c r="S650" s="127">
        <v>7110</v>
      </c>
      <c r="T650" s="125">
        <v>633.38800000000003</v>
      </c>
      <c r="U650" s="127">
        <v>7100</v>
      </c>
      <c r="V650" s="125">
        <v>632.80399999999997</v>
      </c>
      <c r="W650" s="127">
        <v>7110</v>
      </c>
      <c r="X650" s="125">
        <v>632.32600000000002</v>
      </c>
      <c r="Y650" s="127">
        <v>7110</v>
      </c>
      <c r="Z650" s="125">
        <v>630.71400000000006</v>
      </c>
      <c r="AA650" s="127">
        <v>7110</v>
      </c>
      <c r="AB650" s="125">
        <v>630.91</v>
      </c>
      <c r="AC650" s="127">
        <v>7100</v>
      </c>
      <c r="AD650" s="125">
        <v>554.73299999999995</v>
      </c>
      <c r="AE650" s="127">
        <v>7110</v>
      </c>
      <c r="AF650" s="125">
        <v>556.30899999999997</v>
      </c>
      <c r="AG650" s="127">
        <v>7090</v>
      </c>
      <c r="AH650" s="125">
        <v>139.905</v>
      </c>
      <c r="AI650" s="127">
        <v>7090</v>
      </c>
      <c r="AJ650" s="125">
        <v>147.364</v>
      </c>
    </row>
    <row r="651" spans="1:36" ht="14.25">
      <c r="A651" s="128">
        <v>7120</v>
      </c>
      <c r="B651" s="124">
        <v>308.11799999999999</v>
      </c>
      <c r="C651" s="128">
        <v>7130</v>
      </c>
      <c r="D651" s="125">
        <v>305.75400000000002</v>
      </c>
      <c r="E651" s="126">
        <v>7120</v>
      </c>
      <c r="F651" s="125">
        <v>709.61699999999996</v>
      </c>
      <c r="G651" s="127">
        <v>7120</v>
      </c>
      <c r="H651" s="125">
        <v>709.61300000000006</v>
      </c>
      <c r="I651" s="127">
        <v>7120</v>
      </c>
      <c r="J651" s="125">
        <v>630.93899999999996</v>
      </c>
      <c r="K651" s="127">
        <v>7120</v>
      </c>
      <c r="L651" s="125">
        <v>630.41099999999994</v>
      </c>
      <c r="M651" s="127">
        <v>7120</v>
      </c>
      <c r="N651" s="125">
        <v>630.78200000000004</v>
      </c>
      <c r="O651" s="127">
        <v>7100</v>
      </c>
      <c r="P651" s="125">
        <v>631.88199999999995</v>
      </c>
      <c r="Q651" s="127">
        <v>7120</v>
      </c>
      <c r="R651" s="125">
        <v>631.50900000000001</v>
      </c>
      <c r="S651" s="127">
        <v>7120</v>
      </c>
      <c r="T651" s="125">
        <v>632.17600000000004</v>
      </c>
      <c r="U651" s="127">
        <v>7110</v>
      </c>
      <c r="V651" s="125">
        <v>631.59400000000005</v>
      </c>
      <c r="W651" s="127">
        <v>7120</v>
      </c>
      <c r="X651" s="125">
        <v>631.11500000000001</v>
      </c>
      <c r="Y651" s="127">
        <v>7120</v>
      </c>
      <c r="Z651" s="125">
        <v>629.50300000000004</v>
      </c>
      <c r="AA651" s="127">
        <v>7120</v>
      </c>
      <c r="AB651" s="125">
        <v>629.70000000000005</v>
      </c>
      <c r="AC651" s="127">
        <v>7110</v>
      </c>
      <c r="AD651" s="125">
        <v>553.52300000000002</v>
      </c>
      <c r="AE651" s="127">
        <v>7120</v>
      </c>
      <c r="AF651" s="125">
        <v>555.09900000000005</v>
      </c>
      <c r="AG651" s="127">
        <v>7100</v>
      </c>
      <c r="AH651" s="125">
        <v>139.52799999999999</v>
      </c>
      <c r="AI651" s="127">
        <v>7100</v>
      </c>
      <c r="AJ651" s="125">
        <v>146.97300000000001</v>
      </c>
    </row>
    <row r="652" spans="1:36" ht="14.25">
      <c r="A652" s="128">
        <v>7130</v>
      </c>
      <c r="B652" s="124">
        <v>307.37299999999999</v>
      </c>
      <c r="C652" s="128">
        <v>7140</v>
      </c>
      <c r="D652" s="125">
        <v>305.01400000000001</v>
      </c>
      <c r="E652" s="126">
        <v>7130</v>
      </c>
      <c r="F652" s="125">
        <v>708.14599999999996</v>
      </c>
      <c r="G652" s="127">
        <v>7130</v>
      </c>
      <c r="H652" s="125">
        <v>708.14300000000003</v>
      </c>
      <c r="I652" s="127">
        <v>7130</v>
      </c>
      <c r="J652" s="125">
        <v>629.72699999999998</v>
      </c>
      <c r="K652" s="127">
        <v>7130</v>
      </c>
      <c r="L652" s="125">
        <v>629.19799999999998</v>
      </c>
      <c r="M652" s="127">
        <v>7130</v>
      </c>
      <c r="N652" s="125">
        <v>629.57000000000005</v>
      </c>
      <c r="O652" s="127">
        <v>7110</v>
      </c>
      <c r="P652" s="125">
        <v>630.66899999999998</v>
      </c>
      <c r="Q652" s="127">
        <v>7130</v>
      </c>
      <c r="R652" s="125">
        <v>630.29700000000003</v>
      </c>
      <c r="S652" s="127">
        <v>7130</v>
      </c>
      <c r="T652" s="125">
        <v>630.96400000000006</v>
      </c>
      <c r="U652" s="127">
        <v>7120</v>
      </c>
      <c r="V652" s="125">
        <v>630.38400000000001</v>
      </c>
      <c r="W652" s="127">
        <v>7130</v>
      </c>
      <c r="X652" s="125">
        <v>629.904</v>
      </c>
      <c r="Y652" s="127">
        <v>7130</v>
      </c>
      <c r="Z652" s="125">
        <v>628.29200000000003</v>
      </c>
      <c r="AA652" s="127">
        <v>7130</v>
      </c>
      <c r="AB652" s="125">
        <v>628.49</v>
      </c>
      <c r="AC652" s="127">
        <v>7120</v>
      </c>
      <c r="AD652" s="125">
        <v>552.31299999999999</v>
      </c>
      <c r="AE652" s="127">
        <v>7130</v>
      </c>
      <c r="AF652" s="125">
        <v>553.88900000000001</v>
      </c>
      <c r="AG652" s="127">
        <v>7110</v>
      </c>
      <c r="AH652" s="125">
        <v>139.15100000000001</v>
      </c>
      <c r="AI652" s="127">
        <v>7110</v>
      </c>
      <c r="AJ652" s="125">
        <v>146.58099999999999</v>
      </c>
    </row>
    <row r="653" spans="1:36" ht="14.25">
      <c r="A653" s="128">
        <v>7140</v>
      </c>
      <c r="B653" s="124">
        <v>306.62799999999999</v>
      </c>
      <c r="C653" s="128">
        <v>7150</v>
      </c>
      <c r="D653" s="125">
        <v>304.27300000000002</v>
      </c>
      <c r="E653" s="126">
        <v>7140</v>
      </c>
      <c r="F653" s="125">
        <v>706.67399999999998</v>
      </c>
      <c r="G653" s="127">
        <v>7140</v>
      </c>
      <c r="H653" s="125">
        <v>706.673</v>
      </c>
      <c r="I653" s="127">
        <v>7140</v>
      </c>
      <c r="J653" s="125">
        <v>628.51400000000001</v>
      </c>
      <c r="K653" s="127">
        <v>7140</v>
      </c>
      <c r="L653" s="125">
        <v>627.98400000000004</v>
      </c>
      <c r="M653" s="127">
        <v>7140</v>
      </c>
      <c r="N653" s="125">
        <v>628.35699999999997</v>
      </c>
      <c r="O653" s="127">
        <v>7120</v>
      </c>
      <c r="P653" s="125">
        <v>629.45699999999999</v>
      </c>
      <c r="Q653" s="127">
        <v>7140</v>
      </c>
      <c r="R653" s="125">
        <v>629.08399999999995</v>
      </c>
      <c r="S653" s="127">
        <v>7140</v>
      </c>
      <c r="T653" s="125">
        <v>629.75199999999995</v>
      </c>
      <c r="U653" s="127">
        <v>7130</v>
      </c>
      <c r="V653" s="125">
        <v>629.17399999999998</v>
      </c>
      <c r="W653" s="127">
        <v>7140</v>
      </c>
      <c r="X653" s="125">
        <v>628.69299999999998</v>
      </c>
      <c r="Y653" s="127">
        <v>7140</v>
      </c>
      <c r="Z653" s="125">
        <v>627.08100000000002</v>
      </c>
      <c r="AA653" s="127">
        <v>7140</v>
      </c>
      <c r="AB653" s="125">
        <v>627.28</v>
      </c>
      <c r="AC653" s="127">
        <v>7130</v>
      </c>
      <c r="AD653" s="125">
        <v>551.10199999999998</v>
      </c>
      <c r="AE653" s="127">
        <v>7140</v>
      </c>
      <c r="AF653" s="125">
        <v>552.67899999999997</v>
      </c>
      <c r="AG653" s="127">
        <v>7120</v>
      </c>
      <c r="AH653" s="125">
        <v>138.774</v>
      </c>
      <c r="AI653" s="127">
        <v>7120</v>
      </c>
      <c r="AJ653" s="125">
        <v>146.19</v>
      </c>
    </row>
    <row r="654" spans="1:36" ht="14.25">
      <c r="A654" s="128">
        <v>7150</v>
      </c>
      <c r="B654" s="124">
        <v>305.88299999999998</v>
      </c>
      <c r="C654" s="128">
        <v>7160</v>
      </c>
      <c r="D654" s="125">
        <v>303.53300000000002</v>
      </c>
      <c r="E654" s="126">
        <v>7150</v>
      </c>
      <c r="F654" s="125">
        <v>705.20299999999997</v>
      </c>
      <c r="G654" s="127">
        <v>7150</v>
      </c>
      <c r="H654" s="125">
        <v>705.20299999999997</v>
      </c>
      <c r="I654" s="127">
        <v>7150</v>
      </c>
      <c r="J654" s="125">
        <v>627.30200000000002</v>
      </c>
      <c r="K654" s="127">
        <v>7150</v>
      </c>
      <c r="L654" s="125">
        <v>626.77</v>
      </c>
      <c r="M654" s="127">
        <v>7150</v>
      </c>
      <c r="N654" s="125">
        <v>627.14499999999998</v>
      </c>
      <c r="O654" s="127">
        <v>7130</v>
      </c>
      <c r="P654" s="125">
        <v>628.24400000000003</v>
      </c>
      <c r="Q654" s="127">
        <v>7150</v>
      </c>
      <c r="R654" s="125">
        <v>627.87199999999996</v>
      </c>
      <c r="S654" s="127">
        <v>7150</v>
      </c>
      <c r="T654" s="125">
        <v>628.54</v>
      </c>
      <c r="U654" s="127">
        <v>7140</v>
      </c>
      <c r="V654" s="125">
        <v>627.96400000000006</v>
      </c>
      <c r="W654" s="127">
        <v>7150</v>
      </c>
      <c r="X654" s="125">
        <v>627.48199999999997</v>
      </c>
      <c r="Y654" s="127">
        <v>7150</v>
      </c>
      <c r="Z654" s="125">
        <v>625.86900000000003</v>
      </c>
      <c r="AA654" s="127">
        <v>7150</v>
      </c>
      <c r="AB654" s="125">
        <v>626.07000000000005</v>
      </c>
      <c r="AC654" s="127">
        <v>7140</v>
      </c>
      <c r="AD654" s="125">
        <v>549.89200000000005</v>
      </c>
      <c r="AE654" s="127">
        <v>7150</v>
      </c>
      <c r="AF654" s="125">
        <v>551.47</v>
      </c>
      <c r="AG654" s="127">
        <v>7130</v>
      </c>
      <c r="AH654" s="125">
        <v>138.39699999999999</v>
      </c>
      <c r="AI654" s="127">
        <v>7130</v>
      </c>
      <c r="AJ654" s="125">
        <v>145.79900000000001</v>
      </c>
    </row>
    <row r="655" spans="1:36" ht="14.25">
      <c r="A655" s="128">
        <v>7160</v>
      </c>
      <c r="B655" s="124">
        <v>305.13799999999998</v>
      </c>
      <c r="C655" s="128">
        <v>7170</v>
      </c>
      <c r="D655" s="125">
        <v>302.79300000000001</v>
      </c>
      <c r="E655" s="126">
        <v>7160</v>
      </c>
      <c r="F655" s="125">
        <v>703.73199999999997</v>
      </c>
      <c r="G655" s="127">
        <v>7160</v>
      </c>
      <c r="H655" s="125">
        <v>703.73299999999995</v>
      </c>
      <c r="I655" s="127">
        <v>7160</v>
      </c>
      <c r="J655" s="125">
        <v>626.09</v>
      </c>
      <c r="K655" s="127">
        <v>7160</v>
      </c>
      <c r="L655" s="125">
        <v>625.55700000000002</v>
      </c>
      <c r="M655" s="127">
        <v>7160</v>
      </c>
      <c r="N655" s="125">
        <v>625.93299999999999</v>
      </c>
      <c r="O655" s="127">
        <v>7140</v>
      </c>
      <c r="P655" s="125">
        <v>627.03099999999995</v>
      </c>
      <c r="Q655" s="127">
        <v>7160</v>
      </c>
      <c r="R655" s="125">
        <v>626.66</v>
      </c>
      <c r="S655" s="127">
        <v>7160</v>
      </c>
      <c r="T655" s="125">
        <v>627.327</v>
      </c>
      <c r="U655" s="127">
        <v>7150</v>
      </c>
      <c r="V655" s="125">
        <v>626.75400000000002</v>
      </c>
      <c r="W655" s="127">
        <v>7160</v>
      </c>
      <c r="X655" s="125">
        <v>626.27099999999996</v>
      </c>
      <c r="Y655" s="127">
        <v>7160</v>
      </c>
      <c r="Z655" s="125">
        <v>624.65800000000002</v>
      </c>
      <c r="AA655" s="127">
        <v>7160</v>
      </c>
      <c r="AB655" s="125">
        <v>624.86</v>
      </c>
      <c r="AC655" s="127">
        <v>7150</v>
      </c>
      <c r="AD655" s="125">
        <v>548.68200000000002</v>
      </c>
      <c r="AE655" s="127">
        <v>7160</v>
      </c>
      <c r="AF655" s="125">
        <v>550.26</v>
      </c>
      <c r="AG655" s="127">
        <v>7140</v>
      </c>
      <c r="AH655" s="125">
        <v>138.02099999999999</v>
      </c>
      <c r="AI655" s="127">
        <v>7140</v>
      </c>
      <c r="AJ655" s="125">
        <v>145.40799999999999</v>
      </c>
    </row>
    <row r="656" spans="1:36" ht="14.25">
      <c r="A656" s="128">
        <v>7170</v>
      </c>
      <c r="B656" s="124">
        <v>304.39400000000001</v>
      </c>
      <c r="C656" s="128">
        <v>7180</v>
      </c>
      <c r="D656" s="125">
        <v>302.053</v>
      </c>
      <c r="E656" s="126">
        <v>7170</v>
      </c>
      <c r="F656" s="125">
        <v>702.26199999999994</v>
      </c>
      <c r="G656" s="127">
        <v>7170</v>
      </c>
      <c r="H656" s="125">
        <v>702.26400000000001</v>
      </c>
      <c r="I656" s="127">
        <v>7170</v>
      </c>
      <c r="J656" s="125">
        <v>624.87699999999995</v>
      </c>
      <c r="K656" s="127">
        <v>7170</v>
      </c>
      <c r="L656" s="125">
        <v>624.34299999999996</v>
      </c>
      <c r="M656" s="127">
        <v>7170</v>
      </c>
      <c r="N656" s="125">
        <v>624.72</v>
      </c>
      <c r="O656" s="127">
        <v>7150</v>
      </c>
      <c r="P656" s="125">
        <v>625.81899999999996</v>
      </c>
      <c r="Q656" s="127">
        <v>7170</v>
      </c>
      <c r="R656" s="125">
        <v>625.447</v>
      </c>
      <c r="S656" s="127">
        <v>7170</v>
      </c>
      <c r="T656" s="125">
        <v>626.11500000000001</v>
      </c>
      <c r="U656" s="127">
        <v>7160</v>
      </c>
      <c r="V656" s="125">
        <v>625.54399999999998</v>
      </c>
      <c r="W656" s="127">
        <v>7170</v>
      </c>
      <c r="X656" s="125">
        <v>625.05999999999995</v>
      </c>
      <c r="Y656" s="127">
        <v>7170</v>
      </c>
      <c r="Z656" s="125">
        <v>623.447</v>
      </c>
      <c r="AA656" s="127">
        <v>7170</v>
      </c>
      <c r="AB656" s="125">
        <v>623.65</v>
      </c>
      <c r="AC656" s="127">
        <v>7160</v>
      </c>
      <c r="AD656" s="125">
        <v>547.47199999999998</v>
      </c>
      <c r="AE656" s="127">
        <v>7170</v>
      </c>
      <c r="AF656" s="125">
        <v>549.04999999999995</v>
      </c>
      <c r="AG656" s="127">
        <v>7150</v>
      </c>
      <c r="AH656" s="125">
        <v>137.64400000000001</v>
      </c>
      <c r="AI656" s="127">
        <v>7150</v>
      </c>
      <c r="AJ656" s="125">
        <v>145.017</v>
      </c>
    </row>
    <row r="657" spans="1:36" ht="14.25">
      <c r="A657" s="128">
        <v>7180</v>
      </c>
      <c r="B657" s="124">
        <v>303.64999999999998</v>
      </c>
      <c r="C657" s="128">
        <v>7190</v>
      </c>
      <c r="D657" s="125">
        <v>301.31299999999999</v>
      </c>
      <c r="E657" s="126">
        <v>7180</v>
      </c>
      <c r="F657" s="125">
        <v>700.79100000000005</v>
      </c>
      <c r="G657" s="127">
        <v>7180</v>
      </c>
      <c r="H657" s="125">
        <v>700.79399999999998</v>
      </c>
      <c r="I657" s="127">
        <v>7180</v>
      </c>
      <c r="J657" s="125">
        <v>623.66499999999996</v>
      </c>
      <c r="K657" s="127">
        <v>7180</v>
      </c>
      <c r="L657" s="125">
        <v>623.13</v>
      </c>
      <c r="M657" s="127">
        <v>7180</v>
      </c>
      <c r="N657" s="125">
        <v>623.50800000000004</v>
      </c>
      <c r="O657" s="127">
        <v>7160</v>
      </c>
      <c r="P657" s="125">
        <v>624.60599999999999</v>
      </c>
      <c r="Q657" s="127">
        <v>7180</v>
      </c>
      <c r="R657" s="125">
        <v>624.23500000000001</v>
      </c>
      <c r="S657" s="127">
        <v>7180</v>
      </c>
      <c r="T657" s="125">
        <v>624.90300000000002</v>
      </c>
      <c r="U657" s="127">
        <v>7170</v>
      </c>
      <c r="V657" s="125">
        <v>624.33399999999995</v>
      </c>
      <c r="W657" s="127">
        <v>7180</v>
      </c>
      <c r="X657" s="125">
        <v>623.84900000000005</v>
      </c>
      <c r="Y657" s="127">
        <v>7180</v>
      </c>
      <c r="Z657" s="125">
        <v>622.23599999999999</v>
      </c>
      <c r="AA657" s="127">
        <v>7180</v>
      </c>
      <c r="AB657" s="125">
        <v>622.44000000000005</v>
      </c>
      <c r="AC657" s="127">
        <v>7170</v>
      </c>
      <c r="AD657" s="125">
        <v>546.26099999999997</v>
      </c>
      <c r="AE657" s="127">
        <v>7180</v>
      </c>
      <c r="AF657" s="125">
        <v>547.84100000000001</v>
      </c>
      <c r="AG657" s="127">
        <v>7160</v>
      </c>
      <c r="AH657" s="125">
        <v>137.268</v>
      </c>
      <c r="AI657" s="127">
        <v>7160</v>
      </c>
      <c r="AJ657" s="125">
        <v>144.62700000000001</v>
      </c>
    </row>
    <row r="658" spans="1:36" ht="14.25">
      <c r="A658" s="128">
        <v>7190</v>
      </c>
      <c r="B658" s="124">
        <v>302.90600000000001</v>
      </c>
      <c r="C658" s="128">
        <v>7200</v>
      </c>
      <c r="D658" s="125">
        <v>300.57400000000001</v>
      </c>
      <c r="E658" s="126">
        <v>7190</v>
      </c>
      <c r="F658" s="125">
        <v>699.32</v>
      </c>
      <c r="G658" s="127">
        <v>7190</v>
      </c>
      <c r="H658" s="125">
        <v>699.32500000000005</v>
      </c>
      <c r="I658" s="127">
        <v>7190</v>
      </c>
      <c r="J658" s="125">
        <v>622.45299999999997</v>
      </c>
      <c r="K658" s="127">
        <v>7190</v>
      </c>
      <c r="L658" s="125">
        <v>621.91600000000005</v>
      </c>
      <c r="M658" s="127">
        <v>7190</v>
      </c>
      <c r="N658" s="125">
        <v>622.29600000000005</v>
      </c>
      <c r="O658" s="127">
        <v>7170</v>
      </c>
      <c r="P658" s="125">
        <v>623.39400000000001</v>
      </c>
      <c r="Q658" s="127">
        <v>7190</v>
      </c>
      <c r="R658" s="125">
        <v>623.02300000000002</v>
      </c>
      <c r="S658" s="127">
        <v>7190</v>
      </c>
      <c r="T658" s="125">
        <v>623.69100000000003</v>
      </c>
      <c r="U658" s="127">
        <v>7180</v>
      </c>
      <c r="V658" s="125">
        <v>623.12300000000005</v>
      </c>
      <c r="W658" s="127">
        <v>7190</v>
      </c>
      <c r="X658" s="125">
        <v>622.63800000000003</v>
      </c>
      <c r="Y658" s="127">
        <v>7190</v>
      </c>
      <c r="Z658" s="125">
        <v>621.02499999999998</v>
      </c>
      <c r="AA658" s="127">
        <v>7190</v>
      </c>
      <c r="AB658" s="125">
        <v>621.23</v>
      </c>
      <c r="AC658" s="127">
        <v>7180</v>
      </c>
      <c r="AD658" s="125">
        <v>545.05100000000004</v>
      </c>
      <c r="AE658" s="127">
        <v>7190</v>
      </c>
      <c r="AF658" s="125">
        <v>546.63099999999997</v>
      </c>
      <c r="AG658" s="127">
        <v>7170</v>
      </c>
      <c r="AH658" s="125">
        <v>136.892</v>
      </c>
      <c r="AI658" s="127">
        <v>7170</v>
      </c>
      <c r="AJ658" s="125">
        <v>144.23599999999999</v>
      </c>
    </row>
    <row r="659" spans="1:36" ht="14.25">
      <c r="A659" s="128">
        <v>7200</v>
      </c>
      <c r="B659" s="124">
        <v>302.16199999999998</v>
      </c>
      <c r="C659" s="128">
        <v>7210</v>
      </c>
      <c r="D659" s="125">
        <v>299.83499999999998</v>
      </c>
      <c r="E659" s="126">
        <v>7200</v>
      </c>
      <c r="F659" s="125">
        <v>697.85</v>
      </c>
      <c r="G659" s="127">
        <v>7200</v>
      </c>
      <c r="H659" s="125">
        <v>697.85599999999999</v>
      </c>
      <c r="I659" s="127">
        <v>7200</v>
      </c>
      <c r="J659" s="125">
        <v>621.24</v>
      </c>
      <c r="K659" s="127">
        <v>7200</v>
      </c>
      <c r="L659" s="125">
        <v>620.70299999999997</v>
      </c>
      <c r="M659" s="127">
        <v>7200</v>
      </c>
      <c r="N659" s="125">
        <v>621.08299999999997</v>
      </c>
      <c r="O659" s="127">
        <v>7180</v>
      </c>
      <c r="P659" s="125">
        <v>622.18100000000004</v>
      </c>
      <c r="Q659" s="127">
        <v>7200</v>
      </c>
      <c r="R659" s="125">
        <v>621.80999999999995</v>
      </c>
      <c r="S659" s="127">
        <v>7200</v>
      </c>
      <c r="T659" s="125">
        <v>622.47900000000004</v>
      </c>
      <c r="U659" s="127">
        <v>7190</v>
      </c>
      <c r="V659" s="125">
        <v>621.91300000000001</v>
      </c>
      <c r="W659" s="127">
        <v>7200</v>
      </c>
      <c r="X659" s="125">
        <v>621.42700000000002</v>
      </c>
      <c r="Y659" s="127">
        <v>7200</v>
      </c>
      <c r="Z659" s="125">
        <v>619.81399999999996</v>
      </c>
      <c r="AA659" s="127">
        <v>7200</v>
      </c>
      <c r="AB659" s="125">
        <v>620.02</v>
      </c>
      <c r="AC659" s="127">
        <v>7190</v>
      </c>
      <c r="AD659" s="125">
        <v>543.84100000000001</v>
      </c>
      <c r="AE659" s="127">
        <v>7200</v>
      </c>
      <c r="AF659" s="125">
        <v>545.42100000000005</v>
      </c>
      <c r="AG659" s="127">
        <v>7180</v>
      </c>
      <c r="AH659" s="125">
        <v>136.51599999999999</v>
      </c>
      <c r="AI659" s="127">
        <v>7180</v>
      </c>
      <c r="AJ659" s="125">
        <v>143.846</v>
      </c>
    </row>
    <row r="660" spans="1:36" ht="14.25">
      <c r="A660" s="128">
        <v>7210</v>
      </c>
      <c r="B660" s="124">
        <v>301.41899999999998</v>
      </c>
      <c r="C660" s="128">
        <v>7220</v>
      </c>
      <c r="D660" s="125">
        <v>299.096</v>
      </c>
      <c r="E660" s="126">
        <v>7210</v>
      </c>
      <c r="F660" s="125">
        <v>696.37900000000002</v>
      </c>
      <c r="G660" s="127">
        <v>7210</v>
      </c>
      <c r="H660" s="125">
        <v>696.38599999999997</v>
      </c>
      <c r="I660" s="127">
        <v>7210</v>
      </c>
      <c r="J660" s="125">
        <v>620.02800000000002</v>
      </c>
      <c r="K660" s="127">
        <v>7210</v>
      </c>
      <c r="L660" s="125">
        <v>619.48900000000003</v>
      </c>
      <c r="M660" s="127">
        <v>7210</v>
      </c>
      <c r="N660" s="125">
        <v>619.87099999999998</v>
      </c>
      <c r="O660" s="127">
        <v>7190</v>
      </c>
      <c r="P660" s="125">
        <v>620.96900000000005</v>
      </c>
      <c r="Q660" s="127">
        <v>7210</v>
      </c>
      <c r="R660" s="125">
        <v>620.59799999999996</v>
      </c>
      <c r="S660" s="127">
        <v>7210</v>
      </c>
      <c r="T660" s="125">
        <v>621.26700000000005</v>
      </c>
      <c r="U660" s="127">
        <v>7200</v>
      </c>
      <c r="V660" s="125">
        <v>620.70299999999997</v>
      </c>
      <c r="W660" s="127">
        <v>7210</v>
      </c>
      <c r="X660" s="125">
        <v>620.21600000000001</v>
      </c>
      <c r="Y660" s="127">
        <v>7210</v>
      </c>
      <c r="Z660" s="125">
        <v>618.60199999999998</v>
      </c>
      <c r="AA660" s="127">
        <v>7210</v>
      </c>
      <c r="AB660" s="125">
        <v>618.80999999999995</v>
      </c>
      <c r="AC660" s="127">
        <v>7200</v>
      </c>
      <c r="AD660" s="125">
        <v>542.63099999999997</v>
      </c>
      <c r="AE660" s="127">
        <v>7210</v>
      </c>
      <c r="AF660" s="125">
        <v>544.21100000000001</v>
      </c>
      <c r="AG660" s="127">
        <v>7190</v>
      </c>
      <c r="AH660" s="125">
        <v>136.13999999999999</v>
      </c>
      <c r="AI660" s="127">
        <v>7190</v>
      </c>
      <c r="AJ660" s="125">
        <v>143.45599999999999</v>
      </c>
    </row>
    <row r="661" spans="1:36" ht="14.25">
      <c r="A661" s="128">
        <v>7220</v>
      </c>
      <c r="B661" s="124">
        <v>300.67500000000001</v>
      </c>
      <c r="C661" s="128">
        <v>7230</v>
      </c>
      <c r="D661" s="125">
        <v>298.35700000000003</v>
      </c>
      <c r="E661" s="126">
        <v>7220</v>
      </c>
      <c r="F661" s="125">
        <v>694.90899999999999</v>
      </c>
      <c r="G661" s="127">
        <v>7220</v>
      </c>
      <c r="H661" s="125">
        <v>694.91700000000003</v>
      </c>
      <c r="I661" s="127">
        <v>7220</v>
      </c>
      <c r="J661" s="125">
        <v>618.81600000000003</v>
      </c>
      <c r="K661" s="127">
        <v>7220</v>
      </c>
      <c r="L661" s="125">
        <v>618.27499999999998</v>
      </c>
      <c r="M661" s="127">
        <v>7220</v>
      </c>
      <c r="N661" s="125">
        <v>618.65899999999999</v>
      </c>
      <c r="O661" s="127">
        <v>7200</v>
      </c>
      <c r="P661" s="125">
        <v>619.75599999999997</v>
      </c>
      <c r="Q661" s="127">
        <v>7220</v>
      </c>
      <c r="R661" s="125">
        <v>619.38599999999997</v>
      </c>
      <c r="S661" s="127">
        <v>7220</v>
      </c>
      <c r="T661" s="125">
        <v>620.05399999999997</v>
      </c>
      <c r="U661" s="127">
        <v>7210</v>
      </c>
      <c r="V661" s="125">
        <v>619.49300000000005</v>
      </c>
      <c r="W661" s="127">
        <v>7220</v>
      </c>
      <c r="X661" s="125">
        <v>619.005</v>
      </c>
      <c r="Y661" s="127">
        <v>7220</v>
      </c>
      <c r="Z661" s="125">
        <v>617.39099999999996</v>
      </c>
      <c r="AA661" s="127">
        <v>7220</v>
      </c>
      <c r="AB661" s="125">
        <v>617.6</v>
      </c>
      <c r="AC661" s="127">
        <v>7210</v>
      </c>
      <c r="AD661" s="125">
        <v>541.42100000000005</v>
      </c>
      <c r="AE661" s="127">
        <v>7220</v>
      </c>
      <c r="AF661" s="125">
        <v>543.00199999999995</v>
      </c>
      <c r="AG661" s="127">
        <v>7200</v>
      </c>
      <c r="AH661" s="125">
        <v>135.76400000000001</v>
      </c>
      <c r="AI661" s="127">
        <v>7200</v>
      </c>
      <c r="AJ661" s="125">
        <v>143.066</v>
      </c>
    </row>
    <row r="662" spans="1:36" ht="14.25">
      <c r="A662" s="128">
        <v>7230</v>
      </c>
      <c r="B662" s="124">
        <v>299.93200000000002</v>
      </c>
      <c r="C662" s="128">
        <v>7240</v>
      </c>
      <c r="D662" s="125">
        <v>297.61799999999999</v>
      </c>
      <c r="E662" s="126">
        <v>7230</v>
      </c>
      <c r="F662" s="125">
        <v>693.43899999999996</v>
      </c>
      <c r="G662" s="127">
        <v>7230</v>
      </c>
      <c r="H662" s="125">
        <v>693.44799999999998</v>
      </c>
      <c r="I662" s="127">
        <v>7230</v>
      </c>
      <c r="J662" s="125">
        <v>617.60400000000004</v>
      </c>
      <c r="K662" s="127">
        <v>7230</v>
      </c>
      <c r="L662" s="125">
        <v>617.06200000000001</v>
      </c>
      <c r="M662" s="127">
        <v>7230</v>
      </c>
      <c r="N662" s="125">
        <v>617.44600000000003</v>
      </c>
      <c r="O662" s="127">
        <v>7210</v>
      </c>
      <c r="P662" s="125">
        <v>618.54300000000001</v>
      </c>
      <c r="Q662" s="127">
        <v>7230</v>
      </c>
      <c r="R662" s="125">
        <v>618.173</v>
      </c>
      <c r="S662" s="127">
        <v>7230</v>
      </c>
      <c r="T662" s="125">
        <v>618.84199999999998</v>
      </c>
      <c r="U662" s="127">
        <v>7220</v>
      </c>
      <c r="V662" s="125">
        <v>618.28300000000002</v>
      </c>
      <c r="W662" s="127">
        <v>7230</v>
      </c>
      <c r="X662" s="125">
        <v>617.79399999999998</v>
      </c>
      <c r="Y662" s="127">
        <v>7230</v>
      </c>
      <c r="Z662" s="125">
        <v>616.17999999999995</v>
      </c>
      <c r="AA662" s="127">
        <v>7230</v>
      </c>
      <c r="AB662" s="125">
        <v>616.39</v>
      </c>
      <c r="AC662" s="127">
        <v>7220</v>
      </c>
      <c r="AD662" s="125">
        <v>540.21100000000001</v>
      </c>
      <c r="AE662" s="127">
        <v>7230</v>
      </c>
      <c r="AF662" s="125">
        <v>541.79200000000003</v>
      </c>
      <c r="AG662" s="127">
        <v>7210</v>
      </c>
      <c r="AH662" s="125">
        <v>135.38900000000001</v>
      </c>
      <c r="AI662" s="127">
        <v>7210</v>
      </c>
      <c r="AJ662" s="125">
        <v>142.67599999999999</v>
      </c>
    </row>
    <row r="663" spans="1:36" ht="14.25">
      <c r="A663" s="128">
        <v>7240</v>
      </c>
      <c r="B663" s="124">
        <v>299.19</v>
      </c>
      <c r="C663" s="128">
        <v>7250</v>
      </c>
      <c r="D663" s="125">
        <v>296.88</v>
      </c>
      <c r="E663" s="126">
        <v>7240</v>
      </c>
      <c r="F663" s="125">
        <v>691.96900000000005</v>
      </c>
      <c r="G663" s="127">
        <v>7240</v>
      </c>
      <c r="H663" s="125">
        <v>691.97900000000004</v>
      </c>
      <c r="I663" s="127">
        <v>7240</v>
      </c>
      <c r="J663" s="125">
        <v>616.39099999999996</v>
      </c>
      <c r="K663" s="127">
        <v>7240</v>
      </c>
      <c r="L663" s="125">
        <v>615.84799999999996</v>
      </c>
      <c r="M663" s="127">
        <v>7240</v>
      </c>
      <c r="N663" s="125">
        <v>616.23400000000004</v>
      </c>
      <c r="O663" s="127">
        <v>7220</v>
      </c>
      <c r="P663" s="125">
        <v>617.33100000000002</v>
      </c>
      <c r="Q663" s="127">
        <v>7240</v>
      </c>
      <c r="R663" s="125">
        <v>616.96100000000001</v>
      </c>
      <c r="S663" s="127">
        <v>7240</v>
      </c>
      <c r="T663" s="125">
        <v>617.63</v>
      </c>
      <c r="U663" s="127">
        <v>7230</v>
      </c>
      <c r="V663" s="125">
        <v>617.07299999999998</v>
      </c>
      <c r="W663" s="127">
        <v>7240</v>
      </c>
      <c r="X663" s="125">
        <v>616.58299999999997</v>
      </c>
      <c r="Y663" s="127">
        <v>7240</v>
      </c>
      <c r="Z663" s="125">
        <v>614.96900000000005</v>
      </c>
      <c r="AA663" s="127">
        <v>7240</v>
      </c>
      <c r="AB663" s="125">
        <v>615.17999999999995</v>
      </c>
      <c r="AC663" s="127">
        <v>7230</v>
      </c>
      <c r="AD663" s="125">
        <v>539.00099999999998</v>
      </c>
      <c r="AE663" s="127">
        <v>7240</v>
      </c>
      <c r="AF663" s="125">
        <v>540.58299999999997</v>
      </c>
      <c r="AG663" s="127">
        <v>7220</v>
      </c>
      <c r="AH663" s="125">
        <v>135.01400000000001</v>
      </c>
      <c r="AI663" s="127">
        <v>7220</v>
      </c>
      <c r="AJ663" s="125">
        <v>142.286</v>
      </c>
    </row>
    <row r="664" spans="1:36" ht="14.25">
      <c r="A664" s="128">
        <v>7250</v>
      </c>
      <c r="B664" s="124">
        <v>298.447</v>
      </c>
      <c r="C664" s="128">
        <v>7260</v>
      </c>
      <c r="D664" s="125">
        <v>296.14100000000002</v>
      </c>
      <c r="E664" s="126">
        <v>7250</v>
      </c>
      <c r="F664" s="125">
        <v>690.49900000000002</v>
      </c>
      <c r="G664" s="127">
        <v>7250</v>
      </c>
      <c r="H664" s="125">
        <v>690.51</v>
      </c>
      <c r="I664" s="127">
        <v>7250</v>
      </c>
      <c r="J664" s="125">
        <v>615.17899999999997</v>
      </c>
      <c r="K664" s="127">
        <v>7250</v>
      </c>
      <c r="L664" s="125">
        <v>614.63499999999999</v>
      </c>
      <c r="M664" s="127">
        <v>7250</v>
      </c>
      <c r="N664" s="125">
        <v>615.02200000000005</v>
      </c>
      <c r="O664" s="127">
        <v>7230</v>
      </c>
      <c r="P664" s="125">
        <v>616.11800000000005</v>
      </c>
      <c r="Q664" s="127">
        <v>7250</v>
      </c>
      <c r="R664" s="125">
        <v>615.74800000000005</v>
      </c>
      <c r="S664" s="127">
        <v>7250</v>
      </c>
      <c r="T664" s="125">
        <v>616.41800000000001</v>
      </c>
      <c r="U664" s="127">
        <v>7240</v>
      </c>
      <c r="V664" s="125">
        <v>615.86300000000006</v>
      </c>
      <c r="W664" s="127">
        <v>7250</v>
      </c>
      <c r="X664" s="125">
        <v>615.37199999999996</v>
      </c>
      <c r="Y664" s="127">
        <v>7250</v>
      </c>
      <c r="Z664" s="125">
        <v>613.75800000000004</v>
      </c>
      <c r="AA664" s="127">
        <v>7250</v>
      </c>
      <c r="AB664" s="125">
        <v>613.97</v>
      </c>
      <c r="AC664" s="127">
        <v>7240</v>
      </c>
      <c r="AD664" s="125">
        <v>537.79100000000005</v>
      </c>
      <c r="AE664" s="127">
        <v>7250</v>
      </c>
      <c r="AF664" s="125">
        <v>539.37300000000005</v>
      </c>
      <c r="AG664" s="127">
        <v>7230</v>
      </c>
      <c r="AH664" s="125">
        <v>134.63800000000001</v>
      </c>
      <c r="AI664" s="127">
        <v>7230</v>
      </c>
      <c r="AJ664" s="125">
        <v>141.89599999999999</v>
      </c>
    </row>
    <row r="665" spans="1:36" ht="14.25">
      <c r="A665" s="128">
        <v>7260</v>
      </c>
      <c r="B665" s="124">
        <v>297.70400000000001</v>
      </c>
      <c r="C665" s="128">
        <v>7270</v>
      </c>
      <c r="D665" s="125">
        <v>295.40300000000002</v>
      </c>
      <c r="E665" s="126">
        <v>7260</v>
      </c>
      <c r="F665" s="125">
        <v>689.029</v>
      </c>
      <c r="G665" s="127">
        <v>7260</v>
      </c>
      <c r="H665" s="125">
        <v>689.04200000000003</v>
      </c>
      <c r="I665" s="127">
        <v>7260</v>
      </c>
      <c r="J665" s="125">
        <v>613.96699999999998</v>
      </c>
      <c r="K665" s="127">
        <v>7260</v>
      </c>
      <c r="L665" s="125">
        <v>613.42100000000005</v>
      </c>
      <c r="M665" s="127">
        <v>7260</v>
      </c>
      <c r="N665" s="125">
        <v>613.80999999999995</v>
      </c>
      <c r="O665" s="127">
        <v>7240</v>
      </c>
      <c r="P665" s="125">
        <v>614.90599999999995</v>
      </c>
      <c r="Q665" s="127">
        <v>7260</v>
      </c>
      <c r="R665" s="125">
        <v>614.53599999999994</v>
      </c>
      <c r="S665" s="127">
        <v>7260</v>
      </c>
      <c r="T665" s="125">
        <v>615.20600000000002</v>
      </c>
      <c r="U665" s="127">
        <v>7250</v>
      </c>
      <c r="V665" s="125">
        <v>614.65300000000002</v>
      </c>
      <c r="W665" s="127">
        <v>7260</v>
      </c>
      <c r="X665" s="125">
        <v>614.16099999999994</v>
      </c>
      <c r="Y665" s="127">
        <v>7260</v>
      </c>
      <c r="Z665" s="125">
        <v>612.54700000000003</v>
      </c>
      <c r="AA665" s="127">
        <v>7260</v>
      </c>
      <c r="AB665" s="125">
        <v>612.76</v>
      </c>
      <c r="AC665" s="127">
        <v>7250</v>
      </c>
      <c r="AD665" s="125">
        <v>536.58000000000004</v>
      </c>
      <c r="AE665" s="127">
        <v>7260</v>
      </c>
      <c r="AF665" s="125">
        <v>538.16399999999999</v>
      </c>
      <c r="AG665" s="127">
        <v>7240</v>
      </c>
      <c r="AH665" s="125">
        <v>134.26300000000001</v>
      </c>
      <c r="AI665" s="127">
        <v>7240</v>
      </c>
      <c r="AJ665" s="125">
        <v>141.50700000000001</v>
      </c>
    </row>
    <row r="666" spans="1:36" ht="14.25">
      <c r="A666" s="128">
        <v>7270</v>
      </c>
      <c r="B666" s="124">
        <v>296.96199999999999</v>
      </c>
      <c r="C666" s="128">
        <v>7280</v>
      </c>
      <c r="D666" s="125">
        <v>294.66500000000002</v>
      </c>
      <c r="E666" s="126">
        <v>7270</v>
      </c>
      <c r="F666" s="125">
        <v>687.56</v>
      </c>
      <c r="G666" s="127">
        <v>7270</v>
      </c>
      <c r="H666" s="125">
        <v>687.57299999999998</v>
      </c>
      <c r="I666" s="127">
        <v>7270</v>
      </c>
      <c r="J666" s="125">
        <v>612.75400000000002</v>
      </c>
      <c r="K666" s="127">
        <v>7270</v>
      </c>
      <c r="L666" s="125">
        <v>612.20799999999997</v>
      </c>
      <c r="M666" s="127">
        <v>7270</v>
      </c>
      <c r="N666" s="125">
        <v>612.59699999999998</v>
      </c>
      <c r="O666" s="127">
        <v>7250</v>
      </c>
      <c r="P666" s="125">
        <v>613.69299999999998</v>
      </c>
      <c r="Q666" s="127">
        <v>7270</v>
      </c>
      <c r="R666" s="125">
        <v>613.32399999999996</v>
      </c>
      <c r="S666" s="127">
        <v>7270</v>
      </c>
      <c r="T666" s="125">
        <v>613.99400000000003</v>
      </c>
      <c r="U666" s="127">
        <v>7260</v>
      </c>
      <c r="V666" s="125">
        <v>613.44200000000001</v>
      </c>
      <c r="W666" s="127">
        <v>7270</v>
      </c>
      <c r="X666" s="125">
        <v>612.95000000000005</v>
      </c>
      <c r="Y666" s="127">
        <v>7270</v>
      </c>
      <c r="Z666" s="125">
        <v>611.33600000000001</v>
      </c>
      <c r="AA666" s="127">
        <v>7270</v>
      </c>
      <c r="AB666" s="125">
        <v>611.54999999999995</v>
      </c>
      <c r="AC666" s="127">
        <v>7260</v>
      </c>
      <c r="AD666" s="125">
        <v>535.37</v>
      </c>
      <c r="AE666" s="127">
        <v>7270</v>
      </c>
      <c r="AF666" s="125">
        <v>536.95399999999995</v>
      </c>
      <c r="AG666" s="127">
        <v>7250</v>
      </c>
      <c r="AH666" s="125">
        <v>133.88900000000001</v>
      </c>
      <c r="AI666" s="127">
        <v>7250</v>
      </c>
      <c r="AJ666" s="125">
        <v>141.11799999999999</v>
      </c>
    </row>
    <row r="667" spans="1:36" ht="14.25">
      <c r="A667" s="128">
        <v>7280</v>
      </c>
      <c r="B667" s="124">
        <v>296.22000000000003</v>
      </c>
      <c r="C667" s="128">
        <v>7290</v>
      </c>
      <c r="D667" s="125">
        <v>293.928</v>
      </c>
      <c r="E667" s="126">
        <v>7280</v>
      </c>
      <c r="F667" s="125">
        <v>686.09</v>
      </c>
      <c r="G667" s="127">
        <v>7280</v>
      </c>
      <c r="H667" s="125">
        <v>686.10500000000002</v>
      </c>
      <c r="I667" s="127">
        <v>7280</v>
      </c>
      <c r="J667" s="125">
        <v>611.54200000000003</v>
      </c>
      <c r="K667" s="127">
        <v>7280</v>
      </c>
      <c r="L667" s="125">
        <v>610.99400000000003</v>
      </c>
      <c r="M667" s="127">
        <v>7280</v>
      </c>
      <c r="N667" s="125">
        <v>611.38499999999999</v>
      </c>
      <c r="O667" s="127">
        <v>7260</v>
      </c>
      <c r="P667" s="125">
        <v>612.48099999999999</v>
      </c>
      <c r="Q667" s="127">
        <v>7280</v>
      </c>
      <c r="R667" s="125">
        <v>612.11199999999997</v>
      </c>
      <c r="S667" s="127">
        <v>7280</v>
      </c>
      <c r="T667" s="125">
        <v>612.78099999999995</v>
      </c>
      <c r="U667" s="127">
        <v>7270</v>
      </c>
      <c r="V667" s="125">
        <v>612.23199999999997</v>
      </c>
      <c r="W667" s="127">
        <v>7280</v>
      </c>
      <c r="X667" s="125">
        <v>611.73900000000003</v>
      </c>
      <c r="Y667" s="127">
        <v>7280</v>
      </c>
      <c r="Z667" s="125">
        <v>610.125</v>
      </c>
      <c r="AA667" s="127">
        <v>7280</v>
      </c>
      <c r="AB667" s="125">
        <v>610.34</v>
      </c>
      <c r="AC667" s="127">
        <v>7270</v>
      </c>
      <c r="AD667" s="125">
        <v>534.16</v>
      </c>
      <c r="AE667" s="127">
        <v>7280</v>
      </c>
      <c r="AF667" s="125">
        <v>535.74400000000003</v>
      </c>
      <c r="AG667" s="127">
        <v>7260</v>
      </c>
      <c r="AH667" s="125">
        <v>133.51400000000001</v>
      </c>
      <c r="AI667" s="127">
        <v>7260</v>
      </c>
      <c r="AJ667" s="125">
        <v>140.72900000000001</v>
      </c>
    </row>
    <row r="668" spans="1:36" ht="14.25">
      <c r="A668" s="128">
        <v>7290</v>
      </c>
      <c r="B668" s="124">
        <v>295.47800000000001</v>
      </c>
      <c r="C668" s="128">
        <v>7300</v>
      </c>
      <c r="D668" s="125">
        <v>293.19</v>
      </c>
      <c r="E668" s="126">
        <v>7290</v>
      </c>
      <c r="F668" s="125">
        <v>684.62099999999998</v>
      </c>
      <c r="G668" s="127">
        <v>7290</v>
      </c>
      <c r="H668" s="125">
        <v>684.63599999999997</v>
      </c>
      <c r="I668" s="127">
        <v>7290</v>
      </c>
      <c r="J668" s="125">
        <v>610.33000000000004</v>
      </c>
      <c r="K668" s="127">
        <v>7290</v>
      </c>
      <c r="L668" s="125">
        <v>609.78099999999995</v>
      </c>
      <c r="M668" s="127">
        <v>7290</v>
      </c>
      <c r="N668" s="125">
        <v>610.173</v>
      </c>
      <c r="O668" s="127">
        <v>7270</v>
      </c>
      <c r="P668" s="125">
        <v>611.26800000000003</v>
      </c>
      <c r="Q668" s="127">
        <v>7290</v>
      </c>
      <c r="R668" s="125">
        <v>610.899</v>
      </c>
      <c r="S668" s="127">
        <v>7290</v>
      </c>
      <c r="T668" s="125">
        <v>611.56899999999996</v>
      </c>
      <c r="U668" s="127">
        <v>7280</v>
      </c>
      <c r="V668" s="125">
        <v>611.02200000000005</v>
      </c>
      <c r="W668" s="127">
        <v>7290</v>
      </c>
      <c r="X668" s="125">
        <v>610.52800000000002</v>
      </c>
      <c r="Y668" s="127">
        <v>7290</v>
      </c>
      <c r="Z668" s="125">
        <v>608.91300000000001</v>
      </c>
      <c r="AA668" s="127">
        <v>7290</v>
      </c>
      <c r="AB668" s="125">
        <v>609.13</v>
      </c>
      <c r="AC668" s="127">
        <v>7280</v>
      </c>
      <c r="AD668" s="125">
        <v>532.95000000000005</v>
      </c>
      <c r="AE668" s="127">
        <v>7290</v>
      </c>
      <c r="AF668" s="125">
        <v>534.53499999999997</v>
      </c>
      <c r="AG668" s="127">
        <v>7270</v>
      </c>
      <c r="AH668" s="125">
        <v>133.13999999999999</v>
      </c>
      <c r="AI668" s="127">
        <v>7270</v>
      </c>
      <c r="AJ668" s="125">
        <v>140.34</v>
      </c>
    </row>
    <row r="669" spans="1:36" ht="14.25">
      <c r="A669" s="128">
        <v>7300</v>
      </c>
      <c r="B669" s="124">
        <v>294.73700000000002</v>
      </c>
      <c r="C669" s="128">
        <v>7310</v>
      </c>
      <c r="D669" s="125">
        <v>292.45299999999997</v>
      </c>
      <c r="E669" s="126">
        <v>7300</v>
      </c>
      <c r="F669" s="125">
        <v>683.15099999999995</v>
      </c>
      <c r="G669" s="127">
        <v>7300</v>
      </c>
      <c r="H669" s="125">
        <v>683.16800000000001</v>
      </c>
      <c r="I669" s="127">
        <v>7300</v>
      </c>
      <c r="J669" s="125">
        <v>609.11800000000005</v>
      </c>
      <c r="K669" s="127">
        <v>7300</v>
      </c>
      <c r="L669" s="125">
        <v>608.56700000000001</v>
      </c>
      <c r="M669" s="127">
        <v>7300</v>
      </c>
      <c r="N669" s="125">
        <v>608.96100000000001</v>
      </c>
      <c r="O669" s="127">
        <v>7280</v>
      </c>
      <c r="P669" s="125">
        <v>610.05600000000004</v>
      </c>
      <c r="Q669" s="127">
        <v>7300</v>
      </c>
      <c r="R669" s="125">
        <v>609.68700000000001</v>
      </c>
      <c r="S669" s="127">
        <v>7300</v>
      </c>
      <c r="T669" s="125">
        <v>610.35699999999997</v>
      </c>
      <c r="U669" s="127">
        <v>7290</v>
      </c>
      <c r="V669" s="125">
        <v>609.81200000000001</v>
      </c>
      <c r="W669" s="127">
        <v>7300</v>
      </c>
      <c r="X669" s="125">
        <v>609.31700000000001</v>
      </c>
      <c r="Y669" s="127">
        <v>7300</v>
      </c>
      <c r="Z669" s="125">
        <v>607.702</v>
      </c>
      <c r="AA669" s="127">
        <v>7300</v>
      </c>
      <c r="AB669" s="125">
        <v>607.91999999999996</v>
      </c>
      <c r="AC669" s="127">
        <v>7290</v>
      </c>
      <c r="AD669" s="125">
        <v>531.74099999999999</v>
      </c>
      <c r="AE669" s="127">
        <v>7300</v>
      </c>
      <c r="AF669" s="125">
        <v>533.32500000000005</v>
      </c>
      <c r="AG669" s="127">
        <v>7280</v>
      </c>
      <c r="AH669" s="125">
        <v>132.76599999999999</v>
      </c>
      <c r="AI669" s="127">
        <v>7280</v>
      </c>
      <c r="AJ669" s="125">
        <v>139.95099999999999</v>
      </c>
    </row>
    <row r="670" spans="1:36" ht="14.25">
      <c r="A670" s="128">
        <v>7310</v>
      </c>
      <c r="B670" s="124">
        <v>293.995</v>
      </c>
      <c r="C670" s="128">
        <v>7320</v>
      </c>
      <c r="D670" s="125">
        <v>291.71600000000001</v>
      </c>
      <c r="E670" s="126">
        <v>7310</v>
      </c>
      <c r="F670" s="125">
        <v>681.68200000000002</v>
      </c>
      <c r="G670" s="127">
        <v>7310</v>
      </c>
      <c r="H670" s="125">
        <v>681.7</v>
      </c>
      <c r="I670" s="127">
        <v>7310</v>
      </c>
      <c r="J670" s="125">
        <v>607.90499999999997</v>
      </c>
      <c r="K670" s="127">
        <v>7310</v>
      </c>
      <c r="L670" s="125">
        <v>607.35299999999995</v>
      </c>
      <c r="M670" s="127">
        <v>7310</v>
      </c>
      <c r="N670" s="125">
        <v>607.74800000000005</v>
      </c>
      <c r="O670" s="127">
        <v>7290</v>
      </c>
      <c r="P670" s="125">
        <v>608.84299999999996</v>
      </c>
      <c r="Q670" s="127">
        <v>7310</v>
      </c>
      <c r="R670" s="125">
        <v>608.47500000000002</v>
      </c>
      <c r="S670" s="127">
        <v>7310</v>
      </c>
      <c r="T670" s="125">
        <v>609.14499999999998</v>
      </c>
      <c r="U670" s="127">
        <v>7300</v>
      </c>
      <c r="V670" s="125">
        <v>608.60199999999998</v>
      </c>
      <c r="W670" s="127">
        <v>7310</v>
      </c>
      <c r="X670" s="125">
        <v>608.10599999999999</v>
      </c>
      <c r="Y670" s="127">
        <v>7310</v>
      </c>
      <c r="Z670" s="125">
        <v>606.49099999999999</v>
      </c>
      <c r="AA670" s="127">
        <v>7310</v>
      </c>
      <c r="AB670" s="125">
        <v>606.71</v>
      </c>
      <c r="AC670" s="127">
        <v>7300</v>
      </c>
      <c r="AD670" s="125">
        <v>530.53099999999995</v>
      </c>
      <c r="AE670" s="127">
        <v>7310</v>
      </c>
      <c r="AF670" s="125">
        <v>532.11599999999999</v>
      </c>
      <c r="AG670" s="127">
        <v>7290</v>
      </c>
      <c r="AH670" s="125">
        <v>132.392</v>
      </c>
      <c r="AI670" s="127">
        <v>7290</v>
      </c>
      <c r="AJ670" s="125">
        <v>139.56299999999999</v>
      </c>
    </row>
    <row r="671" spans="1:36" ht="14.25">
      <c r="A671" s="128">
        <v>7320</v>
      </c>
      <c r="B671" s="124">
        <v>293.25400000000002</v>
      </c>
      <c r="C671" s="128">
        <v>7330</v>
      </c>
      <c r="D671" s="125">
        <v>290.97899999999998</v>
      </c>
      <c r="E671" s="126">
        <v>7320</v>
      </c>
      <c r="F671" s="125">
        <v>680.21299999999997</v>
      </c>
      <c r="G671" s="127">
        <v>7320</v>
      </c>
      <c r="H671" s="125">
        <v>680.23199999999997</v>
      </c>
      <c r="I671" s="127">
        <v>7320</v>
      </c>
      <c r="J671" s="125">
        <v>606.69299999999998</v>
      </c>
      <c r="K671" s="127">
        <v>7320</v>
      </c>
      <c r="L671" s="125">
        <v>606.14</v>
      </c>
      <c r="M671" s="127">
        <v>7320</v>
      </c>
      <c r="N671" s="125">
        <v>606.53599999999994</v>
      </c>
      <c r="O671" s="127">
        <v>7300</v>
      </c>
      <c r="P671" s="125">
        <v>607.63099999999997</v>
      </c>
      <c r="Q671" s="127">
        <v>7320</v>
      </c>
      <c r="R671" s="125">
        <v>607.26199999999994</v>
      </c>
      <c r="S671" s="127">
        <v>7320</v>
      </c>
      <c r="T671" s="125">
        <v>607.93299999999999</v>
      </c>
      <c r="U671" s="127">
        <v>7310</v>
      </c>
      <c r="V671" s="125">
        <v>607.39200000000005</v>
      </c>
      <c r="W671" s="127">
        <v>7320</v>
      </c>
      <c r="X671" s="125">
        <v>606.89499999999998</v>
      </c>
      <c r="Y671" s="127">
        <v>7320</v>
      </c>
      <c r="Z671" s="125">
        <v>605.28</v>
      </c>
      <c r="AA671" s="127">
        <v>7320</v>
      </c>
      <c r="AB671" s="125">
        <v>605.5</v>
      </c>
      <c r="AC671" s="127">
        <v>7310</v>
      </c>
      <c r="AD671" s="125">
        <v>529.32100000000003</v>
      </c>
      <c r="AE671" s="127">
        <v>7320</v>
      </c>
      <c r="AF671" s="125">
        <v>530.90700000000004</v>
      </c>
      <c r="AG671" s="127">
        <v>7300</v>
      </c>
      <c r="AH671" s="125">
        <v>132.018</v>
      </c>
      <c r="AI671" s="127">
        <v>7300</v>
      </c>
      <c r="AJ671" s="125">
        <v>139.17500000000001</v>
      </c>
    </row>
    <row r="672" spans="1:36" ht="14.25">
      <c r="A672" s="128">
        <v>7330</v>
      </c>
      <c r="B672" s="124">
        <v>292.51299999999998</v>
      </c>
      <c r="C672" s="128">
        <v>7340</v>
      </c>
      <c r="D672" s="125">
        <v>290.24299999999999</v>
      </c>
      <c r="E672" s="126">
        <v>7330</v>
      </c>
      <c r="F672" s="125">
        <v>678.74400000000003</v>
      </c>
      <c r="G672" s="127">
        <v>7330</v>
      </c>
      <c r="H672" s="125">
        <v>678.76400000000001</v>
      </c>
      <c r="I672" s="127">
        <v>7330</v>
      </c>
      <c r="J672" s="125">
        <v>605.48099999999999</v>
      </c>
      <c r="K672" s="127">
        <v>7330</v>
      </c>
      <c r="L672" s="125">
        <v>604.92600000000004</v>
      </c>
      <c r="M672" s="127">
        <v>7330</v>
      </c>
      <c r="N672" s="125">
        <v>605.32399999999996</v>
      </c>
      <c r="O672" s="127">
        <v>7310</v>
      </c>
      <c r="P672" s="125">
        <v>606.41800000000001</v>
      </c>
      <c r="Q672" s="127">
        <v>7330</v>
      </c>
      <c r="R672" s="125">
        <v>606.04999999999995</v>
      </c>
      <c r="S672" s="127">
        <v>7330</v>
      </c>
      <c r="T672" s="125">
        <v>606.72</v>
      </c>
      <c r="U672" s="127">
        <v>7320</v>
      </c>
      <c r="V672" s="125">
        <v>606.18200000000002</v>
      </c>
      <c r="W672" s="127">
        <v>7330</v>
      </c>
      <c r="X672" s="125">
        <v>605.68399999999997</v>
      </c>
      <c r="Y672" s="127">
        <v>7330</v>
      </c>
      <c r="Z672" s="125">
        <v>604.06899999999996</v>
      </c>
      <c r="AA672" s="127">
        <v>7330</v>
      </c>
      <c r="AB672" s="125">
        <v>604.28899999999999</v>
      </c>
      <c r="AC672" s="127">
        <v>7320</v>
      </c>
      <c r="AD672" s="125">
        <v>528.11099999999999</v>
      </c>
      <c r="AE672" s="127">
        <v>7330</v>
      </c>
      <c r="AF672" s="125">
        <v>529.697</v>
      </c>
      <c r="AG672" s="127">
        <v>7310</v>
      </c>
      <c r="AH672" s="125">
        <v>131.64400000000001</v>
      </c>
      <c r="AI672" s="127">
        <v>7310</v>
      </c>
      <c r="AJ672" s="125">
        <v>138.78700000000001</v>
      </c>
    </row>
    <row r="673" spans="1:36" ht="14.25">
      <c r="A673" s="128">
        <v>7340</v>
      </c>
      <c r="B673" s="124">
        <v>291.77300000000002</v>
      </c>
      <c r="C673" s="128">
        <v>7350</v>
      </c>
      <c r="D673" s="125">
        <v>289.50700000000001</v>
      </c>
      <c r="E673" s="126">
        <v>7340</v>
      </c>
      <c r="F673" s="125">
        <v>677.27499999999998</v>
      </c>
      <c r="G673" s="127">
        <v>7340</v>
      </c>
      <c r="H673" s="125">
        <v>677.29600000000005</v>
      </c>
      <c r="I673" s="127">
        <v>7340</v>
      </c>
      <c r="J673" s="125">
        <v>604.26900000000001</v>
      </c>
      <c r="K673" s="127">
        <v>7340</v>
      </c>
      <c r="L673" s="125">
        <v>603.71299999999997</v>
      </c>
      <c r="M673" s="127">
        <v>7340</v>
      </c>
      <c r="N673" s="125">
        <v>604.11199999999997</v>
      </c>
      <c r="O673" s="127">
        <v>7320</v>
      </c>
      <c r="P673" s="125">
        <v>605.20600000000002</v>
      </c>
      <c r="Q673" s="127">
        <v>7340</v>
      </c>
      <c r="R673" s="125">
        <v>604.83799999999997</v>
      </c>
      <c r="S673" s="127">
        <v>7340</v>
      </c>
      <c r="T673" s="125">
        <v>605.50800000000004</v>
      </c>
      <c r="U673" s="127">
        <v>7330</v>
      </c>
      <c r="V673" s="125">
        <v>604.97199999999998</v>
      </c>
      <c r="W673" s="127">
        <v>7340</v>
      </c>
      <c r="X673" s="125">
        <v>604.47299999999996</v>
      </c>
      <c r="Y673" s="127">
        <v>7340</v>
      </c>
      <c r="Z673" s="125">
        <v>602.85799999999995</v>
      </c>
      <c r="AA673" s="127">
        <v>7340</v>
      </c>
      <c r="AB673" s="125">
        <v>603.07899999999995</v>
      </c>
      <c r="AC673" s="127">
        <v>7330</v>
      </c>
      <c r="AD673" s="125">
        <v>526.90099999999995</v>
      </c>
      <c r="AE673" s="127">
        <v>7340</v>
      </c>
      <c r="AF673" s="125">
        <v>528.48800000000006</v>
      </c>
      <c r="AG673" s="127">
        <v>7320</v>
      </c>
      <c r="AH673" s="125">
        <v>131.27099999999999</v>
      </c>
      <c r="AI673" s="127">
        <v>7320</v>
      </c>
      <c r="AJ673" s="125">
        <v>138.399</v>
      </c>
    </row>
    <row r="674" spans="1:36" ht="14.25">
      <c r="A674" s="128">
        <v>7350</v>
      </c>
      <c r="B674" s="124">
        <v>291.03199999999998</v>
      </c>
      <c r="C674" s="128">
        <v>7360</v>
      </c>
      <c r="D674" s="125">
        <v>288.77</v>
      </c>
      <c r="E674" s="126">
        <v>7350</v>
      </c>
      <c r="F674" s="125">
        <v>675.80700000000002</v>
      </c>
      <c r="G674" s="127">
        <v>7350</v>
      </c>
      <c r="H674" s="125">
        <v>675.82799999999997</v>
      </c>
      <c r="I674" s="127">
        <v>7350</v>
      </c>
      <c r="J674" s="125">
        <v>603.05600000000004</v>
      </c>
      <c r="K674" s="127">
        <v>7350</v>
      </c>
      <c r="L674" s="125">
        <v>602.49900000000002</v>
      </c>
      <c r="M674" s="127">
        <v>7350</v>
      </c>
      <c r="N674" s="125">
        <v>602.899</v>
      </c>
      <c r="O674" s="127">
        <v>7330</v>
      </c>
      <c r="P674" s="125">
        <v>603.99300000000005</v>
      </c>
      <c r="Q674" s="127">
        <v>7350</v>
      </c>
      <c r="R674" s="125">
        <v>603.625</v>
      </c>
      <c r="S674" s="127">
        <v>7350</v>
      </c>
      <c r="T674" s="125">
        <v>604.29600000000005</v>
      </c>
      <c r="U674" s="127">
        <v>7340</v>
      </c>
      <c r="V674" s="125">
        <v>603.76199999999994</v>
      </c>
      <c r="W674" s="127">
        <v>7350</v>
      </c>
      <c r="X674" s="125">
        <v>603.26300000000003</v>
      </c>
      <c r="Y674" s="127">
        <v>7350</v>
      </c>
      <c r="Z674" s="125">
        <v>601.64700000000005</v>
      </c>
      <c r="AA674" s="127">
        <v>7350</v>
      </c>
      <c r="AB674" s="125">
        <v>601.87</v>
      </c>
      <c r="AC674" s="127">
        <v>7340</v>
      </c>
      <c r="AD674" s="125">
        <v>525.69100000000003</v>
      </c>
      <c r="AE674" s="127">
        <v>7350</v>
      </c>
      <c r="AF674" s="125">
        <v>527.27800000000002</v>
      </c>
      <c r="AG674" s="127">
        <v>7330</v>
      </c>
      <c r="AH674" s="125">
        <v>130.898</v>
      </c>
      <c r="AI674" s="127">
        <v>7330</v>
      </c>
      <c r="AJ674" s="125">
        <v>138.012</v>
      </c>
    </row>
    <row r="675" spans="1:36" ht="14.25">
      <c r="A675" s="128">
        <v>7360</v>
      </c>
      <c r="B675" s="124">
        <v>290.29199999999997</v>
      </c>
      <c r="C675" s="128">
        <v>7370</v>
      </c>
      <c r="D675" s="125">
        <v>288.03399999999999</v>
      </c>
      <c r="E675" s="126">
        <v>7360</v>
      </c>
      <c r="F675" s="125">
        <v>674.33799999999997</v>
      </c>
      <c r="G675" s="127">
        <v>7360</v>
      </c>
      <c r="H675" s="125">
        <v>674.36</v>
      </c>
      <c r="I675" s="127">
        <v>7360</v>
      </c>
      <c r="J675" s="125">
        <v>601.84400000000005</v>
      </c>
      <c r="K675" s="127">
        <v>7360</v>
      </c>
      <c r="L675" s="125">
        <v>601.28599999999994</v>
      </c>
      <c r="M675" s="127">
        <v>7360</v>
      </c>
      <c r="N675" s="125">
        <v>601.68700000000001</v>
      </c>
      <c r="O675" s="127">
        <v>7340</v>
      </c>
      <c r="P675" s="125">
        <v>602.78099999999995</v>
      </c>
      <c r="Q675" s="127">
        <v>7360</v>
      </c>
      <c r="R675" s="125">
        <v>602.41300000000001</v>
      </c>
      <c r="S675" s="127">
        <v>7360</v>
      </c>
      <c r="T675" s="125">
        <v>603.08399999999995</v>
      </c>
      <c r="U675" s="127">
        <v>7350</v>
      </c>
      <c r="V675" s="125">
        <v>602.55100000000004</v>
      </c>
      <c r="W675" s="127">
        <v>7360</v>
      </c>
      <c r="X675" s="125">
        <v>602.05200000000002</v>
      </c>
      <c r="Y675" s="127">
        <v>7360</v>
      </c>
      <c r="Z675" s="125">
        <v>600.43600000000004</v>
      </c>
      <c r="AA675" s="127">
        <v>7360</v>
      </c>
      <c r="AB675" s="125">
        <v>600.66</v>
      </c>
      <c r="AC675" s="127">
        <v>7350</v>
      </c>
      <c r="AD675" s="125">
        <v>524.48199999999997</v>
      </c>
      <c r="AE675" s="127">
        <v>7360</v>
      </c>
      <c r="AF675" s="125">
        <v>526.06899999999996</v>
      </c>
      <c r="AG675" s="127">
        <v>7340</v>
      </c>
      <c r="AH675" s="125">
        <v>130.52500000000001</v>
      </c>
      <c r="AI675" s="127">
        <v>7340</v>
      </c>
      <c r="AJ675" s="125">
        <v>137.625</v>
      </c>
    </row>
    <row r="676" spans="1:36" ht="14.25">
      <c r="A676" s="128">
        <v>7370</v>
      </c>
      <c r="B676" s="124">
        <v>289.55200000000002</v>
      </c>
      <c r="C676" s="128">
        <v>7380</v>
      </c>
      <c r="D676" s="125">
        <v>287.29899999999998</v>
      </c>
      <c r="E676" s="126">
        <v>7370</v>
      </c>
      <c r="F676" s="125">
        <v>672.86900000000003</v>
      </c>
      <c r="G676" s="127">
        <v>7370</v>
      </c>
      <c r="H676" s="125">
        <v>672.89300000000003</v>
      </c>
      <c r="I676" s="127">
        <v>7370</v>
      </c>
      <c r="J676" s="125">
        <v>600.63199999999995</v>
      </c>
      <c r="K676" s="127">
        <v>7370</v>
      </c>
      <c r="L676" s="125">
        <v>600.072</v>
      </c>
      <c r="M676" s="127">
        <v>7370</v>
      </c>
      <c r="N676" s="125">
        <v>600.47500000000002</v>
      </c>
      <c r="O676" s="127">
        <v>7350</v>
      </c>
      <c r="P676" s="125">
        <v>601.56799999999998</v>
      </c>
      <c r="Q676" s="127">
        <v>7370</v>
      </c>
      <c r="R676" s="125">
        <v>601.20100000000002</v>
      </c>
      <c r="S676" s="127">
        <v>7370</v>
      </c>
      <c r="T676" s="125">
        <v>601.87199999999996</v>
      </c>
      <c r="U676" s="127">
        <v>7360</v>
      </c>
      <c r="V676" s="125">
        <v>601.34100000000001</v>
      </c>
      <c r="W676" s="127">
        <v>7370</v>
      </c>
      <c r="X676" s="125">
        <v>600.84100000000001</v>
      </c>
      <c r="Y676" s="127">
        <v>7370</v>
      </c>
      <c r="Z676" s="125">
        <v>599.22500000000002</v>
      </c>
      <c r="AA676" s="127">
        <v>7370</v>
      </c>
      <c r="AB676" s="125">
        <v>599.45000000000005</v>
      </c>
      <c r="AC676" s="127">
        <v>7360</v>
      </c>
      <c r="AD676" s="125">
        <v>523.27200000000005</v>
      </c>
      <c r="AE676" s="127">
        <v>7370</v>
      </c>
      <c r="AF676" s="125">
        <v>524.86</v>
      </c>
      <c r="AG676" s="127">
        <v>7350</v>
      </c>
      <c r="AH676" s="125">
        <v>130.15299999999999</v>
      </c>
      <c r="AI676" s="127">
        <v>7350</v>
      </c>
      <c r="AJ676" s="125">
        <v>137.23699999999999</v>
      </c>
    </row>
    <row r="677" spans="1:36" ht="14.25">
      <c r="A677" s="128">
        <v>7380</v>
      </c>
      <c r="B677" s="124">
        <v>288.81200000000001</v>
      </c>
      <c r="C677" s="128">
        <v>7390</v>
      </c>
      <c r="D677" s="125">
        <v>286.56299999999999</v>
      </c>
      <c r="E677" s="126">
        <v>7380</v>
      </c>
      <c r="F677" s="125">
        <v>671.40099999999995</v>
      </c>
      <c r="G677" s="127">
        <v>7380</v>
      </c>
      <c r="H677" s="125">
        <v>671.42499999999995</v>
      </c>
      <c r="I677" s="127">
        <v>7380</v>
      </c>
      <c r="J677" s="125">
        <v>599.41999999999996</v>
      </c>
      <c r="K677" s="127">
        <v>7380</v>
      </c>
      <c r="L677" s="125">
        <v>598.85900000000004</v>
      </c>
      <c r="M677" s="127">
        <v>7380</v>
      </c>
      <c r="N677" s="125">
        <v>599.26300000000003</v>
      </c>
      <c r="O677" s="127">
        <v>7360</v>
      </c>
      <c r="P677" s="125">
        <v>600.35599999999999</v>
      </c>
      <c r="Q677" s="127">
        <v>7380</v>
      </c>
      <c r="R677" s="125">
        <v>599.98900000000003</v>
      </c>
      <c r="S677" s="127">
        <v>7380</v>
      </c>
      <c r="T677" s="125">
        <v>600.66</v>
      </c>
      <c r="U677" s="127">
        <v>7370</v>
      </c>
      <c r="V677" s="125">
        <v>600.13099999999997</v>
      </c>
      <c r="W677" s="127">
        <v>7380</v>
      </c>
      <c r="X677" s="125">
        <v>599.63</v>
      </c>
      <c r="Y677" s="127">
        <v>7380</v>
      </c>
      <c r="Z677" s="125">
        <v>598.01400000000001</v>
      </c>
      <c r="AA677" s="127">
        <v>7380</v>
      </c>
      <c r="AB677" s="125">
        <v>598.24</v>
      </c>
      <c r="AC677" s="127">
        <v>7370</v>
      </c>
      <c r="AD677" s="125">
        <v>522.06200000000001</v>
      </c>
      <c r="AE677" s="127">
        <v>7380</v>
      </c>
      <c r="AF677" s="125">
        <v>523.65099999999995</v>
      </c>
      <c r="AG677" s="127">
        <v>7360</v>
      </c>
      <c r="AH677" s="125">
        <v>129.78</v>
      </c>
      <c r="AI677" s="127">
        <v>7360</v>
      </c>
      <c r="AJ677" s="125">
        <v>136.851</v>
      </c>
    </row>
    <row r="678" spans="1:36" ht="14.25">
      <c r="A678" s="128">
        <v>7390</v>
      </c>
      <c r="B678" s="124">
        <v>288.072</v>
      </c>
      <c r="C678" s="128">
        <v>7400</v>
      </c>
      <c r="D678" s="125">
        <v>285.82799999999997</v>
      </c>
      <c r="E678" s="126">
        <v>7390</v>
      </c>
      <c r="F678" s="125">
        <v>669.93299999999999</v>
      </c>
      <c r="G678" s="127">
        <v>7390</v>
      </c>
      <c r="H678" s="125">
        <v>669.95799999999997</v>
      </c>
      <c r="I678" s="127">
        <v>7390</v>
      </c>
      <c r="J678" s="125">
        <v>598.20799999999997</v>
      </c>
      <c r="K678" s="127">
        <v>7390</v>
      </c>
      <c r="L678" s="125">
        <v>597.64499999999998</v>
      </c>
      <c r="M678" s="127">
        <v>7390</v>
      </c>
      <c r="N678" s="125">
        <v>598.05100000000004</v>
      </c>
      <c r="O678" s="127">
        <v>7370</v>
      </c>
      <c r="P678" s="125">
        <v>599.14300000000003</v>
      </c>
      <c r="Q678" s="127">
        <v>7390</v>
      </c>
      <c r="R678" s="125">
        <v>598.77599999999995</v>
      </c>
      <c r="S678" s="127">
        <v>7390</v>
      </c>
      <c r="T678" s="125">
        <v>599.44799999999998</v>
      </c>
      <c r="U678" s="127">
        <v>7380</v>
      </c>
      <c r="V678" s="125">
        <v>598.92100000000005</v>
      </c>
      <c r="W678" s="127">
        <v>7390</v>
      </c>
      <c r="X678" s="125">
        <v>598.41899999999998</v>
      </c>
      <c r="Y678" s="127">
        <v>7390</v>
      </c>
      <c r="Z678" s="125">
        <v>596.803</v>
      </c>
      <c r="AA678" s="127">
        <v>7390</v>
      </c>
      <c r="AB678" s="125">
        <v>597.03</v>
      </c>
      <c r="AC678" s="127">
        <v>7380</v>
      </c>
      <c r="AD678" s="125">
        <v>520.85199999999998</v>
      </c>
      <c r="AE678" s="127">
        <v>7390</v>
      </c>
      <c r="AF678" s="125">
        <v>522.44100000000003</v>
      </c>
      <c r="AG678" s="127">
        <v>7370</v>
      </c>
      <c r="AH678" s="125">
        <v>129.40799999999999</v>
      </c>
      <c r="AI678" s="127">
        <v>7370</v>
      </c>
      <c r="AJ678" s="125">
        <v>136.464</v>
      </c>
    </row>
    <row r="679" spans="1:36" ht="14.25">
      <c r="A679" s="128">
        <v>7400</v>
      </c>
      <c r="B679" s="124">
        <v>287.33300000000003</v>
      </c>
      <c r="C679" s="128">
        <v>7410</v>
      </c>
      <c r="D679" s="125">
        <v>285.09300000000002</v>
      </c>
      <c r="E679" s="126">
        <v>7400</v>
      </c>
      <c r="F679" s="125">
        <v>668.46500000000003</v>
      </c>
      <c r="G679" s="127">
        <v>7400</v>
      </c>
      <c r="H679" s="125">
        <v>668.49099999999999</v>
      </c>
      <c r="I679" s="127">
        <v>7400</v>
      </c>
      <c r="J679" s="125">
        <v>596.99599999999998</v>
      </c>
      <c r="K679" s="127">
        <v>7400</v>
      </c>
      <c r="L679" s="125">
        <v>596.43200000000002</v>
      </c>
      <c r="M679" s="127">
        <v>7400</v>
      </c>
      <c r="N679" s="125">
        <v>596.83799999999997</v>
      </c>
      <c r="O679" s="127">
        <v>7380</v>
      </c>
      <c r="P679" s="125">
        <v>597.93100000000004</v>
      </c>
      <c r="Q679" s="127">
        <v>7400</v>
      </c>
      <c r="R679" s="125">
        <v>597.56399999999996</v>
      </c>
      <c r="S679" s="127">
        <v>7400</v>
      </c>
      <c r="T679" s="125">
        <v>598.23599999999999</v>
      </c>
      <c r="U679" s="127">
        <v>7390</v>
      </c>
      <c r="V679" s="125">
        <v>597.71100000000001</v>
      </c>
      <c r="W679" s="127">
        <v>7400</v>
      </c>
      <c r="X679" s="125">
        <v>597.20799999999997</v>
      </c>
      <c r="Y679" s="127">
        <v>7400</v>
      </c>
      <c r="Z679" s="125">
        <v>595.59199999999998</v>
      </c>
      <c r="AA679" s="127">
        <v>7400</v>
      </c>
      <c r="AB679" s="125">
        <v>595.82000000000005</v>
      </c>
      <c r="AC679" s="127">
        <v>7390</v>
      </c>
      <c r="AD679" s="125">
        <v>519.64300000000003</v>
      </c>
      <c r="AE679" s="127">
        <v>7400</v>
      </c>
      <c r="AF679" s="125">
        <v>521.23199999999997</v>
      </c>
      <c r="AG679" s="127">
        <v>7380</v>
      </c>
      <c r="AH679" s="125">
        <v>129.036</v>
      </c>
      <c r="AI679" s="127">
        <v>7380</v>
      </c>
      <c r="AJ679" s="125">
        <v>136.078</v>
      </c>
    </row>
    <row r="680" spans="1:36" ht="14.25">
      <c r="A680" s="128">
        <v>7410</v>
      </c>
      <c r="B680" s="124">
        <v>286.59399999999999</v>
      </c>
      <c r="C680" s="128">
        <v>7420</v>
      </c>
      <c r="D680" s="125">
        <v>284.358</v>
      </c>
      <c r="E680" s="126">
        <v>7410</v>
      </c>
      <c r="F680" s="125">
        <v>666.99699999999996</v>
      </c>
      <c r="G680" s="127">
        <v>7410</v>
      </c>
      <c r="H680" s="125">
        <v>667.024</v>
      </c>
      <c r="I680" s="127">
        <v>7410</v>
      </c>
      <c r="J680" s="125">
        <v>595.78300000000002</v>
      </c>
      <c r="K680" s="127">
        <v>7410</v>
      </c>
      <c r="L680" s="125">
        <v>595.21799999999996</v>
      </c>
      <c r="M680" s="127">
        <v>7410</v>
      </c>
      <c r="N680" s="125">
        <v>595.62599999999998</v>
      </c>
      <c r="O680" s="127">
        <v>7390</v>
      </c>
      <c r="P680" s="125">
        <v>596.71799999999996</v>
      </c>
      <c r="Q680" s="127">
        <v>7410</v>
      </c>
      <c r="R680" s="125">
        <v>596.35199999999998</v>
      </c>
      <c r="S680" s="127">
        <v>7410</v>
      </c>
      <c r="T680" s="125">
        <v>597.024</v>
      </c>
      <c r="U680" s="127">
        <v>7400</v>
      </c>
      <c r="V680" s="125">
        <v>596.50099999999998</v>
      </c>
      <c r="W680" s="127">
        <v>7410</v>
      </c>
      <c r="X680" s="125">
        <v>595.99699999999996</v>
      </c>
      <c r="Y680" s="127">
        <v>7410</v>
      </c>
      <c r="Z680" s="125">
        <v>594.38</v>
      </c>
      <c r="AA680" s="127">
        <v>7410</v>
      </c>
      <c r="AB680" s="125">
        <v>594.61</v>
      </c>
      <c r="AC680" s="127">
        <v>7400</v>
      </c>
      <c r="AD680" s="125">
        <v>518.43299999999999</v>
      </c>
      <c r="AE680" s="127">
        <v>7410</v>
      </c>
      <c r="AF680" s="125">
        <v>520.02300000000002</v>
      </c>
      <c r="AG680" s="127">
        <v>7390</v>
      </c>
      <c r="AH680" s="125">
        <v>128.66499999999999</v>
      </c>
      <c r="AI680" s="127">
        <v>7390</v>
      </c>
      <c r="AJ680" s="125">
        <v>135.69200000000001</v>
      </c>
    </row>
    <row r="681" spans="1:36" ht="14.25">
      <c r="A681" s="128">
        <v>7420</v>
      </c>
      <c r="B681" s="124">
        <v>285.85500000000002</v>
      </c>
      <c r="C681" s="128">
        <v>7430</v>
      </c>
      <c r="D681" s="125">
        <v>283.62299999999999</v>
      </c>
      <c r="E681" s="126">
        <v>7420</v>
      </c>
      <c r="F681" s="125">
        <v>665.529</v>
      </c>
      <c r="G681" s="127">
        <v>7420</v>
      </c>
      <c r="H681" s="125">
        <v>665.55700000000002</v>
      </c>
      <c r="I681" s="127">
        <v>7420</v>
      </c>
      <c r="J681" s="125">
        <v>594.57100000000003</v>
      </c>
      <c r="K681" s="127">
        <v>7420</v>
      </c>
      <c r="L681" s="125">
        <v>594.005</v>
      </c>
      <c r="M681" s="127">
        <v>7420</v>
      </c>
      <c r="N681" s="125">
        <v>594.41399999999999</v>
      </c>
      <c r="O681" s="127">
        <v>7400</v>
      </c>
      <c r="P681" s="125">
        <v>595.50599999999997</v>
      </c>
      <c r="Q681" s="127">
        <v>7420</v>
      </c>
      <c r="R681" s="125">
        <v>595.14</v>
      </c>
      <c r="S681" s="127">
        <v>7420</v>
      </c>
      <c r="T681" s="125">
        <v>595.81100000000004</v>
      </c>
      <c r="U681" s="127">
        <v>7410</v>
      </c>
      <c r="V681" s="125">
        <v>595.29100000000005</v>
      </c>
      <c r="W681" s="127">
        <v>7420</v>
      </c>
      <c r="X681" s="125">
        <v>594.78599999999994</v>
      </c>
      <c r="Y681" s="127">
        <v>7420</v>
      </c>
      <c r="Z681" s="125">
        <v>593.16899999999998</v>
      </c>
      <c r="AA681" s="127">
        <v>7420</v>
      </c>
      <c r="AB681" s="125">
        <v>593.4</v>
      </c>
      <c r="AC681" s="127">
        <v>7410</v>
      </c>
      <c r="AD681" s="125">
        <v>517.22400000000005</v>
      </c>
      <c r="AE681" s="127">
        <v>7420</v>
      </c>
      <c r="AF681" s="125">
        <v>518.81399999999996</v>
      </c>
      <c r="AG681" s="127">
        <v>7400</v>
      </c>
      <c r="AH681" s="125">
        <v>128.29300000000001</v>
      </c>
      <c r="AI681" s="127">
        <v>7400</v>
      </c>
      <c r="AJ681" s="125">
        <v>135.30600000000001</v>
      </c>
    </row>
    <row r="682" spans="1:36" ht="14.25">
      <c r="A682" s="128">
        <v>7430</v>
      </c>
      <c r="B682" s="124">
        <v>285.11599999999999</v>
      </c>
      <c r="C682" s="128">
        <v>7440</v>
      </c>
      <c r="D682" s="125">
        <v>282.88900000000001</v>
      </c>
      <c r="E682" s="126">
        <v>7430</v>
      </c>
      <c r="F682" s="125">
        <v>664.06100000000004</v>
      </c>
      <c r="G682" s="127">
        <v>7430</v>
      </c>
      <c r="H682" s="125">
        <v>664.09</v>
      </c>
      <c r="I682" s="127">
        <v>7430</v>
      </c>
      <c r="J682" s="125">
        <v>593.35900000000004</v>
      </c>
      <c r="K682" s="127">
        <v>7430</v>
      </c>
      <c r="L682" s="125">
        <v>592.79100000000005</v>
      </c>
      <c r="M682" s="127">
        <v>7430</v>
      </c>
      <c r="N682" s="125">
        <v>593.202</v>
      </c>
      <c r="O682" s="127">
        <v>7410</v>
      </c>
      <c r="P682" s="125">
        <v>594.29300000000001</v>
      </c>
      <c r="Q682" s="127">
        <v>7430</v>
      </c>
      <c r="R682" s="125">
        <v>593.92700000000002</v>
      </c>
      <c r="S682" s="127">
        <v>7430</v>
      </c>
      <c r="T682" s="125">
        <v>594.59900000000005</v>
      </c>
      <c r="U682" s="127">
        <v>7420</v>
      </c>
      <c r="V682" s="125">
        <v>594.08100000000002</v>
      </c>
      <c r="W682" s="127">
        <v>7430</v>
      </c>
      <c r="X682" s="125">
        <v>593.57500000000005</v>
      </c>
      <c r="Y682" s="127">
        <v>7430</v>
      </c>
      <c r="Z682" s="125">
        <v>591.95799999999997</v>
      </c>
      <c r="AA682" s="127">
        <v>7430</v>
      </c>
      <c r="AB682" s="125">
        <v>592.19000000000005</v>
      </c>
      <c r="AC682" s="127">
        <v>7420</v>
      </c>
      <c r="AD682" s="125">
        <v>516.01400000000001</v>
      </c>
      <c r="AE682" s="127">
        <v>7430</v>
      </c>
      <c r="AF682" s="125">
        <v>517.60500000000002</v>
      </c>
      <c r="AG682" s="127">
        <v>7410</v>
      </c>
      <c r="AH682" s="125">
        <v>127.922</v>
      </c>
      <c r="AI682" s="127">
        <v>7410</v>
      </c>
      <c r="AJ682" s="125">
        <v>134.92099999999999</v>
      </c>
    </row>
    <row r="683" spans="1:36" ht="14.25">
      <c r="A683" s="128">
        <v>7440</v>
      </c>
      <c r="B683" s="124">
        <v>284.37700000000001</v>
      </c>
      <c r="C683" s="128">
        <v>7450</v>
      </c>
      <c r="D683" s="125">
        <v>282.154</v>
      </c>
      <c r="E683" s="126">
        <v>7440</v>
      </c>
      <c r="F683" s="125">
        <v>662.59299999999996</v>
      </c>
      <c r="G683" s="127">
        <v>7440</v>
      </c>
      <c r="H683" s="125">
        <v>662.62300000000005</v>
      </c>
      <c r="I683" s="127">
        <v>7440</v>
      </c>
      <c r="J683" s="125">
        <v>592.14700000000005</v>
      </c>
      <c r="K683" s="127">
        <v>7440</v>
      </c>
      <c r="L683" s="125">
        <v>591.57799999999997</v>
      </c>
      <c r="M683" s="127">
        <v>7440</v>
      </c>
      <c r="N683" s="125">
        <v>591.99</v>
      </c>
      <c r="O683" s="127">
        <v>7420</v>
      </c>
      <c r="P683" s="125">
        <v>593.08100000000002</v>
      </c>
      <c r="Q683" s="127">
        <v>7440</v>
      </c>
      <c r="R683" s="125">
        <v>592.71500000000003</v>
      </c>
      <c r="S683" s="127">
        <v>7440</v>
      </c>
      <c r="T683" s="125">
        <v>593.38699999999994</v>
      </c>
      <c r="U683" s="127">
        <v>7430</v>
      </c>
      <c r="V683" s="125">
        <v>592.87099999999998</v>
      </c>
      <c r="W683" s="127">
        <v>7440</v>
      </c>
      <c r="X683" s="125">
        <v>592.36400000000003</v>
      </c>
      <c r="Y683" s="127">
        <v>7440</v>
      </c>
      <c r="Z683" s="125">
        <v>590.74699999999996</v>
      </c>
      <c r="AA683" s="127">
        <v>7440</v>
      </c>
      <c r="AB683" s="125">
        <v>590.98</v>
      </c>
      <c r="AC683" s="127">
        <v>7430</v>
      </c>
      <c r="AD683" s="125">
        <v>514.80399999999997</v>
      </c>
      <c r="AE683" s="127">
        <v>7440</v>
      </c>
      <c r="AF683" s="125">
        <v>516.39599999999996</v>
      </c>
      <c r="AG683" s="127">
        <v>7420</v>
      </c>
      <c r="AH683" s="125">
        <v>127.55200000000001</v>
      </c>
      <c r="AI683" s="127">
        <v>7420</v>
      </c>
      <c r="AJ683" s="125">
        <v>134.535</v>
      </c>
    </row>
    <row r="684" spans="1:36" ht="14.25">
      <c r="A684" s="128">
        <v>7450</v>
      </c>
      <c r="B684" s="124">
        <v>283.63900000000001</v>
      </c>
      <c r="C684" s="128">
        <v>7460</v>
      </c>
      <c r="D684" s="125">
        <v>281.42</v>
      </c>
      <c r="E684" s="126">
        <v>7450</v>
      </c>
      <c r="F684" s="125">
        <v>661.12599999999998</v>
      </c>
      <c r="G684" s="127">
        <v>7450</v>
      </c>
      <c r="H684" s="125">
        <v>661.15599999999995</v>
      </c>
      <c r="I684" s="127">
        <v>7450</v>
      </c>
      <c r="J684" s="125">
        <v>590.93499999999995</v>
      </c>
      <c r="K684" s="127">
        <v>7450</v>
      </c>
      <c r="L684" s="125">
        <v>590.36400000000003</v>
      </c>
      <c r="M684" s="127">
        <v>7450</v>
      </c>
      <c r="N684" s="125">
        <v>590.77700000000004</v>
      </c>
      <c r="O684" s="127">
        <v>7430</v>
      </c>
      <c r="P684" s="125">
        <v>591.86900000000003</v>
      </c>
      <c r="Q684" s="127">
        <v>7450</v>
      </c>
      <c r="R684" s="125">
        <v>591.50300000000004</v>
      </c>
      <c r="S684" s="127">
        <v>7450</v>
      </c>
      <c r="T684" s="125">
        <v>592.17499999999995</v>
      </c>
      <c r="U684" s="127">
        <v>7440</v>
      </c>
      <c r="V684" s="125">
        <v>591.66099999999994</v>
      </c>
      <c r="W684" s="127">
        <v>7450</v>
      </c>
      <c r="X684" s="125">
        <v>591.15300000000002</v>
      </c>
      <c r="Y684" s="127">
        <v>7450</v>
      </c>
      <c r="Z684" s="125">
        <v>589.53599999999994</v>
      </c>
      <c r="AA684" s="127">
        <v>7450</v>
      </c>
      <c r="AB684" s="125">
        <v>589.77</v>
      </c>
      <c r="AC684" s="127">
        <v>7440</v>
      </c>
      <c r="AD684" s="125">
        <v>513.59500000000003</v>
      </c>
      <c r="AE684" s="127">
        <v>7450</v>
      </c>
      <c r="AF684" s="125">
        <v>515.18700000000001</v>
      </c>
      <c r="AG684" s="127">
        <v>7430</v>
      </c>
      <c r="AH684" s="125">
        <v>127.181</v>
      </c>
      <c r="AI684" s="127">
        <v>7430</v>
      </c>
      <c r="AJ684" s="125">
        <v>134.15</v>
      </c>
    </row>
    <row r="685" spans="1:36" ht="14.25">
      <c r="A685" s="128">
        <v>7460</v>
      </c>
      <c r="B685" s="124">
        <v>282.90100000000001</v>
      </c>
      <c r="C685" s="128">
        <v>7470</v>
      </c>
      <c r="D685" s="125">
        <v>280.68700000000001</v>
      </c>
      <c r="E685" s="126">
        <v>7460</v>
      </c>
      <c r="F685" s="125">
        <v>659.65800000000002</v>
      </c>
      <c r="G685" s="127">
        <v>7460</v>
      </c>
      <c r="H685" s="125">
        <v>659.69</v>
      </c>
      <c r="I685" s="127">
        <v>7460</v>
      </c>
      <c r="J685" s="125">
        <v>589.72299999999996</v>
      </c>
      <c r="K685" s="127">
        <v>7460</v>
      </c>
      <c r="L685" s="125">
        <v>589.15099999999995</v>
      </c>
      <c r="M685" s="127">
        <v>7460</v>
      </c>
      <c r="N685" s="125">
        <v>589.56500000000005</v>
      </c>
      <c r="O685" s="127">
        <v>7440</v>
      </c>
      <c r="P685" s="125">
        <v>590.65599999999995</v>
      </c>
      <c r="Q685" s="127">
        <v>7460</v>
      </c>
      <c r="R685" s="125">
        <v>590.29100000000005</v>
      </c>
      <c r="S685" s="127">
        <v>7460</v>
      </c>
      <c r="T685" s="125">
        <v>590.96299999999997</v>
      </c>
      <c r="U685" s="127">
        <v>7450</v>
      </c>
      <c r="V685" s="125">
        <v>590.45100000000002</v>
      </c>
      <c r="W685" s="127">
        <v>7460</v>
      </c>
      <c r="X685" s="125">
        <v>589.94200000000001</v>
      </c>
      <c r="Y685" s="127">
        <v>7460</v>
      </c>
      <c r="Z685" s="125">
        <v>588.32500000000005</v>
      </c>
      <c r="AA685" s="127">
        <v>7460</v>
      </c>
      <c r="AB685" s="125">
        <v>588.55999999999995</v>
      </c>
      <c r="AC685" s="127">
        <v>7450</v>
      </c>
      <c r="AD685" s="125">
        <v>512.38599999999997</v>
      </c>
      <c r="AE685" s="127">
        <v>7460</v>
      </c>
      <c r="AF685" s="125">
        <v>513.97699999999998</v>
      </c>
      <c r="AG685" s="127">
        <v>7440</v>
      </c>
      <c r="AH685" s="125">
        <v>126.81100000000001</v>
      </c>
      <c r="AI685" s="127">
        <v>7440</v>
      </c>
      <c r="AJ685" s="125">
        <v>133.76599999999999</v>
      </c>
    </row>
    <row r="686" spans="1:36" ht="14.25">
      <c r="A686" s="128">
        <v>7470</v>
      </c>
      <c r="B686" s="124">
        <v>282.16300000000001</v>
      </c>
      <c r="C686" s="128">
        <v>7480</v>
      </c>
      <c r="D686" s="125">
        <v>279.95299999999997</v>
      </c>
      <c r="E686" s="126">
        <v>7470</v>
      </c>
      <c r="F686" s="125">
        <v>658.19100000000003</v>
      </c>
      <c r="G686" s="127">
        <v>7470</v>
      </c>
      <c r="H686" s="125">
        <v>658.22299999999996</v>
      </c>
      <c r="I686" s="127">
        <v>7470</v>
      </c>
      <c r="J686" s="125">
        <v>588.51</v>
      </c>
      <c r="K686" s="127">
        <v>7470</v>
      </c>
      <c r="L686" s="125">
        <v>587.93700000000001</v>
      </c>
      <c r="M686" s="127">
        <v>7470</v>
      </c>
      <c r="N686" s="125">
        <v>588.35299999999995</v>
      </c>
      <c r="O686" s="127">
        <v>7450</v>
      </c>
      <c r="P686" s="125">
        <v>589.44399999999996</v>
      </c>
      <c r="Q686" s="127">
        <v>7470</v>
      </c>
      <c r="R686" s="125">
        <v>589.07799999999997</v>
      </c>
      <c r="S686" s="127">
        <v>7470</v>
      </c>
      <c r="T686" s="125">
        <v>589.75099999999998</v>
      </c>
      <c r="U686" s="127">
        <v>7460</v>
      </c>
      <c r="V686" s="125">
        <v>589.24</v>
      </c>
      <c r="W686" s="127">
        <v>7470</v>
      </c>
      <c r="X686" s="125">
        <v>588.73099999999999</v>
      </c>
      <c r="Y686" s="127">
        <v>7470</v>
      </c>
      <c r="Z686" s="125">
        <v>587.11400000000003</v>
      </c>
      <c r="AA686" s="127">
        <v>7470</v>
      </c>
      <c r="AB686" s="125">
        <v>587.35</v>
      </c>
      <c r="AC686" s="127">
        <v>7460</v>
      </c>
      <c r="AD686" s="125">
        <v>511.17599999999999</v>
      </c>
      <c r="AE686" s="127">
        <v>7470</v>
      </c>
      <c r="AF686" s="125">
        <v>512.76800000000003</v>
      </c>
      <c r="AG686" s="127">
        <v>7450</v>
      </c>
      <c r="AH686" s="125">
        <v>126.441</v>
      </c>
      <c r="AI686" s="127">
        <v>7450</v>
      </c>
      <c r="AJ686" s="125">
        <v>133.381</v>
      </c>
    </row>
    <row r="687" spans="1:36" ht="14.25">
      <c r="A687" s="128">
        <v>7480</v>
      </c>
      <c r="B687" s="124">
        <v>281.42500000000001</v>
      </c>
      <c r="C687" s="128">
        <v>7490</v>
      </c>
      <c r="D687" s="125">
        <v>279.21899999999999</v>
      </c>
      <c r="E687" s="126">
        <v>7480</v>
      </c>
      <c r="F687" s="125">
        <v>656.72400000000005</v>
      </c>
      <c r="G687" s="127">
        <v>7480</v>
      </c>
      <c r="H687" s="125">
        <v>656.75699999999995</v>
      </c>
      <c r="I687" s="127">
        <v>7480</v>
      </c>
      <c r="J687" s="125">
        <v>587.298</v>
      </c>
      <c r="K687" s="127">
        <v>7480</v>
      </c>
      <c r="L687" s="125">
        <v>586.72400000000005</v>
      </c>
      <c r="M687" s="127">
        <v>7480</v>
      </c>
      <c r="N687" s="125">
        <v>587.14099999999996</v>
      </c>
      <c r="O687" s="127">
        <v>7460</v>
      </c>
      <c r="P687" s="125">
        <v>588.23099999999999</v>
      </c>
      <c r="Q687" s="127">
        <v>7480</v>
      </c>
      <c r="R687" s="125">
        <v>587.86599999999999</v>
      </c>
      <c r="S687" s="127">
        <v>7480</v>
      </c>
      <c r="T687" s="125">
        <v>588.53899999999999</v>
      </c>
      <c r="U687" s="127">
        <v>7470</v>
      </c>
      <c r="V687" s="125">
        <v>588.03</v>
      </c>
      <c r="W687" s="127">
        <v>7480</v>
      </c>
      <c r="X687" s="125">
        <v>587.52099999999996</v>
      </c>
      <c r="Y687" s="127">
        <v>7480</v>
      </c>
      <c r="Z687" s="125">
        <v>585.90300000000002</v>
      </c>
      <c r="AA687" s="127">
        <v>7480</v>
      </c>
      <c r="AB687" s="125">
        <v>586.14</v>
      </c>
      <c r="AC687" s="127">
        <v>7470</v>
      </c>
      <c r="AD687" s="125">
        <v>509.96699999999998</v>
      </c>
      <c r="AE687" s="127">
        <v>7480</v>
      </c>
      <c r="AF687" s="125">
        <v>511.55900000000003</v>
      </c>
      <c r="AG687" s="127">
        <v>7460</v>
      </c>
      <c r="AH687" s="125">
        <v>126.072</v>
      </c>
      <c r="AI687" s="127">
        <v>7460</v>
      </c>
      <c r="AJ687" s="125">
        <v>132.99700000000001</v>
      </c>
    </row>
    <row r="688" spans="1:36" ht="14.25">
      <c r="A688" s="128">
        <v>7490</v>
      </c>
      <c r="B688" s="124">
        <v>280.68799999999999</v>
      </c>
      <c r="C688" s="128">
        <v>7500</v>
      </c>
      <c r="D688" s="125">
        <v>278.48599999999999</v>
      </c>
      <c r="E688" s="126">
        <v>7490</v>
      </c>
      <c r="F688" s="125">
        <v>655.25599999999997</v>
      </c>
      <c r="G688" s="127">
        <v>7490</v>
      </c>
      <c r="H688" s="125">
        <v>655.29</v>
      </c>
      <c r="I688" s="127">
        <v>7490</v>
      </c>
      <c r="J688" s="125">
        <v>586.08600000000001</v>
      </c>
      <c r="K688" s="127">
        <v>7490</v>
      </c>
      <c r="L688" s="125">
        <v>585.51</v>
      </c>
      <c r="M688" s="127">
        <v>7490</v>
      </c>
      <c r="N688" s="125">
        <v>585.92899999999997</v>
      </c>
      <c r="O688" s="127">
        <v>7470</v>
      </c>
      <c r="P688" s="125">
        <v>587.01900000000001</v>
      </c>
      <c r="Q688" s="127">
        <v>7490</v>
      </c>
      <c r="R688" s="125">
        <v>586.654</v>
      </c>
      <c r="S688" s="127">
        <v>7490</v>
      </c>
      <c r="T688" s="125">
        <v>587.327</v>
      </c>
      <c r="U688" s="127">
        <v>7480</v>
      </c>
      <c r="V688" s="125">
        <v>586.82000000000005</v>
      </c>
      <c r="W688" s="127">
        <v>7490</v>
      </c>
      <c r="X688" s="125">
        <v>586.30999999999995</v>
      </c>
      <c r="Y688" s="127">
        <v>7490</v>
      </c>
      <c r="Z688" s="125">
        <v>584.69200000000001</v>
      </c>
      <c r="AA688" s="127">
        <v>7490</v>
      </c>
      <c r="AB688" s="125">
        <v>584.92999999999995</v>
      </c>
      <c r="AC688" s="127">
        <v>7480</v>
      </c>
      <c r="AD688" s="125">
        <v>508.75700000000001</v>
      </c>
      <c r="AE688" s="127">
        <v>7490</v>
      </c>
      <c r="AF688" s="125">
        <v>510.35</v>
      </c>
      <c r="AG688" s="127">
        <v>7470</v>
      </c>
      <c r="AH688" s="125">
        <v>125.702</v>
      </c>
      <c r="AI688" s="127">
        <v>7470</v>
      </c>
      <c r="AJ688" s="125">
        <v>132.613</v>
      </c>
    </row>
    <row r="689" spans="1:36" ht="14.25">
      <c r="A689" s="128">
        <v>7500</v>
      </c>
      <c r="B689" s="124">
        <v>279.95</v>
      </c>
      <c r="C689" s="128">
        <v>7510</v>
      </c>
      <c r="D689" s="125">
        <v>277.75299999999999</v>
      </c>
      <c r="E689" s="126">
        <v>7500</v>
      </c>
      <c r="F689" s="125">
        <v>653.78899999999999</v>
      </c>
      <c r="G689" s="127">
        <v>7500</v>
      </c>
      <c r="H689" s="125">
        <v>653.82399999999996</v>
      </c>
      <c r="I689" s="127">
        <v>7500</v>
      </c>
      <c r="J689" s="125">
        <v>584.87400000000002</v>
      </c>
      <c r="K689" s="127">
        <v>7500</v>
      </c>
      <c r="L689" s="125">
        <v>584.29700000000003</v>
      </c>
      <c r="M689" s="127">
        <v>7500</v>
      </c>
      <c r="N689" s="125">
        <v>584.71699999999998</v>
      </c>
      <c r="O689" s="127">
        <v>7480</v>
      </c>
      <c r="P689" s="125">
        <v>585.80600000000004</v>
      </c>
      <c r="Q689" s="127">
        <v>7500</v>
      </c>
      <c r="R689" s="125">
        <v>585.44200000000001</v>
      </c>
      <c r="S689" s="127">
        <v>7500</v>
      </c>
      <c r="T689" s="125">
        <v>586.11500000000001</v>
      </c>
      <c r="U689" s="127">
        <v>7490</v>
      </c>
      <c r="V689" s="125">
        <v>585.61</v>
      </c>
      <c r="W689" s="127">
        <v>7500</v>
      </c>
      <c r="X689" s="125">
        <v>585.09900000000005</v>
      </c>
      <c r="Y689" s="127">
        <v>7500</v>
      </c>
      <c r="Z689" s="125">
        <v>583.48099999999999</v>
      </c>
      <c r="AA689" s="127">
        <v>7500</v>
      </c>
      <c r="AB689" s="125">
        <v>583.72</v>
      </c>
      <c r="AC689" s="127">
        <v>7490</v>
      </c>
      <c r="AD689" s="125">
        <v>507.548</v>
      </c>
      <c r="AE689" s="127">
        <v>7500</v>
      </c>
      <c r="AF689" s="125">
        <v>509.14100000000002</v>
      </c>
      <c r="AG689" s="127">
        <v>7480</v>
      </c>
      <c r="AH689" s="125">
        <v>125.333</v>
      </c>
      <c r="AI689" s="127">
        <v>7480</v>
      </c>
      <c r="AJ689" s="125">
        <v>132.22999999999999</v>
      </c>
    </row>
    <row r="690" spans="1:36" ht="14.25">
      <c r="A690" s="128">
        <v>7510</v>
      </c>
      <c r="B690" s="124">
        <v>279.21300000000002</v>
      </c>
      <c r="C690" s="128">
        <v>7520</v>
      </c>
      <c r="D690" s="125">
        <v>277.02</v>
      </c>
      <c r="E690" s="126">
        <v>7510</v>
      </c>
      <c r="F690" s="125">
        <v>652.322</v>
      </c>
      <c r="G690" s="127">
        <v>7510</v>
      </c>
      <c r="H690" s="125">
        <v>652.35799999999995</v>
      </c>
      <c r="I690" s="127">
        <v>7510</v>
      </c>
      <c r="J690" s="125">
        <v>583.66200000000003</v>
      </c>
      <c r="K690" s="127">
        <v>7510</v>
      </c>
      <c r="L690" s="125">
        <v>583.08299999999997</v>
      </c>
      <c r="M690" s="127">
        <v>7510</v>
      </c>
      <c r="N690" s="125">
        <v>583.50400000000002</v>
      </c>
      <c r="O690" s="127">
        <v>7490</v>
      </c>
      <c r="P690" s="125">
        <v>584.59400000000005</v>
      </c>
      <c r="Q690" s="127">
        <v>7510</v>
      </c>
      <c r="R690" s="125">
        <v>584.23</v>
      </c>
      <c r="S690" s="127">
        <v>7510</v>
      </c>
      <c r="T690" s="125">
        <v>584.90200000000004</v>
      </c>
      <c r="U690" s="127">
        <v>7500</v>
      </c>
      <c r="V690" s="125">
        <v>584.4</v>
      </c>
      <c r="W690" s="127">
        <v>7510</v>
      </c>
      <c r="X690" s="125">
        <v>583.88800000000003</v>
      </c>
      <c r="Y690" s="127">
        <v>7510</v>
      </c>
      <c r="Z690" s="125">
        <v>582.27</v>
      </c>
      <c r="AA690" s="127">
        <v>7510</v>
      </c>
      <c r="AB690" s="125">
        <v>582.51</v>
      </c>
      <c r="AC690" s="127">
        <v>7500</v>
      </c>
      <c r="AD690" s="125">
        <v>506.339</v>
      </c>
      <c r="AE690" s="127">
        <v>7510</v>
      </c>
      <c r="AF690" s="125">
        <v>507.93299999999999</v>
      </c>
      <c r="AG690" s="127">
        <v>7490</v>
      </c>
      <c r="AH690" s="125">
        <v>124.964</v>
      </c>
      <c r="AI690" s="127">
        <v>7490</v>
      </c>
      <c r="AJ690" s="125">
        <v>131.84700000000001</v>
      </c>
    </row>
    <row r="691" spans="1:36" ht="14.25">
      <c r="A691" s="128">
        <v>7520</v>
      </c>
      <c r="B691" s="124">
        <v>278.47699999999998</v>
      </c>
      <c r="C691" s="128">
        <v>7530</v>
      </c>
      <c r="D691" s="125">
        <v>276.28800000000001</v>
      </c>
      <c r="E691" s="126">
        <v>7520</v>
      </c>
      <c r="F691" s="125">
        <v>650.85599999999999</v>
      </c>
      <c r="G691" s="127">
        <v>7520</v>
      </c>
      <c r="H691" s="125">
        <v>650.89200000000005</v>
      </c>
      <c r="I691" s="127">
        <v>7520</v>
      </c>
      <c r="J691" s="125">
        <v>582.45000000000005</v>
      </c>
      <c r="K691" s="127">
        <v>7520</v>
      </c>
      <c r="L691" s="125">
        <v>581.87</v>
      </c>
      <c r="M691" s="127">
        <v>7520</v>
      </c>
      <c r="N691" s="125">
        <v>582.29200000000003</v>
      </c>
      <c r="O691" s="127">
        <v>7500</v>
      </c>
      <c r="P691" s="125">
        <v>583.38099999999997</v>
      </c>
      <c r="Q691" s="127">
        <v>7520</v>
      </c>
      <c r="R691" s="125">
        <v>583.01700000000005</v>
      </c>
      <c r="S691" s="127">
        <v>7520</v>
      </c>
      <c r="T691" s="125">
        <v>583.69000000000005</v>
      </c>
      <c r="U691" s="127">
        <v>7510</v>
      </c>
      <c r="V691" s="125">
        <v>583.19000000000005</v>
      </c>
      <c r="W691" s="127">
        <v>7520</v>
      </c>
      <c r="X691" s="125">
        <v>582.67700000000002</v>
      </c>
      <c r="Y691" s="127">
        <v>7520</v>
      </c>
      <c r="Z691" s="125">
        <v>581.05899999999997</v>
      </c>
      <c r="AA691" s="127">
        <v>7520</v>
      </c>
      <c r="AB691" s="125">
        <v>581.29999999999995</v>
      </c>
      <c r="AC691" s="127">
        <v>7510</v>
      </c>
      <c r="AD691" s="125">
        <v>505.12900000000002</v>
      </c>
      <c r="AE691" s="127">
        <v>7520</v>
      </c>
      <c r="AF691" s="125">
        <v>506.72399999999999</v>
      </c>
      <c r="AG691" s="127">
        <v>7500</v>
      </c>
      <c r="AH691" s="125">
        <v>124.596</v>
      </c>
      <c r="AI691" s="127">
        <v>7500</v>
      </c>
      <c r="AJ691" s="125">
        <v>131.464</v>
      </c>
    </row>
    <row r="692" spans="1:36" ht="14.25">
      <c r="A692" s="128">
        <v>7530</v>
      </c>
      <c r="B692" s="124">
        <v>277.74</v>
      </c>
      <c r="C692" s="128">
        <v>7540</v>
      </c>
      <c r="D692" s="125">
        <v>275.55500000000001</v>
      </c>
      <c r="E692" s="126">
        <v>7530</v>
      </c>
      <c r="F692" s="125">
        <v>649.38900000000001</v>
      </c>
      <c r="G692" s="127">
        <v>7530</v>
      </c>
      <c r="H692" s="125">
        <v>649.42600000000004</v>
      </c>
      <c r="I692" s="127">
        <v>7530</v>
      </c>
      <c r="J692" s="125">
        <v>581.23800000000006</v>
      </c>
      <c r="K692" s="127">
        <v>7530</v>
      </c>
      <c r="L692" s="125">
        <v>580.65700000000004</v>
      </c>
      <c r="M692" s="127">
        <v>7530</v>
      </c>
      <c r="N692" s="125">
        <v>581.08000000000004</v>
      </c>
      <c r="O692" s="127">
        <v>7510</v>
      </c>
      <c r="P692" s="125">
        <v>582.16899999999998</v>
      </c>
      <c r="Q692" s="127">
        <v>7530</v>
      </c>
      <c r="R692" s="125">
        <v>581.80499999999995</v>
      </c>
      <c r="S692" s="127">
        <v>7530</v>
      </c>
      <c r="T692" s="125">
        <v>582.47799999999995</v>
      </c>
      <c r="U692" s="127">
        <v>7520</v>
      </c>
      <c r="V692" s="125">
        <v>581.98</v>
      </c>
      <c r="W692" s="127">
        <v>7530</v>
      </c>
      <c r="X692" s="125">
        <v>581.46600000000001</v>
      </c>
      <c r="Y692" s="127">
        <v>7530</v>
      </c>
      <c r="Z692" s="125">
        <v>579.84799999999996</v>
      </c>
      <c r="AA692" s="127">
        <v>7530</v>
      </c>
      <c r="AB692" s="125">
        <v>580.09</v>
      </c>
      <c r="AC692" s="127">
        <v>7520</v>
      </c>
      <c r="AD692" s="125">
        <v>503.92</v>
      </c>
      <c r="AE692" s="127">
        <v>7530</v>
      </c>
      <c r="AF692" s="125">
        <v>505.51499999999999</v>
      </c>
      <c r="AG692" s="127">
        <v>7510</v>
      </c>
      <c r="AH692" s="125">
        <v>124.22799999999999</v>
      </c>
      <c r="AI692" s="127">
        <v>7510</v>
      </c>
      <c r="AJ692" s="125">
        <v>131.08099999999999</v>
      </c>
    </row>
    <row r="693" spans="1:36" ht="14.25">
      <c r="A693" s="128">
        <v>7540</v>
      </c>
      <c r="B693" s="124">
        <v>277.00299999999999</v>
      </c>
      <c r="C693" s="128">
        <v>7550</v>
      </c>
      <c r="D693" s="125">
        <v>274.82299999999998</v>
      </c>
      <c r="E693" s="126">
        <v>7540</v>
      </c>
      <c r="F693" s="125">
        <v>647.92200000000003</v>
      </c>
      <c r="G693" s="127">
        <v>7540</v>
      </c>
      <c r="H693" s="125">
        <v>647.96</v>
      </c>
      <c r="I693" s="127">
        <v>7540</v>
      </c>
      <c r="J693" s="125">
        <v>580.02499999999998</v>
      </c>
      <c r="K693" s="127">
        <v>7540</v>
      </c>
      <c r="L693" s="125">
        <v>579.44299999999998</v>
      </c>
      <c r="M693" s="127">
        <v>7540</v>
      </c>
      <c r="N693" s="125">
        <v>579.86800000000005</v>
      </c>
      <c r="O693" s="127">
        <v>7520</v>
      </c>
      <c r="P693" s="125">
        <v>580.95699999999999</v>
      </c>
      <c r="Q693" s="127">
        <v>7540</v>
      </c>
      <c r="R693" s="125">
        <v>580.59299999999996</v>
      </c>
      <c r="S693" s="127">
        <v>7540</v>
      </c>
      <c r="T693" s="125">
        <v>581.26599999999996</v>
      </c>
      <c r="U693" s="127">
        <v>7530</v>
      </c>
      <c r="V693" s="125">
        <v>580.77</v>
      </c>
      <c r="W693" s="127">
        <v>7540</v>
      </c>
      <c r="X693" s="125">
        <v>580.255</v>
      </c>
      <c r="Y693" s="127">
        <v>7540</v>
      </c>
      <c r="Z693" s="125">
        <v>578.63699999999994</v>
      </c>
      <c r="AA693" s="127">
        <v>7540</v>
      </c>
      <c r="AB693" s="125">
        <v>578.88</v>
      </c>
      <c r="AC693" s="127">
        <v>7530</v>
      </c>
      <c r="AD693" s="125">
        <v>502.71100000000001</v>
      </c>
      <c r="AE693" s="127">
        <v>7540</v>
      </c>
      <c r="AF693" s="125">
        <v>504.30599999999998</v>
      </c>
      <c r="AG693" s="127">
        <v>7520</v>
      </c>
      <c r="AH693" s="125">
        <v>123.86</v>
      </c>
      <c r="AI693" s="127">
        <v>7520</v>
      </c>
      <c r="AJ693" s="125">
        <v>130.69900000000001</v>
      </c>
    </row>
    <row r="694" spans="1:36" ht="14.25">
      <c r="A694" s="128">
        <v>7550</v>
      </c>
      <c r="B694" s="124">
        <v>276.267</v>
      </c>
      <c r="C694" s="128">
        <v>7560</v>
      </c>
      <c r="D694" s="125">
        <v>274.09100000000001</v>
      </c>
      <c r="E694" s="126">
        <v>7550</v>
      </c>
      <c r="F694" s="125">
        <v>646.45600000000002</v>
      </c>
      <c r="G694" s="127">
        <v>7550</v>
      </c>
      <c r="H694" s="125">
        <v>646.49400000000003</v>
      </c>
      <c r="I694" s="127">
        <v>7550</v>
      </c>
      <c r="J694" s="125">
        <v>578.81299999999999</v>
      </c>
      <c r="K694" s="127">
        <v>7550</v>
      </c>
      <c r="L694" s="125">
        <v>578.23</v>
      </c>
      <c r="M694" s="127">
        <v>7550</v>
      </c>
      <c r="N694" s="125">
        <v>578.65599999999995</v>
      </c>
      <c r="O694" s="127">
        <v>7530</v>
      </c>
      <c r="P694" s="125">
        <v>579.74400000000003</v>
      </c>
      <c r="Q694" s="127">
        <v>7550</v>
      </c>
      <c r="R694" s="125">
        <v>579.38099999999997</v>
      </c>
      <c r="S694" s="127">
        <v>7550</v>
      </c>
      <c r="T694" s="125">
        <v>580.05399999999997</v>
      </c>
      <c r="U694" s="127">
        <v>7540</v>
      </c>
      <c r="V694" s="125">
        <v>579.55999999999995</v>
      </c>
      <c r="W694" s="127">
        <v>7550</v>
      </c>
      <c r="X694" s="125">
        <v>579.04399999999998</v>
      </c>
      <c r="Y694" s="127">
        <v>7550</v>
      </c>
      <c r="Z694" s="125">
        <v>577.42600000000004</v>
      </c>
      <c r="AA694" s="127">
        <v>7550</v>
      </c>
      <c r="AB694" s="125">
        <v>577.66999999999996</v>
      </c>
      <c r="AC694" s="127">
        <v>7540</v>
      </c>
      <c r="AD694" s="125">
        <v>501.50200000000001</v>
      </c>
      <c r="AE694" s="127">
        <v>7550</v>
      </c>
      <c r="AF694" s="125">
        <v>503.09699999999998</v>
      </c>
      <c r="AG694" s="127">
        <v>7530</v>
      </c>
      <c r="AH694" s="125">
        <v>123.49299999999999</v>
      </c>
      <c r="AI694" s="127">
        <v>7530</v>
      </c>
      <c r="AJ694" s="125">
        <v>130.31700000000001</v>
      </c>
    </row>
    <row r="695" spans="1:36" ht="14.25">
      <c r="A695" s="128">
        <v>7560</v>
      </c>
      <c r="B695" s="124">
        <v>275.53100000000001</v>
      </c>
      <c r="C695" s="128">
        <v>7570</v>
      </c>
      <c r="D695" s="125">
        <v>273.35899999999998</v>
      </c>
      <c r="E695" s="126">
        <v>7560</v>
      </c>
      <c r="F695" s="125">
        <v>644.99</v>
      </c>
      <c r="G695" s="127">
        <v>7560</v>
      </c>
      <c r="H695" s="125">
        <v>645.029</v>
      </c>
      <c r="I695" s="127">
        <v>7560</v>
      </c>
      <c r="J695" s="125">
        <v>577.601</v>
      </c>
      <c r="K695" s="127">
        <v>7560</v>
      </c>
      <c r="L695" s="125">
        <v>577.01599999999996</v>
      </c>
      <c r="M695" s="127">
        <v>7560</v>
      </c>
      <c r="N695" s="125">
        <v>577.44399999999996</v>
      </c>
      <c r="O695" s="127">
        <v>7540</v>
      </c>
      <c r="P695" s="125">
        <v>578.53200000000004</v>
      </c>
      <c r="Q695" s="127">
        <v>7560</v>
      </c>
      <c r="R695" s="125">
        <v>578.16899999999998</v>
      </c>
      <c r="S695" s="127">
        <v>7560</v>
      </c>
      <c r="T695" s="125">
        <v>578.84199999999998</v>
      </c>
      <c r="U695" s="127">
        <v>7550</v>
      </c>
      <c r="V695" s="125">
        <v>578.34900000000005</v>
      </c>
      <c r="W695" s="127">
        <v>7560</v>
      </c>
      <c r="X695" s="125">
        <v>577.83299999999997</v>
      </c>
      <c r="Y695" s="127">
        <v>7560</v>
      </c>
      <c r="Z695" s="125">
        <v>576.21500000000003</v>
      </c>
      <c r="AA695" s="127">
        <v>7560</v>
      </c>
      <c r="AB695" s="125">
        <v>576.46</v>
      </c>
      <c r="AC695" s="127">
        <v>7550</v>
      </c>
      <c r="AD695" s="125">
        <v>500.29199999999997</v>
      </c>
      <c r="AE695" s="127">
        <v>7560</v>
      </c>
      <c r="AF695" s="125">
        <v>501.88799999999998</v>
      </c>
      <c r="AG695" s="127">
        <v>7540</v>
      </c>
      <c r="AH695" s="125">
        <v>123.126</v>
      </c>
      <c r="AI695" s="127">
        <v>7540</v>
      </c>
      <c r="AJ695" s="125">
        <v>129.93600000000001</v>
      </c>
    </row>
    <row r="696" spans="1:36" ht="14.25">
      <c r="A696" s="128">
        <v>7570</v>
      </c>
      <c r="B696" s="124">
        <v>274.79500000000002</v>
      </c>
      <c r="C696" s="128">
        <v>7580</v>
      </c>
      <c r="D696" s="125">
        <v>272.62799999999999</v>
      </c>
      <c r="E696" s="126">
        <v>7570</v>
      </c>
      <c r="F696" s="125">
        <v>643.52300000000002</v>
      </c>
      <c r="G696" s="127">
        <v>7570</v>
      </c>
      <c r="H696" s="125">
        <v>643.56299999999999</v>
      </c>
      <c r="I696" s="127">
        <v>7570</v>
      </c>
      <c r="J696" s="125">
        <v>576.38900000000001</v>
      </c>
      <c r="K696" s="127">
        <v>7570</v>
      </c>
      <c r="L696" s="125">
        <v>575.803</v>
      </c>
      <c r="M696" s="127">
        <v>7570</v>
      </c>
      <c r="N696" s="125">
        <v>576.23099999999999</v>
      </c>
      <c r="O696" s="127">
        <v>7550</v>
      </c>
      <c r="P696" s="125">
        <v>577.31899999999996</v>
      </c>
      <c r="Q696" s="127">
        <v>7570</v>
      </c>
      <c r="R696" s="125">
        <v>576.95600000000002</v>
      </c>
      <c r="S696" s="127">
        <v>7570</v>
      </c>
      <c r="T696" s="125">
        <v>577.63</v>
      </c>
      <c r="U696" s="127">
        <v>7560</v>
      </c>
      <c r="V696" s="125">
        <v>577.13900000000001</v>
      </c>
      <c r="W696" s="127">
        <v>7570</v>
      </c>
      <c r="X696" s="125">
        <v>576.62199999999996</v>
      </c>
      <c r="Y696" s="127">
        <v>7570</v>
      </c>
      <c r="Z696" s="125">
        <v>575.00400000000002</v>
      </c>
      <c r="AA696" s="127">
        <v>7570</v>
      </c>
      <c r="AB696" s="125">
        <v>575.25</v>
      </c>
      <c r="AC696" s="127">
        <v>7560</v>
      </c>
      <c r="AD696" s="125">
        <v>499.08300000000003</v>
      </c>
      <c r="AE696" s="127">
        <v>7570</v>
      </c>
      <c r="AF696" s="125">
        <v>500.68</v>
      </c>
      <c r="AG696" s="127">
        <v>7550</v>
      </c>
      <c r="AH696" s="125">
        <v>122.759</v>
      </c>
      <c r="AI696" s="127">
        <v>7550</v>
      </c>
      <c r="AJ696" s="125">
        <v>129.554</v>
      </c>
    </row>
    <row r="697" spans="1:36" ht="14.25">
      <c r="A697" s="128">
        <v>7580</v>
      </c>
      <c r="B697" s="124">
        <v>274.06</v>
      </c>
      <c r="C697" s="128">
        <v>7590</v>
      </c>
      <c r="D697" s="125">
        <v>271.89600000000002</v>
      </c>
      <c r="E697" s="126">
        <v>7580</v>
      </c>
      <c r="F697" s="125">
        <v>642.05700000000002</v>
      </c>
      <c r="G697" s="127">
        <v>7580</v>
      </c>
      <c r="H697" s="125">
        <v>642.09799999999996</v>
      </c>
      <c r="I697" s="127">
        <v>7580</v>
      </c>
      <c r="J697" s="125">
        <v>575.17700000000002</v>
      </c>
      <c r="K697" s="127">
        <v>7580</v>
      </c>
      <c r="L697" s="125">
        <v>574.58900000000006</v>
      </c>
      <c r="M697" s="127">
        <v>7580</v>
      </c>
      <c r="N697" s="125">
        <v>575.01900000000001</v>
      </c>
      <c r="O697" s="127">
        <v>7560</v>
      </c>
      <c r="P697" s="125">
        <v>576.10699999999997</v>
      </c>
      <c r="Q697" s="127">
        <v>7580</v>
      </c>
      <c r="R697" s="125">
        <v>575.74400000000003</v>
      </c>
      <c r="S697" s="127">
        <v>7580</v>
      </c>
      <c r="T697" s="125">
        <v>576.41800000000001</v>
      </c>
      <c r="U697" s="127">
        <v>7570</v>
      </c>
      <c r="V697" s="125">
        <v>575.92899999999997</v>
      </c>
      <c r="W697" s="127">
        <v>7580</v>
      </c>
      <c r="X697" s="125">
        <v>575.41099999999994</v>
      </c>
      <c r="Y697" s="127">
        <v>7580</v>
      </c>
      <c r="Z697" s="125">
        <v>573.79300000000001</v>
      </c>
      <c r="AA697" s="127">
        <v>7580</v>
      </c>
      <c r="AB697" s="125">
        <v>574.04</v>
      </c>
      <c r="AC697" s="127">
        <v>7570</v>
      </c>
      <c r="AD697" s="125">
        <v>497.87400000000002</v>
      </c>
      <c r="AE697" s="127">
        <v>7580</v>
      </c>
      <c r="AF697" s="125">
        <v>499.471</v>
      </c>
      <c r="AG697" s="127">
        <v>7560</v>
      </c>
      <c r="AH697" s="125">
        <v>122.393</v>
      </c>
      <c r="AI697" s="127">
        <v>7560</v>
      </c>
      <c r="AJ697" s="125">
        <v>129.173</v>
      </c>
    </row>
    <row r="698" spans="1:36" ht="14.25">
      <c r="A698" s="128">
        <v>7590</v>
      </c>
      <c r="B698" s="124">
        <v>273.32499999999999</v>
      </c>
      <c r="C698" s="128">
        <v>7600</v>
      </c>
      <c r="D698" s="125">
        <v>271.16500000000002</v>
      </c>
      <c r="E698" s="126">
        <v>7590</v>
      </c>
      <c r="F698" s="125">
        <v>640.59100000000001</v>
      </c>
      <c r="G698" s="127">
        <v>7590</v>
      </c>
      <c r="H698" s="125">
        <v>640.63199999999995</v>
      </c>
      <c r="I698" s="127">
        <v>7590</v>
      </c>
      <c r="J698" s="125">
        <v>573.96500000000003</v>
      </c>
      <c r="K698" s="127">
        <v>7590</v>
      </c>
      <c r="L698" s="125">
        <v>573.37599999999998</v>
      </c>
      <c r="M698" s="127">
        <v>7590</v>
      </c>
      <c r="N698" s="125">
        <v>573.80700000000002</v>
      </c>
      <c r="O698" s="127">
        <v>7570</v>
      </c>
      <c r="P698" s="125">
        <v>574.89400000000001</v>
      </c>
      <c r="Q698" s="127">
        <v>7590</v>
      </c>
      <c r="R698" s="125">
        <v>574.53200000000004</v>
      </c>
      <c r="S698" s="127">
        <v>7590</v>
      </c>
      <c r="T698" s="125">
        <v>575.20600000000002</v>
      </c>
      <c r="U698" s="127">
        <v>7580</v>
      </c>
      <c r="V698" s="125">
        <v>574.71900000000005</v>
      </c>
      <c r="W698" s="127">
        <v>7590</v>
      </c>
      <c r="X698" s="125">
        <v>574.20000000000005</v>
      </c>
      <c r="Y698" s="127">
        <v>7590</v>
      </c>
      <c r="Z698" s="125">
        <v>572.58199999999999</v>
      </c>
      <c r="AA698" s="127">
        <v>7590</v>
      </c>
      <c r="AB698" s="125">
        <v>572.83000000000004</v>
      </c>
      <c r="AC698" s="127">
        <v>7580</v>
      </c>
      <c r="AD698" s="125">
        <v>496.66500000000002</v>
      </c>
      <c r="AE698" s="127">
        <v>7590</v>
      </c>
      <c r="AF698" s="125">
        <v>498.262</v>
      </c>
      <c r="AG698" s="127">
        <v>7570</v>
      </c>
      <c r="AH698" s="125">
        <v>122.027</v>
      </c>
      <c r="AI698" s="127">
        <v>7570</v>
      </c>
      <c r="AJ698" s="125">
        <v>128.79300000000001</v>
      </c>
    </row>
    <row r="699" spans="1:36" ht="14.25">
      <c r="A699" s="128">
        <v>7600</v>
      </c>
      <c r="B699" s="124">
        <v>272.589</v>
      </c>
      <c r="C699" s="128">
        <v>7610</v>
      </c>
      <c r="D699" s="125">
        <v>270.43400000000003</v>
      </c>
      <c r="E699" s="126">
        <v>7600</v>
      </c>
      <c r="F699" s="125">
        <v>639.125</v>
      </c>
      <c r="G699" s="127">
        <v>7600</v>
      </c>
      <c r="H699" s="125">
        <v>639.16700000000003</v>
      </c>
      <c r="I699" s="127">
        <v>7600</v>
      </c>
      <c r="J699" s="125">
        <v>572.75300000000004</v>
      </c>
      <c r="K699" s="127">
        <v>7600</v>
      </c>
      <c r="L699" s="125">
        <v>572.16200000000003</v>
      </c>
      <c r="M699" s="127">
        <v>7600</v>
      </c>
      <c r="N699" s="125">
        <v>572.59500000000003</v>
      </c>
      <c r="O699" s="127">
        <v>7580</v>
      </c>
      <c r="P699" s="125">
        <v>573.68200000000002</v>
      </c>
      <c r="Q699" s="127">
        <v>7600</v>
      </c>
      <c r="R699" s="125">
        <v>573.32000000000005</v>
      </c>
      <c r="S699" s="127">
        <v>7600</v>
      </c>
      <c r="T699" s="125">
        <v>573.99300000000005</v>
      </c>
      <c r="U699" s="127">
        <v>7590</v>
      </c>
      <c r="V699" s="125">
        <v>573.50900000000001</v>
      </c>
      <c r="W699" s="127">
        <v>7600</v>
      </c>
      <c r="X699" s="125">
        <v>572.98900000000003</v>
      </c>
      <c r="Y699" s="127">
        <v>7600</v>
      </c>
      <c r="Z699" s="125">
        <v>571.37099999999998</v>
      </c>
      <c r="AA699" s="127">
        <v>7600</v>
      </c>
      <c r="AB699" s="125">
        <v>571.62</v>
      </c>
      <c r="AC699" s="127">
        <v>7590</v>
      </c>
      <c r="AD699" s="125">
        <v>495.45600000000002</v>
      </c>
      <c r="AE699" s="127">
        <v>7600</v>
      </c>
      <c r="AF699" s="125">
        <v>497.053</v>
      </c>
      <c r="AG699" s="127">
        <v>7580</v>
      </c>
      <c r="AH699" s="125">
        <v>121.661</v>
      </c>
      <c r="AI699" s="127">
        <v>7580</v>
      </c>
      <c r="AJ699" s="125">
        <v>128.41300000000001</v>
      </c>
    </row>
    <row r="700" spans="1:36" ht="14.25">
      <c r="A700" s="128">
        <v>7610</v>
      </c>
      <c r="B700" s="124">
        <v>271.85500000000002</v>
      </c>
      <c r="C700" s="128">
        <v>7620</v>
      </c>
      <c r="D700" s="125">
        <v>269.70299999999997</v>
      </c>
      <c r="E700" s="126">
        <v>7610</v>
      </c>
      <c r="F700" s="125">
        <v>637.66</v>
      </c>
      <c r="G700" s="127">
        <v>7610</v>
      </c>
      <c r="H700" s="125">
        <v>637.702</v>
      </c>
      <c r="I700" s="127">
        <v>7610</v>
      </c>
      <c r="J700" s="125">
        <v>571.54100000000005</v>
      </c>
      <c r="K700" s="127">
        <v>7610</v>
      </c>
      <c r="L700" s="125">
        <v>570.94899999999996</v>
      </c>
      <c r="M700" s="127">
        <v>7610</v>
      </c>
      <c r="N700" s="125">
        <v>571.38300000000004</v>
      </c>
      <c r="O700" s="127">
        <v>7590</v>
      </c>
      <c r="P700" s="125">
        <v>572.47</v>
      </c>
      <c r="Q700" s="127">
        <v>7610</v>
      </c>
      <c r="R700" s="125">
        <v>572.10799999999995</v>
      </c>
      <c r="S700" s="127">
        <v>7610</v>
      </c>
      <c r="T700" s="125">
        <v>572.78099999999995</v>
      </c>
      <c r="U700" s="127">
        <v>7600</v>
      </c>
      <c r="V700" s="125">
        <v>572.29899999999998</v>
      </c>
      <c r="W700" s="127">
        <v>7610</v>
      </c>
      <c r="X700" s="125">
        <v>571.77800000000002</v>
      </c>
      <c r="Y700" s="127">
        <v>7610</v>
      </c>
      <c r="Z700" s="125">
        <v>570.16</v>
      </c>
      <c r="AA700" s="127">
        <v>7610</v>
      </c>
      <c r="AB700" s="125">
        <v>570.41</v>
      </c>
      <c r="AC700" s="127">
        <v>7600</v>
      </c>
      <c r="AD700" s="125">
        <v>494.24700000000001</v>
      </c>
      <c r="AE700" s="127">
        <v>7610</v>
      </c>
      <c r="AF700" s="125">
        <v>495.84500000000003</v>
      </c>
      <c r="AG700" s="127">
        <v>7590</v>
      </c>
      <c r="AH700" s="125">
        <v>121.295</v>
      </c>
      <c r="AI700" s="127">
        <v>7590</v>
      </c>
      <c r="AJ700" s="125">
        <v>128.03299999999999</v>
      </c>
    </row>
    <row r="701" spans="1:36" ht="14.25">
      <c r="A701" s="128">
        <v>7620</v>
      </c>
      <c r="B701" s="124">
        <v>271.12</v>
      </c>
      <c r="C701" s="128">
        <v>7630</v>
      </c>
      <c r="D701" s="125">
        <v>268.97300000000001</v>
      </c>
      <c r="E701" s="126">
        <v>7620</v>
      </c>
      <c r="F701" s="125">
        <v>636.19399999999996</v>
      </c>
      <c r="G701" s="127">
        <v>7620</v>
      </c>
      <c r="H701" s="125">
        <v>636.23699999999997</v>
      </c>
      <c r="I701" s="127">
        <v>7620</v>
      </c>
      <c r="J701" s="125">
        <v>570.32899999999995</v>
      </c>
      <c r="K701" s="127">
        <v>7620</v>
      </c>
      <c r="L701" s="125">
        <v>569.73500000000001</v>
      </c>
      <c r="M701" s="127">
        <v>7620</v>
      </c>
      <c r="N701" s="125">
        <v>570.17100000000005</v>
      </c>
      <c r="O701" s="127">
        <v>7600</v>
      </c>
      <c r="P701" s="125">
        <v>571.25699999999995</v>
      </c>
      <c r="Q701" s="127">
        <v>7620</v>
      </c>
      <c r="R701" s="125">
        <v>570.89499999999998</v>
      </c>
      <c r="S701" s="127">
        <v>7620</v>
      </c>
      <c r="T701" s="125">
        <v>571.56899999999996</v>
      </c>
      <c r="U701" s="127">
        <v>7610</v>
      </c>
      <c r="V701" s="125">
        <v>571.08900000000006</v>
      </c>
      <c r="W701" s="127">
        <v>7620</v>
      </c>
      <c r="X701" s="125">
        <v>570.56700000000001</v>
      </c>
      <c r="Y701" s="127">
        <v>7620</v>
      </c>
      <c r="Z701" s="125">
        <v>568.94899999999996</v>
      </c>
      <c r="AA701" s="127">
        <v>7620</v>
      </c>
      <c r="AB701" s="125">
        <v>569.20000000000005</v>
      </c>
      <c r="AC701" s="127">
        <v>7610</v>
      </c>
      <c r="AD701" s="125">
        <v>493.03800000000001</v>
      </c>
      <c r="AE701" s="127">
        <v>7620</v>
      </c>
      <c r="AF701" s="125">
        <v>494.63600000000002</v>
      </c>
      <c r="AG701" s="127">
        <v>7600</v>
      </c>
      <c r="AH701" s="125">
        <v>120.93</v>
      </c>
      <c r="AI701" s="127">
        <v>7600</v>
      </c>
      <c r="AJ701" s="125">
        <v>127.65300000000001</v>
      </c>
    </row>
    <row r="702" spans="1:36" ht="14.25">
      <c r="A702" s="128">
        <v>7630</v>
      </c>
      <c r="B702" s="124">
        <v>270.38499999999999</v>
      </c>
      <c r="C702" s="128">
        <v>7640</v>
      </c>
      <c r="D702" s="125">
        <v>268.24200000000002</v>
      </c>
      <c r="E702" s="126">
        <v>7630</v>
      </c>
      <c r="F702" s="125">
        <v>634.72799999999995</v>
      </c>
      <c r="G702" s="127">
        <v>7630</v>
      </c>
      <c r="H702" s="125">
        <v>634.77200000000005</v>
      </c>
      <c r="I702" s="127">
        <v>7630</v>
      </c>
      <c r="J702" s="125">
        <v>569.11599999999999</v>
      </c>
      <c r="K702" s="127">
        <v>7630</v>
      </c>
      <c r="L702" s="125">
        <v>568.52200000000005</v>
      </c>
      <c r="M702" s="127">
        <v>7630</v>
      </c>
      <c r="N702" s="125">
        <v>568.95899999999995</v>
      </c>
      <c r="O702" s="127">
        <v>7610</v>
      </c>
      <c r="P702" s="125">
        <v>570.04499999999996</v>
      </c>
      <c r="Q702" s="127">
        <v>7630</v>
      </c>
      <c r="R702" s="125">
        <v>569.68299999999999</v>
      </c>
      <c r="S702" s="127">
        <v>7630</v>
      </c>
      <c r="T702" s="125">
        <v>570.35699999999997</v>
      </c>
      <c r="U702" s="127">
        <v>7620</v>
      </c>
      <c r="V702" s="125">
        <v>569.87900000000002</v>
      </c>
      <c r="W702" s="127">
        <v>7630</v>
      </c>
      <c r="X702" s="125">
        <v>569.35599999999999</v>
      </c>
      <c r="Y702" s="127">
        <v>7630</v>
      </c>
      <c r="Z702" s="125">
        <v>567.73800000000006</v>
      </c>
      <c r="AA702" s="127">
        <v>7630</v>
      </c>
      <c r="AB702" s="125">
        <v>567.99</v>
      </c>
      <c r="AC702" s="127">
        <v>7620</v>
      </c>
      <c r="AD702" s="125">
        <v>491.82900000000001</v>
      </c>
      <c r="AE702" s="127">
        <v>7630</v>
      </c>
      <c r="AF702" s="125">
        <v>493.428</v>
      </c>
      <c r="AG702" s="127">
        <v>7610</v>
      </c>
      <c r="AH702" s="125">
        <v>120.566</v>
      </c>
      <c r="AI702" s="127">
        <v>7610</v>
      </c>
      <c r="AJ702" s="125">
        <v>127.274</v>
      </c>
    </row>
    <row r="703" spans="1:36" ht="14.25">
      <c r="A703" s="128">
        <v>7640</v>
      </c>
      <c r="B703" s="124">
        <v>269.65100000000001</v>
      </c>
      <c r="C703" s="128">
        <v>7650</v>
      </c>
      <c r="D703" s="125">
        <v>267.512</v>
      </c>
      <c r="E703" s="126">
        <v>7640</v>
      </c>
      <c r="F703" s="125">
        <v>633.26300000000003</v>
      </c>
      <c r="G703" s="127">
        <v>7640</v>
      </c>
      <c r="H703" s="125">
        <v>633.30700000000002</v>
      </c>
      <c r="I703" s="127">
        <v>7640</v>
      </c>
      <c r="J703" s="125">
        <v>567.904</v>
      </c>
      <c r="K703" s="127">
        <v>7640</v>
      </c>
      <c r="L703" s="125">
        <v>567.30799999999999</v>
      </c>
      <c r="M703" s="127">
        <v>7640</v>
      </c>
      <c r="N703" s="125">
        <v>567.74599999999998</v>
      </c>
      <c r="O703" s="127">
        <v>7620</v>
      </c>
      <c r="P703" s="125">
        <v>568.83199999999999</v>
      </c>
      <c r="Q703" s="127">
        <v>7640</v>
      </c>
      <c r="R703" s="125">
        <v>568.471</v>
      </c>
      <c r="S703" s="127">
        <v>7640</v>
      </c>
      <c r="T703" s="125">
        <v>569.14499999999998</v>
      </c>
      <c r="U703" s="127">
        <v>7630</v>
      </c>
      <c r="V703" s="125">
        <v>568.66899999999998</v>
      </c>
      <c r="W703" s="127">
        <v>7640</v>
      </c>
      <c r="X703" s="125">
        <v>568.14599999999996</v>
      </c>
      <c r="Y703" s="127">
        <v>7640</v>
      </c>
      <c r="Z703" s="125">
        <v>566.52700000000004</v>
      </c>
      <c r="AA703" s="127">
        <v>7640</v>
      </c>
      <c r="AB703" s="125">
        <v>566.78</v>
      </c>
      <c r="AC703" s="127">
        <v>7630</v>
      </c>
      <c r="AD703" s="125">
        <v>490.62</v>
      </c>
      <c r="AE703" s="127">
        <v>7640</v>
      </c>
      <c r="AF703" s="125">
        <v>492.21899999999999</v>
      </c>
      <c r="AG703" s="127">
        <v>7620</v>
      </c>
      <c r="AH703" s="125">
        <v>120.202</v>
      </c>
      <c r="AI703" s="127">
        <v>7620</v>
      </c>
      <c r="AJ703" s="125">
        <v>126.895</v>
      </c>
    </row>
    <row r="704" spans="1:36" ht="14.25">
      <c r="A704" s="128">
        <v>7650</v>
      </c>
      <c r="B704" s="124">
        <v>268.91699999999997</v>
      </c>
      <c r="C704" s="128">
        <v>7660</v>
      </c>
      <c r="D704" s="125">
        <v>266.78199999999998</v>
      </c>
      <c r="E704" s="126">
        <v>7650</v>
      </c>
      <c r="F704" s="125">
        <v>631.79700000000003</v>
      </c>
      <c r="G704" s="127">
        <v>7650</v>
      </c>
      <c r="H704" s="125">
        <v>631.84199999999998</v>
      </c>
      <c r="I704" s="127">
        <v>7650</v>
      </c>
      <c r="J704" s="125">
        <v>566.69200000000001</v>
      </c>
      <c r="K704" s="127">
        <v>7650</v>
      </c>
      <c r="L704" s="125">
        <v>566.09500000000003</v>
      </c>
      <c r="M704" s="127">
        <v>7650</v>
      </c>
      <c r="N704" s="125">
        <v>566.53399999999999</v>
      </c>
      <c r="O704" s="127">
        <v>7630</v>
      </c>
      <c r="P704" s="125">
        <v>567.62</v>
      </c>
      <c r="Q704" s="127">
        <v>7650</v>
      </c>
      <c r="R704" s="125">
        <v>567.25900000000001</v>
      </c>
      <c r="S704" s="127">
        <v>7650</v>
      </c>
      <c r="T704" s="125">
        <v>567.93299999999999</v>
      </c>
      <c r="U704" s="127">
        <v>7640</v>
      </c>
      <c r="V704" s="125">
        <v>567.45799999999997</v>
      </c>
      <c r="W704" s="127">
        <v>7650</v>
      </c>
      <c r="X704" s="125">
        <v>566.93499999999995</v>
      </c>
      <c r="Y704" s="127">
        <v>7650</v>
      </c>
      <c r="Z704" s="125">
        <v>565.31500000000005</v>
      </c>
      <c r="AA704" s="127">
        <v>7650</v>
      </c>
      <c r="AB704" s="125">
        <v>565.57000000000005</v>
      </c>
      <c r="AC704" s="127">
        <v>7640</v>
      </c>
      <c r="AD704" s="125">
        <v>489.41199999999998</v>
      </c>
      <c r="AE704" s="127">
        <v>7650</v>
      </c>
      <c r="AF704" s="125">
        <v>491.01100000000002</v>
      </c>
      <c r="AG704" s="127">
        <v>7630</v>
      </c>
      <c r="AH704" s="125">
        <v>119.83799999999999</v>
      </c>
      <c r="AI704" s="127">
        <v>7630</v>
      </c>
      <c r="AJ704" s="125">
        <v>126.517</v>
      </c>
    </row>
    <row r="705" spans="1:36" ht="14.25">
      <c r="A705" s="128">
        <v>7660</v>
      </c>
      <c r="B705" s="124">
        <v>268.18299999999999</v>
      </c>
      <c r="C705" s="128">
        <v>7670</v>
      </c>
      <c r="D705" s="125">
        <v>266.053</v>
      </c>
      <c r="E705" s="126">
        <v>7660</v>
      </c>
      <c r="F705" s="125">
        <v>630.33199999999999</v>
      </c>
      <c r="G705" s="127">
        <v>7660</v>
      </c>
      <c r="H705" s="125">
        <v>630.37800000000004</v>
      </c>
      <c r="I705" s="127">
        <v>7660</v>
      </c>
      <c r="J705" s="125">
        <v>565.48</v>
      </c>
      <c r="K705" s="127">
        <v>7660</v>
      </c>
      <c r="L705" s="125">
        <v>564.88099999999997</v>
      </c>
      <c r="M705" s="127">
        <v>7660</v>
      </c>
      <c r="N705" s="125">
        <v>565.322</v>
      </c>
      <c r="O705" s="127">
        <v>7640</v>
      </c>
      <c r="P705" s="125">
        <v>566.40800000000002</v>
      </c>
      <c r="Q705" s="127">
        <v>7660</v>
      </c>
      <c r="R705" s="125">
        <v>566.04700000000003</v>
      </c>
      <c r="S705" s="127">
        <v>7660</v>
      </c>
      <c r="T705" s="125">
        <v>566.721</v>
      </c>
      <c r="U705" s="127">
        <v>7650</v>
      </c>
      <c r="V705" s="125">
        <v>566.24800000000005</v>
      </c>
      <c r="W705" s="127">
        <v>7660</v>
      </c>
      <c r="X705" s="125">
        <v>565.72400000000005</v>
      </c>
      <c r="Y705" s="127">
        <v>7660</v>
      </c>
      <c r="Z705" s="125">
        <v>564.10500000000002</v>
      </c>
      <c r="AA705" s="127">
        <v>7660</v>
      </c>
      <c r="AB705" s="125">
        <v>564.36</v>
      </c>
      <c r="AC705" s="127">
        <v>7650</v>
      </c>
      <c r="AD705" s="125">
        <v>488.20299999999997</v>
      </c>
      <c r="AE705" s="127">
        <v>7660</v>
      </c>
      <c r="AF705" s="125">
        <v>489.80200000000002</v>
      </c>
      <c r="AG705" s="127">
        <v>7640</v>
      </c>
      <c r="AH705" s="125">
        <v>119.474</v>
      </c>
      <c r="AI705" s="127">
        <v>7640</v>
      </c>
      <c r="AJ705" s="125">
        <v>126.139</v>
      </c>
    </row>
    <row r="706" spans="1:36" ht="14.25">
      <c r="A706" s="128">
        <v>7670</v>
      </c>
      <c r="B706" s="124">
        <v>267.44900000000001</v>
      </c>
      <c r="C706" s="128">
        <v>7680</v>
      </c>
      <c r="D706" s="125">
        <v>265.32299999999998</v>
      </c>
      <c r="E706" s="126">
        <v>7670</v>
      </c>
      <c r="F706" s="125">
        <v>628.86699999999996</v>
      </c>
      <c r="G706" s="127">
        <v>7670</v>
      </c>
      <c r="H706" s="125">
        <v>628.91300000000001</v>
      </c>
      <c r="I706" s="127">
        <v>7670</v>
      </c>
      <c r="J706" s="125">
        <v>564.26800000000003</v>
      </c>
      <c r="K706" s="127">
        <v>7670</v>
      </c>
      <c r="L706" s="125">
        <v>563.66800000000001</v>
      </c>
      <c r="M706" s="127">
        <v>7670</v>
      </c>
      <c r="N706" s="125">
        <v>564.11</v>
      </c>
      <c r="O706" s="127">
        <v>7650</v>
      </c>
      <c r="P706" s="125">
        <v>565.19500000000005</v>
      </c>
      <c r="Q706" s="127">
        <v>7670</v>
      </c>
      <c r="R706" s="125">
        <v>564.83399999999995</v>
      </c>
      <c r="S706" s="127">
        <v>7670</v>
      </c>
      <c r="T706" s="125">
        <v>565.50900000000001</v>
      </c>
      <c r="U706" s="127">
        <v>7660</v>
      </c>
      <c r="V706" s="125">
        <v>565.03800000000001</v>
      </c>
      <c r="W706" s="127">
        <v>7670</v>
      </c>
      <c r="X706" s="125">
        <v>564.51300000000003</v>
      </c>
      <c r="Y706" s="127">
        <v>7670</v>
      </c>
      <c r="Z706" s="125">
        <v>562.89300000000003</v>
      </c>
      <c r="AA706" s="127">
        <v>7670</v>
      </c>
      <c r="AB706" s="125">
        <v>563.15</v>
      </c>
      <c r="AC706" s="127">
        <v>7660</v>
      </c>
      <c r="AD706" s="125">
        <v>486.99400000000003</v>
      </c>
      <c r="AE706" s="127">
        <v>7670</v>
      </c>
      <c r="AF706" s="125">
        <v>488.59399999999999</v>
      </c>
      <c r="AG706" s="127">
        <v>7650</v>
      </c>
      <c r="AH706" s="125">
        <v>119.111</v>
      </c>
      <c r="AI706" s="127">
        <v>7650</v>
      </c>
      <c r="AJ706" s="125">
        <v>125.762</v>
      </c>
    </row>
    <row r="707" spans="1:36" ht="14.25">
      <c r="A707" s="128">
        <v>7680</v>
      </c>
      <c r="B707" s="124">
        <v>266.71600000000001</v>
      </c>
      <c r="C707" s="128">
        <v>7690</v>
      </c>
      <c r="D707" s="125">
        <v>264.59399999999999</v>
      </c>
      <c r="E707" s="126">
        <v>7680</v>
      </c>
      <c r="F707" s="125">
        <v>627.40200000000004</v>
      </c>
      <c r="G707" s="127">
        <v>7680</v>
      </c>
      <c r="H707" s="125">
        <v>627.44899999999996</v>
      </c>
      <c r="I707" s="127">
        <v>7680</v>
      </c>
      <c r="J707" s="125">
        <v>563.05600000000004</v>
      </c>
      <c r="K707" s="127">
        <v>7680</v>
      </c>
      <c r="L707" s="125">
        <v>562.45399999999995</v>
      </c>
      <c r="M707" s="127">
        <v>7680</v>
      </c>
      <c r="N707" s="125">
        <v>562.89800000000002</v>
      </c>
      <c r="O707" s="127">
        <v>7660</v>
      </c>
      <c r="P707" s="125">
        <v>563.98299999999995</v>
      </c>
      <c r="Q707" s="127">
        <v>7680</v>
      </c>
      <c r="R707" s="125">
        <v>563.62199999999996</v>
      </c>
      <c r="S707" s="127">
        <v>7680</v>
      </c>
      <c r="T707" s="125">
        <v>564.29700000000003</v>
      </c>
      <c r="U707" s="127">
        <v>7670</v>
      </c>
      <c r="V707" s="125">
        <v>563.82799999999997</v>
      </c>
      <c r="W707" s="127">
        <v>7680</v>
      </c>
      <c r="X707" s="125">
        <v>563.30200000000002</v>
      </c>
      <c r="Y707" s="127">
        <v>7680</v>
      </c>
      <c r="Z707" s="125">
        <v>561.68200000000002</v>
      </c>
      <c r="AA707" s="127">
        <v>7680</v>
      </c>
      <c r="AB707" s="125">
        <v>561.94000000000005</v>
      </c>
      <c r="AC707" s="127">
        <v>7670</v>
      </c>
      <c r="AD707" s="125">
        <v>485.78500000000003</v>
      </c>
      <c r="AE707" s="127">
        <v>7680</v>
      </c>
      <c r="AF707" s="125">
        <v>487.38499999999999</v>
      </c>
      <c r="AG707" s="127">
        <v>7660</v>
      </c>
      <c r="AH707" s="125">
        <v>118.749</v>
      </c>
      <c r="AI707" s="127">
        <v>7660</v>
      </c>
      <c r="AJ707" s="125">
        <v>125.384</v>
      </c>
    </row>
    <row r="708" spans="1:36" ht="14.25">
      <c r="A708" s="128">
        <v>7690</v>
      </c>
      <c r="B708" s="124">
        <v>265.983</v>
      </c>
      <c r="C708" s="128">
        <v>7700</v>
      </c>
      <c r="D708" s="125">
        <v>263.86500000000001</v>
      </c>
      <c r="E708" s="126">
        <v>7690</v>
      </c>
      <c r="F708" s="125">
        <v>625.93700000000001</v>
      </c>
      <c r="G708" s="127">
        <v>7690</v>
      </c>
      <c r="H708" s="125">
        <v>625.98400000000004</v>
      </c>
      <c r="I708" s="127">
        <v>7690</v>
      </c>
      <c r="J708" s="125">
        <v>561.84400000000005</v>
      </c>
      <c r="K708" s="127">
        <v>7690</v>
      </c>
      <c r="L708" s="125">
        <v>561.24099999999999</v>
      </c>
      <c r="M708" s="127">
        <v>7690</v>
      </c>
      <c r="N708" s="125">
        <v>561.68600000000004</v>
      </c>
      <c r="O708" s="127">
        <v>7670</v>
      </c>
      <c r="P708" s="125">
        <v>562.77</v>
      </c>
      <c r="Q708" s="127">
        <v>7690</v>
      </c>
      <c r="R708" s="125">
        <v>562.41</v>
      </c>
      <c r="S708" s="127">
        <v>7690</v>
      </c>
      <c r="T708" s="125">
        <v>563.08500000000004</v>
      </c>
      <c r="U708" s="127">
        <v>7680</v>
      </c>
      <c r="V708" s="125">
        <v>562.61800000000005</v>
      </c>
      <c r="W708" s="127">
        <v>7690</v>
      </c>
      <c r="X708" s="125">
        <v>562.09100000000001</v>
      </c>
      <c r="Y708" s="127">
        <v>7690</v>
      </c>
      <c r="Z708" s="125">
        <v>560.471</v>
      </c>
      <c r="AA708" s="127">
        <v>7690</v>
      </c>
      <c r="AB708" s="125">
        <v>560.73</v>
      </c>
      <c r="AC708" s="127">
        <v>7680</v>
      </c>
      <c r="AD708" s="125">
        <v>484.577</v>
      </c>
      <c r="AE708" s="127">
        <v>7690</v>
      </c>
      <c r="AF708" s="125">
        <v>486.17700000000002</v>
      </c>
      <c r="AG708" s="127">
        <v>7670</v>
      </c>
      <c r="AH708" s="125">
        <v>118.386</v>
      </c>
      <c r="AI708" s="127">
        <v>7670</v>
      </c>
      <c r="AJ708" s="125">
        <v>125.008</v>
      </c>
    </row>
    <row r="709" spans="1:36" ht="14.25">
      <c r="A709" s="128">
        <v>7700</v>
      </c>
      <c r="B709" s="124">
        <v>265.25</v>
      </c>
      <c r="C709" s="128">
        <v>7710</v>
      </c>
      <c r="D709" s="125">
        <v>263.13600000000002</v>
      </c>
      <c r="E709" s="126">
        <v>7700</v>
      </c>
      <c r="F709" s="125">
        <v>624.47199999999998</v>
      </c>
      <c r="G709" s="127">
        <v>7700</v>
      </c>
      <c r="H709" s="125">
        <v>624.52</v>
      </c>
      <c r="I709" s="127">
        <v>7700</v>
      </c>
      <c r="J709" s="125">
        <v>560.63199999999995</v>
      </c>
      <c r="K709" s="127">
        <v>7700</v>
      </c>
      <c r="L709" s="125">
        <v>560.02700000000004</v>
      </c>
      <c r="M709" s="127">
        <v>7700</v>
      </c>
      <c r="N709" s="125">
        <v>560.47400000000005</v>
      </c>
      <c r="O709" s="127">
        <v>7680</v>
      </c>
      <c r="P709" s="125">
        <v>561.55799999999999</v>
      </c>
      <c r="Q709" s="127">
        <v>7700</v>
      </c>
      <c r="R709" s="125">
        <v>561.19799999999998</v>
      </c>
      <c r="S709" s="127">
        <v>7700</v>
      </c>
      <c r="T709" s="125">
        <v>561.87300000000005</v>
      </c>
      <c r="U709" s="127">
        <v>7690</v>
      </c>
      <c r="V709" s="125">
        <v>561.40800000000002</v>
      </c>
      <c r="W709" s="127">
        <v>7700</v>
      </c>
      <c r="X709" s="125">
        <v>560.88</v>
      </c>
      <c r="Y709" s="127">
        <v>7700</v>
      </c>
      <c r="Z709" s="133">
        <v>559.26</v>
      </c>
      <c r="AA709" s="127">
        <v>7700</v>
      </c>
      <c r="AB709" s="125">
        <v>559.52</v>
      </c>
      <c r="AC709" s="127">
        <v>7690</v>
      </c>
      <c r="AD709" s="125">
        <v>483.36799999999999</v>
      </c>
      <c r="AE709" s="127">
        <v>7700</v>
      </c>
      <c r="AF709" s="125">
        <v>484.96899999999999</v>
      </c>
      <c r="AG709" s="127">
        <v>7680</v>
      </c>
      <c r="AH709" s="125">
        <v>118.024</v>
      </c>
      <c r="AI709" s="127">
        <v>7680</v>
      </c>
      <c r="AJ709" s="125">
        <v>124.631</v>
      </c>
    </row>
    <row r="710" spans="1:36" ht="14.25">
      <c r="A710" s="128">
        <v>7710</v>
      </c>
      <c r="B710" s="124">
        <v>264.517</v>
      </c>
      <c r="C710" s="128">
        <v>7720</v>
      </c>
      <c r="D710" s="125">
        <v>262.40699999999998</v>
      </c>
      <c r="E710" s="126">
        <v>7710</v>
      </c>
      <c r="F710" s="125">
        <v>623.00800000000004</v>
      </c>
      <c r="G710" s="127">
        <v>7710</v>
      </c>
      <c r="H710" s="125">
        <v>623.05600000000004</v>
      </c>
      <c r="I710" s="127">
        <v>7710</v>
      </c>
      <c r="J710" s="125">
        <v>559.41999999999996</v>
      </c>
      <c r="K710" s="127">
        <v>7710</v>
      </c>
      <c r="L710" s="125">
        <v>558.81399999999996</v>
      </c>
      <c r="M710" s="127">
        <v>7710</v>
      </c>
      <c r="N710" s="125">
        <v>559.26199999999994</v>
      </c>
      <c r="O710" s="127">
        <v>7690</v>
      </c>
      <c r="P710" s="125">
        <v>560.346</v>
      </c>
      <c r="Q710" s="127">
        <v>7710</v>
      </c>
      <c r="R710" s="125">
        <v>559.98599999999999</v>
      </c>
      <c r="S710" s="127">
        <v>7710</v>
      </c>
      <c r="T710" s="125">
        <v>560.66</v>
      </c>
      <c r="U710" s="127">
        <v>7700</v>
      </c>
      <c r="V710" s="125">
        <v>560.19799999999998</v>
      </c>
      <c r="W710" s="127">
        <v>7710</v>
      </c>
      <c r="X710" s="125">
        <v>559.66899999999998</v>
      </c>
      <c r="Y710" s="127">
        <v>7710</v>
      </c>
      <c r="Z710" s="125">
        <v>558.04899999999998</v>
      </c>
      <c r="AA710" s="127">
        <v>7710</v>
      </c>
      <c r="AB710" s="125">
        <v>558.30999999999995</v>
      </c>
      <c r="AC710" s="127">
        <v>7700</v>
      </c>
      <c r="AD710" s="125">
        <v>482.15899999999999</v>
      </c>
      <c r="AE710" s="127">
        <v>7710</v>
      </c>
      <c r="AF710" s="125">
        <v>483.76100000000002</v>
      </c>
      <c r="AG710" s="127">
        <v>7690</v>
      </c>
      <c r="AH710" s="125">
        <v>117.663</v>
      </c>
      <c r="AI710" s="127">
        <v>7690</v>
      </c>
      <c r="AJ710" s="125">
        <v>124.255</v>
      </c>
    </row>
    <row r="711" spans="1:36" ht="14.25">
      <c r="A711" s="128">
        <v>7720</v>
      </c>
      <c r="B711" s="124">
        <v>263.78500000000003</v>
      </c>
      <c r="C711" s="128">
        <v>7730</v>
      </c>
      <c r="D711" s="125">
        <v>261.67899999999997</v>
      </c>
      <c r="E711" s="126">
        <v>7720</v>
      </c>
      <c r="F711" s="125">
        <v>621.54300000000001</v>
      </c>
      <c r="G711" s="127">
        <v>7720</v>
      </c>
      <c r="H711" s="125">
        <v>621.59199999999998</v>
      </c>
      <c r="I711" s="127">
        <v>7720</v>
      </c>
      <c r="J711" s="125">
        <v>558.20799999999997</v>
      </c>
      <c r="K711" s="127">
        <v>7720</v>
      </c>
      <c r="L711" s="125">
        <v>557.6</v>
      </c>
      <c r="M711" s="127">
        <v>7720</v>
      </c>
      <c r="N711" s="125">
        <v>558.04899999999998</v>
      </c>
      <c r="O711" s="127">
        <v>7700</v>
      </c>
      <c r="P711" s="125">
        <v>559.13300000000004</v>
      </c>
      <c r="Q711" s="127">
        <v>7720</v>
      </c>
      <c r="R711" s="125">
        <v>558.774</v>
      </c>
      <c r="S711" s="127">
        <v>7720</v>
      </c>
      <c r="T711" s="125">
        <v>559.44799999999998</v>
      </c>
      <c r="U711" s="127">
        <v>7710</v>
      </c>
      <c r="V711" s="125">
        <v>558.98800000000006</v>
      </c>
      <c r="W711" s="127">
        <v>7720</v>
      </c>
      <c r="X711" s="125">
        <v>558.45799999999997</v>
      </c>
      <c r="Y711" s="127">
        <v>7720</v>
      </c>
      <c r="Z711" s="125">
        <v>556.83799999999997</v>
      </c>
      <c r="AA711" s="127">
        <v>7720</v>
      </c>
      <c r="AB711" s="125">
        <v>557.1</v>
      </c>
      <c r="AC711" s="127">
        <v>7710</v>
      </c>
      <c r="AD711" s="125">
        <v>480.95100000000002</v>
      </c>
      <c r="AE711" s="127">
        <v>7720</v>
      </c>
      <c r="AF711" s="125">
        <v>482.55200000000002</v>
      </c>
      <c r="AG711" s="127">
        <v>7700</v>
      </c>
      <c r="AH711" s="125">
        <v>117.30200000000001</v>
      </c>
      <c r="AI711" s="127">
        <v>7700</v>
      </c>
      <c r="AJ711" s="125">
        <v>123.88</v>
      </c>
    </row>
    <row r="712" spans="1:36" ht="14.25">
      <c r="A712" s="128">
        <v>7730</v>
      </c>
      <c r="B712" s="124">
        <v>263.05200000000002</v>
      </c>
      <c r="C712" s="128">
        <v>7740</v>
      </c>
      <c r="D712" s="125">
        <v>260.95</v>
      </c>
      <c r="E712" s="126">
        <v>7730</v>
      </c>
      <c r="F712" s="125">
        <v>620.07899999999995</v>
      </c>
      <c r="G712" s="127">
        <v>7730</v>
      </c>
      <c r="H712" s="125">
        <v>620.12800000000004</v>
      </c>
      <c r="I712" s="127">
        <v>7730</v>
      </c>
      <c r="J712" s="125">
        <v>556.99599999999998</v>
      </c>
      <c r="K712" s="127">
        <v>7730</v>
      </c>
      <c r="L712" s="125">
        <v>556.38699999999994</v>
      </c>
      <c r="M712" s="127">
        <v>7730</v>
      </c>
      <c r="N712" s="125">
        <v>556.83699999999999</v>
      </c>
      <c r="O712" s="127">
        <v>7710</v>
      </c>
      <c r="P712" s="125">
        <v>557.92100000000005</v>
      </c>
      <c r="Q712" s="127">
        <v>7730</v>
      </c>
      <c r="R712" s="125">
        <v>557.56100000000004</v>
      </c>
      <c r="S712" s="127">
        <v>7730</v>
      </c>
      <c r="T712" s="125">
        <v>558.23599999999999</v>
      </c>
      <c r="U712" s="127">
        <v>7720</v>
      </c>
      <c r="V712" s="125">
        <v>557.77700000000004</v>
      </c>
      <c r="W712" s="127">
        <v>7730</v>
      </c>
      <c r="X712" s="125">
        <v>557.24699999999996</v>
      </c>
      <c r="Y712" s="127">
        <v>7730</v>
      </c>
      <c r="Z712" s="125">
        <v>555.62699999999995</v>
      </c>
      <c r="AA712" s="127">
        <v>7730</v>
      </c>
      <c r="AB712" s="125">
        <v>555.89</v>
      </c>
      <c r="AC712" s="127">
        <v>7720</v>
      </c>
      <c r="AD712" s="125">
        <v>479.74200000000002</v>
      </c>
      <c r="AE712" s="127">
        <v>7730</v>
      </c>
      <c r="AF712" s="125">
        <v>481.34399999999999</v>
      </c>
      <c r="AG712" s="127">
        <v>7710</v>
      </c>
      <c r="AH712" s="125">
        <v>116.941</v>
      </c>
      <c r="AI712" s="127">
        <v>7710</v>
      </c>
      <c r="AJ712" s="125">
        <v>123.505</v>
      </c>
    </row>
    <row r="713" spans="1:36" ht="14.25">
      <c r="A713" s="128">
        <v>7740</v>
      </c>
      <c r="B713" s="124">
        <v>262.32</v>
      </c>
      <c r="C713" s="128">
        <v>7750</v>
      </c>
      <c r="D713" s="125">
        <v>260.22199999999998</v>
      </c>
      <c r="E713" s="126">
        <v>7740</v>
      </c>
      <c r="F713" s="125">
        <v>618.61400000000003</v>
      </c>
      <c r="G713" s="127">
        <v>7740</v>
      </c>
      <c r="H713" s="125">
        <v>618.66399999999999</v>
      </c>
      <c r="I713" s="127">
        <v>7740</v>
      </c>
      <c r="J713" s="125">
        <v>555.78300000000002</v>
      </c>
      <c r="K713" s="127">
        <v>7740</v>
      </c>
      <c r="L713" s="125">
        <v>555.173</v>
      </c>
      <c r="M713" s="127">
        <v>7740</v>
      </c>
      <c r="N713" s="125">
        <v>555.625</v>
      </c>
      <c r="O713" s="127">
        <v>7720</v>
      </c>
      <c r="P713" s="125">
        <v>556.70899999999995</v>
      </c>
      <c r="Q713" s="127">
        <v>7740</v>
      </c>
      <c r="R713" s="125">
        <v>556.34900000000005</v>
      </c>
      <c r="S713" s="127">
        <v>7740</v>
      </c>
      <c r="T713" s="125">
        <v>557.024</v>
      </c>
      <c r="U713" s="127">
        <v>7730</v>
      </c>
      <c r="V713" s="125">
        <v>556.56700000000001</v>
      </c>
      <c r="W713" s="127">
        <v>7740</v>
      </c>
      <c r="X713" s="125">
        <v>556.03599999999994</v>
      </c>
      <c r="Y713" s="127">
        <v>7740</v>
      </c>
      <c r="Z713" s="125">
        <v>554.41600000000005</v>
      </c>
      <c r="AA713" s="127">
        <v>7740</v>
      </c>
      <c r="AB713" s="125">
        <v>554.67999999999995</v>
      </c>
      <c r="AC713" s="127">
        <v>7730</v>
      </c>
      <c r="AD713" s="125">
        <v>478.53399999999999</v>
      </c>
      <c r="AE713" s="127">
        <v>7740</v>
      </c>
      <c r="AF713" s="125">
        <v>480.13600000000002</v>
      </c>
      <c r="AG713" s="127">
        <v>7720</v>
      </c>
      <c r="AH713" s="125">
        <v>116.581</v>
      </c>
      <c r="AI713" s="127">
        <v>7720</v>
      </c>
      <c r="AJ713" s="125">
        <v>123.13</v>
      </c>
    </row>
    <row r="714" spans="1:36" ht="14.25">
      <c r="A714" s="128">
        <v>7750</v>
      </c>
      <c r="B714" s="124">
        <v>261.58800000000002</v>
      </c>
      <c r="C714" s="128">
        <v>7760</v>
      </c>
      <c r="D714" s="125">
        <v>259.49400000000003</v>
      </c>
      <c r="E714" s="126">
        <v>7750</v>
      </c>
      <c r="F714" s="125">
        <v>617.15</v>
      </c>
      <c r="G714" s="127">
        <v>7750</v>
      </c>
      <c r="H714" s="125">
        <v>617.20000000000005</v>
      </c>
      <c r="I714" s="127">
        <v>7750</v>
      </c>
      <c r="J714" s="125">
        <v>554.57100000000003</v>
      </c>
      <c r="K714" s="127">
        <v>7750</v>
      </c>
      <c r="L714" s="125">
        <v>553.96</v>
      </c>
      <c r="M714" s="127">
        <v>7750</v>
      </c>
      <c r="N714" s="125">
        <v>554.41300000000001</v>
      </c>
      <c r="O714" s="127">
        <v>7730</v>
      </c>
      <c r="P714" s="125">
        <v>555.49599999999998</v>
      </c>
      <c r="Q714" s="127">
        <v>7750</v>
      </c>
      <c r="R714" s="125">
        <v>555.13699999999994</v>
      </c>
      <c r="S714" s="127">
        <v>7750</v>
      </c>
      <c r="T714" s="125">
        <v>555.81200000000001</v>
      </c>
      <c r="U714" s="127">
        <v>7740</v>
      </c>
      <c r="V714" s="125">
        <v>555.35699999999997</v>
      </c>
      <c r="W714" s="127">
        <v>7750</v>
      </c>
      <c r="X714" s="125">
        <v>554.82500000000005</v>
      </c>
      <c r="Y714" s="127">
        <v>7750</v>
      </c>
      <c r="Z714" s="125">
        <v>553.20500000000004</v>
      </c>
      <c r="AA714" s="127">
        <v>7750</v>
      </c>
      <c r="AB714" s="125">
        <v>553.47</v>
      </c>
      <c r="AC714" s="127">
        <v>7740</v>
      </c>
      <c r="AD714" s="125">
        <v>477.32499999999999</v>
      </c>
      <c r="AE714" s="127">
        <v>7750</v>
      </c>
      <c r="AF714" s="125">
        <v>478.928</v>
      </c>
      <c r="AG714" s="127">
        <v>7730</v>
      </c>
      <c r="AH714" s="125">
        <v>116.221</v>
      </c>
      <c r="AI714" s="127">
        <v>7730</v>
      </c>
      <c r="AJ714" s="125">
        <v>122.756</v>
      </c>
    </row>
    <row r="715" spans="1:36" ht="14.25">
      <c r="A715" s="128">
        <v>7760</v>
      </c>
      <c r="B715" s="124">
        <v>260.85599999999999</v>
      </c>
      <c r="C715" s="128">
        <v>7770</v>
      </c>
      <c r="D715" s="125">
        <v>258.767</v>
      </c>
      <c r="E715" s="126">
        <v>7760</v>
      </c>
      <c r="F715" s="125">
        <v>615.68600000000004</v>
      </c>
      <c r="G715" s="127">
        <v>7760</v>
      </c>
      <c r="H715" s="125">
        <v>615.73699999999997</v>
      </c>
      <c r="I715" s="127">
        <v>7760</v>
      </c>
      <c r="J715" s="125">
        <v>553.35900000000004</v>
      </c>
      <c r="K715" s="127">
        <v>7760</v>
      </c>
      <c r="L715" s="125">
        <v>552.74599999999998</v>
      </c>
      <c r="M715" s="127">
        <v>7760</v>
      </c>
      <c r="N715" s="125">
        <v>553.20100000000002</v>
      </c>
      <c r="O715" s="127">
        <v>7740</v>
      </c>
      <c r="P715" s="125">
        <v>554.28399999999999</v>
      </c>
      <c r="Q715" s="127">
        <v>7760</v>
      </c>
      <c r="R715" s="125">
        <v>553.92499999999995</v>
      </c>
      <c r="S715" s="127">
        <v>7760</v>
      </c>
      <c r="T715" s="125">
        <v>554.6</v>
      </c>
      <c r="U715" s="127">
        <v>7750</v>
      </c>
      <c r="V715" s="125">
        <v>554.14700000000005</v>
      </c>
      <c r="W715" s="127">
        <v>7760</v>
      </c>
      <c r="X715" s="125">
        <v>553.61400000000003</v>
      </c>
      <c r="Y715" s="127">
        <v>7760</v>
      </c>
      <c r="Z715" s="125">
        <v>551.99400000000003</v>
      </c>
      <c r="AA715" s="127">
        <v>7760</v>
      </c>
      <c r="AB715" s="125">
        <v>552.26</v>
      </c>
      <c r="AC715" s="127">
        <v>7750</v>
      </c>
      <c r="AD715" s="125">
        <v>476.11700000000002</v>
      </c>
      <c r="AE715" s="127">
        <v>7760</v>
      </c>
      <c r="AF715" s="125">
        <v>477.72</v>
      </c>
      <c r="AG715" s="127">
        <v>7740</v>
      </c>
      <c r="AH715" s="125">
        <v>115.86199999999999</v>
      </c>
      <c r="AI715" s="127">
        <v>7740</v>
      </c>
      <c r="AJ715" s="125">
        <v>122.38200000000001</v>
      </c>
    </row>
    <row r="716" spans="1:36" ht="14.25">
      <c r="A716" s="128">
        <v>7770</v>
      </c>
      <c r="B716" s="124">
        <v>260.125</v>
      </c>
      <c r="C716" s="128">
        <v>7780</v>
      </c>
      <c r="D716" s="125">
        <v>258.03899999999999</v>
      </c>
      <c r="E716" s="126">
        <v>7770</v>
      </c>
      <c r="F716" s="125">
        <v>614.22199999999998</v>
      </c>
      <c r="G716" s="127">
        <v>7770</v>
      </c>
      <c r="H716" s="125">
        <v>614.27300000000002</v>
      </c>
      <c r="I716" s="127">
        <v>7770</v>
      </c>
      <c r="J716" s="125">
        <v>552.14700000000005</v>
      </c>
      <c r="K716" s="127">
        <v>7770</v>
      </c>
      <c r="L716" s="125">
        <v>551.53300000000002</v>
      </c>
      <c r="M716" s="127">
        <v>7770</v>
      </c>
      <c r="N716" s="125">
        <v>551.98900000000003</v>
      </c>
      <c r="O716" s="127">
        <v>7750</v>
      </c>
      <c r="P716" s="125">
        <v>553.07100000000003</v>
      </c>
      <c r="Q716" s="127">
        <v>7770</v>
      </c>
      <c r="R716" s="125">
        <v>552.71299999999997</v>
      </c>
      <c r="S716" s="127">
        <v>7770</v>
      </c>
      <c r="T716" s="125">
        <v>553.38800000000003</v>
      </c>
      <c r="U716" s="127">
        <v>7760</v>
      </c>
      <c r="V716" s="125">
        <v>552.93700000000001</v>
      </c>
      <c r="W716" s="127">
        <v>7770</v>
      </c>
      <c r="X716" s="125">
        <v>552.40300000000002</v>
      </c>
      <c r="Y716" s="127">
        <v>7770</v>
      </c>
      <c r="Z716" s="125">
        <v>550.78300000000002</v>
      </c>
      <c r="AA716" s="127">
        <v>7770</v>
      </c>
      <c r="AB716" s="125">
        <v>551.04999999999995</v>
      </c>
      <c r="AC716" s="127">
        <v>7760</v>
      </c>
      <c r="AD716" s="125">
        <v>474.90899999999999</v>
      </c>
      <c r="AE716" s="127">
        <v>7770</v>
      </c>
      <c r="AF716" s="125">
        <v>476.512</v>
      </c>
      <c r="AG716" s="127">
        <v>7750</v>
      </c>
      <c r="AH716" s="125">
        <v>115.503</v>
      </c>
      <c r="AI716" s="127">
        <v>7750</v>
      </c>
      <c r="AJ716" s="125">
        <v>122.008</v>
      </c>
    </row>
    <row r="717" spans="1:36" ht="14.25">
      <c r="A717" s="128">
        <v>7780</v>
      </c>
      <c r="B717" s="124">
        <v>259.39400000000001</v>
      </c>
      <c r="C717" s="128">
        <v>7790</v>
      </c>
      <c r="D717" s="125">
        <v>257.31200000000001</v>
      </c>
      <c r="E717" s="126">
        <v>7780</v>
      </c>
      <c r="F717" s="125">
        <v>612.75800000000004</v>
      </c>
      <c r="G717" s="127">
        <v>7780</v>
      </c>
      <c r="H717" s="125">
        <v>612.80999999999995</v>
      </c>
      <c r="I717" s="127">
        <v>7780</v>
      </c>
      <c r="J717" s="125">
        <v>550.93499999999995</v>
      </c>
      <c r="K717" s="127">
        <v>7780</v>
      </c>
      <c r="L717" s="125">
        <v>550.32000000000005</v>
      </c>
      <c r="M717" s="127">
        <v>7780</v>
      </c>
      <c r="N717" s="125">
        <v>550.77700000000004</v>
      </c>
      <c r="O717" s="127">
        <v>7760</v>
      </c>
      <c r="P717" s="125">
        <v>551.85900000000004</v>
      </c>
      <c r="Q717" s="127">
        <v>7780</v>
      </c>
      <c r="R717" s="125">
        <v>551.50099999999998</v>
      </c>
      <c r="S717" s="127">
        <v>7780</v>
      </c>
      <c r="T717" s="125">
        <v>552.17600000000004</v>
      </c>
      <c r="U717" s="127">
        <v>7770</v>
      </c>
      <c r="V717" s="125">
        <v>551.72699999999998</v>
      </c>
      <c r="W717" s="127">
        <v>7780</v>
      </c>
      <c r="X717" s="125">
        <v>551.19200000000001</v>
      </c>
      <c r="Y717" s="127">
        <v>7780</v>
      </c>
      <c r="Z717" s="125">
        <v>549.572</v>
      </c>
      <c r="AA717" s="127">
        <v>7780</v>
      </c>
      <c r="AB717" s="125">
        <v>549.84</v>
      </c>
      <c r="AC717" s="127">
        <v>7770</v>
      </c>
      <c r="AD717" s="125">
        <v>473.7</v>
      </c>
      <c r="AE717" s="127">
        <v>7780</v>
      </c>
      <c r="AF717" s="125">
        <v>475.30399999999997</v>
      </c>
      <c r="AG717" s="127">
        <v>7760</v>
      </c>
      <c r="AH717" s="125">
        <v>115.14400000000001</v>
      </c>
      <c r="AI717" s="127">
        <v>7760</v>
      </c>
      <c r="AJ717" s="125">
        <v>121.63500000000001</v>
      </c>
    </row>
    <row r="718" spans="1:36" ht="14.25">
      <c r="A718" s="128">
        <v>7790</v>
      </c>
      <c r="B718" s="124">
        <v>258.66300000000001</v>
      </c>
      <c r="C718" s="128">
        <v>7800</v>
      </c>
      <c r="D718" s="125">
        <v>256.58499999999998</v>
      </c>
      <c r="E718" s="126">
        <v>7790</v>
      </c>
      <c r="F718" s="125">
        <v>611.29399999999998</v>
      </c>
      <c r="G718" s="127">
        <v>7790</v>
      </c>
      <c r="H718" s="125">
        <v>611.346</v>
      </c>
      <c r="I718" s="127">
        <v>7790</v>
      </c>
      <c r="J718" s="125">
        <v>549.72299999999996</v>
      </c>
      <c r="K718" s="127">
        <v>7790</v>
      </c>
      <c r="L718" s="125">
        <v>549.10599999999999</v>
      </c>
      <c r="M718" s="127">
        <v>7790</v>
      </c>
      <c r="N718" s="125">
        <v>549.56500000000005</v>
      </c>
      <c r="O718" s="127">
        <v>7770</v>
      </c>
      <c r="P718" s="125">
        <v>550.64700000000005</v>
      </c>
      <c r="Q718" s="127">
        <v>7790</v>
      </c>
      <c r="R718" s="125">
        <v>550.28899999999999</v>
      </c>
      <c r="S718" s="127">
        <v>7790</v>
      </c>
      <c r="T718" s="125">
        <v>550.96400000000006</v>
      </c>
      <c r="U718" s="127">
        <v>7780</v>
      </c>
      <c r="V718" s="125">
        <v>550.51700000000005</v>
      </c>
      <c r="W718" s="127">
        <v>7790</v>
      </c>
      <c r="X718" s="125">
        <v>549.98099999999999</v>
      </c>
      <c r="Y718" s="127">
        <v>7790</v>
      </c>
      <c r="Z718" s="125">
        <v>548.36099999999999</v>
      </c>
      <c r="AA718" s="127">
        <v>7790</v>
      </c>
      <c r="AB718" s="125">
        <v>548.63</v>
      </c>
      <c r="AC718" s="127">
        <v>7780</v>
      </c>
      <c r="AD718" s="125">
        <v>472.49200000000002</v>
      </c>
      <c r="AE718" s="127">
        <v>7790</v>
      </c>
      <c r="AF718" s="125">
        <v>474.096</v>
      </c>
      <c r="AG718" s="127">
        <v>7770</v>
      </c>
      <c r="AH718" s="125">
        <v>114.786</v>
      </c>
      <c r="AI718" s="127">
        <v>7770</v>
      </c>
      <c r="AJ718" s="125">
        <v>121.26300000000001</v>
      </c>
    </row>
    <row r="719" spans="1:36" ht="14.25">
      <c r="A719" s="128">
        <v>7800</v>
      </c>
      <c r="B719" s="124">
        <v>257.93200000000002</v>
      </c>
      <c r="C719" s="128">
        <v>7810</v>
      </c>
      <c r="D719" s="125">
        <v>255.858</v>
      </c>
      <c r="E719" s="126">
        <v>7800</v>
      </c>
      <c r="F719" s="125">
        <v>609.83000000000004</v>
      </c>
      <c r="G719" s="127">
        <v>7800</v>
      </c>
      <c r="H719" s="125">
        <v>609.88300000000004</v>
      </c>
      <c r="I719" s="127">
        <v>7800</v>
      </c>
      <c r="J719" s="125">
        <v>548.51099999999997</v>
      </c>
      <c r="K719" s="127">
        <v>7800</v>
      </c>
      <c r="L719" s="125">
        <v>547.89300000000003</v>
      </c>
      <c r="M719" s="127">
        <v>7800</v>
      </c>
      <c r="N719" s="125">
        <v>548.35299999999995</v>
      </c>
      <c r="O719" s="127">
        <v>7780</v>
      </c>
      <c r="P719" s="125">
        <v>549.43399999999997</v>
      </c>
      <c r="Q719" s="127">
        <v>7800</v>
      </c>
      <c r="R719" s="125">
        <v>549.07600000000002</v>
      </c>
      <c r="S719" s="127">
        <v>7800</v>
      </c>
      <c r="T719" s="125">
        <v>549.75099999999998</v>
      </c>
      <c r="U719" s="127">
        <v>7790</v>
      </c>
      <c r="V719" s="125">
        <v>549.30600000000004</v>
      </c>
      <c r="W719" s="127">
        <v>7800</v>
      </c>
      <c r="X719" s="125">
        <v>548.77</v>
      </c>
      <c r="Y719" s="127">
        <v>7800</v>
      </c>
      <c r="Z719" s="125">
        <v>547.15</v>
      </c>
      <c r="AA719" s="127">
        <v>7800</v>
      </c>
      <c r="AB719" s="125">
        <v>547.41999999999996</v>
      </c>
      <c r="AC719" s="127">
        <v>7790</v>
      </c>
      <c r="AD719" s="125">
        <v>471.28399999999999</v>
      </c>
      <c r="AE719" s="127">
        <v>7800</v>
      </c>
      <c r="AF719" s="125">
        <v>472.88799999999998</v>
      </c>
      <c r="AG719" s="127">
        <v>7780</v>
      </c>
      <c r="AH719" s="125">
        <v>114.429</v>
      </c>
      <c r="AI719" s="127">
        <v>7780</v>
      </c>
      <c r="AJ719" s="125">
        <v>120.89100000000001</v>
      </c>
    </row>
    <row r="720" spans="1:36" ht="14.25">
      <c r="A720" s="128">
        <v>7810</v>
      </c>
      <c r="B720" s="124">
        <v>257.20100000000002</v>
      </c>
      <c r="C720" s="128">
        <v>7820</v>
      </c>
      <c r="D720" s="125">
        <v>255.13200000000001</v>
      </c>
      <c r="E720" s="126">
        <v>7810</v>
      </c>
      <c r="F720" s="125">
        <v>608.36699999999996</v>
      </c>
      <c r="G720" s="127">
        <v>7810</v>
      </c>
      <c r="H720" s="125">
        <v>608.41999999999996</v>
      </c>
      <c r="I720" s="127">
        <v>7810</v>
      </c>
      <c r="J720" s="125">
        <v>547.29899999999998</v>
      </c>
      <c r="K720" s="127">
        <v>7810</v>
      </c>
      <c r="L720" s="125">
        <v>546.67899999999997</v>
      </c>
      <c r="M720" s="127">
        <v>7810</v>
      </c>
      <c r="N720" s="125">
        <v>547.14</v>
      </c>
      <c r="O720" s="127">
        <v>7790</v>
      </c>
      <c r="P720" s="125">
        <v>548.22199999999998</v>
      </c>
      <c r="Q720" s="127">
        <v>7810</v>
      </c>
      <c r="R720" s="125">
        <v>547.86400000000003</v>
      </c>
      <c r="S720" s="127">
        <v>7810</v>
      </c>
      <c r="T720" s="125">
        <v>548.53899999999999</v>
      </c>
      <c r="U720" s="127">
        <v>7800</v>
      </c>
      <c r="V720" s="125">
        <v>548.096</v>
      </c>
      <c r="W720" s="127">
        <v>7810</v>
      </c>
      <c r="X720" s="125">
        <v>547.55899999999997</v>
      </c>
      <c r="Y720" s="127">
        <v>7810</v>
      </c>
      <c r="Z720" s="125">
        <v>545.93899999999996</v>
      </c>
      <c r="AA720" s="127">
        <v>7810</v>
      </c>
      <c r="AB720" s="125">
        <v>546.21</v>
      </c>
      <c r="AC720" s="127">
        <v>7800</v>
      </c>
      <c r="AD720" s="125">
        <v>470.07600000000002</v>
      </c>
      <c r="AE720" s="127">
        <v>7810</v>
      </c>
      <c r="AF720" s="125">
        <v>471.68</v>
      </c>
      <c r="AG720" s="127">
        <v>7790</v>
      </c>
      <c r="AH720" s="125">
        <v>114.072</v>
      </c>
      <c r="AI720" s="127">
        <v>7790</v>
      </c>
      <c r="AJ720" s="125">
        <v>120.51900000000001</v>
      </c>
    </row>
    <row r="721" spans="1:36" ht="14.25">
      <c r="A721" s="128">
        <v>7820</v>
      </c>
      <c r="B721" s="124">
        <v>256.471</v>
      </c>
      <c r="C721" s="128">
        <v>7830</v>
      </c>
      <c r="D721" s="125">
        <v>254.405</v>
      </c>
      <c r="E721" s="126">
        <v>7820</v>
      </c>
      <c r="F721" s="125">
        <v>606.90300000000002</v>
      </c>
      <c r="G721" s="127">
        <v>7820</v>
      </c>
      <c r="H721" s="125">
        <v>606.95699999999999</v>
      </c>
      <c r="I721" s="127">
        <v>7820</v>
      </c>
      <c r="J721" s="125">
        <v>546.08699999999999</v>
      </c>
      <c r="K721" s="127">
        <v>7820</v>
      </c>
      <c r="L721" s="125">
        <v>545.46600000000001</v>
      </c>
      <c r="M721" s="127">
        <v>7820</v>
      </c>
      <c r="N721" s="125">
        <v>545.928</v>
      </c>
      <c r="O721" s="127">
        <v>7800</v>
      </c>
      <c r="P721" s="125">
        <v>547.01</v>
      </c>
      <c r="Q721" s="127">
        <v>7820</v>
      </c>
      <c r="R721" s="125">
        <v>546.65200000000004</v>
      </c>
      <c r="S721" s="127">
        <v>7820</v>
      </c>
      <c r="T721" s="125">
        <v>547.327</v>
      </c>
      <c r="U721" s="127">
        <v>7810</v>
      </c>
      <c r="V721" s="125">
        <v>546.88599999999997</v>
      </c>
      <c r="W721" s="127">
        <v>7820</v>
      </c>
      <c r="X721" s="125">
        <v>546.34799999999996</v>
      </c>
      <c r="Y721" s="127">
        <v>7820</v>
      </c>
      <c r="Z721" s="125">
        <v>544.72799999999995</v>
      </c>
      <c r="AA721" s="127">
        <v>7820</v>
      </c>
      <c r="AB721" s="125">
        <v>545</v>
      </c>
      <c r="AC721" s="127">
        <v>7810</v>
      </c>
      <c r="AD721" s="125">
        <v>468.86799999999999</v>
      </c>
      <c r="AE721" s="127">
        <v>7820</v>
      </c>
      <c r="AF721" s="125">
        <v>470.47199999999998</v>
      </c>
      <c r="AG721" s="127">
        <v>7800</v>
      </c>
      <c r="AH721" s="125">
        <v>113.715</v>
      </c>
      <c r="AI721" s="127">
        <v>7800</v>
      </c>
      <c r="AJ721" s="125">
        <v>120.148</v>
      </c>
    </row>
    <row r="722" spans="1:36" ht="14.25">
      <c r="A722" s="128">
        <v>7830</v>
      </c>
      <c r="B722" s="124">
        <v>255.74100000000001</v>
      </c>
      <c r="C722" s="128">
        <v>7840</v>
      </c>
      <c r="D722" s="125">
        <v>253.679</v>
      </c>
      <c r="E722" s="126">
        <v>7830</v>
      </c>
      <c r="F722" s="125">
        <v>605.44000000000005</v>
      </c>
      <c r="G722" s="127">
        <v>7830</v>
      </c>
      <c r="H722" s="125">
        <v>605.49400000000003</v>
      </c>
      <c r="I722" s="127">
        <v>7830</v>
      </c>
      <c r="J722" s="125">
        <v>544.875</v>
      </c>
      <c r="K722" s="127">
        <v>7830</v>
      </c>
      <c r="L722" s="125">
        <v>544.25199999999995</v>
      </c>
      <c r="M722" s="127">
        <v>7830</v>
      </c>
      <c r="N722" s="125">
        <v>544.71600000000001</v>
      </c>
      <c r="O722" s="127">
        <v>7810</v>
      </c>
      <c r="P722" s="125">
        <v>545.79700000000003</v>
      </c>
      <c r="Q722" s="127">
        <v>7830</v>
      </c>
      <c r="R722" s="125">
        <v>545.44000000000005</v>
      </c>
      <c r="S722" s="127">
        <v>7830</v>
      </c>
      <c r="T722" s="125">
        <v>546.11500000000001</v>
      </c>
      <c r="U722" s="127">
        <v>7820</v>
      </c>
      <c r="V722" s="125">
        <v>545.67600000000004</v>
      </c>
      <c r="W722" s="127">
        <v>7830</v>
      </c>
      <c r="X722" s="125">
        <v>545.13699999999994</v>
      </c>
      <c r="Y722" s="127">
        <v>7830</v>
      </c>
      <c r="Z722" s="125">
        <v>543.51700000000005</v>
      </c>
      <c r="AA722" s="127">
        <v>7830</v>
      </c>
      <c r="AB722" s="125">
        <v>543.79</v>
      </c>
      <c r="AC722" s="127">
        <v>7820</v>
      </c>
      <c r="AD722" s="125">
        <v>467.65899999999999</v>
      </c>
      <c r="AE722" s="127">
        <v>7830</v>
      </c>
      <c r="AF722" s="125">
        <v>469.26400000000001</v>
      </c>
      <c r="AG722" s="127">
        <v>7810</v>
      </c>
      <c r="AH722" s="125">
        <v>113.35899999999999</v>
      </c>
      <c r="AI722" s="127">
        <v>7810</v>
      </c>
      <c r="AJ722" s="125">
        <v>119.777</v>
      </c>
    </row>
    <row r="723" spans="1:36" ht="14.25">
      <c r="A723" s="128">
        <v>7840</v>
      </c>
      <c r="B723" s="124">
        <v>255.011</v>
      </c>
      <c r="C723" s="128">
        <v>7850</v>
      </c>
      <c r="D723" s="125">
        <v>252.953</v>
      </c>
      <c r="E723" s="126">
        <v>7840</v>
      </c>
      <c r="F723" s="125">
        <v>603.97699999999998</v>
      </c>
      <c r="G723" s="127">
        <v>7840</v>
      </c>
      <c r="H723" s="125">
        <v>604.03099999999995</v>
      </c>
      <c r="I723" s="127">
        <v>7840</v>
      </c>
      <c r="J723" s="125">
        <v>543.66300000000001</v>
      </c>
      <c r="K723" s="127">
        <v>7840</v>
      </c>
      <c r="L723" s="125">
        <v>543.03899999999999</v>
      </c>
      <c r="M723" s="127">
        <v>7840</v>
      </c>
      <c r="N723" s="125">
        <v>543.50400000000002</v>
      </c>
      <c r="O723" s="127">
        <v>7820</v>
      </c>
      <c r="P723" s="125">
        <v>544.58500000000004</v>
      </c>
      <c r="Q723" s="127">
        <v>7840</v>
      </c>
      <c r="R723" s="125">
        <v>544.22799999999995</v>
      </c>
      <c r="S723" s="127">
        <v>7840</v>
      </c>
      <c r="T723" s="125">
        <v>544.90300000000002</v>
      </c>
      <c r="U723" s="127">
        <v>7830</v>
      </c>
      <c r="V723" s="125">
        <v>544.46600000000001</v>
      </c>
      <c r="W723" s="127">
        <v>7840</v>
      </c>
      <c r="X723" s="125">
        <v>543.92600000000004</v>
      </c>
      <c r="Y723" s="127">
        <v>7840</v>
      </c>
      <c r="Z723" s="125">
        <v>542.30600000000004</v>
      </c>
      <c r="AA723" s="127">
        <v>7840</v>
      </c>
      <c r="AB723" s="125">
        <v>542.58000000000004</v>
      </c>
      <c r="AC723" s="127">
        <v>7830</v>
      </c>
      <c r="AD723" s="125">
        <v>466.45100000000002</v>
      </c>
      <c r="AE723" s="127">
        <v>7840</v>
      </c>
      <c r="AF723" s="125">
        <v>468.05599999999998</v>
      </c>
      <c r="AG723" s="127">
        <v>7820</v>
      </c>
      <c r="AH723" s="125">
        <v>113.003</v>
      </c>
      <c r="AI723" s="127">
        <v>7820</v>
      </c>
      <c r="AJ723" s="125">
        <v>119.407</v>
      </c>
    </row>
    <row r="724" spans="1:36" ht="14.25">
      <c r="A724" s="128">
        <v>7850</v>
      </c>
      <c r="B724" s="124">
        <v>254.28100000000001</v>
      </c>
      <c r="C724" s="128">
        <v>7860</v>
      </c>
      <c r="D724" s="125">
        <v>252.227</v>
      </c>
      <c r="E724" s="126">
        <v>7850</v>
      </c>
      <c r="F724" s="125">
        <v>602.51400000000001</v>
      </c>
      <c r="G724" s="127">
        <v>7850</v>
      </c>
      <c r="H724" s="125">
        <v>602.56799999999998</v>
      </c>
      <c r="I724" s="127">
        <v>7850</v>
      </c>
      <c r="J724" s="125">
        <v>542.45100000000002</v>
      </c>
      <c r="K724" s="127">
        <v>7850</v>
      </c>
      <c r="L724" s="125">
        <v>541.82500000000005</v>
      </c>
      <c r="M724" s="127">
        <v>7850</v>
      </c>
      <c r="N724" s="125">
        <v>542.29200000000003</v>
      </c>
      <c r="O724" s="127">
        <v>7830</v>
      </c>
      <c r="P724" s="125">
        <v>543.37300000000005</v>
      </c>
      <c r="Q724" s="127">
        <v>7850</v>
      </c>
      <c r="R724" s="125">
        <v>543.01599999999996</v>
      </c>
      <c r="S724" s="127">
        <v>7850</v>
      </c>
      <c r="T724" s="125">
        <v>543.69100000000003</v>
      </c>
      <c r="U724" s="127">
        <v>7840</v>
      </c>
      <c r="V724" s="125">
        <v>543.25599999999997</v>
      </c>
      <c r="W724" s="127">
        <v>7850</v>
      </c>
      <c r="X724" s="125">
        <v>542.71600000000001</v>
      </c>
      <c r="Y724" s="127">
        <v>7850</v>
      </c>
      <c r="Z724" s="125">
        <v>541.09500000000003</v>
      </c>
      <c r="AA724" s="127">
        <v>7850</v>
      </c>
      <c r="AB724" s="125">
        <v>541.37</v>
      </c>
      <c r="AC724" s="127">
        <v>7840</v>
      </c>
      <c r="AD724" s="125">
        <v>465.24299999999999</v>
      </c>
      <c r="AE724" s="127">
        <v>7850</v>
      </c>
      <c r="AF724" s="125">
        <v>466.84899999999999</v>
      </c>
      <c r="AG724" s="127">
        <v>7830</v>
      </c>
      <c r="AH724" s="125">
        <v>112.648</v>
      </c>
      <c r="AI724" s="127">
        <v>7830</v>
      </c>
      <c r="AJ724" s="125">
        <v>119.038</v>
      </c>
    </row>
    <row r="725" spans="1:36" ht="14.25">
      <c r="A725" s="128">
        <v>7860</v>
      </c>
      <c r="B725" s="124">
        <v>253.55099999999999</v>
      </c>
      <c r="C725" s="128">
        <v>7870</v>
      </c>
      <c r="D725" s="125">
        <v>251.50200000000001</v>
      </c>
      <c r="E725" s="126">
        <v>7860</v>
      </c>
      <c r="F725" s="125">
        <v>601.05100000000004</v>
      </c>
      <c r="G725" s="127">
        <v>7860</v>
      </c>
      <c r="H725" s="125">
        <v>601.10599999999999</v>
      </c>
      <c r="I725" s="127">
        <v>7860</v>
      </c>
      <c r="J725" s="125">
        <v>541.23900000000003</v>
      </c>
      <c r="K725" s="127">
        <v>7860</v>
      </c>
      <c r="L725" s="125">
        <v>540.61199999999997</v>
      </c>
      <c r="M725" s="127">
        <v>7860</v>
      </c>
      <c r="N725" s="125">
        <v>541.08000000000004</v>
      </c>
      <c r="O725" s="127">
        <v>7840</v>
      </c>
      <c r="P725" s="125">
        <v>542.16</v>
      </c>
      <c r="Q725" s="127">
        <v>7860</v>
      </c>
      <c r="R725" s="125">
        <v>541.80399999999997</v>
      </c>
      <c r="S725" s="127">
        <v>7860</v>
      </c>
      <c r="T725" s="125">
        <v>542.47900000000004</v>
      </c>
      <c r="U725" s="127">
        <v>7850</v>
      </c>
      <c r="V725" s="125">
        <v>542.04600000000005</v>
      </c>
      <c r="W725" s="127">
        <v>7860</v>
      </c>
      <c r="X725" s="125">
        <v>541.50400000000002</v>
      </c>
      <c r="Y725" s="127">
        <v>7860</v>
      </c>
      <c r="Z725" s="125">
        <v>539.88400000000001</v>
      </c>
      <c r="AA725" s="127">
        <v>7860</v>
      </c>
      <c r="AB725" s="125">
        <v>540.16</v>
      </c>
      <c r="AC725" s="127">
        <v>7850</v>
      </c>
      <c r="AD725" s="125">
        <v>464.03500000000003</v>
      </c>
      <c r="AE725" s="127">
        <v>7860</v>
      </c>
      <c r="AF725" s="125">
        <v>465.64100000000002</v>
      </c>
      <c r="AG725" s="127">
        <v>7840</v>
      </c>
      <c r="AH725" s="125">
        <v>112.29300000000001</v>
      </c>
      <c r="AI725" s="127">
        <v>7840</v>
      </c>
      <c r="AJ725" s="125">
        <v>118.66800000000001</v>
      </c>
    </row>
    <row r="726" spans="1:36" ht="14.25">
      <c r="A726" s="128">
        <v>7870</v>
      </c>
      <c r="B726" s="124">
        <v>252.82300000000001</v>
      </c>
      <c r="C726" s="128">
        <v>7880</v>
      </c>
      <c r="D726" s="125">
        <v>250.77799999999999</v>
      </c>
      <c r="E726" s="126">
        <v>7870</v>
      </c>
      <c r="F726" s="125">
        <v>599.58799999999997</v>
      </c>
      <c r="G726" s="127">
        <v>7870</v>
      </c>
      <c r="H726" s="125">
        <v>599.64300000000003</v>
      </c>
      <c r="I726" s="127">
        <v>7870</v>
      </c>
      <c r="J726" s="125">
        <v>540.02700000000004</v>
      </c>
      <c r="K726" s="127">
        <v>7870</v>
      </c>
      <c r="L726" s="125">
        <v>539.4</v>
      </c>
      <c r="M726" s="127">
        <v>7870</v>
      </c>
      <c r="N726" s="125">
        <v>539.87</v>
      </c>
      <c r="O726" s="127">
        <v>7850</v>
      </c>
      <c r="P726" s="125">
        <v>540.94799999999998</v>
      </c>
      <c r="Q726" s="127">
        <v>7870</v>
      </c>
      <c r="R726" s="125">
        <v>540.59100000000001</v>
      </c>
      <c r="S726" s="127">
        <v>7870</v>
      </c>
      <c r="T726" s="125">
        <v>541.26700000000005</v>
      </c>
      <c r="U726" s="127">
        <v>7860</v>
      </c>
      <c r="V726" s="125">
        <v>540.83500000000004</v>
      </c>
      <c r="W726" s="127">
        <v>7870</v>
      </c>
      <c r="X726" s="125">
        <v>540.29399999999998</v>
      </c>
      <c r="Y726" s="127">
        <v>7870</v>
      </c>
      <c r="Z726" s="125">
        <v>538.673</v>
      </c>
      <c r="AA726" s="127">
        <v>7870</v>
      </c>
      <c r="AB726" s="125">
        <v>538.95000000000005</v>
      </c>
      <c r="AC726" s="127">
        <v>7860</v>
      </c>
      <c r="AD726" s="125">
        <v>462.82900000000001</v>
      </c>
      <c r="AE726" s="127">
        <v>7870</v>
      </c>
      <c r="AF726" s="125">
        <v>464.43299999999999</v>
      </c>
      <c r="AG726" s="127">
        <v>7850</v>
      </c>
      <c r="AH726" s="125">
        <v>111.93899999999999</v>
      </c>
      <c r="AI726" s="127">
        <v>7850</v>
      </c>
      <c r="AJ726" s="125">
        <v>118.3</v>
      </c>
    </row>
    <row r="727" spans="1:36" ht="14.25">
      <c r="A727" s="128">
        <v>7880</v>
      </c>
      <c r="B727" s="124">
        <v>252.096</v>
      </c>
      <c r="C727" s="128">
        <v>7890</v>
      </c>
      <c r="D727" s="125">
        <v>250.05600000000001</v>
      </c>
      <c r="E727" s="126">
        <v>7880</v>
      </c>
      <c r="F727" s="125">
        <v>598.12699999999995</v>
      </c>
      <c r="G727" s="127">
        <v>7880</v>
      </c>
      <c r="H727" s="125">
        <v>598.18200000000002</v>
      </c>
      <c r="I727" s="127">
        <v>7880</v>
      </c>
      <c r="J727" s="125">
        <v>538.81600000000003</v>
      </c>
      <c r="K727" s="127">
        <v>7880</v>
      </c>
      <c r="L727" s="125">
        <v>538.18899999999996</v>
      </c>
      <c r="M727" s="127">
        <v>7880</v>
      </c>
      <c r="N727" s="125">
        <v>538.66</v>
      </c>
      <c r="O727" s="127">
        <v>7860</v>
      </c>
      <c r="P727" s="125">
        <v>539.73800000000006</v>
      </c>
      <c r="Q727" s="127">
        <v>7880</v>
      </c>
      <c r="R727" s="125">
        <v>539.38199999999995</v>
      </c>
      <c r="S727" s="127">
        <v>7880</v>
      </c>
      <c r="T727" s="125">
        <v>540.05600000000004</v>
      </c>
      <c r="U727" s="127">
        <v>7870</v>
      </c>
      <c r="V727" s="125">
        <v>539.62599999999998</v>
      </c>
      <c r="W727" s="127">
        <v>7880</v>
      </c>
      <c r="X727" s="125">
        <v>539.08500000000004</v>
      </c>
      <c r="Y727" s="127">
        <v>7880</v>
      </c>
      <c r="Z727" s="125">
        <v>537.46500000000003</v>
      </c>
      <c r="AA727" s="127">
        <v>7880</v>
      </c>
      <c r="AB727" s="125">
        <v>537.74099999999999</v>
      </c>
      <c r="AC727" s="127">
        <v>7870</v>
      </c>
      <c r="AD727" s="125">
        <v>461.625</v>
      </c>
      <c r="AE727" s="127">
        <v>7880</v>
      </c>
      <c r="AF727" s="125">
        <v>463.226</v>
      </c>
      <c r="AG727" s="127">
        <v>7860</v>
      </c>
      <c r="AH727" s="125">
        <v>111.58799999999999</v>
      </c>
      <c r="AI727" s="127">
        <v>7860</v>
      </c>
      <c r="AJ727" s="125">
        <v>117.934</v>
      </c>
    </row>
    <row r="728" spans="1:36" ht="14.25">
      <c r="A728" s="128">
        <v>7890</v>
      </c>
      <c r="B728" s="124">
        <v>251.37</v>
      </c>
      <c r="C728" s="128">
        <v>7900</v>
      </c>
      <c r="D728" s="125">
        <v>249.334</v>
      </c>
      <c r="E728" s="126">
        <v>7890</v>
      </c>
      <c r="F728" s="125">
        <v>596.66700000000003</v>
      </c>
      <c r="G728" s="127">
        <v>7890</v>
      </c>
      <c r="H728" s="125">
        <v>596.72299999999996</v>
      </c>
      <c r="I728" s="127">
        <v>7890</v>
      </c>
      <c r="J728" s="125">
        <v>537.60699999999997</v>
      </c>
      <c r="K728" s="127">
        <v>7890</v>
      </c>
      <c r="L728" s="125">
        <v>536.97900000000004</v>
      </c>
      <c r="M728" s="127">
        <v>7890</v>
      </c>
      <c r="N728" s="125">
        <v>537.45100000000002</v>
      </c>
      <c r="O728" s="127">
        <v>7870</v>
      </c>
      <c r="P728" s="125">
        <v>538.52800000000002</v>
      </c>
      <c r="Q728" s="127">
        <v>7890</v>
      </c>
      <c r="R728" s="125">
        <v>538.173</v>
      </c>
      <c r="S728" s="127">
        <v>7890</v>
      </c>
      <c r="T728" s="125">
        <v>538.84699999999998</v>
      </c>
      <c r="U728" s="127">
        <v>7880</v>
      </c>
      <c r="V728" s="125">
        <v>538.41899999999998</v>
      </c>
      <c r="W728" s="127">
        <v>7890</v>
      </c>
      <c r="X728" s="125">
        <v>537.87699999999995</v>
      </c>
      <c r="Y728" s="127">
        <v>7890</v>
      </c>
      <c r="Z728" s="125">
        <v>536.25699999999995</v>
      </c>
      <c r="AA728" s="127">
        <v>7890</v>
      </c>
      <c r="AB728" s="125">
        <v>536.53399999999999</v>
      </c>
      <c r="AC728" s="127">
        <v>7880</v>
      </c>
      <c r="AD728" s="125">
        <v>460.42</v>
      </c>
      <c r="AE728" s="127">
        <v>7890</v>
      </c>
      <c r="AF728" s="125">
        <v>462.02199999999999</v>
      </c>
      <c r="AG728" s="127">
        <v>7870</v>
      </c>
      <c r="AH728" s="125">
        <v>111.238</v>
      </c>
      <c r="AI728" s="127">
        <v>7870</v>
      </c>
      <c r="AJ728" s="125">
        <v>117.569</v>
      </c>
    </row>
    <row r="729" spans="1:36" ht="14.25">
      <c r="A729" s="128">
        <v>7900</v>
      </c>
      <c r="B729" s="124">
        <v>250.64500000000001</v>
      </c>
      <c r="C729" s="128">
        <v>7910</v>
      </c>
      <c r="D729" s="125">
        <v>248.61199999999999</v>
      </c>
      <c r="E729" s="126">
        <v>7900</v>
      </c>
      <c r="F729" s="125">
        <v>595.20799999999997</v>
      </c>
      <c r="G729" s="127">
        <v>7900</v>
      </c>
      <c r="H729" s="125">
        <v>595.26300000000003</v>
      </c>
      <c r="I729" s="127">
        <v>7900</v>
      </c>
      <c r="J729" s="125">
        <v>536.39800000000002</v>
      </c>
      <c r="K729" s="127">
        <v>7900</v>
      </c>
      <c r="L729" s="125">
        <v>535.76900000000001</v>
      </c>
      <c r="M729" s="127">
        <v>7900</v>
      </c>
      <c r="N729" s="125">
        <v>536.24199999999996</v>
      </c>
      <c r="O729" s="127">
        <v>7880</v>
      </c>
      <c r="P729" s="125">
        <v>537.31899999999996</v>
      </c>
      <c r="Q729" s="127">
        <v>7900</v>
      </c>
      <c r="R729" s="125">
        <v>536.96299999999997</v>
      </c>
      <c r="S729" s="127">
        <v>7900</v>
      </c>
      <c r="T729" s="125">
        <v>537.63800000000003</v>
      </c>
      <c r="U729" s="127">
        <v>7890</v>
      </c>
      <c r="V729" s="125">
        <v>537.21199999999999</v>
      </c>
      <c r="W729" s="127">
        <v>7900</v>
      </c>
      <c r="X729" s="125">
        <v>536.66899999999998</v>
      </c>
      <c r="Y729" s="127">
        <v>7900</v>
      </c>
      <c r="Z729" s="125">
        <v>535.04899999999998</v>
      </c>
      <c r="AA729" s="127">
        <v>7900</v>
      </c>
      <c r="AB729" s="125">
        <v>535.327</v>
      </c>
      <c r="AC729" s="127">
        <v>7890</v>
      </c>
      <c r="AD729" s="125">
        <v>459.21499999999997</v>
      </c>
      <c r="AE729" s="127">
        <v>7900</v>
      </c>
      <c r="AF729" s="125">
        <v>460.81700000000001</v>
      </c>
      <c r="AG729" s="127">
        <v>7880</v>
      </c>
      <c r="AH729" s="125">
        <v>110.889</v>
      </c>
      <c r="AI729" s="127">
        <v>7880</v>
      </c>
      <c r="AJ729" s="125">
        <v>117.205</v>
      </c>
    </row>
    <row r="730" spans="1:36" ht="14.25">
      <c r="A730" s="128">
        <v>7910</v>
      </c>
      <c r="B730" s="124">
        <v>249.91900000000001</v>
      </c>
      <c r="C730" s="128">
        <v>7920</v>
      </c>
      <c r="D730" s="125">
        <v>247.89099999999999</v>
      </c>
      <c r="E730" s="126">
        <v>7910</v>
      </c>
      <c r="F730" s="125">
        <v>593.74800000000005</v>
      </c>
      <c r="G730" s="127">
        <v>7910</v>
      </c>
      <c r="H730" s="125">
        <v>593.80399999999997</v>
      </c>
      <c r="I730" s="127">
        <v>7910</v>
      </c>
      <c r="J730" s="125">
        <v>535.18899999999996</v>
      </c>
      <c r="K730" s="127">
        <v>7910</v>
      </c>
      <c r="L730" s="125">
        <v>534.55799999999999</v>
      </c>
      <c r="M730" s="127">
        <v>7910</v>
      </c>
      <c r="N730" s="125">
        <v>535.03300000000002</v>
      </c>
      <c r="O730" s="127">
        <v>7890</v>
      </c>
      <c r="P730" s="125">
        <v>536.11</v>
      </c>
      <c r="Q730" s="127">
        <v>7910</v>
      </c>
      <c r="R730" s="125">
        <v>535.755</v>
      </c>
      <c r="S730" s="127">
        <v>7910</v>
      </c>
      <c r="T730" s="125">
        <v>536.42899999999997</v>
      </c>
      <c r="U730" s="127">
        <v>7900</v>
      </c>
      <c r="V730" s="125">
        <v>536.00400000000002</v>
      </c>
      <c r="W730" s="127">
        <v>7910</v>
      </c>
      <c r="X730" s="125">
        <v>535.46199999999999</v>
      </c>
      <c r="Y730" s="127">
        <v>7910</v>
      </c>
      <c r="Z730" s="125">
        <v>533.84100000000001</v>
      </c>
      <c r="AA730" s="127">
        <v>7910</v>
      </c>
      <c r="AB730" s="125">
        <v>534.12</v>
      </c>
      <c r="AC730" s="127">
        <v>7900</v>
      </c>
      <c r="AD730" s="125">
        <v>458.01</v>
      </c>
      <c r="AE730" s="127">
        <v>7910</v>
      </c>
      <c r="AF730" s="125">
        <v>459.613</v>
      </c>
      <c r="AG730" s="127">
        <v>7890</v>
      </c>
      <c r="AH730" s="125">
        <v>110.54</v>
      </c>
      <c r="AI730" s="127">
        <v>7890</v>
      </c>
      <c r="AJ730" s="125">
        <v>116.842</v>
      </c>
    </row>
    <row r="731" spans="1:36" ht="14.25">
      <c r="A731" s="128">
        <v>7920</v>
      </c>
      <c r="B731" s="124">
        <v>249.19399999999999</v>
      </c>
      <c r="C731" s="128">
        <v>7930</v>
      </c>
      <c r="D731" s="125">
        <v>247.16800000000001</v>
      </c>
      <c r="E731" s="126">
        <v>7920</v>
      </c>
      <c r="F731" s="125">
        <v>592.28899999999999</v>
      </c>
      <c r="G731" s="127">
        <v>7920</v>
      </c>
      <c r="H731" s="125">
        <v>592.34500000000003</v>
      </c>
      <c r="I731" s="127">
        <v>7920</v>
      </c>
      <c r="J731" s="125">
        <v>533.98</v>
      </c>
      <c r="K731" s="127">
        <v>7920</v>
      </c>
      <c r="L731" s="125">
        <v>533.346</v>
      </c>
      <c r="M731" s="127">
        <v>7920</v>
      </c>
      <c r="N731" s="125">
        <v>533.82299999999998</v>
      </c>
      <c r="O731" s="127">
        <v>7900</v>
      </c>
      <c r="P731" s="125">
        <v>534.9</v>
      </c>
      <c r="Q731" s="127">
        <v>7920</v>
      </c>
      <c r="R731" s="125">
        <v>534.54499999999996</v>
      </c>
      <c r="S731" s="127">
        <v>7920</v>
      </c>
      <c r="T731" s="125">
        <v>535.22</v>
      </c>
      <c r="U731" s="127">
        <v>7910</v>
      </c>
      <c r="V731" s="125">
        <v>534.79700000000003</v>
      </c>
      <c r="W731" s="127">
        <v>7920</v>
      </c>
      <c r="X731" s="125">
        <v>534.25300000000004</v>
      </c>
      <c r="Y731" s="127">
        <v>7920</v>
      </c>
      <c r="Z731" s="125">
        <v>532.63300000000004</v>
      </c>
      <c r="AA731" s="127">
        <v>7920</v>
      </c>
      <c r="AB731" s="125">
        <v>532.91300000000001</v>
      </c>
      <c r="AC731" s="127">
        <v>7910</v>
      </c>
      <c r="AD731" s="125">
        <v>456.80399999999997</v>
      </c>
      <c r="AE731" s="127">
        <v>7920</v>
      </c>
      <c r="AF731" s="125">
        <v>458.40800000000002</v>
      </c>
      <c r="AG731" s="127">
        <v>7900</v>
      </c>
      <c r="AH731" s="125">
        <v>110.191</v>
      </c>
      <c r="AI731" s="127">
        <v>7900</v>
      </c>
      <c r="AJ731" s="125">
        <v>116.479</v>
      </c>
    </row>
    <row r="732" spans="1:36" ht="14.25">
      <c r="A732" s="128">
        <v>7930</v>
      </c>
      <c r="B732" s="124">
        <v>248.46600000000001</v>
      </c>
      <c r="C732" s="128">
        <v>7940</v>
      </c>
      <c r="D732" s="125">
        <v>246.44399999999999</v>
      </c>
      <c r="E732" s="126">
        <v>7930</v>
      </c>
      <c r="F732" s="125">
        <v>590.82799999999997</v>
      </c>
      <c r="G732" s="127">
        <v>7930</v>
      </c>
      <c r="H732" s="125">
        <v>590.88499999999999</v>
      </c>
      <c r="I732" s="127">
        <v>7930</v>
      </c>
      <c r="J732" s="125">
        <v>532.77</v>
      </c>
      <c r="K732" s="127">
        <v>7930</v>
      </c>
      <c r="L732" s="125">
        <v>532.13300000000004</v>
      </c>
      <c r="M732" s="127">
        <v>7930</v>
      </c>
      <c r="N732" s="125">
        <v>532.61099999999999</v>
      </c>
      <c r="O732" s="127">
        <v>7910</v>
      </c>
      <c r="P732" s="125">
        <v>533.68899999999996</v>
      </c>
      <c r="Q732" s="127">
        <v>7930</v>
      </c>
      <c r="R732" s="125">
        <v>533.33399999999995</v>
      </c>
      <c r="S732" s="127">
        <v>7930</v>
      </c>
      <c r="T732" s="125">
        <v>534.00900000000001</v>
      </c>
      <c r="U732" s="127">
        <v>7920</v>
      </c>
      <c r="V732" s="125">
        <v>533.58900000000006</v>
      </c>
      <c r="W732" s="127">
        <v>7930</v>
      </c>
      <c r="X732" s="125">
        <v>533.04300000000001</v>
      </c>
      <c r="Y732" s="127">
        <v>7930</v>
      </c>
      <c r="Z732" s="125">
        <v>531.423</v>
      </c>
      <c r="AA732" s="127">
        <v>7930</v>
      </c>
      <c r="AB732" s="125">
        <v>531.70500000000004</v>
      </c>
      <c r="AC732" s="127">
        <v>7920</v>
      </c>
      <c r="AD732" s="125">
        <v>455.596</v>
      </c>
      <c r="AE732" s="127">
        <v>7930</v>
      </c>
      <c r="AF732" s="125">
        <v>457.20299999999997</v>
      </c>
      <c r="AG732" s="127">
        <v>7910</v>
      </c>
      <c r="AH732" s="125">
        <v>109.84</v>
      </c>
      <c r="AI732" s="127">
        <v>7910</v>
      </c>
      <c r="AJ732" s="125">
        <v>116.114</v>
      </c>
    </row>
    <row r="733" spans="1:36" ht="14.25">
      <c r="A733" s="128">
        <v>7940</v>
      </c>
      <c r="B733" s="124">
        <v>247.738</v>
      </c>
      <c r="C733" s="128">
        <v>7950</v>
      </c>
      <c r="D733" s="125">
        <v>245.72</v>
      </c>
      <c r="E733" s="126">
        <v>7940</v>
      </c>
      <c r="F733" s="125">
        <v>589.36599999999999</v>
      </c>
      <c r="G733" s="127">
        <v>7940</v>
      </c>
      <c r="H733" s="125">
        <v>589.423</v>
      </c>
      <c r="I733" s="127">
        <v>7940</v>
      </c>
      <c r="J733" s="125">
        <v>531.55799999999999</v>
      </c>
      <c r="K733" s="127">
        <v>7940</v>
      </c>
      <c r="L733" s="125">
        <v>530.91899999999998</v>
      </c>
      <c r="M733" s="127">
        <v>7940</v>
      </c>
      <c r="N733" s="125">
        <v>531.399</v>
      </c>
      <c r="O733" s="127">
        <v>7920</v>
      </c>
      <c r="P733" s="125">
        <v>532.47699999999998</v>
      </c>
      <c r="Q733" s="127">
        <v>7940</v>
      </c>
      <c r="R733" s="125">
        <v>532.12199999999996</v>
      </c>
      <c r="S733" s="127">
        <v>7940</v>
      </c>
      <c r="T733" s="125">
        <v>532.79700000000003</v>
      </c>
      <c r="U733" s="127">
        <v>7930</v>
      </c>
      <c r="V733" s="125">
        <v>532.37900000000002</v>
      </c>
      <c r="W733" s="127">
        <v>7940</v>
      </c>
      <c r="X733" s="125">
        <v>531.83199999999999</v>
      </c>
      <c r="Y733" s="127">
        <v>7940</v>
      </c>
      <c r="Z733" s="125">
        <v>530.21199999999999</v>
      </c>
      <c r="AA733" s="127">
        <v>7940</v>
      </c>
      <c r="AB733" s="125">
        <v>530.495</v>
      </c>
      <c r="AC733" s="127">
        <v>7930</v>
      </c>
      <c r="AD733" s="125">
        <v>454.38900000000001</v>
      </c>
      <c r="AE733" s="127">
        <v>7940</v>
      </c>
      <c r="AF733" s="125">
        <v>455.99599999999998</v>
      </c>
      <c r="AG733" s="127">
        <v>7920</v>
      </c>
      <c r="AH733" s="125">
        <v>109.49</v>
      </c>
      <c r="AI733" s="127">
        <v>7920</v>
      </c>
      <c r="AJ733" s="125">
        <v>115.749</v>
      </c>
    </row>
    <row r="734" spans="1:36" ht="14.25">
      <c r="A734" s="128">
        <v>7950</v>
      </c>
      <c r="B734" s="124">
        <v>247.01</v>
      </c>
      <c r="C734" s="128">
        <v>7960</v>
      </c>
      <c r="D734" s="125">
        <v>244.99600000000001</v>
      </c>
      <c r="E734" s="126">
        <v>7950</v>
      </c>
      <c r="F734" s="125">
        <v>587.904</v>
      </c>
      <c r="G734" s="127">
        <v>7950</v>
      </c>
      <c r="H734" s="125">
        <v>587.96100000000001</v>
      </c>
      <c r="I734" s="127">
        <v>7950</v>
      </c>
      <c r="J734" s="125">
        <v>530.346</v>
      </c>
      <c r="K734" s="127">
        <v>7950</v>
      </c>
      <c r="L734" s="125">
        <v>529.70600000000002</v>
      </c>
      <c r="M734" s="127">
        <v>7950</v>
      </c>
      <c r="N734" s="125">
        <v>530.18700000000001</v>
      </c>
      <c r="O734" s="127">
        <v>7930</v>
      </c>
      <c r="P734" s="125">
        <v>531.26400000000001</v>
      </c>
      <c r="Q734" s="127">
        <v>7950</v>
      </c>
      <c r="R734" s="125">
        <v>530.91</v>
      </c>
      <c r="S734" s="127">
        <v>7950</v>
      </c>
      <c r="T734" s="125">
        <v>531.58500000000004</v>
      </c>
      <c r="U734" s="127">
        <v>7940</v>
      </c>
      <c r="V734" s="125">
        <v>531.16899999999998</v>
      </c>
      <c r="W734" s="127">
        <v>7950</v>
      </c>
      <c r="X734" s="125">
        <v>530.62099999999998</v>
      </c>
      <c r="Y734" s="127">
        <v>7950</v>
      </c>
      <c r="Z734" s="125">
        <v>529.00099999999998</v>
      </c>
      <c r="AA734" s="127">
        <v>7950</v>
      </c>
      <c r="AB734" s="125">
        <v>529.28599999999994</v>
      </c>
      <c r="AC734" s="127">
        <v>7940</v>
      </c>
      <c r="AD734" s="125">
        <v>453.18099999999998</v>
      </c>
      <c r="AE734" s="127">
        <v>7950</v>
      </c>
      <c r="AF734" s="125">
        <v>454.78899999999999</v>
      </c>
      <c r="AG734" s="127">
        <v>7930</v>
      </c>
      <c r="AH734" s="125">
        <v>109.14</v>
      </c>
      <c r="AI734" s="127">
        <v>7930</v>
      </c>
      <c r="AJ734" s="125">
        <v>115.38500000000001</v>
      </c>
    </row>
    <row r="735" spans="1:36" ht="14.25">
      <c r="A735" s="128">
        <v>7960</v>
      </c>
      <c r="B735" s="124">
        <v>246.28299999999999</v>
      </c>
      <c r="C735" s="128">
        <v>7970</v>
      </c>
      <c r="D735" s="125">
        <v>244.273</v>
      </c>
      <c r="E735" s="126">
        <v>7960</v>
      </c>
      <c r="F735" s="125">
        <v>586.44200000000001</v>
      </c>
      <c r="G735" s="127">
        <v>7960</v>
      </c>
      <c r="H735" s="125">
        <v>586.49900000000002</v>
      </c>
      <c r="I735" s="127">
        <v>7960</v>
      </c>
      <c r="J735" s="125">
        <v>529.13400000000001</v>
      </c>
      <c r="K735" s="127">
        <v>7960</v>
      </c>
      <c r="L735" s="125">
        <v>528.49199999999996</v>
      </c>
      <c r="M735" s="127">
        <v>7960</v>
      </c>
      <c r="N735" s="125">
        <v>528.97500000000002</v>
      </c>
      <c r="O735" s="127">
        <v>7940</v>
      </c>
      <c r="P735" s="125">
        <v>530.05200000000002</v>
      </c>
      <c r="Q735" s="127">
        <v>7960</v>
      </c>
      <c r="R735" s="125">
        <v>529.69799999999998</v>
      </c>
      <c r="S735" s="127">
        <v>7960</v>
      </c>
      <c r="T735" s="125">
        <v>530.37300000000005</v>
      </c>
      <c r="U735" s="127">
        <v>7950</v>
      </c>
      <c r="V735" s="125">
        <v>529.95899999999995</v>
      </c>
      <c r="W735" s="127">
        <v>7960</v>
      </c>
      <c r="X735" s="125">
        <v>529.41</v>
      </c>
      <c r="Y735" s="127">
        <v>7960</v>
      </c>
      <c r="Z735" s="125">
        <v>527.79</v>
      </c>
      <c r="AA735" s="127">
        <v>7960</v>
      </c>
      <c r="AB735" s="125">
        <v>528.07600000000002</v>
      </c>
      <c r="AC735" s="127">
        <v>7950</v>
      </c>
      <c r="AD735" s="125">
        <v>451.97399999999999</v>
      </c>
      <c r="AE735" s="127">
        <v>7960</v>
      </c>
      <c r="AF735" s="125">
        <v>453.58199999999999</v>
      </c>
      <c r="AG735" s="127">
        <v>7940</v>
      </c>
      <c r="AH735" s="125">
        <v>108.79</v>
      </c>
      <c r="AI735" s="127">
        <v>7940</v>
      </c>
      <c r="AJ735" s="125">
        <v>115.021</v>
      </c>
    </row>
    <row r="736" spans="1:36" ht="14.25">
      <c r="A736" s="128">
        <v>7970</v>
      </c>
      <c r="B736" s="124">
        <v>245.55600000000001</v>
      </c>
      <c r="C736" s="128">
        <v>7980</v>
      </c>
      <c r="D736" s="125">
        <v>243.55</v>
      </c>
      <c r="E736" s="126">
        <v>7970</v>
      </c>
      <c r="F736" s="125">
        <v>584.98</v>
      </c>
      <c r="G736" s="127">
        <v>7970</v>
      </c>
      <c r="H736" s="125">
        <v>585.03800000000001</v>
      </c>
      <c r="I736" s="127">
        <v>7970</v>
      </c>
      <c r="J736" s="125">
        <v>527.92200000000003</v>
      </c>
      <c r="K736" s="127">
        <v>7970</v>
      </c>
      <c r="L736" s="125">
        <v>527.279</v>
      </c>
      <c r="M736" s="127">
        <v>7970</v>
      </c>
      <c r="N736" s="125">
        <v>527.76300000000003</v>
      </c>
      <c r="O736" s="127">
        <v>7950</v>
      </c>
      <c r="P736" s="125">
        <v>528.84</v>
      </c>
      <c r="Q736" s="127">
        <v>7970</v>
      </c>
      <c r="R736" s="125">
        <v>528.48599999999999</v>
      </c>
      <c r="S736" s="127">
        <v>7970</v>
      </c>
      <c r="T736" s="125">
        <v>529.16099999999994</v>
      </c>
      <c r="U736" s="127">
        <v>7960</v>
      </c>
      <c r="V736" s="125">
        <v>528.74900000000002</v>
      </c>
      <c r="W736" s="127">
        <v>7970</v>
      </c>
      <c r="X736" s="125">
        <v>528.19899999999996</v>
      </c>
      <c r="Y736" s="127">
        <v>7970</v>
      </c>
      <c r="Z736" s="125">
        <v>526.57899999999995</v>
      </c>
      <c r="AA736" s="127">
        <v>7970</v>
      </c>
      <c r="AB736" s="125">
        <v>526.86599999999999</v>
      </c>
      <c r="AC736" s="127">
        <v>7960</v>
      </c>
      <c r="AD736" s="125">
        <v>450.767</v>
      </c>
      <c r="AE736" s="127">
        <v>7970</v>
      </c>
      <c r="AF736" s="125">
        <v>452.375</v>
      </c>
      <c r="AG736" s="127">
        <v>7950</v>
      </c>
      <c r="AH736" s="125">
        <v>108.44199999999999</v>
      </c>
      <c r="AI736" s="127">
        <v>7950</v>
      </c>
      <c r="AJ736" s="125">
        <v>114.657</v>
      </c>
    </row>
    <row r="737" spans="1:36" ht="14.25">
      <c r="A737" s="128">
        <v>7980</v>
      </c>
      <c r="B737" s="124">
        <v>244.82900000000001</v>
      </c>
      <c r="C737" s="128">
        <v>7990</v>
      </c>
      <c r="D737" s="125">
        <v>242.827</v>
      </c>
      <c r="E737" s="126">
        <v>7980</v>
      </c>
      <c r="F737" s="125">
        <v>583.51800000000003</v>
      </c>
      <c r="G737" s="127">
        <v>7980</v>
      </c>
      <c r="H737" s="125">
        <v>583.57600000000002</v>
      </c>
      <c r="I737" s="127">
        <v>7980</v>
      </c>
      <c r="J737" s="125">
        <v>526.71</v>
      </c>
      <c r="K737" s="127">
        <v>7980</v>
      </c>
      <c r="L737" s="125">
        <v>526.06600000000003</v>
      </c>
      <c r="M737" s="127">
        <v>7980</v>
      </c>
      <c r="N737" s="125">
        <v>526.55100000000004</v>
      </c>
      <c r="O737" s="127">
        <v>7960</v>
      </c>
      <c r="P737" s="125">
        <v>527.62800000000004</v>
      </c>
      <c r="Q737" s="127">
        <v>7980</v>
      </c>
      <c r="R737" s="125">
        <v>527.274</v>
      </c>
      <c r="S737" s="127">
        <v>7980</v>
      </c>
      <c r="T737" s="125">
        <v>527.94899999999996</v>
      </c>
      <c r="U737" s="127">
        <v>7970</v>
      </c>
      <c r="V737" s="125">
        <v>527.53899999999999</v>
      </c>
      <c r="W737" s="127">
        <v>7980</v>
      </c>
      <c r="X737" s="125">
        <v>526.98800000000006</v>
      </c>
      <c r="Y737" s="127">
        <v>7980</v>
      </c>
      <c r="Z737" s="125">
        <v>525.36800000000005</v>
      </c>
      <c r="AA737" s="127">
        <v>7980</v>
      </c>
      <c r="AB737" s="125">
        <v>525.65599999999995</v>
      </c>
      <c r="AC737" s="127">
        <v>7970</v>
      </c>
      <c r="AD737" s="125">
        <v>449.55900000000003</v>
      </c>
      <c r="AE737" s="127">
        <v>7980</v>
      </c>
      <c r="AF737" s="125">
        <v>451.16800000000001</v>
      </c>
      <c r="AG737" s="127">
        <v>7960</v>
      </c>
      <c r="AH737" s="125">
        <v>108.093</v>
      </c>
      <c r="AI737" s="127">
        <v>7960</v>
      </c>
      <c r="AJ737" s="125">
        <v>114.295</v>
      </c>
    </row>
    <row r="738" spans="1:36" ht="14.25">
      <c r="A738" s="128">
        <v>7990</v>
      </c>
      <c r="B738" s="124">
        <v>244.102</v>
      </c>
      <c r="C738" s="128">
        <v>8000</v>
      </c>
      <c r="D738" s="125">
        <v>242.10400000000001</v>
      </c>
      <c r="E738" s="126">
        <v>7990</v>
      </c>
      <c r="F738" s="125">
        <v>582.05700000000002</v>
      </c>
      <c r="G738" s="127">
        <v>7990</v>
      </c>
      <c r="H738" s="125">
        <v>582.11500000000001</v>
      </c>
      <c r="I738" s="127">
        <v>7990</v>
      </c>
      <c r="J738" s="125">
        <v>525.49800000000005</v>
      </c>
      <c r="K738" s="127">
        <v>7990</v>
      </c>
      <c r="L738" s="125">
        <v>524.85199999999998</v>
      </c>
      <c r="M738" s="127">
        <v>7990</v>
      </c>
      <c r="N738" s="125">
        <v>525.33900000000006</v>
      </c>
      <c r="O738" s="127">
        <v>7970</v>
      </c>
      <c r="P738" s="125">
        <v>526.41499999999996</v>
      </c>
      <c r="Q738" s="127">
        <v>7990</v>
      </c>
      <c r="R738" s="125">
        <v>526.06100000000004</v>
      </c>
      <c r="S738" s="127">
        <v>7990</v>
      </c>
      <c r="T738" s="125">
        <v>526.73699999999997</v>
      </c>
      <c r="U738" s="127">
        <v>7980</v>
      </c>
      <c r="V738" s="125">
        <v>526.32899999999995</v>
      </c>
      <c r="W738" s="127">
        <v>7990</v>
      </c>
      <c r="X738" s="125">
        <v>525.77700000000004</v>
      </c>
      <c r="Y738" s="127">
        <v>7990</v>
      </c>
      <c r="Z738" s="125">
        <v>524.15700000000004</v>
      </c>
      <c r="AA738" s="127">
        <v>7990</v>
      </c>
      <c r="AB738" s="125">
        <v>524.44600000000003</v>
      </c>
      <c r="AC738" s="127">
        <v>7980</v>
      </c>
      <c r="AD738" s="125">
        <v>448.35199999999998</v>
      </c>
      <c r="AE738" s="127">
        <v>7990</v>
      </c>
      <c r="AF738" s="125">
        <v>449.96100000000001</v>
      </c>
      <c r="AG738" s="127">
        <v>7970</v>
      </c>
      <c r="AH738" s="125">
        <v>107.745</v>
      </c>
      <c r="AI738" s="127">
        <v>7970</v>
      </c>
      <c r="AJ738" s="125">
        <v>113.932</v>
      </c>
    </row>
    <row r="739" spans="1:36" ht="14.25">
      <c r="A739" s="128">
        <v>8000</v>
      </c>
      <c r="B739" s="124">
        <v>243.376</v>
      </c>
      <c r="C739" s="128">
        <v>8010</v>
      </c>
      <c r="D739" s="125">
        <v>241.381</v>
      </c>
      <c r="E739" s="126">
        <v>8000</v>
      </c>
      <c r="F739" s="125">
        <v>580.59500000000003</v>
      </c>
      <c r="G739" s="127">
        <v>8000</v>
      </c>
      <c r="H739" s="125">
        <v>580.654</v>
      </c>
      <c r="I739" s="127">
        <v>8000</v>
      </c>
      <c r="J739" s="125">
        <v>524.28599999999994</v>
      </c>
      <c r="K739" s="127">
        <v>8000</v>
      </c>
      <c r="L739" s="125">
        <v>523.63900000000001</v>
      </c>
      <c r="M739" s="127">
        <v>8000</v>
      </c>
      <c r="N739" s="125">
        <v>524.12699999999995</v>
      </c>
      <c r="O739" s="127">
        <v>7980</v>
      </c>
      <c r="P739" s="125">
        <v>525.20299999999997</v>
      </c>
      <c r="Q739" s="127">
        <v>8000</v>
      </c>
      <c r="R739" s="125">
        <v>524.84900000000005</v>
      </c>
      <c r="S739" s="127">
        <v>8000</v>
      </c>
      <c r="T739" s="125">
        <v>525.52499999999998</v>
      </c>
      <c r="U739" s="127">
        <v>7990</v>
      </c>
      <c r="V739" s="125">
        <v>525.11900000000003</v>
      </c>
      <c r="W739" s="127">
        <v>8000</v>
      </c>
      <c r="X739" s="125">
        <v>524.56600000000003</v>
      </c>
      <c r="Y739" s="127">
        <v>8000</v>
      </c>
      <c r="Z739" s="125">
        <v>522.94600000000003</v>
      </c>
      <c r="AA739" s="127">
        <v>8000</v>
      </c>
      <c r="AB739" s="125">
        <v>523.23599999999999</v>
      </c>
      <c r="AC739" s="127">
        <v>7990</v>
      </c>
      <c r="AD739" s="125">
        <v>447.14499999999998</v>
      </c>
      <c r="AE739" s="127">
        <v>8000</v>
      </c>
      <c r="AF739" s="125">
        <v>448.75400000000002</v>
      </c>
      <c r="AG739" s="127">
        <v>7980</v>
      </c>
      <c r="AH739" s="125">
        <v>107.398</v>
      </c>
      <c r="AI739" s="127">
        <v>7980</v>
      </c>
      <c r="AJ739" s="125">
        <v>113.571</v>
      </c>
    </row>
    <row r="740" spans="1:36" ht="14.25">
      <c r="A740" s="128">
        <v>8010</v>
      </c>
      <c r="B740" s="124">
        <v>242.65</v>
      </c>
      <c r="C740" s="128">
        <v>8020</v>
      </c>
      <c r="D740" s="125">
        <v>240.65899999999999</v>
      </c>
      <c r="E740" s="126">
        <v>8010</v>
      </c>
      <c r="F740" s="125">
        <v>579.13400000000001</v>
      </c>
      <c r="G740" s="127">
        <v>8010</v>
      </c>
      <c r="H740" s="125">
        <v>579.19200000000001</v>
      </c>
      <c r="I740" s="127">
        <v>8010</v>
      </c>
      <c r="J740" s="125">
        <v>523.07500000000005</v>
      </c>
      <c r="K740" s="127">
        <v>8010</v>
      </c>
      <c r="L740" s="125">
        <v>522.42499999999995</v>
      </c>
      <c r="M740" s="127">
        <v>8010</v>
      </c>
      <c r="N740" s="125">
        <v>522.91399999999999</v>
      </c>
      <c r="O740" s="127">
        <v>7990</v>
      </c>
      <c r="P740" s="125">
        <v>523.99099999999999</v>
      </c>
      <c r="Q740" s="127">
        <v>8010</v>
      </c>
      <c r="R740" s="125">
        <v>523.63699999999994</v>
      </c>
      <c r="S740" s="127">
        <v>8010</v>
      </c>
      <c r="T740" s="125">
        <v>524.31299999999999</v>
      </c>
      <c r="U740" s="127">
        <v>8000</v>
      </c>
      <c r="V740" s="125">
        <v>523.90800000000002</v>
      </c>
      <c r="W740" s="127">
        <v>8010</v>
      </c>
      <c r="X740" s="125">
        <v>523.35500000000002</v>
      </c>
      <c r="Y740" s="127">
        <v>8010</v>
      </c>
      <c r="Z740" s="125">
        <v>521.73500000000001</v>
      </c>
      <c r="AA740" s="127">
        <v>8010</v>
      </c>
      <c r="AB740" s="125">
        <v>522.02599999999995</v>
      </c>
      <c r="AC740" s="127">
        <v>8000</v>
      </c>
      <c r="AD740" s="125">
        <v>445.93799999999999</v>
      </c>
      <c r="AE740" s="127">
        <v>8010</v>
      </c>
      <c r="AF740" s="125">
        <v>447.54700000000003</v>
      </c>
      <c r="AG740" s="127">
        <v>7990</v>
      </c>
      <c r="AH740" s="125">
        <v>107.051</v>
      </c>
      <c r="AI740" s="127">
        <v>7990</v>
      </c>
      <c r="AJ740" s="125">
        <v>113.209</v>
      </c>
    </row>
    <row r="741" spans="1:36" ht="14.25">
      <c r="A741" s="128">
        <v>8020</v>
      </c>
      <c r="B741" s="124">
        <v>241.92400000000001</v>
      </c>
      <c r="C741" s="128">
        <v>8030</v>
      </c>
      <c r="D741" s="125">
        <v>239.93700000000001</v>
      </c>
      <c r="E741" s="126">
        <v>8020</v>
      </c>
      <c r="F741" s="125">
        <v>577.67200000000003</v>
      </c>
      <c r="G741" s="127">
        <v>8020</v>
      </c>
      <c r="H741" s="125">
        <v>577.73099999999999</v>
      </c>
      <c r="I741" s="127">
        <v>8020</v>
      </c>
      <c r="J741" s="125">
        <v>521.86300000000006</v>
      </c>
      <c r="K741" s="127">
        <v>8020</v>
      </c>
      <c r="L741" s="125">
        <v>521.21199999999999</v>
      </c>
      <c r="M741" s="127">
        <v>8020</v>
      </c>
      <c r="N741" s="125">
        <v>521.702</v>
      </c>
      <c r="O741" s="127">
        <v>8000</v>
      </c>
      <c r="P741" s="125">
        <v>522.77800000000002</v>
      </c>
      <c r="Q741" s="127">
        <v>8020</v>
      </c>
      <c r="R741" s="125">
        <v>522.42499999999995</v>
      </c>
      <c r="S741" s="127">
        <v>8020</v>
      </c>
      <c r="T741" s="125">
        <v>523.101</v>
      </c>
      <c r="U741" s="127">
        <v>8010</v>
      </c>
      <c r="V741" s="125">
        <v>522.69799999999998</v>
      </c>
      <c r="W741" s="127">
        <v>8020</v>
      </c>
      <c r="X741" s="125">
        <v>522.14400000000001</v>
      </c>
      <c r="Y741" s="127">
        <v>8020</v>
      </c>
      <c r="Z741" s="125">
        <v>520.524</v>
      </c>
      <c r="AA741" s="127">
        <v>8020</v>
      </c>
      <c r="AB741" s="125">
        <v>520.81600000000003</v>
      </c>
      <c r="AC741" s="127">
        <v>8010</v>
      </c>
      <c r="AD741" s="125">
        <v>444.73099999999999</v>
      </c>
      <c r="AE741" s="127">
        <v>8020</v>
      </c>
      <c r="AF741" s="125">
        <v>446.34</v>
      </c>
      <c r="AG741" s="127">
        <v>8000</v>
      </c>
      <c r="AH741" s="125">
        <v>106.705</v>
      </c>
      <c r="AI741" s="127">
        <v>8000</v>
      </c>
      <c r="AJ741" s="125">
        <v>112.849</v>
      </c>
    </row>
    <row r="742" spans="1:36" ht="14.25">
      <c r="A742" s="128">
        <v>8030</v>
      </c>
      <c r="B742" s="124">
        <v>241.19800000000001</v>
      </c>
      <c r="C742" s="128">
        <v>8040</v>
      </c>
      <c r="D742" s="125">
        <v>239.215</v>
      </c>
      <c r="E742" s="126">
        <v>8030</v>
      </c>
      <c r="F742" s="125">
        <v>576.21100000000001</v>
      </c>
      <c r="G742" s="127">
        <v>8030</v>
      </c>
      <c r="H742" s="125">
        <v>576.27</v>
      </c>
      <c r="I742" s="127">
        <v>8030</v>
      </c>
      <c r="J742" s="125">
        <v>520.65099999999995</v>
      </c>
      <c r="K742" s="127">
        <v>8030</v>
      </c>
      <c r="L742" s="125">
        <v>519.99800000000005</v>
      </c>
      <c r="M742" s="127">
        <v>8030</v>
      </c>
      <c r="N742" s="125">
        <v>520.49</v>
      </c>
      <c r="O742" s="127">
        <v>8010</v>
      </c>
      <c r="P742" s="125">
        <v>521.56600000000003</v>
      </c>
      <c r="Q742" s="127">
        <v>8030</v>
      </c>
      <c r="R742" s="125">
        <v>521.21299999999997</v>
      </c>
      <c r="S742" s="127">
        <v>8030</v>
      </c>
      <c r="T742" s="125">
        <v>521.88900000000001</v>
      </c>
      <c r="U742" s="127">
        <v>8020</v>
      </c>
      <c r="V742" s="125">
        <v>521.48800000000006</v>
      </c>
      <c r="W742" s="127">
        <v>8030</v>
      </c>
      <c r="X742" s="125">
        <v>520.93399999999997</v>
      </c>
      <c r="Y742" s="127">
        <v>8030</v>
      </c>
      <c r="Z742" s="125">
        <v>519.31299999999999</v>
      </c>
      <c r="AA742" s="127">
        <v>8030</v>
      </c>
      <c r="AB742" s="125">
        <v>519.60599999999999</v>
      </c>
      <c r="AC742" s="127">
        <v>8020</v>
      </c>
      <c r="AD742" s="125">
        <v>443.524</v>
      </c>
      <c r="AE742" s="127">
        <v>8030</v>
      </c>
      <c r="AF742" s="125">
        <v>445.13400000000001</v>
      </c>
      <c r="AG742" s="127">
        <v>8010</v>
      </c>
      <c r="AH742" s="125">
        <v>106.35899999999999</v>
      </c>
      <c r="AI742" s="127">
        <v>8010</v>
      </c>
      <c r="AJ742" s="125">
        <v>112.488</v>
      </c>
    </row>
    <row r="743" spans="1:36" ht="14.25">
      <c r="A743" s="128">
        <v>8040</v>
      </c>
      <c r="B743" s="124">
        <v>240.47200000000001</v>
      </c>
      <c r="C743" s="128">
        <v>8050</v>
      </c>
      <c r="D743" s="125">
        <v>238.49299999999999</v>
      </c>
      <c r="E743" s="126">
        <v>8040</v>
      </c>
      <c r="F743" s="125">
        <v>574.75</v>
      </c>
      <c r="G743" s="127">
        <v>8040</v>
      </c>
      <c r="H743" s="125">
        <v>574.80899999999997</v>
      </c>
      <c r="I743" s="127">
        <v>8040</v>
      </c>
      <c r="J743" s="125">
        <v>519.43899999999996</v>
      </c>
      <c r="K743" s="127">
        <v>8040</v>
      </c>
      <c r="L743" s="125">
        <v>518.78499999999997</v>
      </c>
      <c r="M743" s="127">
        <v>8040</v>
      </c>
      <c r="N743" s="125">
        <v>519.27800000000002</v>
      </c>
      <c r="O743" s="127">
        <v>8020</v>
      </c>
      <c r="P743" s="125">
        <v>520.35400000000004</v>
      </c>
      <c r="Q743" s="127">
        <v>8040</v>
      </c>
      <c r="R743" s="125">
        <v>520.00099999999998</v>
      </c>
      <c r="S743" s="127">
        <v>8040</v>
      </c>
      <c r="T743" s="125">
        <v>520.67700000000002</v>
      </c>
      <c r="U743" s="127">
        <v>8030</v>
      </c>
      <c r="V743" s="125">
        <v>520.27800000000002</v>
      </c>
      <c r="W743" s="127">
        <v>8040</v>
      </c>
      <c r="X743" s="125">
        <v>519.72299999999996</v>
      </c>
      <c r="Y743" s="127">
        <v>8040</v>
      </c>
      <c r="Z743" s="125">
        <v>518.10199999999998</v>
      </c>
      <c r="AA743" s="127">
        <v>8040</v>
      </c>
      <c r="AB743" s="125">
        <v>518.39599999999996</v>
      </c>
      <c r="AC743" s="127">
        <v>8030</v>
      </c>
      <c r="AD743" s="125">
        <v>442.31700000000001</v>
      </c>
      <c r="AE743" s="127">
        <v>8040</v>
      </c>
      <c r="AF743" s="125">
        <v>443.92700000000002</v>
      </c>
      <c r="AG743" s="127">
        <v>8020</v>
      </c>
      <c r="AH743" s="125">
        <v>106.014</v>
      </c>
      <c r="AI743" s="127">
        <v>8020</v>
      </c>
      <c r="AJ743" s="125">
        <v>112.129</v>
      </c>
    </row>
    <row r="744" spans="1:36" ht="14.25">
      <c r="A744" s="128">
        <v>8050</v>
      </c>
      <c r="B744" s="124">
        <v>239.74700000000001</v>
      </c>
      <c r="C744" s="128">
        <v>8060</v>
      </c>
      <c r="D744" s="125">
        <v>237.77099999999999</v>
      </c>
      <c r="E744" s="126">
        <v>8050</v>
      </c>
      <c r="F744" s="125">
        <v>573.28899999999999</v>
      </c>
      <c r="G744" s="127">
        <v>8050</v>
      </c>
      <c r="H744" s="125">
        <v>573.34900000000005</v>
      </c>
      <c r="I744" s="127">
        <v>8050</v>
      </c>
      <c r="J744" s="125">
        <v>518.22699999999998</v>
      </c>
      <c r="K744" s="127">
        <v>8050</v>
      </c>
      <c r="L744" s="125">
        <v>517.572</v>
      </c>
      <c r="M744" s="127">
        <v>8050</v>
      </c>
      <c r="N744" s="125">
        <v>518.06600000000003</v>
      </c>
      <c r="O744" s="127">
        <v>8030</v>
      </c>
      <c r="P744" s="125">
        <v>519.14200000000005</v>
      </c>
      <c r="Q744" s="127">
        <v>8050</v>
      </c>
      <c r="R744" s="125">
        <v>518.78899999999999</v>
      </c>
      <c r="S744" s="127">
        <v>8050</v>
      </c>
      <c r="T744" s="125">
        <v>519.46500000000003</v>
      </c>
      <c r="U744" s="127">
        <v>8040</v>
      </c>
      <c r="V744" s="125">
        <v>519.06799999999998</v>
      </c>
      <c r="W744" s="127">
        <v>8050</v>
      </c>
      <c r="X744" s="125">
        <v>518.51199999999994</v>
      </c>
      <c r="Y744" s="127">
        <v>8050</v>
      </c>
      <c r="Z744" s="125">
        <v>516.89099999999996</v>
      </c>
      <c r="AA744" s="127">
        <v>8050</v>
      </c>
      <c r="AB744" s="125">
        <v>517.18600000000004</v>
      </c>
      <c r="AC744" s="127">
        <v>8040</v>
      </c>
      <c r="AD744" s="125">
        <v>441.11099999999999</v>
      </c>
      <c r="AE744" s="127">
        <v>8050</v>
      </c>
      <c r="AF744" s="125">
        <v>442.721</v>
      </c>
      <c r="AG744" s="127">
        <v>8030</v>
      </c>
      <c r="AH744" s="125">
        <v>105.669</v>
      </c>
      <c r="AI744" s="127">
        <v>8030</v>
      </c>
      <c r="AJ744" s="125">
        <v>111.77</v>
      </c>
    </row>
    <row r="745" spans="1:36" ht="14.25">
      <c r="A745" s="128">
        <v>8060</v>
      </c>
      <c r="B745" s="124">
        <v>239.02199999999999</v>
      </c>
      <c r="C745" s="128">
        <v>8070</v>
      </c>
      <c r="D745" s="125">
        <v>237.05</v>
      </c>
      <c r="E745" s="126">
        <v>8060</v>
      </c>
      <c r="F745" s="125">
        <v>571.82799999999997</v>
      </c>
      <c r="G745" s="127">
        <v>8060</v>
      </c>
      <c r="H745" s="125">
        <v>571.88800000000003</v>
      </c>
      <c r="I745" s="127">
        <v>8060</v>
      </c>
      <c r="J745" s="125">
        <v>517.01499999999999</v>
      </c>
      <c r="K745" s="127">
        <v>8060</v>
      </c>
      <c r="L745" s="125">
        <v>516.35799999999995</v>
      </c>
      <c r="M745" s="127">
        <v>8060</v>
      </c>
      <c r="N745" s="125">
        <v>516.85400000000004</v>
      </c>
      <c r="O745" s="127">
        <v>8040</v>
      </c>
      <c r="P745" s="125">
        <v>517.92899999999997</v>
      </c>
      <c r="Q745" s="127">
        <v>8060</v>
      </c>
      <c r="R745" s="125">
        <v>517.577</v>
      </c>
      <c r="S745" s="127">
        <v>8060</v>
      </c>
      <c r="T745" s="125">
        <v>518.25300000000004</v>
      </c>
      <c r="U745" s="127">
        <v>8050</v>
      </c>
      <c r="V745" s="125">
        <v>517.85799999999995</v>
      </c>
      <c r="W745" s="127">
        <v>8060</v>
      </c>
      <c r="X745" s="125">
        <v>517.30100000000004</v>
      </c>
      <c r="Y745" s="127">
        <v>8060</v>
      </c>
      <c r="Z745" s="125">
        <v>515.67999999999995</v>
      </c>
      <c r="AA745" s="127">
        <v>8060</v>
      </c>
      <c r="AB745" s="125">
        <v>515.976</v>
      </c>
      <c r="AC745" s="127">
        <v>8050</v>
      </c>
      <c r="AD745" s="125">
        <v>439.904</v>
      </c>
      <c r="AE745" s="127">
        <v>8060</v>
      </c>
      <c r="AF745" s="125">
        <v>441.51499999999999</v>
      </c>
      <c r="AG745" s="127">
        <v>8040</v>
      </c>
      <c r="AH745" s="125">
        <v>105.325</v>
      </c>
      <c r="AI745" s="127">
        <v>8040</v>
      </c>
      <c r="AJ745" s="125">
        <v>111.411</v>
      </c>
    </row>
    <row r="746" spans="1:36" ht="14.25">
      <c r="A746" s="128">
        <v>8070</v>
      </c>
      <c r="B746" s="124">
        <v>238.297</v>
      </c>
      <c r="C746" s="128">
        <v>8080</v>
      </c>
      <c r="D746" s="125">
        <v>236.32900000000001</v>
      </c>
      <c r="E746" s="126">
        <v>8070</v>
      </c>
      <c r="F746" s="125">
        <v>570.36800000000005</v>
      </c>
      <c r="G746" s="127">
        <v>8070</v>
      </c>
      <c r="H746" s="125">
        <v>570.42700000000002</v>
      </c>
      <c r="I746" s="127">
        <v>8070</v>
      </c>
      <c r="J746" s="125">
        <v>515.803</v>
      </c>
      <c r="K746" s="127">
        <v>8070</v>
      </c>
      <c r="L746" s="125">
        <v>515.14499999999998</v>
      </c>
      <c r="M746" s="127">
        <v>8070</v>
      </c>
      <c r="N746" s="125">
        <v>515.64200000000005</v>
      </c>
      <c r="O746" s="127">
        <v>8050</v>
      </c>
      <c r="P746" s="125">
        <v>516.71699999999998</v>
      </c>
      <c r="Q746" s="127">
        <v>8070</v>
      </c>
      <c r="R746" s="125">
        <v>516.36500000000001</v>
      </c>
      <c r="S746" s="127">
        <v>8070</v>
      </c>
      <c r="T746" s="125">
        <v>517.04100000000005</v>
      </c>
      <c r="U746" s="127">
        <v>8060</v>
      </c>
      <c r="V746" s="125">
        <v>516.64700000000005</v>
      </c>
      <c r="W746" s="127">
        <v>8070</v>
      </c>
      <c r="X746" s="125">
        <v>516.09</v>
      </c>
      <c r="Y746" s="127">
        <v>8070</v>
      </c>
      <c r="Z746" s="125">
        <v>514.46900000000005</v>
      </c>
      <c r="AA746" s="127">
        <v>8070</v>
      </c>
      <c r="AB746" s="125">
        <v>514.76599999999996</v>
      </c>
      <c r="AC746" s="127">
        <v>8060</v>
      </c>
      <c r="AD746" s="125">
        <v>438.69799999999998</v>
      </c>
      <c r="AE746" s="127">
        <v>8070</v>
      </c>
      <c r="AF746" s="125">
        <v>440.30900000000003</v>
      </c>
      <c r="AG746" s="127">
        <v>8050</v>
      </c>
      <c r="AH746" s="125">
        <v>104.982</v>
      </c>
      <c r="AI746" s="127">
        <v>8050</v>
      </c>
      <c r="AJ746" s="125">
        <v>111.053</v>
      </c>
    </row>
    <row r="747" spans="1:36" ht="14.25">
      <c r="A747" s="128">
        <v>8080</v>
      </c>
      <c r="B747" s="124">
        <v>237.572</v>
      </c>
      <c r="C747" s="128">
        <v>8090</v>
      </c>
      <c r="D747" s="125">
        <v>235.608</v>
      </c>
      <c r="E747" s="126">
        <v>8080</v>
      </c>
      <c r="F747" s="125">
        <v>568.90700000000004</v>
      </c>
      <c r="G747" s="127">
        <v>8080</v>
      </c>
      <c r="H747" s="125">
        <v>568.96699999999998</v>
      </c>
      <c r="I747" s="127">
        <v>8080</v>
      </c>
      <c r="J747" s="125">
        <v>514.59100000000001</v>
      </c>
      <c r="K747" s="127">
        <v>8080</v>
      </c>
      <c r="L747" s="125">
        <v>513.93100000000004</v>
      </c>
      <c r="M747" s="127">
        <v>8080</v>
      </c>
      <c r="N747" s="125">
        <v>514.42999999999995</v>
      </c>
      <c r="O747" s="127">
        <v>8060</v>
      </c>
      <c r="P747" s="125">
        <v>515.505</v>
      </c>
      <c r="Q747" s="127">
        <v>8080</v>
      </c>
      <c r="R747" s="125">
        <v>515.15300000000002</v>
      </c>
      <c r="S747" s="127">
        <v>8080</v>
      </c>
      <c r="T747" s="125">
        <v>515.82899999999995</v>
      </c>
      <c r="U747" s="127">
        <v>8070</v>
      </c>
      <c r="V747" s="125">
        <v>515.43700000000001</v>
      </c>
      <c r="W747" s="127">
        <v>8080</v>
      </c>
      <c r="X747" s="125">
        <v>514.87900000000002</v>
      </c>
      <c r="Y747" s="127">
        <v>8080</v>
      </c>
      <c r="Z747" s="125">
        <v>513.25800000000004</v>
      </c>
      <c r="AA747" s="127">
        <v>8080</v>
      </c>
      <c r="AB747" s="125">
        <v>513.55600000000004</v>
      </c>
      <c r="AC747" s="127">
        <v>8070</v>
      </c>
      <c r="AD747" s="125">
        <v>437.49099999999999</v>
      </c>
      <c r="AE747" s="127">
        <v>8080</v>
      </c>
      <c r="AF747" s="125">
        <v>439.10300000000001</v>
      </c>
      <c r="AG747" s="127">
        <v>8060</v>
      </c>
      <c r="AH747" s="125">
        <v>104.639</v>
      </c>
      <c r="AI747" s="127">
        <v>8060</v>
      </c>
      <c r="AJ747" s="125">
        <v>110.69499999999999</v>
      </c>
    </row>
    <row r="748" spans="1:36" ht="14.25">
      <c r="A748" s="128">
        <v>8090</v>
      </c>
      <c r="B748" s="124">
        <v>236.84800000000001</v>
      </c>
      <c r="C748" s="128">
        <v>8100</v>
      </c>
      <c r="D748" s="125">
        <v>234.887</v>
      </c>
      <c r="E748" s="126">
        <v>8090</v>
      </c>
      <c r="F748" s="125">
        <v>567.447</v>
      </c>
      <c r="G748" s="127">
        <v>8090</v>
      </c>
      <c r="H748" s="125">
        <v>567.50599999999997</v>
      </c>
      <c r="I748" s="127">
        <v>8090</v>
      </c>
      <c r="J748" s="125">
        <v>513.37900000000002</v>
      </c>
      <c r="K748" s="127">
        <v>8090</v>
      </c>
      <c r="L748" s="125">
        <v>512.71799999999996</v>
      </c>
      <c r="M748" s="127">
        <v>8090</v>
      </c>
      <c r="N748" s="125">
        <v>513.21799999999996</v>
      </c>
      <c r="O748" s="127">
        <v>8070</v>
      </c>
      <c r="P748" s="125">
        <v>514.29200000000003</v>
      </c>
      <c r="Q748" s="127">
        <v>8090</v>
      </c>
      <c r="R748" s="125">
        <v>513.94100000000003</v>
      </c>
      <c r="S748" s="127">
        <v>8090</v>
      </c>
      <c r="T748" s="125">
        <v>514.61699999999996</v>
      </c>
      <c r="U748" s="127">
        <v>8080</v>
      </c>
      <c r="V748" s="125">
        <v>514.22699999999998</v>
      </c>
      <c r="W748" s="127">
        <v>8090</v>
      </c>
      <c r="X748" s="125">
        <v>513.66800000000001</v>
      </c>
      <c r="Y748" s="127">
        <v>8090</v>
      </c>
      <c r="Z748" s="125">
        <v>512.04700000000003</v>
      </c>
      <c r="AA748" s="127">
        <v>8090</v>
      </c>
      <c r="AB748" s="125">
        <v>512.346</v>
      </c>
      <c r="AC748" s="127">
        <v>8080</v>
      </c>
      <c r="AD748" s="125">
        <v>436.28500000000003</v>
      </c>
      <c r="AE748" s="127">
        <v>8090</v>
      </c>
      <c r="AF748" s="125">
        <v>437.89699999999999</v>
      </c>
      <c r="AG748" s="127">
        <v>8070</v>
      </c>
      <c r="AH748" s="125">
        <v>104.29600000000001</v>
      </c>
      <c r="AI748" s="127">
        <v>8070</v>
      </c>
      <c r="AJ748" s="125">
        <v>110.33799999999999</v>
      </c>
    </row>
    <row r="749" spans="1:36" ht="14.25">
      <c r="A749" s="128">
        <v>8100</v>
      </c>
      <c r="B749" s="124">
        <v>236.12299999999999</v>
      </c>
      <c r="C749" s="128">
        <v>8110</v>
      </c>
      <c r="D749" s="125">
        <v>234.167</v>
      </c>
      <c r="E749" s="126">
        <v>8100</v>
      </c>
      <c r="F749" s="125">
        <v>565.98599999999999</v>
      </c>
      <c r="G749" s="127">
        <v>8100</v>
      </c>
      <c r="H749" s="125">
        <v>566.04600000000005</v>
      </c>
      <c r="I749" s="127">
        <v>8100</v>
      </c>
      <c r="J749" s="125">
        <v>512.16700000000003</v>
      </c>
      <c r="K749" s="127">
        <v>8100</v>
      </c>
      <c r="L749" s="125">
        <v>511.50400000000002</v>
      </c>
      <c r="M749" s="127">
        <v>8100</v>
      </c>
      <c r="N749" s="125">
        <v>512.00599999999997</v>
      </c>
      <c r="O749" s="127">
        <v>8080</v>
      </c>
      <c r="P749" s="125">
        <v>513.08000000000004</v>
      </c>
      <c r="Q749" s="127">
        <v>8100</v>
      </c>
      <c r="R749" s="125">
        <v>512.72900000000004</v>
      </c>
      <c r="S749" s="127">
        <v>8100</v>
      </c>
      <c r="T749" s="125">
        <v>513.40499999999997</v>
      </c>
      <c r="U749" s="127">
        <v>8090</v>
      </c>
      <c r="V749" s="125">
        <v>513.01700000000005</v>
      </c>
      <c r="W749" s="127">
        <v>8100</v>
      </c>
      <c r="X749" s="125">
        <v>512.45699999999999</v>
      </c>
      <c r="Y749" s="127">
        <v>8100</v>
      </c>
      <c r="Z749" s="125">
        <v>510.83699999999999</v>
      </c>
      <c r="AA749" s="127">
        <v>8100</v>
      </c>
      <c r="AB749" s="125">
        <v>511.13600000000002</v>
      </c>
      <c r="AC749" s="127">
        <v>8090</v>
      </c>
      <c r="AD749" s="125">
        <v>435.07900000000001</v>
      </c>
      <c r="AE749" s="127">
        <v>8100</v>
      </c>
      <c r="AF749" s="125">
        <v>436.69099999999997</v>
      </c>
      <c r="AG749" s="127">
        <v>8080</v>
      </c>
      <c r="AH749" s="125">
        <v>103.95399999999999</v>
      </c>
      <c r="AI749" s="127">
        <v>8080</v>
      </c>
      <c r="AJ749" s="125">
        <v>109.982</v>
      </c>
    </row>
    <row r="750" spans="1:36" ht="14.25">
      <c r="A750" s="128">
        <v>8110</v>
      </c>
      <c r="B750" s="124">
        <v>235.399</v>
      </c>
      <c r="C750" s="128">
        <v>8120</v>
      </c>
      <c r="D750" s="125">
        <v>233.446</v>
      </c>
      <c r="E750" s="126">
        <v>8110</v>
      </c>
      <c r="F750" s="125">
        <v>564.52599999999995</v>
      </c>
      <c r="G750" s="127">
        <v>8110</v>
      </c>
      <c r="H750" s="125">
        <v>564.58600000000001</v>
      </c>
      <c r="I750" s="127">
        <v>8110</v>
      </c>
      <c r="J750" s="125">
        <v>510.95499999999998</v>
      </c>
      <c r="K750" s="127">
        <v>8110</v>
      </c>
      <c r="L750" s="125">
        <v>510.291</v>
      </c>
      <c r="M750" s="127">
        <v>8110</v>
      </c>
      <c r="N750" s="125">
        <v>510.79399999999998</v>
      </c>
      <c r="O750" s="127">
        <v>8090</v>
      </c>
      <c r="P750" s="125">
        <v>511.86799999999999</v>
      </c>
      <c r="Q750" s="127">
        <v>8110</v>
      </c>
      <c r="R750" s="125">
        <v>511.517</v>
      </c>
      <c r="S750" s="127">
        <v>8110</v>
      </c>
      <c r="T750" s="125">
        <v>512.19299999999998</v>
      </c>
      <c r="U750" s="127">
        <v>8100</v>
      </c>
      <c r="V750" s="125">
        <v>511.80700000000002</v>
      </c>
      <c r="W750" s="127">
        <v>8110</v>
      </c>
      <c r="X750" s="125">
        <v>511.24599999999998</v>
      </c>
      <c r="Y750" s="127">
        <v>8110</v>
      </c>
      <c r="Z750" s="125">
        <v>509.62599999999998</v>
      </c>
      <c r="AA750" s="127">
        <v>8110</v>
      </c>
      <c r="AB750" s="125">
        <v>509.92599999999999</v>
      </c>
      <c r="AC750" s="127">
        <v>8100</v>
      </c>
      <c r="AD750" s="125">
        <v>433.87299999999999</v>
      </c>
      <c r="AE750" s="127">
        <v>8110</v>
      </c>
      <c r="AF750" s="125">
        <v>435.48599999999999</v>
      </c>
      <c r="AG750" s="127">
        <v>8090</v>
      </c>
      <c r="AH750" s="125">
        <v>103.613</v>
      </c>
      <c r="AI750" s="127">
        <v>8090</v>
      </c>
      <c r="AJ750" s="125">
        <v>109.626</v>
      </c>
    </row>
    <row r="751" spans="1:36" ht="14.25">
      <c r="A751" s="128">
        <v>8120</v>
      </c>
      <c r="B751" s="124">
        <v>234.67500000000001</v>
      </c>
      <c r="C751" s="128">
        <v>8130</v>
      </c>
      <c r="D751" s="125">
        <v>232.727</v>
      </c>
      <c r="E751" s="126">
        <v>8120</v>
      </c>
      <c r="F751" s="125">
        <v>563.06600000000003</v>
      </c>
      <c r="G751" s="127">
        <v>8120</v>
      </c>
      <c r="H751" s="125">
        <v>563.12599999999998</v>
      </c>
      <c r="I751" s="127">
        <v>8120</v>
      </c>
      <c r="J751" s="125">
        <v>509.74299999999999</v>
      </c>
      <c r="K751" s="127">
        <v>8120</v>
      </c>
      <c r="L751" s="125">
        <v>509.07799999999997</v>
      </c>
      <c r="M751" s="127">
        <v>8120</v>
      </c>
      <c r="N751" s="125">
        <v>509.58300000000003</v>
      </c>
      <c r="O751" s="127">
        <v>8100</v>
      </c>
      <c r="P751" s="125">
        <v>510.65600000000001</v>
      </c>
      <c r="Q751" s="127">
        <v>8120</v>
      </c>
      <c r="R751" s="125">
        <v>510.30500000000001</v>
      </c>
      <c r="S751" s="127">
        <v>8120</v>
      </c>
      <c r="T751" s="125">
        <v>510.98</v>
      </c>
      <c r="U751" s="127">
        <v>8110</v>
      </c>
      <c r="V751" s="125">
        <v>510.59699999999998</v>
      </c>
      <c r="W751" s="127">
        <v>8120</v>
      </c>
      <c r="X751" s="125">
        <v>510.03500000000003</v>
      </c>
      <c r="Y751" s="127">
        <v>8120</v>
      </c>
      <c r="Z751" s="125">
        <v>508.41500000000002</v>
      </c>
      <c r="AA751" s="127">
        <v>8120</v>
      </c>
      <c r="AB751" s="125">
        <v>508.71600000000001</v>
      </c>
      <c r="AC751" s="127">
        <v>8110</v>
      </c>
      <c r="AD751" s="125">
        <v>432.66800000000001</v>
      </c>
      <c r="AE751" s="127">
        <v>8120</v>
      </c>
      <c r="AF751" s="125">
        <v>434.28</v>
      </c>
      <c r="AG751" s="127">
        <v>8100</v>
      </c>
      <c r="AH751" s="125">
        <v>103.27200000000001</v>
      </c>
      <c r="AI751" s="127">
        <v>8100</v>
      </c>
      <c r="AJ751" s="125">
        <v>109.271</v>
      </c>
    </row>
    <row r="752" spans="1:36" ht="14.25">
      <c r="A752" s="128">
        <v>8130</v>
      </c>
      <c r="B752" s="124">
        <v>233.952</v>
      </c>
      <c r="C752" s="128">
        <v>8140</v>
      </c>
      <c r="D752" s="125">
        <v>232.00700000000001</v>
      </c>
      <c r="E752" s="126">
        <v>8130</v>
      </c>
      <c r="F752" s="125">
        <v>561.60599999999999</v>
      </c>
      <c r="G752" s="127">
        <v>8130</v>
      </c>
      <c r="H752" s="125">
        <v>561.66600000000005</v>
      </c>
      <c r="I752" s="127">
        <v>8130</v>
      </c>
      <c r="J752" s="125">
        <v>508.53199999999998</v>
      </c>
      <c r="K752" s="127">
        <v>8130</v>
      </c>
      <c r="L752" s="125">
        <v>507.86500000000001</v>
      </c>
      <c r="M752" s="127">
        <v>8130</v>
      </c>
      <c r="N752" s="125">
        <v>508.37099999999998</v>
      </c>
      <c r="O752" s="127">
        <v>8110</v>
      </c>
      <c r="P752" s="125">
        <v>509.44400000000002</v>
      </c>
      <c r="Q752" s="127">
        <v>8130</v>
      </c>
      <c r="R752" s="125">
        <v>509.09300000000002</v>
      </c>
      <c r="S752" s="127">
        <v>8130</v>
      </c>
      <c r="T752" s="125">
        <v>509.76900000000001</v>
      </c>
      <c r="U752" s="127">
        <v>8120</v>
      </c>
      <c r="V752" s="125">
        <v>509.387</v>
      </c>
      <c r="W752" s="127">
        <v>8130</v>
      </c>
      <c r="X752" s="125">
        <v>508.82400000000001</v>
      </c>
      <c r="Y752" s="127">
        <v>8130</v>
      </c>
      <c r="Z752" s="125">
        <v>507.20400000000001</v>
      </c>
      <c r="AA752" s="127">
        <v>8130</v>
      </c>
      <c r="AB752" s="125">
        <v>507.50599999999997</v>
      </c>
      <c r="AC752" s="127">
        <v>8120</v>
      </c>
      <c r="AD752" s="125">
        <v>431.46300000000002</v>
      </c>
      <c r="AE752" s="127">
        <v>8130</v>
      </c>
      <c r="AF752" s="125">
        <v>433.07499999999999</v>
      </c>
      <c r="AG752" s="127">
        <v>8110</v>
      </c>
      <c r="AH752" s="125">
        <v>102.932</v>
      </c>
      <c r="AI752" s="127">
        <v>8110</v>
      </c>
      <c r="AJ752" s="125">
        <v>108.916</v>
      </c>
    </row>
    <row r="753" spans="1:36" ht="14.25">
      <c r="A753" s="128">
        <v>8140</v>
      </c>
      <c r="B753" s="124">
        <v>233.22900000000001</v>
      </c>
      <c r="C753" s="128">
        <v>8150</v>
      </c>
      <c r="D753" s="125">
        <v>231.28800000000001</v>
      </c>
      <c r="E753" s="126">
        <v>8140</v>
      </c>
      <c r="F753" s="125">
        <v>560.14700000000005</v>
      </c>
      <c r="G753" s="127">
        <v>8140</v>
      </c>
      <c r="H753" s="125">
        <v>560.20600000000002</v>
      </c>
      <c r="I753" s="127">
        <v>8140</v>
      </c>
      <c r="J753" s="125">
        <v>507.32</v>
      </c>
      <c r="K753" s="127">
        <v>8140</v>
      </c>
      <c r="L753" s="125">
        <v>506.65199999999999</v>
      </c>
      <c r="M753" s="127">
        <v>8140</v>
      </c>
      <c r="N753" s="125">
        <v>507.16</v>
      </c>
      <c r="O753" s="127">
        <v>8120</v>
      </c>
      <c r="P753" s="125">
        <v>508.23200000000003</v>
      </c>
      <c r="Q753" s="127">
        <v>8140</v>
      </c>
      <c r="R753" s="125">
        <v>507.88200000000001</v>
      </c>
      <c r="S753" s="127">
        <v>8140</v>
      </c>
      <c r="T753" s="125">
        <v>508.55700000000002</v>
      </c>
      <c r="U753" s="127">
        <v>8130</v>
      </c>
      <c r="V753" s="125">
        <v>508.17700000000002</v>
      </c>
      <c r="W753" s="127">
        <v>8140</v>
      </c>
      <c r="X753" s="125">
        <v>507.61399999999998</v>
      </c>
      <c r="Y753" s="127">
        <v>8140</v>
      </c>
      <c r="Z753" s="125">
        <v>505.99400000000003</v>
      </c>
      <c r="AA753" s="127">
        <v>8140</v>
      </c>
      <c r="AB753" s="125">
        <v>506.29700000000003</v>
      </c>
      <c r="AC753" s="127">
        <v>8130</v>
      </c>
      <c r="AD753" s="125">
        <v>430.25799999999998</v>
      </c>
      <c r="AE753" s="127">
        <v>8140</v>
      </c>
      <c r="AF753" s="125">
        <v>431.87</v>
      </c>
      <c r="AG753" s="127">
        <v>8120</v>
      </c>
      <c r="AH753" s="125">
        <v>102.592</v>
      </c>
      <c r="AI753" s="127">
        <v>8120</v>
      </c>
      <c r="AJ753" s="125">
        <v>108.562</v>
      </c>
    </row>
    <row r="754" spans="1:36" ht="14.25">
      <c r="A754" s="128">
        <v>8150</v>
      </c>
      <c r="B754" s="124">
        <v>232.50700000000001</v>
      </c>
      <c r="C754" s="128">
        <v>8160</v>
      </c>
      <c r="D754" s="125">
        <v>230.56899999999999</v>
      </c>
      <c r="E754" s="126">
        <v>8150</v>
      </c>
      <c r="F754" s="125">
        <v>558.68700000000001</v>
      </c>
      <c r="G754" s="127">
        <v>8150</v>
      </c>
      <c r="H754" s="125">
        <v>558.74699999999996</v>
      </c>
      <c r="I754" s="127">
        <v>8150</v>
      </c>
      <c r="J754" s="125">
        <v>506.10899999999998</v>
      </c>
      <c r="K754" s="127">
        <v>8150</v>
      </c>
      <c r="L754" s="125">
        <v>505.43900000000002</v>
      </c>
      <c r="M754" s="127">
        <v>8150</v>
      </c>
      <c r="N754" s="125">
        <v>505.94799999999998</v>
      </c>
      <c r="O754" s="127">
        <v>8130</v>
      </c>
      <c r="P754" s="125">
        <v>507.02</v>
      </c>
      <c r="Q754" s="127">
        <v>8150</v>
      </c>
      <c r="R754" s="125">
        <v>506.67</v>
      </c>
      <c r="S754" s="127">
        <v>8150</v>
      </c>
      <c r="T754" s="125">
        <v>507.346</v>
      </c>
      <c r="U754" s="127">
        <v>8140</v>
      </c>
      <c r="V754" s="125">
        <v>506.96699999999998</v>
      </c>
      <c r="W754" s="127">
        <v>8150</v>
      </c>
      <c r="X754" s="125">
        <v>506.404</v>
      </c>
      <c r="Y754" s="127">
        <v>8150</v>
      </c>
      <c r="Z754" s="125">
        <v>504.78300000000002</v>
      </c>
      <c r="AA754" s="127">
        <v>8150</v>
      </c>
      <c r="AB754" s="125">
        <v>505.08699999999999</v>
      </c>
      <c r="AC754" s="127">
        <v>8140</v>
      </c>
      <c r="AD754" s="125">
        <v>429.053</v>
      </c>
      <c r="AE754" s="127">
        <v>8150</v>
      </c>
      <c r="AF754" s="125">
        <v>430.666</v>
      </c>
      <c r="AG754" s="127">
        <v>8130</v>
      </c>
      <c r="AH754" s="125">
        <v>102.253</v>
      </c>
      <c r="AI754" s="127">
        <v>8130</v>
      </c>
      <c r="AJ754" s="125">
        <v>108.209</v>
      </c>
    </row>
    <row r="755" spans="1:36" ht="14.25">
      <c r="A755" s="128">
        <v>8160</v>
      </c>
      <c r="B755" s="124">
        <v>231.78399999999999</v>
      </c>
      <c r="C755" s="128">
        <v>8170</v>
      </c>
      <c r="D755" s="125">
        <v>229.851</v>
      </c>
      <c r="E755" s="126">
        <v>8160</v>
      </c>
      <c r="F755" s="125">
        <v>557.22799999999995</v>
      </c>
      <c r="G755" s="127">
        <v>8160</v>
      </c>
      <c r="H755" s="125">
        <v>557.28800000000001</v>
      </c>
      <c r="I755" s="127">
        <v>8160</v>
      </c>
      <c r="J755" s="125">
        <v>504.89800000000002</v>
      </c>
      <c r="K755" s="127">
        <v>8160</v>
      </c>
      <c r="L755" s="125">
        <v>504.226</v>
      </c>
      <c r="M755" s="127">
        <v>8160</v>
      </c>
      <c r="N755" s="125">
        <v>504.73700000000002</v>
      </c>
      <c r="O755" s="127">
        <v>8140</v>
      </c>
      <c r="P755" s="125">
        <v>505.80900000000003</v>
      </c>
      <c r="Q755" s="127">
        <v>8160</v>
      </c>
      <c r="R755" s="125">
        <v>505.459</v>
      </c>
      <c r="S755" s="127">
        <v>8160</v>
      </c>
      <c r="T755" s="125">
        <v>506.13400000000001</v>
      </c>
      <c r="U755" s="127">
        <v>8150</v>
      </c>
      <c r="V755" s="125">
        <v>505.75799999999998</v>
      </c>
      <c r="W755" s="127">
        <v>8160</v>
      </c>
      <c r="X755" s="125">
        <v>505.19299999999998</v>
      </c>
      <c r="Y755" s="127">
        <v>8160</v>
      </c>
      <c r="Z755" s="125">
        <v>503.57299999999998</v>
      </c>
      <c r="AA755" s="127">
        <v>8160</v>
      </c>
      <c r="AB755" s="125">
        <v>503.87799999999999</v>
      </c>
      <c r="AC755" s="127">
        <v>8150</v>
      </c>
      <c r="AD755" s="125">
        <v>427.84899999999999</v>
      </c>
      <c r="AE755" s="127">
        <v>8160</v>
      </c>
      <c r="AF755" s="125">
        <v>429.46199999999999</v>
      </c>
      <c r="AG755" s="127">
        <v>8140</v>
      </c>
      <c r="AH755" s="125">
        <v>101.91500000000001</v>
      </c>
      <c r="AI755" s="127">
        <v>8140</v>
      </c>
      <c r="AJ755" s="125">
        <v>107.85599999999999</v>
      </c>
    </row>
    <row r="756" spans="1:36" ht="14.25">
      <c r="A756" s="128">
        <v>8170</v>
      </c>
      <c r="B756" s="124">
        <v>231.06200000000001</v>
      </c>
      <c r="C756" s="128">
        <v>8180</v>
      </c>
      <c r="D756" s="125">
        <v>229.13200000000001</v>
      </c>
      <c r="E756" s="126">
        <v>8170</v>
      </c>
      <c r="F756" s="125">
        <v>555.76900000000001</v>
      </c>
      <c r="G756" s="127">
        <v>8170</v>
      </c>
      <c r="H756" s="125">
        <v>555.82899999999995</v>
      </c>
      <c r="I756" s="127">
        <v>8170</v>
      </c>
      <c r="J756" s="125">
        <v>503.68599999999998</v>
      </c>
      <c r="K756" s="127">
        <v>8170</v>
      </c>
      <c r="L756" s="125">
        <v>503.01299999999998</v>
      </c>
      <c r="M756" s="127">
        <v>8170</v>
      </c>
      <c r="N756" s="125">
        <v>503.52600000000001</v>
      </c>
      <c r="O756" s="127">
        <v>8150</v>
      </c>
      <c r="P756" s="125">
        <v>504.59699999999998</v>
      </c>
      <c r="Q756" s="127">
        <v>8170</v>
      </c>
      <c r="R756" s="125">
        <v>504.24700000000001</v>
      </c>
      <c r="S756" s="127">
        <v>8170</v>
      </c>
      <c r="T756" s="125">
        <v>504.923</v>
      </c>
      <c r="U756" s="127">
        <v>8160</v>
      </c>
      <c r="V756" s="125">
        <v>504.548</v>
      </c>
      <c r="W756" s="127">
        <v>8170</v>
      </c>
      <c r="X756" s="125">
        <v>503.983</v>
      </c>
      <c r="Y756" s="127">
        <v>8170</v>
      </c>
      <c r="Z756" s="125">
        <v>502.363</v>
      </c>
      <c r="AA756" s="127">
        <v>8170</v>
      </c>
      <c r="AB756" s="125">
        <v>502.66899999999998</v>
      </c>
      <c r="AC756" s="127">
        <v>8160</v>
      </c>
      <c r="AD756" s="125">
        <v>426.64400000000001</v>
      </c>
      <c r="AE756" s="127">
        <v>8170</v>
      </c>
      <c r="AF756" s="125">
        <v>428.25799999999998</v>
      </c>
      <c r="AG756" s="127">
        <v>8150</v>
      </c>
      <c r="AH756" s="125">
        <v>101.577</v>
      </c>
      <c r="AI756" s="127">
        <v>8150</v>
      </c>
      <c r="AJ756" s="125">
        <v>107.504</v>
      </c>
    </row>
    <row r="757" spans="1:36" ht="14.25">
      <c r="A757" s="128">
        <v>8180</v>
      </c>
      <c r="B757" s="124">
        <v>230.34</v>
      </c>
      <c r="C757" s="128">
        <v>8190</v>
      </c>
      <c r="D757" s="125">
        <v>228.41399999999999</v>
      </c>
      <c r="E757" s="126">
        <v>8180</v>
      </c>
      <c r="F757" s="125">
        <v>554.30999999999995</v>
      </c>
      <c r="G757" s="127">
        <v>8180</v>
      </c>
      <c r="H757" s="125">
        <v>554.37</v>
      </c>
      <c r="I757" s="127">
        <v>8180</v>
      </c>
      <c r="J757" s="125">
        <v>502.47500000000002</v>
      </c>
      <c r="K757" s="127">
        <v>8180</v>
      </c>
      <c r="L757" s="125">
        <v>501.80099999999999</v>
      </c>
      <c r="M757" s="127">
        <v>8180</v>
      </c>
      <c r="N757" s="125">
        <v>502.31400000000002</v>
      </c>
      <c r="O757" s="127">
        <v>8160</v>
      </c>
      <c r="P757" s="125">
        <v>503.38499999999999</v>
      </c>
      <c r="Q757" s="127">
        <v>8180</v>
      </c>
      <c r="R757" s="125">
        <v>503.036</v>
      </c>
      <c r="S757" s="127">
        <v>8180</v>
      </c>
      <c r="T757" s="125">
        <v>503.71100000000001</v>
      </c>
      <c r="U757" s="127">
        <v>8170</v>
      </c>
      <c r="V757" s="125">
        <v>503.339</v>
      </c>
      <c r="W757" s="127">
        <v>8180</v>
      </c>
      <c r="X757" s="125">
        <v>502.77199999999999</v>
      </c>
      <c r="Y757" s="127">
        <v>8180</v>
      </c>
      <c r="Z757" s="125">
        <v>501.15199999999999</v>
      </c>
      <c r="AA757" s="127">
        <v>8180</v>
      </c>
      <c r="AB757" s="125">
        <v>501.459</v>
      </c>
      <c r="AC757" s="127">
        <v>8170</v>
      </c>
      <c r="AD757" s="125">
        <v>425.44</v>
      </c>
      <c r="AE757" s="127">
        <v>8180</v>
      </c>
      <c r="AF757" s="125">
        <v>427.05399999999997</v>
      </c>
      <c r="AG757" s="127">
        <v>8160</v>
      </c>
      <c r="AH757" s="125">
        <v>101.24</v>
      </c>
      <c r="AI757" s="127">
        <v>8160</v>
      </c>
      <c r="AJ757" s="125">
        <v>107.152</v>
      </c>
    </row>
    <row r="758" spans="1:36" ht="14.25">
      <c r="A758" s="128">
        <v>8190</v>
      </c>
      <c r="B758" s="124">
        <v>229.61799999999999</v>
      </c>
      <c r="C758" s="128">
        <v>8200</v>
      </c>
      <c r="D758" s="125">
        <v>227.696</v>
      </c>
      <c r="E758" s="126">
        <v>8190</v>
      </c>
      <c r="F758" s="125">
        <v>552.851</v>
      </c>
      <c r="G758" s="127">
        <v>8190</v>
      </c>
      <c r="H758" s="125">
        <v>552.91099999999994</v>
      </c>
      <c r="I758" s="127">
        <v>8190</v>
      </c>
      <c r="J758" s="125">
        <v>501.26400000000001</v>
      </c>
      <c r="K758" s="127">
        <v>8190</v>
      </c>
      <c r="L758" s="125">
        <v>500.58800000000002</v>
      </c>
      <c r="M758" s="127">
        <v>8190</v>
      </c>
      <c r="N758" s="125">
        <v>501.10300000000001</v>
      </c>
      <c r="O758" s="127">
        <v>8170</v>
      </c>
      <c r="P758" s="125">
        <v>502.17399999999998</v>
      </c>
      <c r="Q758" s="127">
        <v>8190</v>
      </c>
      <c r="R758" s="125">
        <v>501.82400000000001</v>
      </c>
      <c r="S758" s="127">
        <v>8190</v>
      </c>
      <c r="T758" s="125">
        <v>502.5</v>
      </c>
      <c r="U758" s="127">
        <v>8180</v>
      </c>
      <c r="V758" s="125">
        <v>502.12900000000002</v>
      </c>
      <c r="W758" s="127">
        <v>8190</v>
      </c>
      <c r="X758" s="125">
        <v>501.56200000000001</v>
      </c>
      <c r="Y758" s="127">
        <v>8190</v>
      </c>
      <c r="Z758" s="125">
        <v>499.94200000000001</v>
      </c>
      <c r="AA758" s="127">
        <v>8190</v>
      </c>
      <c r="AB758" s="125">
        <v>500.25</v>
      </c>
      <c r="AC758" s="127">
        <v>8180</v>
      </c>
      <c r="AD758" s="125">
        <v>424.23599999999999</v>
      </c>
      <c r="AE758" s="127">
        <v>8190</v>
      </c>
      <c r="AF758" s="125">
        <v>425.85</v>
      </c>
      <c r="AG758" s="127">
        <v>8170</v>
      </c>
      <c r="AH758" s="125">
        <v>100.90300000000001</v>
      </c>
      <c r="AI758" s="127">
        <v>8170</v>
      </c>
      <c r="AJ758" s="125">
        <v>106.801</v>
      </c>
    </row>
    <row r="759" spans="1:36" ht="14.25">
      <c r="A759" s="128">
        <v>8200</v>
      </c>
      <c r="B759" s="124">
        <v>228.89699999999999</v>
      </c>
      <c r="C759" s="128">
        <v>8210</v>
      </c>
      <c r="D759" s="125">
        <v>226.97800000000001</v>
      </c>
      <c r="E759" s="126">
        <v>8200</v>
      </c>
      <c r="F759" s="125">
        <v>551.39200000000005</v>
      </c>
      <c r="G759" s="127">
        <v>8200</v>
      </c>
      <c r="H759" s="125">
        <v>551.452</v>
      </c>
      <c r="I759" s="127">
        <v>8200</v>
      </c>
      <c r="J759" s="125">
        <v>500.05200000000002</v>
      </c>
      <c r="K759" s="127">
        <v>8200</v>
      </c>
      <c r="L759" s="125">
        <v>499.375</v>
      </c>
      <c r="M759" s="127">
        <v>8200</v>
      </c>
      <c r="N759" s="125">
        <v>499.89100000000002</v>
      </c>
      <c r="O759" s="127">
        <v>8180</v>
      </c>
      <c r="P759" s="125">
        <v>500.96199999999999</v>
      </c>
      <c r="Q759" s="127">
        <v>8200</v>
      </c>
      <c r="R759" s="125">
        <v>500.613</v>
      </c>
      <c r="S759" s="127">
        <v>8200</v>
      </c>
      <c r="T759" s="125">
        <v>501.28800000000001</v>
      </c>
      <c r="U759" s="127">
        <v>8190</v>
      </c>
      <c r="V759" s="125">
        <v>500.91899999999998</v>
      </c>
      <c r="W759" s="127">
        <v>8200</v>
      </c>
      <c r="X759" s="125">
        <v>500.35199999999998</v>
      </c>
      <c r="Y759" s="127">
        <v>8200</v>
      </c>
      <c r="Z759" s="125">
        <v>498.73200000000003</v>
      </c>
      <c r="AA759" s="127">
        <v>8200</v>
      </c>
      <c r="AB759" s="125">
        <v>499.04</v>
      </c>
      <c r="AC759" s="127">
        <v>8190</v>
      </c>
      <c r="AD759" s="125">
        <v>423.03300000000002</v>
      </c>
      <c r="AE759" s="127">
        <v>8200</v>
      </c>
      <c r="AF759" s="125">
        <v>424.64699999999999</v>
      </c>
      <c r="AG759" s="127">
        <v>8180</v>
      </c>
      <c r="AH759" s="125">
        <v>100.56699999999999</v>
      </c>
      <c r="AI759" s="127">
        <v>8180</v>
      </c>
      <c r="AJ759" s="125">
        <v>106.45099999999999</v>
      </c>
    </row>
    <row r="760" spans="1:36" ht="14.25">
      <c r="A760" s="128">
        <v>8210</v>
      </c>
      <c r="B760" s="124">
        <v>228.17500000000001</v>
      </c>
      <c r="C760" s="128">
        <v>8220</v>
      </c>
      <c r="D760" s="125">
        <v>226.26</v>
      </c>
      <c r="E760" s="126">
        <v>8210</v>
      </c>
      <c r="F760" s="125">
        <v>549.93399999999997</v>
      </c>
      <c r="G760" s="127">
        <v>8210</v>
      </c>
      <c r="H760" s="125">
        <v>549.99300000000005</v>
      </c>
      <c r="I760" s="127">
        <v>8210</v>
      </c>
      <c r="J760" s="125">
        <v>498.84100000000001</v>
      </c>
      <c r="K760" s="127">
        <v>8210</v>
      </c>
      <c r="L760" s="125">
        <v>498.16199999999998</v>
      </c>
      <c r="M760" s="127">
        <v>8210</v>
      </c>
      <c r="N760" s="125">
        <v>498.68</v>
      </c>
      <c r="O760" s="127">
        <v>8190</v>
      </c>
      <c r="P760" s="125">
        <v>499.75</v>
      </c>
      <c r="Q760" s="127">
        <v>8210</v>
      </c>
      <c r="R760" s="125">
        <v>499.40100000000001</v>
      </c>
      <c r="S760" s="127">
        <v>8210</v>
      </c>
      <c r="T760" s="125">
        <v>500.077</v>
      </c>
      <c r="U760" s="127">
        <v>8200</v>
      </c>
      <c r="V760" s="125">
        <v>499.71</v>
      </c>
      <c r="W760" s="127">
        <v>8210</v>
      </c>
      <c r="X760" s="125">
        <v>499.14100000000002</v>
      </c>
      <c r="Y760" s="127">
        <v>8210</v>
      </c>
      <c r="Z760" s="125">
        <v>497.52100000000002</v>
      </c>
      <c r="AA760" s="127">
        <v>8210</v>
      </c>
      <c r="AB760" s="125">
        <v>497.83100000000002</v>
      </c>
      <c r="AC760" s="127">
        <v>8200</v>
      </c>
      <c r="AD760" s="125">
        <v>421.82900000000001</v>
      </c>
      <c r="AE760" s="127">
        <v>8210</v>
      </c>
      <c r="AF760" s="125">
        <v>423.44299999999998</v>
      </c>
      <c r="AG760" s="127">
        <v>8190</v>
      </c>
      <c r="AH760" s="125">
        <v>100.232</v>
      </c>
      <c r="AI760" s="127">
        <v>8190</v>
      </c>
      <c r="AJ760" s="125">
        <v>106.101</v>
      </c>
    </row>
    <row r="761" spans="1:36" ht="14.25">
      <c r="A761" s="128">
        <v>8220</v>
      </c>
      <c r="B761" s="124">
        <v>227.45400000000001</v>
      </c>
      <c r="C761" s="128">
        <v>8230</v>
      </c>
      <c r="D761" s="125">
        <v>225.54300000000001</v>
      </c>
      <c r="E761" s="126">
        <v>8220</v>
      </c>
      <c r="F761" s="125">
        <v>548.47500000000002</v>
      </c>
      <c r="G761" s="127">
        <v>8220</v>
      </c>
      <c r="H761" s="125">
        <v>548.53499999999997</v>
      </c>
      <c r="I761" s="127">
        <v>8220</v>
      </c>
      <c r="J761" s="125">
        <v>497.63</v>
      </c>
      <c r="K761" s="127">
        <v>8220</v>
      </c>
      <c r="L761" s="125">
        <v>496.94900000000001</v>
      </c>
      <c r="M761" s="127">
        <v>8220</v>
      </c>
      <c r="N761" s="125">
        <v>497.46800000000002</v>
      </c>
      <c r="O761" s="127">
        <v>8200</v>
      </c>
      <c r="P761" s="125">
        <v>498.53899999999999</v>
      </c>
      <c r="Q761" s="127">
        <v>8220</v>
      </c>
      <c r="R761" s="125">
        <v>498.19</v>
      </c>
      <c r="S761" s="127">
        <v>8220</v>
      </c>
      <c r="T761" s="125">
        <v>498.86500000000001</v>
      </c>
      <c r="U761" s="127">
        <v>8210</v>
      </c>
      <c r="V761" s="125">
        <v>498.5</v>
      </c>
      <c r="W761" s="127">
        <v>8220</v>
      </c>
      <c r="X761" s="125">
        <v>497.93099999999998</v>
      </c>
      <c r="Y761" s="127">
        <v>8220</v>
      </c>
      <c r="Z761" s="125">
        <v>496.31099999999998</v>
      </c>
      <c r="AA761" s="127">
        <v>8220</v>
      </c>
      <c r="AB761" s="125">
        <v>496.62099999999998</v>
      </c>
      <c r="AC761" s="127">
        <v>8210</v>
      </c>
      <c r="AD761" s="125">
        <v>420.62599999999998</v>
      </c>
      <c r="AE761" s="127">
        <v>8220</v>
      </c>
      <c r="AF761" s="125">
        <v>422.24</v>
      </c>
      <c r="AG761" s="127">
        <v>8200</v>
      </c>
      <c r="AH761" s="125">
        <v>99.896000000000001</v>
      </c>
      <c r="AI761" s="127">
        <v>8200</v>
      </c>
      <c r="AJ761" s="125">
        <v>105.751</v>
      </c>
    </row>
    <row r="762" spans="1:36" ht="14.25">
      <c r="A762" s="128">
        <v>8230</v>
      </c>
      <c r="B762" s="124">
        <v>226.733</v>
      </c>
      <c r="C762" s="128">
        <v>8240</v>
      </c>
      <c r="D762" s="125">
        <v>224.82599999999999</v>
      </c>
      <c r="E762" s="126">
        <v>8230</v>
      </c>
      <c r="F762" s="125">
        <v>547.01700000000005</v>
      </c>
      <c r="G762" s="127">
        <v>8230</v>
      </c>
      <c r="H762" s="125">
        <v>547.07600000000002</v>
      </c>
      <c r="I762" s="127">
        <v>8230</v>
      </c>
      <c r="J762" s="125">
        <v>496.41800000000001</v>
      </c>
      <c r="K762" s="127">
        <v>8230</v>
      </c>
      <c r="L762" s="125">
        <v>495.73599999999999</v>
      </c>
      <c r="M762" s="127">
        <v>8230</v>
      </c>
      <c r="N762" s="125">
        <v>496.25700000000001</v>
      </c>
      <c r="O762" s="127">
        <v>8210</v>
      </c>
      <c r="P762" s="125">
        <v>497.327</v>
      </c>
      <c r="Q762" s="127">
        <v>8230</v>
      </c>
      <c r="R762" s="125">
        <v>496.97899999999998</v>
      </c>
      <c r="S762" s="127">
        <v>8230</v>
      </c>
      <c r="T762" s="125">
        <v>497.654</v>
      </c>
      <c r="U762" s="127">
        <v>8220</v>
      </c>
      <c r="V762" s="125">
        <v>497.29</v>
      </c>
      <c r="W762" s="127">
        <v>8230</v>
      </c>
      <c r="X762" s="125">
        <v>496.72</v>
      </c>
      <c r="Y762" s="127">
        <v>8230</v>
      </c>
      <c r="Z762" s="125">
        <v>495.1</v>
      </c>
      <c r="AA762" s="127">
        <v>8230</v>
      </c>
      <c r="AB762" s="125">
        <v>495.41199999999998</v>
      </c>
      <c r="AC762" s="127">
        <v>8220</v>
      </c>
      <c r="AD762" s="125">
        <v>419.42200000000003</v>
      </c>
      <c r="AE762" s="127">
        <v>8230</v>
      </c>
      <c r="AF762" s="125">
        <v>421.03699999999998</v>
      </c>
      <c r="AG762" s="127">
        <v>8210</v>
      </c>
      <c r="AH762" s="125">
        <v>99.561999999999998</v>
      </c>
      <c r="AI762" s="127">
        <v>8210</v>
      </c>
      <c r="AJ762" s="125">
        <v>105.402</v>
      </c>
    </row>
    <row r="763" spans="1:36" ht="14.25">
      <c r="A763" s="128">
        <v>8240</v>
      </c>
      <c r="B763" s="124">
        <v>226.01300000000001</v>
      </c>
      <c r="C763" s="128">
        <v>8250</v>
      </c>
      <c r="D763" s="125">
        <v>224.10900000000001</v>
      </c>
      <c r="E763" s="126">
        <v>8240</v>
      </c>
      <c r="F763" s="125">
        <v>545.55799999999999</v>
      </c>
      <c r="G763" s="127">
        <v>8240</v>
      </c>
      <c r="H763" s="125">
        <v>545.61800000000005</v>
      </c>
      <c r="I763" s="127">
        <v>8240</v>
      </c>
      <c r="J763" s="125">
        <v>495.20699999999999</v>
      </c>
      <c r="K763" s="127">
        <v>8240</v>
      </c>
      <c r="L763" s="125">
        <v>494.52300000000002</v>
      </c>
      <c r="M763" s="127">
        <v>8240</v>
      </c>
      <c r="N763" s="125">
        <v>495.04500000000002</v>
      </c>
      <c r="O763" s="127">
        <v>8220</v>
      </c>
      <c r="P763" s="125">
        <v>496.11500000000001</v>
      </c>
      <c r="Q763" s="127">
        <v>8240</v>
      </c>
      <c r="R763" s="125">
        <v>495.767</v>
      </c>
      <c r="S763" s="127">
        <v>8240</v>
      </c>
      <c r="T763" s="125">
        <v>496.44200000000001</v>
      </c>
      <c r="U763" s="127">
        <v>8230</v>
      </c>
      <c r="V763" s="125">
        <v>496.08100000000002</v>
      </c>
      <c r="W763" s="127">
        <v>8240</v>
      </c>
      <c r="X763" s="125">
        <v>495.51</v>
      </c>
      <c r="Y763" s="127">
        <v>8240</v>
      </c>
      <c r="Z763" s="125">
        <v>493.89</v>
      </c>
      <c r="AA763" s="127">
        <v>8240</v>
      </c>
      <c r="AB763" s="125">
        <v>494.20299999999997</v>
      </c>
      <c r="AC763" s="127">
        <v>8230</v>
      </c>
      <c r="AD763" s="125">
        <v>418.21899999999999</v>
      </c>
      <c r="AE763" s="127">
        <v>8240</v>
      </c>
      <c r="AF763" s="125">
        <v>419.83499999999998</v>
      </c>
      <c r="AG763" s="127">
        <v>8220</v>
      </c>
      <c r="AH763" s="125">
        <v>99.227999999999994</v>
      </c>
      <c r="AI763" s="127">
        <v>8220</v>
      </c>
      <c r="AJ763" s="125">
        <v>105.054</v>
      </c>
    </row>
    <row r="764" spans="1:36" ht="14.25">
      <c r="A764" s="128">
        <v>8250</v>
      </c>
      <c r="B764" s="124">
        <v>225.292</v>
      </c>
      <c r="C764" s="128">
        <v>8260</v>
      </c>
      <c r="D764" s="125">
        <v>223.392</v>
      </c>
      <c r="E764" s="126">
        <v>8250</v>
      </c>
      <c r="F764" s="125">
        <v>544.1</v>
      </c>
      <c r="G764" s="127">
        <v>8250</v>
      </c>
      <c r="H764" s="125">
        <v>544.15899999999999</v>
      </c>
      <c r="I764" s="127">
        <v>8250</v>
      </c>
      <c r="J764" s="125">
        <v>493.99599999999998</v>
      </c>
      <c r="K764" s="127">
        <v>8250</v>
      </c>
      <c r="L764" s="125">
        <v>493.31099999999998</v>
      </c>
      <c r="M764" s="127">
        <v>8250</v>
      </c>
      <c r="N764" s="125">
        <v>493.834</v>
      </c>
      <c r="O764" s="127">
        <v>8230</v>
      </c>
      <c r="P764" s="125">
        <v>494.904</v>
      </c>
      <c r="Q764" s="127">
        <v>8250</v>
      </c>
      <c r="R764" s="125">
        <v>494.55599999999998</v>
      </c>
      <c r="S764" s="127">
        <v>8250</v>
      </c>
      <c r="T764" s="125">
        <v>495.23099999999999</v>
      </c>
      <c r="U764" s="127">
        <v>8240</v>
      </c>
      <c r="V764" s="125">
        <v>494.87099999999998</v>
      </c>
      <c r="W764" s="127">
        <v>8250</v>
      </c>
      <c r="X764" s="125">
        <v>494.29899999999998</v>
      </c>
      <c r="Y764" s="127">
        <v>8250</v>
      </c>
      <c r="Z764" s="125">
        <v>492.68</v>
      </c>
      <c r="AA764" s="127">
        <v>8250</v>
      </c>
      <c r="AB764" s="125">
        <v>492.99299999999999</v>
      </c>
      <c r="AC764" s="127">
        <v>8240</v>
      </c>
      <c r="AD764" s="125">
        <v>417.017</v>
      </c>
      <c r="AE764" s="127">
        <v>8250</v>
      </c>
      <c r="AF764" s="125">
        <v>418.63200000000001</v>
      </c>
      <c r="AG764" s="127">
        <v>8230</v>
      </c>
      <c r="AH764" s="125">
        <v>98.894000000000005</v>
      </c>
      <c r="AI764" s="127">
        <v>8230</v>
      </c>
      <c r="AJ764" s="125">
        <v>104.706</v>
      </c>
    </row>
    <row r="765" spans="1:36" ht="14.25">
      <c r="A765" s="128">
        <v>8260</v>
      </c>
      <c r="B765" s="124">
        <v>224.572</v>
      </c>
      <c r="C765" s="128">
        <v>8270</v>
      </c>
      <c r="D765" s="125">
        <v>222.67500000000001</v>
      </c>
      <c r="E765" s="126">
        <v>8260</v>
      </c>
      <c r="F765" s="125">
        <v>542.64200000000005</v>
      </c>
      <c r="G765" s="127">
        <v>8260</v>
      </c>
      <c r="H765" s="125">
        <v>542.70100000000002</v>
      </c>
      <c r="I765" s="127">
        <v>8260</v>
      </c>
      <c r="J765" s="125">
        <v>492.78399999999999</v>
      </c>
      <c r="K765" s="127">
        <v>8260</v>
      </c>
      <c r="L765" s="125">
        <v>492.09800000000001</v>
      </c>
      <c r="M765" s="127">
        <v>8260</v>
      </c>
      <c r="N765" s="125">
        <v>492.62299999999999</v>
      </c>
      <c r="O765" s="127">
        <v>8240</v>
      </c>
      <c r="P765" s="125">
        <v>493.69200000000001</v>
      </c>
      <c r="Q765" s="127">
        <v>8260</v>
      </c>
      <c r="R765" s="125">
        <v>493.34399999999999</v>
      </c>
      <c r="S765" s="127">
        <v>8260</v>
      </c>
      <c r="T765" s="125">
        <v>494.01900000000001</v>
      </c>
      <c r="U765" s="127">
        <v>8250</v>
      </c>
      <c r="V765" s="125">
        <v>493.66199999999998</v>
      </c>
      <c r="W765" s="127">
        <v>8260</v>
      </c>
      <c r="X765" s="125">
        <v>493.089</v>
      </c>
      <c r="Y765" s="127">
        <v>8260</v>
      </c>
      <c r="Z765" s="125">
        <v>491.46899999999999</v>
      </c>
      <c r="AA765" s="127">
        <v>8260</v>
      </c>
      <c r="AB765" s="125">
        <v>491.78399999999999</v>
      </c>
      <c r="AC765" s="127">
        <v>8250</v>
      </c>
      <c r="AD765" s="125">
        <v>415.81400000000002</v>
      </c>
      <c r="AE765" s="127">
        <v>8260</v>
      </c>
      <c r="AF765" s="125">
        <v>417.43</v>
      </c>
      <c r="AG765" s="127">
        <v>8240</v>
      </c>
      <c r="AH765" s="125">
        <v>98.561000000000007</v>
      </c>
      <c r="AI765" s="127">
        <v>8240</v>
      </c>
      <c r="AJ765" s="125">
        <v>104.358</v>
      </c>
    </row>
    <row r="766" spans="1:36" ht="14.25">
      <c r="A766" s="128">
        <v>8270</v>
      </c>
      <c r="B766" s="124">
        <v>223.852</v>
      </c>
      <c r="C766" s="128">
        <v>8280</v>
      </c>
      <c r="D766" s="125">
        <v>221.959</v>
      </c>
      <c r="E766" s="126">
        <v>8270</v>
      </c>
      <c r="F766" s="125">
        <v>541.18399999999997</v>
      </c>
      <c r="G766" s="127">
        <v>8270</v>
      </c>
      <c r="H766" s="125">
        <v>541.24300000000005</v>
      </c>
      <c r="I766" s="127">
        <v>8270</v>
      </c>
      <c r="J766" s="125">
        <v>491.57299999999998</v>
      </c>
      <c r="K766" s="127">
        <v>8270</v>
      </c>
      <c r="L766" s="125">
        <v>490.88499999999999</v>
      </c>
      <c r="M766" s="127">
        <v>8270</v>
      </c>
      <c r="N766" s="125">
        <v>491.411</v>
      </c>
      <c r="O766" s="127">
        <v>8250</v>
      </c>
      <c r="P766" s="125">
        <v>492.48</v>
      </c>
      <c r="Q766" s="127">
        <v>8270</v>
      </c>
      <c r="R766" s="125">
        <v>492.13299999999998</v>
      </c>
      <c r="S766" s="127">
        <v>8270</v>
      </c>
      <c r="T766" s="125">
        <v>492.80799999999999</v>
      </c>
      <c r="U766" s="127">
        <v>8260</v>
      </c>
      <c r="V766" s="125">
        <v>492.452</v>
      </c>
      <c r="W766" s="127">
        <v>8270</v>
      </c>
      <c r="X766" s="125">
        <v>491.87900000000002</v>
      </c>
      <c r="Y766" s="127">
        <v>8270</v>
      </c>
      <c r="Z766" s="125">
        <v>490.25900000000001</v>
      </c>
      <c r="AA766" s="127">
        <v>8270</v>
      </c>
      <c r="AB766" s="125">
        <v>490.57400000000001</v>
      </c>
      <c r="AC766" s="127">
        <v>8260</v>
      </c>
      <c r="AD766" s="125">
        <v>414.61200000000002</v>
      </c>
      <c r="AE766" s="127">
        <v>8270</v>
      </c>
      <c r="AF766" s="125">
        <v>416.22800000000001</v>
      </c>
      <c r="AG766" s="127">
        <v>8250</v>
      </c>
      <c r="AH766" s="125">
        <v>98.228999999999999</v>
      </c>
      <c r="AI766" s="127">
        <v>8250</v>
      </c>
      <c r="AJ766" s="125">
        <v>104.011</v>
      </c>
    </row>
    <row r="767" spans="1:36" ht="14.25">
      <c r="A767" s="128">
        <v>8280</v>
      </c>
      <c r="B767" s="124">
        <v>223.13200000000001</v>
      </c>
      <c r="C767" s="128">
        <v>8290</v>
      </c>
      <c r="D767" s="125">
        <v>221.24299999999999</v>
      </c>
      <c r="E767" s="126">
        <v>8280</v>
      </c>
      <c r="F767" s="125">
        <v>539.726</v>
      </c>
      <c r="G767" s="127">
        <v>8280</v>
      </c>
      <c r="H767" s="125">
        <v>539.78499999999997</v>
      </c>
      <c r="I767" s="127">
        <v>8280</v>
      </c>
      <c r="J767" s="125">
        <v>490.36200000000002</v>
      </c>
      <c r="K767" s="127">
        <v>8280</v>
      </c>
      <c r="L767" s="125">
        <v>489.67200000000003</v>
      </c>
      <c r="M767" s="127">
        <v>8280</v>
      </c>
      <c r="N767" s="125">
        <v>490.2</v>
      </c>
      <c r="O767" s="127">
        <v>8260</v>
      </c>
      <c r="P767" s="125">
        <v>491.26900000000001</v>
      </c>
      <c r="Q767" s="127">
        <v>8280</v>
      </c>
      <c r="R767" s="125">
        <v>490.92099999999999</v>
      </c>
      <c r="S767" s="127">
        <v>8280</v>
      </c>
      <c r="T767" s="125">
        <v>491.596</v>
      </c>
      <c r="U767" s="127">
        <v>8270</v>
      </c>
      <c r="V767" s="125">
        <v>491.24200000000002</v>
      </c>
      <c r="W767" s="127">
        <v>8280</v>
      </c>
      <c r="X767" s="125">
        <v>490.66800000000001</v>
      </c>
      <c r="Y767" s="127">
        <v>8280</v>
      </c>
      <c r="Z767" s="125">
        <v>489.04899999999998</v>
      </c>
      <c r="AA767" s="127">
        <v>8280</v>
      </c>
      <c r="AB767" s="125">
        <v>489.36500000000001</v>
      </c>
      <c r="AC767" s="127">
        <v>8270</v>
      </c>
      <c r="AD767" s="125">
        <v>413.41</v>
      </c>
      <c r="AE767" s="127">
        <v>8280</v>
      </c>
      <c r="AF767" s="125">
        <v>415.02600000000001</v>
      </c>
      <c r="AG767" s="127">
        <v>8260</v>
      </c>
      <c r="AH767" s="125">
        <v>97.897000000000006</v>
      </c>
      <c r="AI767" s="127">
        <v>8260</v>
      </c>
      <c r="AJ767" s="125">
        <v>103.66500000000001</v>
      </c>
    </row>
    <row r="768" spans="1:36" ht="14.25">
      <c r="A768" s="128">
        <v>8290</v>
      </c>
      <c r="B768" s="124">
        <v>222.41300000000001</v>
      </c>
      <c r="C768" s="128">
        <v>8300</v>
      </c>
      <c r="D768" s="125">
        <v>220.52699999999999</v>
      </c>
      <c r="E768" s="126">
        <v>8290</v>
      </c>
      <c r="F768" s="125">
        <v>538.26800000000003</v>
      </c>
      <c r="G768" s="127">
        <v>8290</v>
      </c>
      <c r="H768" s="125">
        <v>538.327</v>
      </c>
      <c r="I768" s="127">
        <v>8290</v>
      </c>
      <c r="J768" s="125">
        <v>489.15</v>
      </c>
      <c r="K768" s="127">
        <v>8290</v>
      </c>
      <c r="L768" s="125">
        <v>488.459</v>
      </c>
      <c r="M768" s="127">
        <v>8290</v>
      </c>
      <c r="N768" s="125">
        <v>488.98899999999998</v>
      </c>
      <c r="O768" s="127">
        <v>8270</v>
      </c>
      <c r="P768" s="125">
        <v>490.05700000000002</v>
      </c>
      <c r="Q768" s="127">
        <v>8290</v>
      </c>
      <c r="R768" s="125">
        <v>489.71</v>
      </c>
      <c r="S768" s="127">
        <v>8290</v>
      </c>
      <c r="T768" s="125">
        <v>490.38499999999999</v>
      </c>
      <c r="U768" s="127">
        <v>8280</v>
      </c>
      <c r="V768" s="125">
        <v>490.03300000000002</v>
      </c>
      <c r="W768" s="127">
        <v>8290</v>
      </c>
      <c r="X768" s="125">
        <v>489.45800000000003</v>
      </c>
      <c r="Y768" s="127">
        <v>8290</v>
      </c>
      <c r="Z768" s="125">
        <v>487.83800000000002</v>
      </c>
      <c r="AA768" s="127">
        <v>8290</v>
      </c>
      <c r="AB768" s="125">
        <v>488.15499999999997</v>
      </c>
      <c r="AC768" s="127">
        <v>8280</v>
      </c>
      <c r="AD768" s="125">
        <v>412.20800000000003</v>
      </c>
      <c r="AE768" s="127">
        <v>8290</v>
      </c>
      <c r="AF768" s="125">
        <v>413.82499999999999</v>
      </c>
      <c r="AG768" s="127">
        <v>8270</v>
      </c>
      <c r="AH768" s="125">
        <v>97.564999999999998</v>
      </c>
      <c r="AI768" s="127">
        <v>8270</v>
      </c>
      <c r="AJ768" s="125">
        <v>103.319</v>
      </c>
    </row>
    <row r="769" spans="1:36" ht="14.25">
      <c r="A769" s="128">
        <v>8300</v>
      </c>
      <c r="B769" s="124">
        <v>221.69300000000001</v>
      </c>
      <c r="C769" s="128">
        <v>8310</v>
      </c>
      <c r="D769" s="125">
        <v>219.81100000000001</v>
      </c>
      <c r="E769" s="126">
        <v>8300</v>
      </c>
      <c r="F769" s="125">
        <v>536.81100000000004</v>
      </c>
      <c r="G769" s="127">
        <v>8300</v>
      </c>
      <c r="H769" s="125">
        <v>536.86900000000003</v>
      </c>
      <c r="I769" s="127">
        <v>8300</v>
      </c>
      <c r="J769" s="125">
        <v>487.93900000000002</v>
      </c>
      <c r="K769" s="127">
        <v>8300</v>
      </c>
      <c r="L769" s="125">
        <v>487.24599999999998</v>
      </c>
      <c r="M769" s="127">
        <v>8300</v>
      </c>
      <c r="N769" s="125">
        <v>487.77699999999999</v>
      </c>
      <c r="O769" s="127">
        <v>8280</v>
      </c>
      <c r="P769" s="125">
        <v>488.84500000000003</v>
      </c>
      <c r="Q769" s="127">
        <v>8300</v>
      </c>
      <c r="R769" s="125">
        <v>488.49900000000002</v>
      </c>
      <c r="S769" s="127">
        <v>8300</v>
      </c>
      <c r="T769" s="125">
        <v>489.173</v>
      </c>
      <c r="U769" s="127">
        <v>8290</v>
      </c>
      <c r="V769" s="125">
        <v>488.82299999999998</v>
      </c>
      <c r="W769" s="127">
        <v>8300</v>
      </c>
      <c r="X769" s="125">
        <v>488.24700000000001</v>
      </c>
      <c r="Y769" s="127">
        <v>8300</v>
      </c>
      <c r="Z769" s="125">
        <v>486.62799999999999</v>
      </c>
      <c r="AA769" s="127">
        <v>8300</v>
      </c>
      <c r="AB769" s="125">
        <v>486.94600000000003</v>
      </c>
      <c r="AC769" s="127">
        <v>8290</v>
      </c>
      <c r="AD769" s="125">
        <v>411.00700000000001</v>
      </c>
      <c r="AE769" s="127">
        <v>8300</v>
      </c>
      <c r="AF769" s="125">
        <v>412.62400000000002</v>
      </c>
      <c r="AG769" s="127">
        <v>8280</v>
      </c>
      <c r="AH769" s="125">
        <v>97.233999999999995</v>
      </c>
      <c r="AI769" s="127">
        <v>8280</v>
      </c>
      <c r="AJ769" s="125">
        <v>102.974</v>
      </c>
    </row>
    <row r="770" spans="1:36" ht="14.25">
      <c r="A770" s="128">
        <v>8310</v>
      </c>
      <c r="B770" s="124">
        <v>220.97399999999999</v>
      </c>
      <c r="C770" s="128">
        <v>8320</v>
      </c>
      <c r="D770" s="125">
        <v>219.096</v>
      </c>
      <c r="E770" s="126">
        <v>8310</v>
      </c>
      <c r="F770" s="125">
        <v>535.35299999999995</v>
      </c>
      <c r="G770" s="127">
        <v>8310</v>
      </c>
      <c r="H770" s="125">
        <v>535.41099999999994</v>
      </c>
      <c r="I770" s="127">
        <v>8310</v>
      </c>
      <c r="J770" s="125">
        <v>486.72800000000001</v>
      </c>
      <c r="K770" s="127">
        <v>8310</v>
      </c>
      <c r="L770" s="125">
        <v>486.03300000000002</v>
      </c>
      <c r="M770" s="127">
        <v>8310</v>
      </c>
      <c r="N770" s="125">
        <v>486.56599999999997</v>
      </c>
      <c r="O770" s="127">
        <v>8290</v>
      </c>
      <c r="P770" s="125">
        <v>487.63400000000001</v>
      </c>
      <c r="Q770" s="127">
        <v>8310</v>
      </c>
      <c r="R770" s="125">
        <v>487.28699999999998</v>
      </c>
      <c r="S770" s="127">
        <v>8310</v>
      </c>
      <c r="T770" s="125">
        <v>487.96199999999999</v>
      </c>
      <c r="U770" s="127">
        <v>8300</v>
      </c>
      <c r="V770" s="125">
        <v>487.613</v>
      </c>
      <c r="W770" s="127">
        <v>8310</v>
      </c>
      <c r="X770" s="125">
        <v>487.03699999999998</v>
      </c>
      <c r="Y770" s="127">
        <v>8310</v>
      </c>
      <c r="Z770" s="125">
        <v>485.41800000000001</v>
      </c>
      <c r="AA770" s="127">
        <v>8310</v>
      </c>
      <c r="AB770" s="125">
        <v>485.73700000000002</v>
      </c>
      <c r="AC770" s="127">
        <v>8300</v>
      </c>
      <c r="AD770" s="125">
        <v>409.80500000000001</v>
      </c>
      <c r="AE770" s="127">
        <v>8310</v>
      </c>
      <c r="AF770" s="125">
        <v>411.423</v>
      </c>
      <c r="AG770" s="127">
        <v>8290</v>
      </c>
      <c r="AH770" s="125">
        <v>96.903999999999996</v>
      </c>
      <c r="AI770" s="127">
        <v>8290</v>
      </c>
      <c r="AJ770" s="125">
        <v>102.629</v>
      </c>
    </row>
    <row r="771" spans="1:36" ht="14.25">
      <c r="A771" s="128">
        <v>8320</v>
      </c>
      <c r="B771" s="124">
        <v>220.255</v>
      </c>
      <c r="C771" s="128">
        <v>8330</v>
      </c>
      <c r="D771" s="125">
        <v>218.38</v>
      </c>
      <c r="E771" s="126">
        <v>8320</v>
      </c>
      <c r="F771" s="125">
        <v>533.89499999999998</v>
      </c>
      <c r="G771" s="127">
        <v>8320</v>
      </c>
      <c r="H771" s="125">
        <v>533.95399999999995</v>
      </c>
      <c r="I771" s="127">
        <v>8320</v>
      </c>
      <c r="J771" s="125">
        <v>485.517</v>
      </c>
      <c r="K771" s="127">
        <v>8320</v>
      </c>
      <c r="L771" s="125">
        <v>484.82</v>
      </c>
      <c r="M771" s="127">
        <v>8320</v>
      </c>
      <c r="N771" s="125">
        <v>485.35399999999998</v>
      </c>
      <c r="O771" s="127">
        <v>8300</v>
      </c>
      <c r="P771" s="125">
        <v>486.42200000000003</v>
      </c>
      <c r="Q771" s="127">
        <v>8320</v>
      </c>
      <c r="R771" s="125">
        <v>486.07600000000002</v>
      </c>
      <c r="S771" s="127">
        <v>8320</v>
      </c>
      <c r="T771" s="125">
        <v>486.75</v>
      </c>
      <c r="U771" s="127">
        <v>8310</v>
      </c>
      <c r="V771" s="125">
        <v>486.404</v>
      </c>
      <c r="W771" s="127">
        <v>8320</v>
      </c>
      <c r="X771" s="125">
        <v>485.827</v>
      </c>
      <c r="Y771" s="127">
        <v>8320</v>
      </c>
      <c r="Z771" s="125">
        <v>484.20699999999999</v>
      </c>
      <c r="AA771" s="127">
        <v>8320</v>
      </c>
      <c r="AB771" s="125">
        <v>484.52699999999999</v>
      </c>
      <c r="AC771" s="127">
        <v>8310</v>
      </c>
      <c r="AD771" s="125">
        <v>408.60399999999998</v>
      </c>
      <c r="AE771" s="127">
        <v>8320</v>
      </c>
      <c r="AF771" s="125">
        <v>410.22199999999998</v>
      </c>
      <c r="AG771" s="127">
        <v>8300</v>
      </c>
      <c r="AH771" s="125">
        <v>96.573999999999998</v>
      </c>
      <c r="AI771" s="127">
        <v>8300</v>
      </c>
      <c r="AJ771" s="125">
        <v>102.285</v>
      </c>
    </row>
    <row r="772" spans="1:36" ht="14.25">
      <c r="A772" s="128">
        <v>8330</v>
      </c>
      <c r="B772" s="124">
        <v>219.536</v>
      </c>
      <c r="C772" s="128">
        <v>8340</v>
      </c>
      <c r="D772" s="125">
        <v>217.66499999999999</v>
      </c>
      <c r="E772" s="126">
        <v>8330</v>
      </c>
      <c r="F772" s="125">
        <v>532.43799999999999</v>
      </c>
      <c r="G772" s="127">
        <v>8330</v>
      </c>
      <c r="H772" s="125">
        <v>532.49599999999998</v>
      </c>
      <c r="I772" s="127">
        <v>8330</v>
      </c>
      <c r="J772" s="125">
        <v>484.30500000000001</v>
      </c>
      <c r="K772" s="127">
        <v>8330</v>
      </c>
      <c r="L772" s="125">
        <v>483.608</v>
      </c>
      <c r="M772" s="127">
        <v>8330</v>
      </c>
      <c r="N772" s="125">
        <v>484.14299999999997</v>
      </c>
      <c r="O772" s="127">
        <v>8310</v>
      </c>
      <c r="P772" s="125">
        <v>485.21</v>
      </c>
      <c r="Q772" s="127">
        <v>8330</v>
      </c>
      <c r="R772" s="125">
        <v>484.86399999999998</v>
      </c>
      <c r="S772" s="127">
        <v>8330</v>
      </c>
      <c r="T772" s="125">
        <v>485.53899999999999</v>
      </c>
      <c r="U772" s="127">
        <v>8320</v>
      </c>
      <c r="V772" s="125">
        <v>485.19400000000002</v>
      </c>
      <c r="W772" s="127">
        <v>8330</v>
      </c>
      <c r="X772" s="125">
        <v>484.61599999999999</v>
      </c>
      <c r="Y772" s="127">
        <v>8330</v>
      </c>
      <c r="Z772" s="125">
        <v>482.99700000000001</v>
      </c>
      <c r="AA772" s="127">
        <v>8330</v>
      </c>
      <c r="AB772" s="125">
        <v>483.31799999999998</v>
      </c>
      <c r="AC772" s="127">
        <v>8320</v>
      </c>
      <c r="AD772" s="125">
        <v>407.404</v>
      </c>
      <c r="AE772" s="127">
        <v>8330</v>
      </c>
      <c r="AF772" s="125">
        <v>409.02100000000002</v>
      </c>
      <c r="AG772" s="127">
        <v>8310</v>
      </c>
      <c r="AH772" s="125">
        <v>96.245000000000005</v>
      </c>
      <c r="AI772" s="127">
        <v>8310</v>
      </c>
      <c r="AJ772" s="125">
        <v>101.941</v>
      </c>
    </row>
    <row r="773" spans="1:36" ht="14.25">
      <c r="A773" s="128">
        <v>8340</v>
      </c>
      <c r="B773" s="124">
        <v>218.81800000000001</v>
      </c>
      <c r="C773" s="128">
        <v>8350</v>
      </c>
      <c r="D773" s="125">
        <v>216.95</v>
      </c>
      <c r="E773" s="126">
        <v>8340</v>
      </c>
      <c r="F773" s="125">
        <v>530.98099999999999</v>
      </c>
      <c r="G773" s="127">
        <v>8340</v>
      </c>
      <c r="H773" s="125">
        <v>531.03800000000001</v>
      </c>
      <c r="I773" s="127">
        <v>8340</v>
      </c>
      <c r="J773" s="125">
        <v>483.09399999999999</v>
      </c>
      <c r="K773" s="127">
        <v>8340</v>
      </c>
      <c r="L773" s="125">
        <v>482.39499999999998</v>
      </c>
      <c r="M773" s="127">
        <v>8340</v>
      </c>
      <c r="N773" s="125">
        <v>482.93099999999998</v>
      </c>
      <c r="O773" s="127">
        <v>8320</v>
      </c>
      <c r="P773" s="125">
        <v>483.99900000000002</v>
      </c>
      <c r="Q773" s="127">
        <v>8340</v>
      </c>
      <c r="R773" s="125">
        <v>483.65300000000002</v>
      </c>
      <c r="S773" s="127">
        <v>8340</v>
      </c>
      <c r="T773" s="125">
        <v>484.327</v>
      </c>
      <c r="U773" s="127">
        <v>8330</v>
      </c>
      <c r="V773" s="125">
        <v>483.98500000000001</v>
      </c>
      <c r="W773" s="127">
        <v>8340</v>
      </c>
      <c r="X773" s="125">
        <v>483.40600000000001</v>
      </c>
      <c r="Y773" s="127">
        <v>8340</v>
      </c>
      <c r="Z773" s="125">
        <v>481.78699999999998</v>
      </c>
      <c r="AA773" s="127">
        <v>8340</v>
      </c>
      <c r="AB773" s="125">
        <v>482.108</v>
      </c>
      <c r="AC773" s="127">
        <v>8330</v>
      </c>
      <c r="AD773" s="125">
        <v>406.20299999999997</v>
      </c>
      <c r="AE773" s="127">
        <v>8340</v>
      </c>
      <c r="AF773" s="125">
        <v>407.82100000000003</v>
      </c>
      <c r="AG773" s="127">
        <v>8320</v>
      </c>
      <c r="AH773" s="125">
        <v>95.915999999999997</v>
      </c>
      <c r="AI773" s="127">
        <v>8320</v>
      </c>
      <c r="AJ773" s="125">
        <v>101.598</v>
      </c>
    </row>
    <row r="774" spans="1:36" ht="14.25">
      <c r="A774" s="128">
        <v>8350</v>
      </c>
      <c r="B774" s="124">
        <v>218.1</v>
      </c>
      <c r="C774" s="128">
        <v>8360</v>
      </c>
      <c r="D774" s="125">
        <v>216.23599999999999</v>
      </c>
      <c r="E774" s="126">
        <v>8350</v>
      </c>
      <c r="F774" s="125">
        <v>529.524</v>
      </c>
      <c r="G774" s="127">
        <v>8350</v>
      </c>
      <c r="H774" s="125">
        <v>529.58100000000002</v>
      </c>
      <c r="I774" s="127">
        <v>8350</v>
      </c>
      <c r="J774" s="125">
        <v>481.88299999999998</v>
      </c>
      <c r="K774" s="127">
        <v>8350</v>
      </c>
      <c r="L774" s="125">
        <v>481.18200000000002</v>
      </c>
      <c r="M774" s="127">
        <v>8350</v>
      </c>
      <c r="N774" s="125">
        <v>481.72</v>
      </c>
      <c r="O774" s="127">
        <v>8330</v>
      </c>
      <c r="P774" s="125">
        <v>482.78699999999998</v>
      </c>
      <c r="Q774" s="127">
        <v>8350</v>
      </c>
      <c r="R774" s="125">
        <v>482.44099999999997</v>
      </c>
      <c r="S774" s="127">
        <v>8350</v>
      </c>
      <c r="T774" s="125">
        <v>483.11599999999999</v>
      </c>
      <c r="U774" s="127">
        <v>8340</v>
      </c>
      <c r="V774" s="125">
        <v>482.77499999999998</v>
      </c>
      <c r="W774" s="127">
        <v>8350</v>
      </c>
      <c r="X774" s="125">
        <v>482.19499999999999</v>
      </c>
      <c r="Y774" s="127">
        <v>8350</v>
      </c>
      <c r="Z774" s="125">
        <v>480.57600000000002</v>
      </c>
      <c r="AA774" s="127">
        <v>8350</v>
      </c>
      <c r="AB774" s="125">
        <v>480.899</v>
      </c>
      <c r="AC774" s="127">
        <v>8340</v>
      </c>
      <c r="AD774" s="125">
        <v>405.00299999999999</v>
      </c>
      <c r="AE774" s="127">
        <v>8350</v>
      </c>
      <c r="AF774" s="125">
        <v>406.62099999999998</v>
      </c>
      <c r="AG774" s="127">
        <v>8330</v>
      </c>
      <c r="AH774" s="125">
        <v>95.587999999999994</v>
      </c>
      <c r="AI774" s="127">
        <v>8330</v>
      </c>
      <c r="AJ774" s="125">
        <v>101.255</v>
      </c>
    </row>
    <row r="775" spans="1:36" ht="14.25">
      <c r="A775" s="128">
        <v>8360</v>
      </c>
      <c r="B775" s="124">
        <v>217.38200000000001</v>
      </c>
      <c r="C775" s="128">
        <v>8370</v>
      </c>
      <c r="D775" s="125">
        <v>215.52099999999999</v>
      </c>
      <c r="E775" s="126">
        <v>8360</v>
      </c>
      <c r="F775" s="125">
        <v>528.06600000000003</v>
      </c>
      <c r="G775" s="127">
        <v>8360</v>
      </c>
      <c r="H775" s="125">
        <v>528.12400000000002</v>
      </c>
      <c r="I775" s="127">
        <v>8360</v>
      </c>
      <c r="J775" s="125">
        <v>480.67200000000003</v>
      </c>
      <c r="K775" s="127">
        <v>8360</v>
      </c>
      <c r="L775" s="125">
        <v>479.96899999999999</v>
      </c>
      <c r="M775" s="127">
        <v>8360</v>
      </c>
      <c r="N775" s="125">
        <v>480.50900000000001</v>
      </c>
      <c r="O775" s="127">
        <v>8340</v>
      </c>
      <c r="P775" s="125">
        <v>481.57499999999999</v>
      </c>
      <c r="Q775" s="127">
        <v>8360</v>
      </c>
      <c r="R775" s="125">
        <v>481.23</v>
      </c>
      <c r="S775" s="127">
        <v>8360</v>
      </c>
      <c r="T775" s="125">
        <v>481.904</v>
      </c>
      <c r="U775" s="127">
        <v>8350</v>
      </c>
      <c r="V775" s="125">
        <v>481.565</v>
      </c>
      <c r="W775" s="127">
        <v>8360</v>
      </c>
      <c r="X775" s="125">
        <v>480.98500000000001</v>
      </c>
      <c r="Y775" s="127">
        <v>8360</v>
      </c>
      <c r="Z775" s="125">
        <v>479.36599999999999</v>
      </c>
      <c r="AA775" s="127">
        <v>8360</v>
      </c>
      <c r="AB775" s="125">
        <v>479.68900000000002</v>
      </c>
      <c r="AC775" s="127">
        <v>8350</v>
      </c>
      <c r="AD775" s="125">
        <v>403.803</v>
      </c>
      <c r="AE775" s="127">
        <v>8360</v>
      </c>
      <c r="AF775" s="125">
        <v>405.42200000000003</v>
      </c>
      <c r="AG775" s="127">
        <v>8340</v>
      </c>
      <c r="AH775" s="125">
        <v>95.26</v>
      </c>
      <c r="AI775" s="127">
        <v>8340</v>
      </c>
      <c r="AJ775" s="125">
        <v>100.913</v>
      </c>
    </row>
    <row r="776" spans="1:36" ht="14.25">
      <c r="A776" s="128">
        <v>8370</v>
      </c>
      <c r="B776" s="124">
        <v>216.66399999999999</v>
      </c>
      <c r="C776" s="128">
        <v>8380</v>
      </c>
      <c r="D776" s="125">
        <v>214.80699999999999</v>
      </c>
      <c r="E776" s="126">
        <v>8370</v>
      </c>
      <c r="F776" s="125">
        <v>526.60900000000004</v>
      </c>
      <c r="G776" s="127">
        <v>8370</v>
      </c>
      <c r="H776" s="125">
        <v>526.66700000000003</v>
      </c>
      <c r="I776" s="127">
        <v>8370</v>
      </c>
      <c r="J776" s="125">
        <v>479.46</v>
      </c>
      <c r="K776" s="127">
        <v>8370</v>
      </c>
      <c r="L776" s="125">
        <v>478.75599999999997</v>
      </c>
      <c r="M776" s="127">
        <v>8370</v>
      </c>
      <c r="N776" s="133">
        <v>479.29700000000003</v>
      </c>
      <c r="O776" s="127">
        <v>8350</v>
      </c>
      <c r="P776" s="125">
        <v>480.36399999999998</v>
      </c>
      <c r="Q776" s="127">
        <v>8370</v>
      </c>
      <c r="R776" s="125">
        <v>480.01799999999997</v>
      </c>
      <c r="S776" s="127">
        <v>8370</v>
      </c>
      <c r="T776" s="125">
        <v>480.69299999999998</v>
      </c>
      <c r="U776" s="127">
        <v>8360</v>
      </c>
      <c r="V776" s="125">
        <v>480.35599999999999</v>
      </c>
      <c r="W776" s="127">
        <v>8370</v>
      </c>
      <c r="X776" s="125">
        <v>479.774</v>
      </c>
      <c r="Y776" s="127">
        <v>8370</v>
      </c>
      <c r="Z776" s="125">
        <v>478.15499999999997</v>
      </c>
      <c r="AA776" s="127">
        <v>8370</v>
      </c>
      <c r="AB776" s="125">
        <v>478.48</v>
      </c>
      <c r="AC776" s="127">
        <v>8360</v>
      </c>
      <c r="AD776" s="125">
        <v>402.60399999999998</v>
      </c>
      <c r="AE776" s="127">
        <v>8370</v>
      </c>
      <c r="AF776" s="125">
        <v>404.22199999999998</v>
      </c>
      <c r="AG776" s="127">
        <v>8350</v>
      </c>
      <c r="AH776" s="125">
        <v>94.933000000000007</v>
      </c>
      <c r="AI776" s="127">
        <v>8350</v>
      </c>
      <c r="AJ776" s="125">
        <v>100.571</v>
      </c>
    </row>
    <row r="777" spans="1:36" ht="14.25">
      <c r="A777" s="128">
        <v>8380</v>
      </c>
      <c r="B777" s="124">
        <v>215.946</v>
      </c>
      <c r="C777" s="128">
        <v>8390</v>
      </c>
      <c r="D777" s="125">
        <v>214.09299999999999</v>
      </c>
      <c r="E777" s="126">
        <v>8380</v>
      </c>
      <c r="F777" s="125">
        <v>525.15300000000002</v>
      </c>
      <c r="G777" s="127">
        <v>8380</v>
      </c>
      <c r="H777" s="125">
        <v>525.20899999999995</v>
      </c>
      <c r="I777" s="127">
        <v>8380</v>
      </c>
      <c r="J777" s="125">
        <v>478.24900000000002</v>
      </c>
      <c r="K777" s="127">
        <v>8380</v>
      </c>
      <c r="L777" s="125">
        <v>477.54300000000001</v>
      </c>
      <c r="M777" s="127">
        <v>8380</v>
      </c>
      <c r="N777" s="125">
        <v>478.08600000000001</v>
      </c>
      <c r="O777" s="127">
        <v>8360</v>
      </c>
      <c r="P777" s="125">
        <v>479.15199999999999</v>
      </c>
      <c r="Q777" s="127">
        <v>8380</v>
      </c>
      <c r="R777" s="125">
        <v>478.80700000000002</v>
      </c>
      <c r="S777" s="127">
        <v>8380</v>
      </c>
      <c r="T777" s="125">
        <v>479.48099999999999</v>
      </c>
      <c r="U777" s="127">
        <v>8370</v>
      </c>
      <c r="V777" s="125">
        <v>479.14600000000002</v>
      </c>
      <c r="W777" s="127">
        <v>8380</v>
      </c>
      <c r="X777" s="125">
        <v>478.56400000000002</v>
      </c>
      <c r="Y777" s="127">
        <v>8380</v>
      </c>
      <c r="Z777" s="125">
        <v>476.94499999999999</v>
      </c>
      <c r="AA777" s="127">
        <v>8380</v>
      </c>
      <c r="AB777" s="125">
        <v>477.27100000000002</v>
      </c>
      <c r="AC777" s="127">
        <v>8370</v>
      </c>
      <c r="AD777" s="125">
        <v>401.404</v>
      </c>
      <c r="AE777" s="127">
        <v>8380</v>
      </c>
      <c r="AF777" s="125">
        <v>403.02300000000002</v>
      </c>
      <c r="AG777" s="127">
        <v>8360</v>
      </c>
      <c r="AH777" s="125">
        <v>94.605999999999995</v>
      </c>
      <c r="AI777" s="127">
        <v>8360</v>
      </c>
      <c r="AJ777" s="125">
        <v>100.23</v>
      </c>
    </row>
    <row r="778" spans="1:36" ht="14.25">
      <c r="A778" s="128">
        <v>8390</v>
      </c>
      <c r="B778" s="124">
        <v>215.22900000000001</v>
      </c>
      <c r="C778" s="128">
        <v>8400</v>
      </c>
      <c r="D778" s="125">
        <v>213.37899999999999</v>
      </c>
      <c r="E778" s="126">
        <v>8390</v>
      </c>
      <c r="F778" s="125">
        <v>523.69600000000003</v>
      </c>
      <c r="G778" s="127">
        <v>8390</v>
      </c>
      <c r="H778" s="125">
        <v>523.75199999999995</v>
      </c>
      <c r="I778" s="127">
        <v>8390</v>
      </c>
      <c r="J778" s="125">
        <v>477.03800000000001</v>
      </c>
      <c r="K778" s="127">
        <v>8390</v>
      </c>
      <c r="L778" s="125">
        <v>476.33</v>
      </c>
      <c r="M778" s="127">
        <v>8390</v>
      </c>
      <c r="N778" s="125">
        <v>476.875</v>
      </c>
      <c r="O778" s="127">
        <v>8370</v>
      </c>
      <c r="P778" s="125">
        <v>477.94</v>
      </c>
      <c r="Q778" s="127">
        <v>8390</v>
      </c>
      <c r="R778" s="125">
        <v>477.596</v>
      </c>
      <c r="S778" s="127">
        <v>8390</v>
      </c>
      <c r="T778" s="125">
        <v>478.27</v>
      </c>
      <c r="U778" s="127">
        <v>8380</v>
      </c>
      <c r="V778" s="125">
        <v>477.93599999999998</v>
      </c>
      <c r="W778" s="127">
        <v>8390</v>
      </c>
      <c r="X778" s="125">
        <v>477.35399999999998</v>
      </c>
      <c r="Y778" s="127">
        <v>8390</v>
      </c>
      <c r="Z778" s="125">
        <v>475.73500000000001</v>
      </c>
      <c r="AA778" s="127">
        <v>8390</v>
      </c>
      <c r="AB778" s="125">
        <v>476.06099999999998</v>
      </c>
      <c r="AC778" s="127">
        <v>8380</v>
      </c>
      <c r="AD778" s="125">
        <v>400.20499999999998</v>
      </c>
      <c r="AE778" s="127">
        <v>8390</v>
      </c>
      <c r="AF778" s="125">
        <v>401.82400000000001</v>
      </c>
      <c r="AG778" s="127">
        <v>8370</v>
      </c>
      <c r="AH778" s="125">
        <v>94.28</v>
      </c>
      <c r="AI778" s="127">
        <v>8370</v>
      </c>
      <c r="AJ778" s="125">
        <v>99.89</v>
      </c>
    </row>
    <row r="779" spans="1:36" ht="14.25">
      <c r="A779" s="128">
        <v>8400</v>
      </c>
      <c r="B779" s="124">
        <v>214.512</v>
      </c>
      <c r="C779" s="128">
        <v>8410</v>
      </c>
      <c r="D779" s="125">
        <v>212.666</v>
      </c>
      <c r="E779" s="126">
        <v>8400</v>
      </c>
      <c r="F779" s="125">
        <v>522.23900000000003</v>
      </c>
      <c r="G779" s="127">
        <v>8400</v>
      </c>
      <c r="H779" s="125">
        <v>522.29499999999996</v>
      </c>
      <c r="I779" s="127">
        <v>8400</v>
      </c>
      <c r="J779" s="125">
        <v>475.82600000000002</v>
      </c>
      <c r="K779" s="127">
        <v>8400</v>
      </c>
      <c r="L779" s="125">
        <v>475.11799999999999</v>
      </c>
      <c r="M779" s="127">
        <v>8400</v>
      </c>
      <c r="N779" s="125">
        <v>475.66300000000001</v>
      </c>
      <c r="O779" s="127">
        <v>8380</v>
      </c>
      <c r="P779" s="125">
        <v>476.72899999999998</v>
      </c>
      <c r="Q779" s="127">
        <v>8400</v>
      </c>
      <c r="R779" s="125">
        <v>476.38400000000001</v>
      </c>
      <c r="S779" s="127">
        <v>8400</v>
      </c>
      <c r="T779" s="125">
        <v>477.05799999999999</v>
      </c>
      <c r="U779" s="127">
        <v>8390</v>
      </c>
      <c r="V779" s="125">
        <v>476.72699999999998</v>
      </c>
      <c r="W779" s="127">
        <v>8400</v>
      </c>
      <c r="X779" s="125">
        <v>476.14299999999997</v>
      </c>
      <c r="Y779" s="127">
        <v>8400</v>
      </c>
      <c r="Z779" s="125">
        <v>474.524</v>
      </c>
      <c r="AA779" s="127">
        <v>8400</v>
      </c>
      <c r="AB779" s="125">
        <v>474.85199999999998</v>
      </c>
      <c r="AC779" s="127">
        <v>8390</v>
      </c>
      <c r="AD779" s="125">
        <v>399.00700000000001</v>
      </c>
      <c r="AE779" s="127">
        <v>8400</v>
      </c>
      <c r="AF779" s="125">
        <v>400.62599999999998</v>
      </c>
      <c r="AG779" s="127">
        <v>8380</v>
      </c>
      <c r="AH779" s="125">
        <v>93.953999999999994</v>
      </c>
      <c r="AI779" s="127">
        <v>8380</v>
      </c>
      <c r="AJ779" s="125">
        <v>99.55</v>
      </c>
    </row>
    <row r="780" spans="1:36" ht="14.25">
      <c r="A780" s="128">
        <v>8410</v>
      </c>
      <c r="B780" s="124">
        <v>213.79499999999999</v>
      </c>
      <c r="C780" s="128">
        <v>8420</v>
      </c>
      <c r="D780" s="125">
        <v>211.952</v>
      </c>
      <c r="E780" s="126">
        <v>8410</v>
      </c>
      <c r="F780" s="125">
        <v>520.78300000000002</v>
      </c>
      <c r="G780" s="127">
        <v>8410</v>
      </c>
      <c r="H780" s="125">
        <v>520.83900000000006</v>
      </c>
      <c r="I780" s="127">
        <v>8410</v>
      </c>
      <c r="J780" s="125">
        <v>474.61500000000001</v>
      </c>
      <c r="K780" s="127">
        <v>8410</v>
      </c>
      <c r="L780" s="125">
        <v>473.90499999999997</v>
      </c>
      <c r="M780" s="127">
        <v>8410</v>
      </c>
      <c r="N780" s="125">
        <v>474.452</v>
      </c>
      <c r="O780" s="127">
        <v>8390</v>
      </c>
      <c r="P780" s="125">
        <v>475.517</v>
      </c>
      <c r="Q780" s="127">
        <v>8410</v>
      </c>
      <c r="R780" s="125">
        <v>475.173</v>
      </c>
      <c r="S780" s="127">
        <v>8410</v>
      </c>
      <c r="T780" s="125">
        <v>475.84699999999998</v>
      </c>
      <c r="U780" s="127">
        <v>8400</v>
      </c>
      <c r="V780" s="125">
        <v>475.517</v>
      </c>
      <c r="W780" s="127">
        <v>8410</v>
      </c>
      <c r="X780" s="125">
        <v>474.93299999999999</v>
      </c>
      <c r="Y780" s="127">
        <v>8410</v>
      </c>
      <c r="Z780" s="125">
        <v>473.31400000000002</v>
      </c>
      <c r="AA780" s="127">
        <v>8410</v>
      </c>
      <c r="AB780" s="125">
        <v>473.642</v>
      </c>
      <c r="AC780" s="127">
        <v>8400</v>
      </c>
      <c r="AD780" s="125">
        <v>397.80799999999999</v>
      </c>
      <c r="AE780" s="127">
        <v>8410</v>
      </c>
      <c r="AF780" s="125">
        <v>399.428</v>
      </c>
      <c r="AG780" s="127">
        <v>8390</v>
      </c>
      <c r="AH780" s="125">
        <v>93.629000000000005</v>
      </c>
      <c r="AI780" s="127">
        <v>8390</v>
      </c>
      <c r="AJ780" s="125">
        <v>99.21</v>
      </c>
    </row>
    <row r="781" spans="1:36" ht="14.25">
      <c r="A781" s="128">
        <v>8420</v>
      </c>
      <c r="B781" s="124">
        <v>213.078</v>
      </c>
      <c r="C781" s="128">
        <v>8430</v>
      </c>
      <c r="D781" s="125">
        <v>211.239</v>
      </c>
      <c r="E781" s="126">
        <v>8420</v>
      </c>
      <c r="F781" s="125">
        <v>519.32600000000002</v>
      </c>
      <c r="G781" s="127">
        <v>8420</v>
      </c>
      <c r="H781" s="125">
        <v>519.38199999999995</v>
      </c>
      <c r="I781" s="127">
        <v>8420</v>
      </c>
      <c r="J781" s="125">
        <v>473.404</v>
      </c>
      <c r="K781" s="127">
        <v>8420</v>
      </c>
      <c r="L781" s="125">
        <v>472.69200000000001</v>
      </c>
      <c r="M781" s="127">
        <v>8420</v>
      </c>
      <c r="N781" s="125">
        <v>473.24</v>
      </c>
      <c r="O781" s="127">
        <v>8400</v>
      </c>
      <c r="P781" s="125">
        <v>474.30500000000001</v>
      </c>
      <c r="Q781" s="127">
        <v>8420</v>
      </c>
      <c r="R781" s="125">
        <v>473.96100000000001</v>
      </c>
      <c r="S781" s="127">
        <v>8420</v>
      </c>
      <c r="T781" s="125">
        <v>474.63499999999999</v>
      </c>
      <c r="U781" s="127">
        <v>8410</v>
      </c>
      <c r="V781" s="125">
        <v>474.30700000000002</v>
      </c>
      <c r="W781" s="127">
        <v>8420</v>
      </c>
      <c r="X781" s="125">
        <v>473.72199999999998</v>
      </c>
      <c r="Y781" s="127">
        <v>8420</v>
      </c>
      <c r="Z781" s="125">
        <v>472.10399999999998</v>
      </c>
      <c r="AA781" s="127">
        <v>8420</v>
      </c>
      <c r="AB781" s="125">
        <v>472.43299999999999</v>
      </c>
      <c r="AC781" s="127">
        <v>8410</v>
      </c>
      <c r="AD781" s="125">
        <v>396.61</v>
      </c>
      <c r="AE781" s="127">
        <v>8420</v>
      </c>
      <c r="AF781" s="125">
        <v>398.23</v>
      </c>
      <c r="AG781" s="127">
        <v>8400</v>
      </c>
      <c r="AH781" s="125">
        <v>93.305000000000007</v>
      </c>
      <c r="AI781" s="127">
        <v>8400</v>
      </c>
      <c r="AJ781" s="125">
        <v>98.870999999999995</v>
      </c>
    </row>
    <row r="782" spans="1:36" ht="14.25">
      <c r="A782" s="128">
        <v>8430</v>
      </c>
      <c r="B782" s="124">
        <v>212.36099999999999</v>
      </c>
      <c r="C782" s="128">
        <v>8440</v>
      </c>
      <c r="D782" s="125">
        <v>210.52600000000001</v>
      </c>
      <c r="E782" s="126">
        <v>8430</v>
      </c>
      <c r="F782" s="125">
        <v>517.87</v>
      </c>
      <c r="G782" s="127">
        <v>8430</v>
      </c>
      <c r="H782" s="125">
        <v>517.92499999999995</v>
      </c>
      <c r="I782" s="127">
        <v>8430</v>
      </c>
      <c r="J782" s="125">
        <v>472.19299999999998</v>
      </c>
      <c r="K782" s="127">
        <v>8430</v>
      </c>
      <c r="L782" s="125">
        <v>471.47899999999998</v>
      </c>
      <c r="M782" s="127">
        <v>8430</v>
      </c>
      <c r="N782" s="125">
        <v>472.029</v>
      </c>
      <c r="O782" s="127">
        <v>8410</v>
      </c>
      <c r="P782" s="125">
        <v>473.09399999999999</v>
      </c>
      <c r="Q782" s="127">
        <v>8430</v>
      </c>
      <c r="R782" s="125">
        <v>472.75</v>
      </c>
      <c r="S782" s="127">
        <v>8430</v>
      </c>
      <c r="T782" s="125">
        <v>473.42399999999998</v>
      </c>
      <c r="U782" s="127">
        <v>8420</v>
      </c>
      <c r="V782" s="125">
        <v>473.09800000000001</v>
      </c>
      <c r="W782" s="127">
        <v>8430</v>
      </c>
      <c r="X782" s="125">
        <v>472.512</v>
      </c>
      <c r="Y782" s="127">
        <v>8430</v>
      </c>
      <c r="Z782" s="125">
        <v>470.89299999999997</v>
      </c>
      <c r="AA782" s="127">
        <v>8430</v>
      </c>
      <c r="AB782" s="125">
        <v>471.22300000000001</v>
      </c>
      <c r="AC782" s="127">
        <v>8420</v>
      </c>
      <c r="AD782" s="125">
        <v>395.41300000000001</v>
      </c>
      <c r="AE782" s="127">
        <v>8430</v>
      </c>
      <c r="AF782" s="125">
        <v>397.03399999999999</v>
      </c>
      <c r="AG782" s="127">
        <v>8410</v>
      </c>
      <c r="AH782" s="125">
        <v>92.98</v>
      </c>
      <c r="AI782" s="127">
        <v>8410</v>
      </c>
      <c r="AJ782" s="125">
        <v>98.531999999999996</v>
      </c>
    </row>
    <row r="783" spans="1:36" ht="14.25">
      <c r="A783" s="128">
        <v>8440</v>
      </c>
      <c r="B783" s="124">
        <v>211.64500000000001</v>
      </c>
      <c r="C783" s="128">
        <v>8450</v>
      </c>
      <c r="D783" s="125">
        <v>209.81299999999999</v>
      </c>
      <c r="E783" s="126">
        <v>8440</v>
      </c>
      <c r="F783" s="125">
        <v>516.41399999999999</v>
      </c>
      <c r="G783" s="127">
        <v>8440</v>
      </c>
      <c r="H783" s="125">
        <v>516.46900000000005</v>
      </c>
      <c r="I783" s="127">
        <v>8440</v>
      </c>
      <c r="J783" s="125">
        <v>470.98200000000003</v>
      </c>
      <c r="K783" s="127">
        <v>8440</v>
      </c>
      <c r="L783" s="125">
        <v>470.26600000000002</v>
      </c>
      <c r="M783" s="127">
        <v>8440</v>
      </c>
      <c r="N783" s="125">
        <v>470.81799999999998</v>
      </c>
      <c r="O783" s="127">
        <v>8420</v>
      </c>
      <c r="P783" s="125">
        <v>471.88200000000001</v>
      </c>
      <c r="Q783" s="127">
        <v>8440</v>
      </c>
      <c r="R783" s="125">
        <v>471.53899999999999</v>
      </c>
      <c r="S783" s="127">
        <v>8440</v>
      </c>
      <c r="T783" s="125">
        <v>472.21199999999999</v>
      </c>
      <c r="U783" s="127">
        <v>8430</v>
      </c>
      <c r="V783" s="125">
        <v>471.88799999999998</v>
      </c>
      <c r="W783" s="127">
        <v>8440</v>
      </c>
      <c r="X783" s="125">
        <v>471.30099999999999</v>
      </c>
      <c r="Y783" s="127">
        <v>8440</v>
      </c>
      <c r="Z783" s="125">
        <v>469.68299999999999</v>
      </c>
      <c r="AA783" s="127">
        <v>8440</v>
      </c>
      <c r="AB783" s="125">
        <v>470.01400000000001</v>
      </c>
      <c r="AC783" s="127">
        <v>8430</v>
      </c>
      <c r="AD783" s="125">
        <v>394.21499999999997</v>
      </c>
      <c r="AE783" s="127">
        <v>8440</v>
      </c>
      <c r="AF783" s="125">
        <v>395.83699999999999</v>
      </c>
      <c r="AG783" s="127">
        <v>8420</v>
      </c>
      <c r="AH783" s="125">
        <v>92.656999999999996</v>
      </c>
      <c r="AI783" s="127">
        <v>8420</v>
      </c>
      <c r="AJ783" s="125">
        <v>98.194000000000003</v>
      </c>
    </row>
    <row r="784" spans="1:36" ht="14.25">
      <c r="A784" s="128">
        <v>8450</v>
      </c>
      <c r="B784" s="124">
        <v>210.929</v>
      </c>
      <c r="C784" s="128">
        <v>8460</v>
      </c>
      <c r="D784" s="125">
        <v>209.101</v>
      </c>
      <c r="E784" s="126">
        <v>8450</v>
      </c>
      <c r="F784" s="125">
        <v>514.95799999999997</v>
      </c>
      <c r="G784" s="127">
        <v>8450</v>
      </c>
      <c r="H784" s="125">
        <v>515.01199999999994</v>
      </c>
      <c r="I784" s="127">
        <v>8450</v>
      </c>
      <c r="J784" s="125">
        <v>469.77</v>
      </c>
      <c r="K784" s="127">
        <v>8450</v>
      </c>
      <c r="L784" s="125">
        <v>469.053</v>
      </c>
      <c r="M784" s="127">
        <v>8450</v>
      </c>
      <c r="N784" s="125">
        <v>469.60599999999999</v>
      </c>
      <c r="O784" s="127">
        <v>8430</v>
      </c>
      <c r="P784" s="125">
        <v>470.67099999999999</v>
      </c>
      <c r="Q784" s="127">
        <v>8450</v>
      </c>
      <c r="R784" s="125">
        <v>470.327</v>
      </c>
      <c r="S784" s="127">
        <v>8450</v>
      </c>
      <c r="T784" s="125">
        <v>471.00099999999998</v>
      </c>
      <c r="U784" s="127">
        <v>8440</v>
      </c>
      <c r="V784" s="125">
        <v>470.678</v>
      </c>
      <c r="W784" s="127">
        <v>8450</v>
      </c>
      <c r="X784" s="125">
        <v>470.09100000000001</v>
      </c>
      <c r="Y784" s="127">
        <v>8450</v>
      </c>
      <c r="Z784" s="125">
        <v>468.47300000000001</v>
      </c>
      <c r="AA784" s="127">
        <v>8450</v>
      </c>
      <c r="AB784" s="125">
        <v>468.80500000000001</v>
      </c>
      <c r="AC784" s="127">
        <v>8440</v>
      </c>
      <c r="AD784" s="125">
        <v>393.01799999999997</v>
      </c>
      <c r="AE784" s="127">
        <v>8450</v>
      </c>
      <c r="AF784" s="125">
        <v>394.64100000000002</v>
      </c>
      <c r="AG784" s="127">
        <v>8430</v>
      </c>
      <c r="AH784" s="125">
        <v>92.332999999999998</v>
      </c>
      <c r="AI784" s="127">
        <v>8430</v>
      </c>
      <c r="AJ784" s="125">
        <v>97.855999999999995</v>
      </c>
    </row>
    <row r="785" spans="1:36" ht="14.25">
      <c r="A785" s="128">
        <v>8460</v>
      </c>
      <c r="B785" s="124">
        <v>210.21299999999999</v>
      </c>
      <c r="C785" s="128">
        <v>8470</v>
      </c>
      <c r="D785" s="125">
        <v>208.38800000000001</v>
      </c>
      <c r="E785" s="126">
        <v>8460</v>
      </c>
      <c r="F785" s="125">
        <v>513.50199999999995</v>
      </c>
      <c r="G785" s="127">
        <v>8460</v>
      </c>
      <c r="H785" s="125">
        <v>513.55600000000004</v>
      </c>
      <c r="I785" s="127">
        <v>8460</v>
      </c>
      <c r="J785" s="125">
        <v>468.55900000000003</v>
      </c>
      <c r="K785" s="127">
        <v>8460</v>
      </c>
      <c r="L785" s="125">
        <v>467.84100000000001</v>
      </c>
      <c r="M785" s="127">
        <v>8460</v>
      </c>
      <c r="N785" s="125">
        <v>468.39499999999998</v>
      </c>
      <c r="O785" s="127">
        <v>8440</v>
      </c>
      <c r="P785" s="125">
        <v>469.459</v>
      </c>
      <c r="Q785" s="127">
        <v>8460</v>
      </c>
      <c r="R785" s="125">
        <v>469.11599999999999</v>
      </c>
      <c r="S785" s="127">
        <v>8460</v>
      </c>
      <c r="T785" s="125">
        <v>469.78899999999999</v>
      </c>
      <c r="U785" s="127">
        <v>8450</v>
      </c>
      <c r="V785" s="125">
        <v>469.46899999999999</v>
      </c>
      <c r="W785" s="127">
        <v>8460</v>
      </c>
      <c r="X785" s="125">
        <v>468.88099999999997</v>
      </c>
      <c r="Y785" s="127">
        <v>8460</v>
      </c>
      <c r="Z785" s="125">
        <v>467.262</v>
      </c>
      <c r="AA785" s="127">
        <v>8460</v>
      </c>
      <c r="AB785" s="125">
        <v>467.59500000000003</v>
      </c>
      <c r="AC785" s="127">
        <v>8450</v>
      </c>
      <c r="AD785" s="125">
        <v>391.822</v>
      </c>
      <c r="AE785" s="127">
        <v>8460</v>
      </c>
      <c r="AF785" s="125">
        <v>393.44499999999999</v>
      </c>
      <c r="AG785" s="127">
        <v>8440</v>
      </c>
      <c r="AH785" s="125">
        <v>92.01</v>
      </c>
      <c r="AI785" s="127">
        <v>8440</v>
      </c>
      <c r="AJ785" s="125">
        <v>97.519000000000005</v>
      </c>
    </row>
    <row r="786" spans="1:36" ht="14.25">
      <c r="A786" s="128">
        <v>8470</v>
      </c>
      <c r="B786" s="124">
        <v>209.49799999999999</v>
      </c>
      <c r="C786" s="128">
        <v>8480</v>
      </c>
      <c r="D786" s="125">
        <v>207.67599999999999</v>
      </c>
      <c r="E786" s="126">
        <v>8470</v>
      </c>
      <c r="F786" s="125">
        <v>512.04600000000005</v>
      </c>
      <c r="G786" s="127">
        <v>8470</v>
      </c>
      <c r="H786" s="125">
        <v>512.1</v>
      </c>
      <c r="I786" s="127">
        <v>8470</v>
      </c>
      <c r="J786" s="125">
        <v>467.34800000000001</v>
      </c>
      <c r="K786" s="127">
        <v>8470</v>
      </c>
      <c r="L786" s="125">
        <v>466.62799999999999</v>
      </c>
      <c r="M786" s="127">
        <v>8470</v>
      </c>
      <c r="N786" s="125">
        <v>467.18400000000003</v>
      </c>
      <c r="O786" s="127">
        <v>8450</v>
      </c>
      <c r="P786" s="125">
        <v>468.24700000000001</v>
      </c>
      <c r="Q786" s="127">
        <v>8470</v>
      </c>
      <c r="R786" s="125">
        <v>467.904</v>
      </c>
      <c r="S786" s="127">
        <v>8470</v>
      </c>
      <c r="T786" s="125">
        <v>468.57799999999997</v>
      </c>
      <c r="U786" s="127">
        <v>8460</v>
      </c>
      <c r="V786" s="125">
        <v>468.25900000000001</v>
      </c>
      <c r="W786" s="127">
        <v>8470</v>
      </c>
      <c r="X786" s="125">
        <v>467.67</v>
      </c>
      <c r="Y786" s="127">
        <v>8470</v>
      </c>
      <c r="Z786" s="125">
        <v>466.05200000000002</v>
      </c>
      <c r="AA786" s="127">
        <v>8470</v>
      </c>
      <c r="AB786" s="125">
        <v>466.38600000000002</v>
      </c>
      <c r="AC786" s="127">
        <v>8460</v>
      </c>
      <c r="AD786" s="125">
        <v>390.62599999999998</v>
      </c>
      <c r="AE786" s="127">
        <v>8470</v>
      </c>
      <c r="AF786" s="125">
        <v>392.24799999999999</v>
      </c>
      <c r="AG786" s="127">
        <v>8450</v>
      </c>
      <c r="AH786" s="125">
        <v>91.688000000000002</v>
      </c>
      <c r="AI786" s="127">
        <v>8450</v>
      </c>
      <c r="AJ786" s="125">
        <v>97.182000000000002</v>
      </c>
    </row>
    <row r="787" spans="1:36" ht="14.25">
      <c r="A787" s="128">
        <v>8480</v>
      </c>
      <c r="B787" s="124">
        <v>208.78200000000001</v>
      </c>
      <c r="C787" s="128">
        <v>8490</v>
      </c>
      <c r="D787" s="125">
        <v>206.964</v>
      </c>
      <c r="E787" s="126">
        <v>8480</v>
      </c>
      <c r="F787" s="125">
        <v>510.59</v>
      </c>
      <c r="G787" s="127">
        <v>8480</v>
      </c>
      <c r="H787" s="125">
        <v>510.64299999999997</v>
      </c>
      <c r="I787" s="127">
        <v>8480</v>
      </c>
      <c r="J787" s="125">
        <v>466.13600000000002</v>
      </c>
      <c r="K787" s="127">
        <v>8480</v>
      </c>
      <c r="L787" s="125">
        <v>465.41500000000002</v>
      </c>
      <c r="M787" s="127">
        <v>8480</v>
      </c>
      <c r="N787" s="125">
        <v>465.97199999999998</v>
      </c>
      <c r="O787" s="127">
        <v>8460</v>
      </c>
      <c r="P787" s="125">
        <v>467.036</v>
      </c>
      <c r="Q787" s="127">
        <v>8480</v>
      </c>
      <c r="R787" s="125">
        <v>466.69299999999998</v>
      </c>
      <c r="S787" s="127">
        <v>8480</v>
      </c>
      <c r="T787" s="125">
        <v>467.36599999999999</v>
      </c>
      <c r="U787" s="127">
        <v>8470</v>
      </c>
      <c r="V787" s="125">
        <v>467.04899999999998</v>
      </c>
      <c r="W787" s="127">
        <v>8480</v>
      </c>
      <c r="X787" s="125">
        <v>466.46</v>
      </c>
      <c r="Y787" s="127">
        <v>8480</v>
      </c>
      <c r="Z787" s="125">
        <v>464.84199999999998</v>
      </c>
      <c r="AA787" s="127">
        <v>8480</v>
      </c>
      <c r="AB787" s="125">
        <v>465.17599999999999</v>
      </c>
      <c r="AC787" s="127">
        <v>8470</v>
      </c>
      <c r="AD787" s="125">
        <v>389.43</v>
      </c>
      <c r="AE787" s="127">
        <v>8480</v>
      </c>
      <c r="AF787" s="125">
        <v>391.05200000000002</v>
      </c>
      <c r="AG787" s="127">
        <v>8460</v>
      </c>
      <c r="AH787" s="125">
        <v>91.366</v>
      </c>
      <c r="AI787" s="127">
        <v>8460</v>
      </c>
      <c r="AJ787" s="125">
        <v>96.844999999999999</v>
      </c>
    </row>
    <row r="788" spans="1:36" ht="14.25">
      <c r="A788" s="128">
        <v>8490</v>
      </c>
      <c r="B788" s="124">
        <v>208.06700000000001</v>
      </c>
      <c r="C788" s="128">
        <v>8500</v>
      </c>
      <c r="D788" s="125">
        <v>206.25299999999999</v>
      </c>
      <c r="E788" s="126">
        <v>8490</v>
      </c>
      <c r="F788" s="125">
        <v>509.13400000000001</v>
      </c>
      <c r="G788" s="127">
        <v>8490</v>
      </c>
      <c r="H788" s="125">
        <v>509.18700000000001</v>
      </c>
      <c r="I788" s="127">
        <v>8490</v>
      </c>
      <c r="J788" s="125">
        <v>464.92500000000001</v>
      </c>
      <c r="K788" s="127">
        <v>8490</v>
      </c>
      <c r="L788" s="125">
        <v>464.202</v>
      </c>
      <c r="M788" s="127">
        <v>8490</v>
      </c>
      <c r="N788" s="125">
        <v>464.76100000000002</v>
      </c>
      <c r="O788" s="127">
        <v>8470</v>
      </c>
      <c r="P788" s="125">
        <v>465.82400000000001</v>
      </c>
      <c r="Q788" s="127">
        <v>8490</v>
      </c>
      <c r="R788" s="125">
        <v>465.48200000000003</v>
      </c>
      <c r="S788" s="127">
        <v>8490</v>
      </c>
      <c r="T788" s="125">
        <v>466.15499999999997</v>
      </c>
      <c r="U788" s="127">
        <v>8480</v>
      </c>
      <c r="V788" s="125">
        <v>465.84</v>
      </c>
      <c r="W788" s="127">
        <v>8490</v>
      </c>
      <c r="X788" s="125">
        <v>465.24900000000002</v>
      </c>
      <c r="Y788" s="127">
        <v>8490</v>
      </c>
      <c r="Z788" s="125">
        <v>463.63099999999997</v>
      </c>
      <c r="AA788" s="127">
        <v>8490</v>
      </c>
      <c r="AB788" s="125">
        <v>463.96699999999998</v>
      </c>
      <c r="AC788" s="127">
        <v>8480</v>
      </c>
      <c r="AD788" s="125">
        <v>388.23500000000001</v>
      </c>
      <c r="AE788" s="127">
        <v>8490</v>
      </c>
      <c r="AF788" s="125">
        <v>389.85599999999999</v>
      </c>
      <c r="AG788" s="127">
        <v>8470</v>
      </c>
      <c r="AH788" s="125">
        <v>91.043999999999997</v>
      </c>
      <c r="AI788" s="127">
        <v>8470</v>
      </c>
      <c r="AJ788" s="125">
        <v>96.509</v>
      </c>
    </row>
    <row r="789" spans="1:36" ht="14.25">
      <c r="A789" s="128">
        <v>8500</v>
      </c>
      <c r="B789" s="124">
        <v>207.352</v>
      </c>
      <c r="C789" s="128">
        <v>8510</v>
      </c>
      <c r="D789" s="125">
        <v>205.541</v>
      </c>
      <c r="E789" s="126">
        <v>8500</v>
      </c>
      <c r="F789" s="125">
        <v>507.67899999999997</v>
      </c>
      <c r="G789" s="127">
        <v>8500</v>
      </c>
      <c r="H789" s="125">
        <v>507.73099999999999</v>
      </c>
      <c r="I789" s="127">
        <v>8500</v>
      </c>
      <c r="J789" s="125">
        <v>463.714</v>
      </c>
      <c r="K789" s="127">
        <v>8500</v>
      </c>
      <c r="L789" s="125">
        <v>462.98899999999998</v>
      </c>
      <c r="M789" s="127">
        <v>8500</v>
      </c>
      <c r="N789" s="125">
        <v>463.54899999999998</v>
      </c>
      <c r="O789" s="127">
        <v>8480</v>
      </c>
      <c r="P789" s="125">
        <v>464.61200000000002</v>
      </c>
      <c r="Q789" s="127">
        <v>8500</v>
      </c>
      <c r="R789" s="125">
        <v>464.27</v>
      </c>
      <c r="S789" s="127">
        <v>8500</v>
      </c>
      <c r="T789" s="125">
        <v>464.94299999999998</v>
      </c>
      <c r="U789" s="127">
        <v>8490</v>
      </c>
      <c r="V789" s="125">
        <v>464.63</v>
      </c>
      <c r="W789" s="127">
        <v>8500</v>
      </c>
      <c r="X789" s="125">
        <v>464.03899999999999</v>
      </c>
      <c r="Y789" s="127">
        <v>8500</v>
      </c>
      <c r="Z789" s="125">
        <v>462.42099999999999</v>
      </c>
      <c r="AA789" s="127">
        <v>8500</v>
      </c>
      <c r="AB789" s="125">
        <v>462.75700000000001</v>
      </c>
      <c r="AC789" s="127">
        <v>8490</v>
      </c>
      <c r="AD789" s="125">
        <v>387.041</v>
      </c>
      <c r="AE789" s="127">
        <v>8500</v>
      </c>
      <c r="AF789" s="125">
        <v>388.66199999999998</v>
      </c>
      <c r="AG789" s="127">
        <v>8480</v>
      </c>
      <c r="AH789" s="125">
        <v>90.722999999999999</v>
      </c>
      <c r="AI789" s="127">
        <v>8480</v>
      </c>
      <c r="AJ789" s="125">
        <v>96.173000000000002</v>
      </c>
    </row>
    <row r="790" spans="1:36" ht="14.25">
      <c r="A790" s="128">
        <v>8510</v>
      </c>
      <c r="B790" s="124">
        <v>206.637</v>
      </c>
      <c r="C790" s="128">
        <v>8520</v>
      </c>
      <c r="D790" s="125">
        <v>204.83</v>
      </c>
      <c r="E790" s="126">
        <v>8510</v>
      </c>
      <c r="F790" s="125">
        <v>506.22300000000001</v>
      </c>
      <c r="G790" s="127">
        <v>8510</v>
      </c>
      <c r="H790" s="125">
        <v>506.27499999999998</v>
      </c>
      <c r="I790" s="127">
        <v>8510</v>
      </c>
      <c r="J790" s="125">
        <v>462.50299999999999</v>
      </c>
      <c r="K790" s="127">
        <v>8510</v>
      </c>
      <c r="L790" s="125">
        <v>461.77600000000001</v>
      </c>
      <c r="M790" s="127">
        <v>8510</v>
      </c>
      <c r="N790" s="125">
        <v>462.33800000000002</v>
      </c>
      <c r="O790" s="127">
        <v>8490</v>
      </c>
      <c r="P790" s="125">
        <v>463.40100000000001</v>
      </c>
      <c r="Q790" s="127">
        <v>8510</v>
      </c>
      <c r="R790" s="125">
        <v>463.05900000000003</v>
      </c>
      <c r="S790" s="127">
        <v>8510</v>
      </c>
      <c r="T790" s="125">
        <v>463.73200000000003</v>
      </c>
      <c r="U790" s="127">
        <v>8500</v>
      </c>
      <c r="V790" s="125">
        <v>463.42</v>
      </c>
      <c r="W790" s="127">
        <v>8510</v>
      </c>
      <c r="X790" s="125">
        <v>462.82799999999997</v>
      </c>
      <c r="Y790" s="127">
        <v>8510</v>
      </c>
      <c r="Z790" s="125">
        <v>461.21100000000001</v>
      </c>
      <c r="AA790" s="127">
        <v>8510</v>
      </c>
      <c r="AB790" s="125">
        <v>461.548</v>
      </c>
      <c r="AC790" s="127">
        <v>8500</v>
      </c>
      <c r="AD790" s="125">
        <v>385.84699999999998</v>
      </c>
      <c r="AE790" s="127">
        <v>8510</v>
      </c>
      <c r="AF790" s="125">
        <v>387.46800000000002</v>
      </c>
      <c r="AG790" s="127">
        <v>8490</v>
      </c>
      <c r="AH790" s="125">
        <v>90.402000000000001</v>
      </c>
      <c r="AI790" s="127">
        <v>8490</v>
      </c>
      <c r="AJ790" s="125">
        <v>95.837999999999994</v>
      </c>
    </row>
    <row r="791" spans="1:36" ht="14.25">
      <c r="A791" s="128">
        <v>8520</v>
      </c>
      <c r="B791" s="124">
        <v>205.923</v>
      </c>
      <c r="C791" s="128">
        <v>8530</v>
      </c>
      <c r="D791" s="125">
        <v>204.11799999999999</v>
      </c>
      <c r="E791" s="126">
        <v>8520</v>
      </c>
      <c r="F791" s="125">
        <v>504.76799999999997</v>
      </c>
      <c r="G791" s="127">
        <v>8520</v>
      </c>
      <c r="H791" s="125">
        <v>504.82</v>
      </c>
      <c r="I791" s="127">
        <v>8520</v>
      </c>
      <c r="J791" s="125">
        <v>461.29199999999997</v>
      </c>
      <c r="K791" s="127">
        <v>8520</v>
      </c>
      <c r="L791" s="125">
        <v>460.56299999999999</v>
      </c>
      <c r="M791" s="127">
        <v>8520</v>
      </c>
      <c r="N791" s="125">
        <v>461.12700000000001</v>
      </c>
      <c r="O791" s="127">
        <v>8500</v>
      </c>
      <c r="P791" s="125">
        <v>462.18900000000002</v>
      </c>
      <c r="Q791" s="127">
        <v>8520</v>
      </c>
      <c r="R791" s="125">
        <v>461.84800000000001</v>
      </c>
      <c r="S791" s="127">
        <v>8520</v>
      </c>
      <c r="T791" s="125">
        <v>462.52100000000002</v>
      </c>
      <c r="U791" s="127">
        <v>8510</v>
      </c>
      <c r="V791" s="125">
        <v>462.21100000000001</v>
      </c>
      <c r="W791" s="127">
        <v>8520</v>
      </c>
      <c r="X791" s="125">
        <v>461.61799999999999</v>
      </c>
      <c r="Y791" s="127">
        <v>8520</v>
      </c>
      <c r="Z791" s="125">
        <v>460</v>
      </c>
      <c r="AA791" s="127">
        <v>8520</v>
      </c>
      <c r="AB791" s="125">
        <v>460.339</v>
      </c>
      <c r="AC791" s="127">
        <v>8510</v>
      </c>
      <c r="AD791" s="125">
        <v>384.65300000000002</v>
      </c>
      <c r="AE791" s="127">
        <v>8520</v>
      </c>
      <c r="AF791" s="125">
        <v>386.274</v>
      </c>
      <c r="AG791" s="127">
        <v>8500</v>
      </c>
      <c r="AH791" s="125">
        <v>90.081000000000003</v>
      </c>
      <c r="AI791" s="127">
        <v>8500</v>
      </c>
      <c r="AJ791" s="125">
        <v>95.503</v>
      </c>
    </row>
    <row r="792" spans="1:36" ht="14.25">
      <c r="A792" s="128">
        <v>8530</v>
      </c>
      <c r="B792" s="124">
        <v>205.208</v>
      </c>
      <c r="C792" s="128">
        <v>8540</v>
      </c>
      <c r="D792" s="125">
        <v>203.40700000000001</v>
      </c>
      <c r="E792" s="126">
        <v>8530</v>
      </c>
      <c r="F792" s="125">
        <v>503.31200000000001</v>
      </c>
      <c r="G792" s="127">
        <v>8530</v>
      </c>
      <c r="H792" s="125">
        <v>503.36399999999998</v>
      </c>
      <c r="I792" s="127">
        <v>8530</v>
      </c>
      <c r="J792" s="125">
        <v>460.08</v>
      </c>
      <c r="K792" s="127">
        <v>8530</v>
      </c>
      <c r="L792" s="125">
        <v>459.35</v>
      </c>
      <c r="M792" s="127">
        <v>8530</v>
      </c>
      <c r="N792" s="125">
        <v>459.91500000000002</v>
      </c>
      <c r="O792" s="127">
        <v>8510</v>
      </c>
      <c r="P792" s="125">
        <v>460.97699999999998</v>
      </c>
      <c r="Q792" s="127">
        <v>8530</v>
      </c>
      <c r="R792" s="125">
        <v>460.63600000000002</v>
      </c>
      <c r="S792" s="127">
        <v>8530</v>
      </c>
      <c r="T792" s="125">
        <v>461.30900000000003</v>
      </c>
      <c r="U792" s="127">
        <v>8520</v>
      </c>
      <c r="V792" s="125">
        <v>461.00099999999998</v>
      </c>
      <c r="W792" s="127">
        <v>8530</v>
      </c>
      <c r="X792" s="125">
        <v>460.40699999999998</v>
      </c>
      <c r="Y792" s="127">
        <v>8530</v>
      </c>
      <c r="Z792" s="125">
        <v>458.79</v>
      </c>
      <c r="AA792" s="127">
        <v>8530</v>
      </c>
      <c r="AB792" s="125">
        <v>459.12900000000002</v>
      </c>
      <c r="AC792" s="127">
        <v>8520</v>
      </c>
      <c r="AD792" s="125">
        <v>383.459</v>
      </c>
      <c r="AE792" s="127">
        <v>8530</v>
      </c>
      <c r="AF792" s="125">
        <v>385.08100000000002</v>
      </c>
      <c r="AG792" s="127">
        <v>8510</v>
      </c>
      <c r="AH792" s="125">
        <v>89.76</v>
      </c>
      <c r="AI792" s="127">
        <v>8510</v>
      </c>
      <c r="AJ792" s="125">
        <v>95.168000000000006</v>
      </c>
    </row>
    <row r="793" spans="1:36" ht="14.25">
      <c r="A793" s="128">
        <v>8540</v>
      </c>
      <c r="B793" s="124">
        <v>204.49299999999999</v>
      </c>
      <c r="C793" s="128">
        <v>8550</v>
      </c>
      <c r="D793" s="125">
        <v>202.696</v>
      </c>
      <c r="E793" s="126">
        <v>8540</v>
      </c>
      <c r="F793" s="125">
        <v>501.85599999999999</v>
      </c>
      <c r="G793" s="127">
        <v>8540</v>
      </c>
      <c r="H793" s="125">
        <v>501.90699999999998</v>
      </c>
      <c r="I793" s="127">
        <v>8540</v>
      </c>
      <c r="J793" s="125">
        <v>458.86900000000003</v>
      </c>
      <c r="K793" s="127">
        <v>8540</v>
      </c>
      <c r="L793" s="125">
        <v>458.13600000000002</v>
      </c>
      <c r="M793" s="127">
        <v>8540</v>
      </c>
      <c r="N793" s="125">
        <v>458.70299999999997</v>
      </c>
      <c r="O793" s="127">
        <v>8520</v>
      </c>
      <c r="P793" s="125">
        <v>459.76499999999999</v>
      </c>
      <c r="Q793" s="127">
        <v>8540</v>
      </c>
      <c r="R793" s="125">
        <v>459.42399999999998</v>
      </c>
      <c r="S793" s="127">
        <v>8540</v>
      </c>
      <c r="T793" s="125">
        <v>460.09699999999998</v>
      </c>
      <c r="U793" s="127">
        <v>8530</v>
      </c>
      <c r="V793" s="125">
        <v>459.791</v>
      </c>
      <c r="W793" s="127">
        <v>8540</v>
      </c>
      <c r="X793" s="125">
        <v>459.19600000000003</v>
      </c>
      <c r="Y793" s="127">
        <v>8540</v>
      </c>
      <c r="Z793" s="125">
        <v>457.57900000000001</v>
      </c>
      <c r="AA793" s="127">
        <v>8540</v>
      </c>
      <c r="AB793" s="125">
        <v>457.91899999999998</v>
      </c>
      <c r="AC793" s="127">
        <v>8530</v>
      </c>
      <c r="AD793" s="125">
        <v>382.26600000000002</v>
      </c>
      <c r="AE793" s="127">
        <v>8540</v>
      </c>
      <c r="AF793" s="125">
        <v>383.88900000000001</v>
      </c>
      <c r="AG793" s="127">
        <v>8520</v>
      </c>
      <c r="AH793" s="125">
        <v>89.44</v>
      </c>
      <c r="AI793" s="127">
        <v>8520</v>
      </c>
      <c r="AJ793" s="125">
        <v>94.832999999999998</v>
      </c>
    </row>
    <row r="794" spans="1:36" ht="14.25">
      <c r="A794" s="128">
        <v>8550</v>
      </c>
      <c r="B794" s="124">
        <v>203.779</v>
      </c>
      <c r="C794" s="128">
        <v>8560</v>
      </c>
      <c r="D794" s="125">
        <v>201.98500000000001</v>
      </c>
      <c r="E794" s="126">
        <v>8550</v>
      </c>
      <c r="F794" s="125">
        <v>500.40100000000001</v>
      </c>
      <c r="G794" s="127">
        <v>8550</v>
      </c>
      <c r="H794" s="125">
        <v>500.45100000000002</v>
      </c>
      <c r="I794" s="127">
        <v>8550</v>
      </c>
      <c r="J794" s="125">
        <v>457.65699999999998</v>
      </c>
      <c r="K794" s="127">
        <v>8550</v>
      </c>
      <c r="L794" s="125">
        <v>456.923</v>
      </c>
      <c r="M794" s="127">
        <v>8550</v>
      </c>
      <c r="N794" s="125">
        <v>457.49099999999999</v>
      </c>
      <c r="O794" s="127">
        <v>8530</v>
      </c>
      <c r="P794" s="125">
        <v>458.553</v>
      </c>
      <c r="Q794" s="127">
        <v>8550</v>
      </c>
      <c r="R794" s="125">
        <v>458.21199999999999</v>
      </c>
      <c r="S794" s="127">
        <v>8550</v>
      </c>
      <c r="T794" s="125">
        <v>458.88499999999999</v>
      </c>
      <c r="U794" s="127">
        <v>8540</v>
      </c>
      <c r="V794" s="125">
        <v>458.58</v>
      </c>
      <c r="W794" s="127">
        <v>8550</v>
      </c>
      <c r="X794" s="125">
        <v>457.98500000000001</v>
      </c>
      <c r="Y794" s="127">
        <v>8550</v>
      </c>
      <c r="Z794" s="125">
        <v>456.36799999999999</v>
      </c>
      <c r="AA794" s="127">
        <v>8550</v>
      </c>
      <c r="AB794" s="125">
        <v>456.709</v>
      </c>
      <c r="AC794" s="127">
        <v>8540</v>
      </c>
      <c r="AD794" s="125">
        <v>381.07299999999998</v>
      </c>
      <c r="AE794" s="127">
        <v>8550</v>
      </c>
      <c r="AF794" s="125">
        <v>382.69600000000003</v>
      </c>
      <c r="AG794" s="127">
        <v>8530</v>
      </c>
      <c r="AH794" s="125">
        <v>89.12</v>
      </c>
      <c r="AI794" s="127">
        <v>8530</v>
      </c>
      <c r="AJ794" s="125">
        <v>94.498999999999995</v>
      </c>
    </row>
    <row r="795" spans="1:36" ht="14.25">
      <c r="A795" s="128">
        <v>8560</v>
      </c>
      <c r="B795" s="124">
        <v>203.065</v>
      </c>
      <c r="C795" s="128">
        <v>8570</v>
      </c>
      <c r="D795" s="125">
        <v>201.274</v>
      </c>
      <c r="E795" s="126">
        <v>8560</v>
      </c>
      <c r="F795" s="125">
        <v>498.94499999999999</v>
      </c>
      <c r="G795" s="127">
        <v>8560</v>
      </c>
      <c r="H795" s="125">
        <v>498.995</v>
      </c>
      <c r="I795" s="127">
        <v>8560</v>
      </c>
      <c r="J795" s="125">
        <v>456.44499999999999</v>
      </c>
      <c r="K795" s="127">
        <v>8560</v>
      </c>
      <c r="L795" s="125">
        <v>455.709</v>
      </c>
      <c r="M795" s="127">
        <v>8560</v>
      </c>
      <c r="N795" s="125">
        <v>456.279</v>
      </c>
      <c r="O795" s="127">
        <v>8540</v>
      </c>
      <c r="P795" s="125">
        <v>457.34100000000001</v>
      </c>
      <c r="Q795" s="127">
        <v>8560</v>
      </c>
      <c r="R795" s="125">
        <v>457</v>
      </c>
      <c r="S795" s="127">
        <v>8560</v>
      </c>
      <c r="T795" s="125">
        <v>457.673</v>
      </c>
      <c r="U795" s="127">
        <v>8550</v>
      </c>
      <c r="V795" s="125">
        <v>457.37</v>
      </c>
      <c r="W795" s="127">
        <v>8560</v>
      </c>
      <c r="X795" s="125">
        <v>456.774</v>
      </c>
      <c r="Y795" s="127">
        <v>8560</v>
      </c>
      <c r="Z795" s="125">
        <v>455.15699999999998</v>
      </c>
      <c r="AA795" s="127">
        <v>8560</v>
      </c>
      <c r="AB795" s="125">
        <v>455.49900000000002</v>
      </c>
      <c r="AC795" s="127">
        <v>8550</v>
      </c>
      <c r="AD795" s="125">
        <v>379.88099999999997</v>
      </c>
      <c r="AE795" s="127">
        <v>8560</v>
      </c>
      <c r="AF795" s="125">
        <v>381.50400000000002</v>
      </c>
      <c r="AG795" s="127">
        <v>8540</v>
      </c>
      <c r="AH795" s="125">
        <v>88.801000000000002</v>
      </c>
      <c r="AI795" s="127">
        <v>8540</v>
      </c>
      <c r="AJ795" s="125">
        <v>94.165000000000006</v>
      </c>
    </row>
    <row r="796" spans="1:36" ht="14.25">
      <c r="A796" s="128">
        <v>8570</v>
      </c>
      <c r="B796" s="124">
        <v>202.351</v>
      </c>
      <c r="C796" s="128">
        <v>8580</v>
      </c>
      <c r="D796" s="125">
        <v>200.56399999999999</v>
      </c>
      <c r="E796" s="126">
        <v>8570</v>
      </c>
      <c r="F796" s="125">
        <v>497.49</v>
      </c>
      <c r="G796" s="127">
        <v>8570</v>
      </c>
      <c r="H796" s="125">
        <v>497.54</v>
      </c>
      <c r="I796" s="127">
        <v>8570</v>
      </c>
      <c r="J796" s="125">
        <v>455.233</v>
      </c>
      <c r="K796" s="127">
        <v>8570</v>
      </c>
      <c r="L796" s="125">
        <v>454.49599999999998</v>
      </c>
      <c r="M796" s="127">
        <v>8570</v>
      </c>
      <c r="N796" s="125">
        <v>455.06700000000001</v>
      </c>
      <c r="O796" s="127">
        <v>8550</v>
      </c>
      <c r="P796" s="125">
        <v>456.12900000000002</v>
      </c>
      <c r="Q796" s="127">
        <v>8570</v>
      </c>
      <c r="R796" s="125">
        <v>455.78800000000001</v>
      </c>
      <c r="S796" s="127">
        <v>8570</v>
      </c>
      <c r="T796" s="125">
        <v>456.46100000000001</v>
      </c>
      <c r="U796" s="127">
        <v>8560</v>
      </c>
      <c r="V796" s="125">
        <v>456.16</v>
      </c>
      <c r="W796" s="127">
        <v>8570</v>
      </c>
      <c r="X796" s="125">
        <v>455.56299999999999</v>
      </c>
      <c r="Y796" s="127">
        <v>8570</v>
      </c>
      <c r="Z796" s="125">
        <v>453.94600000000003</v>
      </c>
      <c r="AA796" s="127">
        <v>8570</v>
      </c>
      <c r="AB796" s="125">
        <v>454.28899999999999</v>
      </c>
      <c r="AC796" s="127">
        <v>8560</v>
      </c>
      <c r="AD796" s="125">
        <v>378.68900000000002</v>
      </c>
      <c r="AE796" s="127">
        <v>8570</v>
      </c>
      <c r="AF796" s="125">
        <v>380.31299999999999</v>
      </c>
      <c r="AG796" s="127">
        <v>8550</v>
      </c>
      <c r="AH796" s="125">
        <v>88.481999999999999</v>
      </c>
      <c r="AI796" s="127">
        <v>8550</v>
      </c>
      <c r="AJ796" s="125">
        <v>93.831000000000003</v>
      </c>
    </row>
    <row r="797" spans="1:36" ht="14.25">
      <c r="A797" s="128">
        <v>8580</v>
      </c>
      <c r="B797" s="124">
        <v>201.637</v>
      </c>
      <c r="C797" s="128">
        <v>8590</v>
      </c>
      <c r="D797" s="125">
        <v>199.85300000000001</v>
      </c>
      <c r="E797" s="126">
        <v>8580</v>
      </c>
      <c r="F797" s="125">
        <v>496.03399999999999</v>
      </c>
      <c r="G797" s="127">
        <v>8580</v>
      </c>
      <c r="H797" s="125">
        <v>496.084</v>
      </c>
      <c r="I797" s="127">
        <v>8580</v>
      </c>
      <c r="J797" s="125">
        <v>454.02199999999999</v>
      </c>
      <c r="K797" s="127">
        <v>8580</v>
      </c>
      <c r="L797" s="125">
        <v>453.28300000000002</v>
      </c>
      <c r="M797" s="127">
        <v>8580</v>
      </c>
      <c r="N797" s="125">
        <v>453.85500000000002</v>
      </c>
      <c r="O797" s="127">
        <v>8560</v>
      </c>
      <c r="P797" s="125">
        <v>454.916</v>
      </c>
      <c r="Q797" s="127">
        <v>8580</v>
      </c>
      <c r="R797" s="125">
        <v>454.57600000000002</v>
      </c>
      <c r="S797" s="127">
        <v>8580</v>
      </c>
      <c r="T797" s="125">
        <v>455.24900000000002</v>
      </c>
      <c r="U797" s="127">
        <v>8570</v>
      </c>
      <c r="V797" s="125">
        <v>454.95</v>
      </c>
      <c r="W797" s="127">
        <v>8580</v>
      </c>
      <c r="X797" s="125">
        <v>454.35199999999998</v>
      </c>
      <c r="Y797" s="127">
        <v>8580</v>
      </c>
      <c r="Z797" s="125">
        <v>452.73500000000001</v>
      </c>
      <c r="AA797" s="127">
        <v>8580</v>
      </c>
      <c r="AB797" s="125">
        <v>453.07900000000001</v>
      </c>
      <c r="AC797" s="127">
        <v>8570</v>
      </c>
      <c r="AD797" s="125">
        <v>377.49799999999999</v>
      </c>
      <c r="AE797" s="127">
        <v>8580</v>
      </c>
      <c r="AF797" s="125">
        <v>379.12200000000001</v>
      </c>
      <c r="AG797" s="127">
        <v>8560</v>
      </c>
      <c r="AH797" s="125">
        <v>88.162999999999997</v>
      </c>
      <c r="AI797" s="127">
        <v>8560</v>
      </c>
      <c r="AJ797" s="125">
        <v>93.498000000000005</v>
      </c>
    </row>
    <row r="798" spans="1:36" ht="14.25">
      <c r="A798" s="128">
        <v>8590</v>
      </c>
      <c r="B798" s="124">
        <v>200.923</v>
      </c>
      <c r="C798" s="128">
        <v>8600</v>
      </c>
      <c r="D798" s="125">
        <v>199.143</v>
      </c>
      <c r="E798" s="126">
        <v>8590</v>
      </c>
      <c r="F798" s="125">
        <v>494.57900000000001</v>
      </c>
      <c r="G798" s="127">
        <v>8590</v>
      </c>
      <c r="H798" s="125">
        <v>494.62799999999999</v>
      </c>
      <c r="I798" s="127">
        <v>8590</v>
      </c>
      <c r="J798" s="125">
        <v>452.81</v>
      </c>
      <c r="K798" s="127">
        <v>8590</v>
      </c>
      <c r="L798" s="125">
        <v>452.06900000000002</v>
      </c>
      <c r="M798" s="127">
        <v>8590</v>
      </c>
      <c r="N798" s="125">
        <v>452.64299999999997</v>
      </c>
      <c r="O798" s="127">
        <v>8570</v>
      </c>
      <c r="P798" s="125">
        <v>453.70400000000001</v>
      </c>
      <c r="Q798" s="127">
        <v>8590</v>
      </c>
      <c r="R798" s="125">
        <v>453.36399999999998</v>
      </c>
      <c r="S798" s="127">
        <v>8590</v>
      </c>
      <c r="T798" s="125">
        <v>454.03699999999998</v>
      </c>
      <c r="U798" s="127">
        <v>8580</v>
      </c>
      <c r="V798" s="125">
        <v>453.74</v>
      </c>
      <c r="W798" s="127">
        <v>8590</v>
      </c>
      <c r="X798" s="125">
        <v>453.14100000000002</v>
      </c>
      <c r="Y798" s="127">
        <v>8590</v>
      </c>
      <c r="Z798" s="125">
        <v>451.524</v>
      </c>
      <c r="AA798" s="127">
        <v>8590</v>
      </c>
      <c r="AB798" s="125">
        <v>451.86900000000003</v>
      </c>
      <c r="AC798" s="127">
        <v>8580</v>
      </c>
      <c r="AD798" s="125">
        <v>376.30799999999999</v>
      </c>
      <c r="AE798" s="127">
        <v>8590</v>
      </c>
      <c r="AF798" s="125">
        <v>377.93099999999998</v>
      </c>
      <c r="AG798" s="127">
        <v>8570</v>
      </c>
      <c r="AH798" s="125">
        <v>87.844999999999999</v>
      </c>
      <c r="AI798" s="127">
        <v>8570</v>
      </c>
      <c r="AJ798" s="125">
        <v>93.165000000000006</v>
      </c>
    </row>
    <row r="799" spans="1:36" ht="14.25">
      <c r="A799" s="128">
        <v>8600</v>
      </c>
      <c r="B799" s="124">
        <v>200.21</v>
      </c>
      <c r="C799" s="128">
        <v>8610</v>
      </c>
      <c r="D799" s="125">
        <v>198.43299999999999</v>
      </c>
      <c r="E799" s="126">
        <v>8600</v>
      </c>
      <c r="F799" s="125">
        <v>493.12400000000002</v>
      </c>
      <c r="G799" s="127">
        <v>8600</v>
      </c>
      <c r="H799" s="125">
        <v>493.17200000000003</v>
      </c>
      <c r="I799" s="127">
        <v>8600</v>
      </c>
      <c r="J799" s="125">
        <v>451.59800000000001</v>
      </c>
      <c r="K799" s="127">
        <v>8600</v>
      </c>
      <c r="L799" s="125">
        <v>450.85599999999999</v>
      </c>
      <c r="M799" s="127">
        <v>8600</v>
      </c>
      <c r="N799" s="125">
        <v>451.43099999999998</v>
      </c>
      <c r="O799" s="127">
        <v>8580</v>
      </c>
      <c r="P799" s="125">
        <v>452.49200000000002</v>
      </c>
      <c r="Q799" s="127">
        <v>8600</v>
      </c>
      <c r="R799" s="125">
        <v>452.15199999999999</v>
      </c>
      <c r="S799" s="127">
        <v>8600</v>
      </c>
      <c r="T799" s="125">
        <v>452.82499999999999</v>
      </c>
      <c r="U799" s="127">
        <v>8590</v>
      </c>
      <c r="V799" s="125">
        <v>452.529</v>
      </c>
      <c r="W799" s="127">
        <v>8600</v>
      </c>
      <c r="X799" s="125">
        <v>451.93</v>
      </c>
      <c r="Y799" s="127">
        <v>8600</v>
      </c>
      <c r="Z799" s="125">
        <v>450.31299999999999</v>
      </c>
      <c r="AA799" s="127">
        <v>8600</v>
      </c>
      <c r="AB799" s="125">
        <v>450.65899999999999</v>
      </c>
      <c r="AC799" s="127">
        <v>8590</v>
      </c>
      <c r="AD799" s="125">
        <v>375.11799999999999</v>
      </c>
      <c r="AE799" s="127">
        <v>8600</v>
      </c>
      <c r="AF799" s="125">
        <v>376.74099999999999</v>
      </c>
      <c r="AG799" s="127">
        <v>8580</v>
      </c>
      <c r="AH799" s="125">
        <v>87.527000000000001</v>
      </c>
      <c r="AI799" s="127">
        <v>8580</v>
      </c>
      <c r="AJ799" s="125">
        <v>92.832999999999998</v>
      </c>
    </row>
    <row r="800" spans="1:36" ht="14.25">
      <c r="A800" s="128">
        <v>8610</v>
      </c>
      <c r="B800" s="124">
        <v>199.49700000000001</v>
      </c>
      <c r="C800" s="128">
        <v>8620</v>
      </c>
      <c r="D800" s="125">
        <v>197.72399999999999</v>
      </c>
      <c r="E800" s="126">
        <v>8610</v>
      </c>
      <c r="F800" s="125">
        <v>491.66899999999998</v>
      </c>
      <c r="G800" s="127">
        <v>8610</v>
      </c>
      <c r="H800" s="125">
        <v>491.71699999999998</v>
      </c>
      <c r="I800" s="127">
        <v>8610</v>
      </c>
      <c r="J800" s="125">
        <v>450.38600000000002</v>
      </c>
      <c r="K800" s="127">
        <v>8610</v>
      </c>
      <c r="L800" s="125">
        <v>449.642</v>
      </c>
      <c r="M800" s="127">
        <v>8610</v>
      </c>
      <c r="N800" s="125">
        <v>450.21899999999999</v>
      </c>
      <c r="O800" s="127">
        <v>8590</v>
      </c>
      <c r="P800" s="125">
        <v>451.28</v>
      </c>
      <c r="Q800" s="127">
        <v>8610</v>
      </c>
      <c r="R800" s="125">
        <v>450.94</v>
      </c>
      <c r="S800" s="127">
        <v>8610</v>
      </c>
      <c r="T800" s="125">
        <v>451.613</v>
      </c>
      <c r="U800" s="127">
        <v>8600</v>
      </c>
      <c r="V800" s="125">
        <v>451.31900000000002</v>
      </c>
      <c r="W800" s="127">
        <v>8610</v>
      </c>
      <c r="X800" s="125">
        <v>450.71899999999999</v>
      </c>
      <c r="Y800" s="127">
        <v>8610</v>
      </c>
      <c r="Z800" s="125">
        <v>449.10300000000001</v>
      </c>
      <c r="AA800" s="127">
        <v>8610</v>
      </c>
      <c r="AB800" s="125">
        <v>449.44900000000001</v>
      </c>
      <c r="AC800" s="127">
        <v>8600</v>
      </c>
      <c r="AD800" s="125">
        <v>373.928</v>
      </c>
      <c r="AE800" s="127">
        <v>8610</v>
      </c>
      <c r="AF800" s="125">
        <v>375.55200000000002</v>
      </c>
      <c r="AG800" s="127">
        <v>8590</v>
      </c>
      <c r="AH800" s="125">
        <v>87.209000000000003</v>
      </c>
      <c r="AI800" s="127">
        <v>8590</v>
      </c>
      <c r="AJ800" s="125">
        <v>92.501000000000005</v>
      </c>
    </row>
    <row r="801" spans="1:36" ht="14.25">
      <c r="A801" s="128">
        <v>8620</v>
      </c>
      <c r="B801" s="124">
        <v>198.78399999999999</v>
      </c>
      <c r="C801" s="128">
        <v>8630</v>
      </c>
      <c r="D801" s="125">
        <v>197.01400000000001</v>
      </c>
      <c r="E801" s="126">
        <v>8620</v>
      </c>
      <c r="F801" s="125">
        <v>490.214</v>
      </c>
      <c r="G801" s="127">
        <v>8620</v>
      </c>
      <c r="H801" s="125">
        <v>490.26100000000002</v>
      </c>
      <c r="I801" s="127">
        <v>8620</v>
      </c>
      <c r="J801" s="125">
        <v>449.17500000000001</v>
      </c>
      <c r="K801" s="127">
        <v>8620</v>
      </c>
      <c r="L801" s="125">
        <v>448.42899999999997</v>
      </c>
      <c r="M801" s="127">
        <v>8620</v>
      </c>
      <c r="N801" s="125">
        <v>449.00799999999998</v>
      </c>
      <c r="O801" s="127">
        <v>8600</v>
      </c>
      <c r="P801" s="125">
        <v>450.06799999999998</v>
      </c>
      <c r="Q801" s="127">
        <v>8620</v>
      </c>
      <c r="R801" s="125">
        <v>449.72800000000001</v>
      </c>
      <c r="S801" s="127">
        <v>8620</v>
      </c>
      <c r="T801" s="125">
        <v>450.40100000000001</v>
      </c>
      <c r="U801" s="127">
        <v>8610</v>
      </c>
      <c r="V801" s="125">
        <v>450.10899999999998</v>
      </c>
      <c r="W801" s="127">
        <v>8620</v>
      </c>
      <c r="X801" s="125">
        <v>449.50799999999998</v>
      </c>
      <c r="Y801" s="127">
        <v>8620</v>
      </c>
      <c r="Z801" s="125">
        <v>447.892</v>
      </c>
      <c r="AA801" s="127">
        <v>8620</v>
      </c>
      <c r="AB801" s="125">
        <v>448.23899999999998</v>
      </c>
      <c r="AC801" s="127">
        <v>8610</v>
      </c>
      <c r="AD801" s="125">
        <v>372.73899999999998</v>
      </c>
      <c r="AE801" s="127">
        <v>8620</v>
      </c>
      <c r="AF801" s="125">
        <v>374.363</v>
      </c>
      <c r="AG801" s="127">
        <v>8600</v>
      </c>
      <c r="AH801" s="125">
        <v>86.891999999999996</v>
      </c>
      <c r="AI801" s="127">
        <v>8600</v>
      </c>
      <c r="AJ801" s="125">
        <v>92.168999999999997</v>
      </c>
    </row>
    <row r="802" spans="1:36" ht="14.25">
      <c r="A802" s="128">
        <v>8630</v>
      </c>
      <c r="B802" s="124">
        <v>198.072</v>
      </c>
      <c r="C802" s="128">
        <v>8640</v>
      </c>
      <c r="D802" s="125">
        <v>196.30500000000001</v>
      </c>
      <c r="E802" s="126">
        <v>8630</v>
      </c>
      <c r="F802" s="125">
        <v>488.75900000000001</v>
      </c>
      <c r="G802" s="127">
        <v>8630</v>
      </c>
      <c r="H802" s="125">
        <v>488.80599999999998</v>
      </c>
      <c r="I802" s="127">
        <v>8630</v>
      </c>
      <c r="J802" s="125">
        <v>447.96300000000002</v>
      </c>
      <c r="K802" s="127">
        <v>8630</v>
      </c>
      <c r="L802" s="125">
        <v>447.21600000000001</v>
      </c>
      <c r="M802" s="127">
        <v>8630</v>
      </c>
      <c r="N802" s="125">
        <v>447.79599999999999</v>
      </c>
      <c r="O802" s="127">
        <v>8610</v>
      </c>
      <c r="P802" s="125">
        <v>448.85599999999999</v>
      </c>
      <c r="Q802" s="127">
        <v>8630</v>
      </c>
      <c r="R802" s="125">
        <v>448.51600000000002</v>
      </c>
      <c r="S802" s="127">
        <v>8630</v>
      </c>
      <c r="T802" s="125">
        <v>449.18900000000002</v>
      </c>
      <c r="U802" s="127">
        <v>8620</v>
      </c>
      <c r="V802" s="125">
        <v>448.899</v>
      </c>
      <c r="W802" s="127">
        <v>8630</v>
      </c>
      <c r="X802" s="125">
        <v>448.29700000000003</v>
      </c>
      <c r="Y802" s="127">
        <v>8630</v>
      </c>
      <c r="Z802" s="125">
        <v>446.68099999999998</v>
      </c>
      <c r="AA802" s="127">
        <v>8630</v>
      </c>
      <c r="AB802" s="125">
        <v>447.029</v>
      </c>
      <c r="AC802" s="127">
        <v>8620</v>
      </c>
      <c r="AD802" s="125">
        <v>371.55099999999999</v>
      </c>
      <c r="AE802" s="127">
        <v>8630</v>
      </c>
      <c r="AF802" s="125">
        <v>373.17500000000001</v>
      </c>
      <c r="AG802" s="127">
        <v>8610</v>
      </c>
      <c r="AH802" s="125">
        <v>86.575000000000003</v>
      </c>
      <c r="AI802" s="127">
        <v>8610</v>
      </c>
      <c r="AJ802" s="125">
        <v>91.837999999999994</v>
      </c>
    </row>
    <row r="803" spans="1:36" ht="14.25">
      <c r="A803" s="128">
        <v>8640</v>
      </c>
      <c r="B803" s="124">
        <v>197.35900000000001</v>
      </c>
      <c r="C803" s="128">
        <v>8650</v>
      </c>
      <c r="D803" s="125">
        <v>195.596</v>
      </c>
      <c r="E803" s="126">
        <v>8640</v>
      </c>
      <c r="F803" s="125">
        <v>487.30500000000001</v>
      </c>
      <c r="G803" s="127">
        <v>8640</v>
      </c>
      <c r="H803" s="125">
        <v>487.351</v>
      </c>
      <c r="I803" s="127">
        <v>8640</v>
      </c>
      <c r="J803" s="125">
        <v>446.75099999999998</v>
      </c>
      <c r="K803" s="127">
        <v>8640</v>
      </c>
      <c r="L803" s="125">
        <v>446.00200000000001</v>
      </c>
      <c r="M803" s="127">
        <v>8640</v>
      </c>
      <c r="N803" s="125">
        <v>446.584</v>
      </c>
      <c r="O803" s="127">
        <v>8620</v>
      </c>
      <c r="P803" s="125">
        <v>447.64400000000001</v>
      </c>
      <c r="Q803" s="127">
        <v>8640</v>
      </c>
      <c r="R803" s="125">
        <v>447.30500000000001</v>
      </c>
      <c r="S803" s="127">
        <v>8640</v>
      </c>
      <c r="T803" s="125">
        <v>447.976</v>
      </c>
      <c r="U803" s="127">
        <v>8630</v>
      </c>
      <c r="V803" s="125">
        <v>447.68799999999999</v>
      </c>
      <c r="W803" s="127">
        <v>8640</v>
      </c>
      <c r="X803" s="125">
        <v>447.08600000000001</v>
      </c>
      <c r="Y803" s="127">
        <v>8640</v>
      </c>
      <c r="Z803" s="125">
        <v>445.47</v>
      </c>
      <c r="AA803" s="127">
        <v>8640</v>
      </c>
      <c r="AB803" s="125">
        <v>445.81900000000002</v>
      </c>
      <c r="AC803" s="127">
        <v>8630</v>
      </c>
      <c r="AD803" s="125">
        <v>370.363</v>
      </c>
      <c r="AE803" s="127">
        <v>8640</v>
      </c>
      <c r="AF803" s="125">
        <v>371.98700000000002</v>
      </c>
      <c r="AG803" s="127">
        <v>8620</v>
      </c>
      <c r="AH803" s="125">
        <v>86.259</v>
      </c>
      <c r="AI803" s="127">
        <v>8620</v>
      </c>
      <c r="AJ803" s="125">
        <v>91.507000000000005</v>
      </c>
    </row>
    <row r="804" spans="1:36" ht="14.25">
      <c r="A804" s="128">
        <v>8650</v>
      </c>
      <c r="B804" s="124">
        <v>196.64699999999999</v>
      </c>
      <c r="C804" s="128">
        <v>8660</v>
      </c>
      <c r="D804" s="125">
        <v>194.887</v>
      </c>
      <c r="E804" s="126">
        <v>8650</v>
      </c>
      <c r="F804" s="125">
        <v>485.85</v>
      </c>
      <c r="G804" s="127">
        <v>8650</v>
      </c>
      <c r="H804" s="125">
        <v>485.89600000000002</v>
      </c>
      <c r="I804" s="127">
        <v>8650</v>
      </c>
      <c r="J804" s="125">
        <v>445.53899999999999</v>
      </c>
      <c r="K804" s="127">
        <v>8650</v>
      </c>
      <c r="L804" s="125">
        <v>444.78899999999999</v>
      </c>
      <c r="M804" s="127">
        <v>8650</v>
      </c>
      <c r="N804" s="125">
        <v>445.37200000000001</v>
      </c>
      <c r="O804" s="127">
        <v>8630</v>
      </c>
      <c r="P804" s="125">
        <v>446.43200000000002</v>
      </c>
      <c r="Q804" s="127">
        <v>8650</v>
      </c>
      <c r="R804" s="125">
        <v>446.09300000000002</v>
      </c>
      <c r="S804" s="127">
        <v>8650</v>
      </c>
      <c r="T804" s="125">
        <v>446.76400000000001</v>
      </c>
      <c r="U804" s="127">
        <v>8640</v>
      </c>
      <c r="V804" s="125">
        <v>446.47800000000001</v>
      </c>
      <c r="W804" s="127">
        <v>8650</v>
      </c>
      <c r="X804" s="125">
        <v>445.875</v>
      </c>
      <c r="Y804" s="127">
        <v>8650</v>
      </c>
      <c r="Z804" s="125">
        <v>444.25900000000001</v>
      </c>
      <c r="AA804" s="127">
        <v>8650</v>
      </c>
      <c r="AB804" s="125">
        <v>444.60899999999998</v>
      </c>
      <c r="AC804" s="127">
        <v>8640</v>
      </c>
      <c r="AD804" s="125">
        <v>369.17500000000001</v>
      </c>
      <c r="AE804" s="127">
        <v>8650</v>
      </c>
      <c r="AF804" s="125">
        <v>370.8</v>
      </c>
      <c r="AG804" s="127">
        <v>8630</v>
      </c>
      <c r="AH804" s="125">
        <v>85.942999999999998</v>
      </c>
      <c r="AI804" s="127">
        <v>8630</v>
      </c>
      <c r="AJ804" s="125">
        <v>91.177000000000007</v>
      </c>
    </row>
    <row r="805" spans="1:36" ht="14.25">
      <c r="A805" s="128">
        <v>8660</v>
      </c>
      <c r="B805" s="124">
        <v>195.935</v>
      </c>
      <c r="C805" s="128">
        <v>8670</v>
      </c>
      <c r="D805" s="125">
        <v>194.178</v>
      </c>
      <c r="E805" s="126">
        <v>8660</v>
      </c>
      <c r="F805" s="125">
        <v>484.39600000000002</v>
      </c>
      <c r="G805" s="127">
        <v>8660</v>
      </c>
      <c r="H805" s="125">
        <v>484.44099999999997</v>
      </c>
      <c r="I805" s="127">
        <v>8660</v>
      </c>
      <c r="J805" s="125">
        <v>444.32799999999997</v>
      </c>
      <c r="K805" s="127">
        <v>8660</v>
      </c>
      <c r="L805" s="125">
        <v>443.57499999999999</v>
      </c>
      <c r="M805" s="127">
        <v>8660</v>
      </c>
      <c r="N805" s="125">
        <v>444.16</v>
      </c>
      <c r="O805" s="127">
        <v>8640</v>
      </c>
      <c r="P805" s="125">
        <v>445.21899999999999</v>
      </c>
      <c r="Q805" s="127">
        <v>8660</v>
      </c>
      <c r="R805" s="125">
        <v>444.88099999999997</v>
      </c>
      <c r="S805" s="127">
        <v>8660</v>
      </c>
      <c r="T805" s="125">
        <v>445.553</v>
      </c>
      <c r="U805" s="127">
        <v>8650</v>
      </c>
      <c r="V805" s="125">
        <v>445.26799999999997</v>
      </c>
      <c r="W805" s="127">
        <v>8660</v>
      </c>
      <c r="X805" s="125">
        <v>444.66399999999999</v>
      </c>
      <c r="Y805" s="127">
        <v>8660</v>
      </c>
      <c r="Z805" s="125">
        <v>443.048</v>
      </c>
      <c r="AA805" s="127">
        <v>8660</v>
      </c>
      <c r="AB805" s="125">
        <v>443.399</v>
      </c>
      <c r="AC805" s="127">
        <v>8650</v>
      </c>
      <c r="AD805" s="125">
        <v>367.98899999999998</v>
      </c>
      <c r="AE805" s="127">
        <v>8660</v>
      </c>
      <c r="AF805" s="125">
        <v>369.613</v>
      </c>
      <c r="AG805" s="127">
        <v>8640</v>
      </c>
      <c r="AH805" s="125">
        <v>85.628</v>
      </c>
      <c r="AI805" s="127">
        <v>8640</v>
      </c>
      <c r="AJ805" s="125">
        <v>90.846999999999994</v>
      </c>
    </row>
    <row r="806" spans="1:36" ht="14.25">
      <c r="A806" s="128">
        <v>8670</v>
      </c>
      <c r="B806" s="124">
        <v>195.22300000000001</v>
      </c>
      <c r="C806" s="128">
        <v>8680</v>
      </c>
      <c r="D806" s="125">
        <v>193.47</v>
      </c>
      <c r="E806" s="126">
        <v>8670</v>
      </c>
      <c r="F806" s="125">
        <v>482.94099999999997</v>
      </c>
      <c r="G806" s="127">
        <v>8670</v>
      </c>
      <c r="H806" s="125">
        <v>482.98599999999999</v>
      </c>
      <c r="I806" s="127">
        <v>8670</v>
      </c>
      <c r="J806" s="125">
        <v>443.11599999999999</v>
      </c>
      <c r="K806" s="127">
        <v>8670</v>
      </c>
      <c r="L806" s="125">
        <v>442.36200000000002</v>
      </c>
      <c r="M806" s="127">
        <v>8670</v>
      </c>
      <c r="N806" s="125">
        <v>442.94799999999998</v>
      </c>
      <c r="O806" s="127">
        <v>8650</v>
      </c>
      <c r="P806" s="125">
        <v>444.00700000000001</v>
      </c>
      <c r="Q806" s="127">
        <v>8670</v>
      </c>
      <c r="R806" s="125">
        <v>443.66899999999998</v>
      </c>
      <c r="S806" s="127">
        <v>8670</v>
      </c>
      <c r="T806" s="125">
        <v>444.34</v>
      </c>
      <c r="U806" s="127">
        <v>8660</v>
      </c>
      <c r="V806" s="125">
        <v>444.05799999999999</v>
      </c>
      <c r="W806" s="127">
        <v>8670</v>
      </c>
      <c r="X806" s="125">
        <v>443.45299999999997</v>
      </c>
      <c r="Y806" s="127">
        <v>8670</v>
      </c>
      <c r="Z806" s="125">
        <v>441.83699999999999</v>
      </c>
      <c r="AA806" s="127">
        <v>8670</v>
      </c>
      <c r="AB806" s="125">
        <v>442.18900000000002</v>
      </c>
      <c r="AC806" s="127">
        <v>8660</v>
      </c>
      <c r="AD806" s="125">
        <v>366.80200000000002</v>
      </c>
      <c r="AE806" s="127">
        <v>8670</v>
      </c>
      <c r="AF806" s="125">
        <v>368.42700000000002</v>
      </c>
      <c r="AG806" s="127">
        <v>8650</v>
      </c>
      <c r="AH806" s="125">
        <v>85.313000000000002</v>
      </c>
      <c r="AI806" s="127">
        <v>8650</v>
      </c>
      <c r="AJ806" s="125">
        <v>90.516999999999996</v>
      </c>
    </row>
    <row r="807" spans="1:36" ht="14.25">
      <c r="A807" s="128">
        <v>8680</v>
      </c>
      <c r="B807" s="124">
        <v>194.512</v>
      </c>
      <c r="C807" s="128">
        <v>8690</v>
      </c>
      <c r="D807" s="125">
        <v>192.762</v>
      </c>
      <c r="E807" s="126">
        <v>8680</v>
      </c>
      <c r="F807" s="125">
        <v>481.48700000000002</v>
      </c>
      <c r="G807" s="127">
        <v>8680</v>
      </c>
      <c r="H807" s="125">
        <v>481.53100000000001</v>
      </c>
      <c r="I807" s="127">
        <v>8680</v>
      </c>
      <c r="J807" s="125">
        <v>441.904</v>
      </c>
      <c r="K807" s="127">
        <v>8680</v>
      </c>
      <c r="L807" s="125">
        <v>441.149</v>
      </c>
      <c r="M807" s="127">
        <v>8680</v>
      </c>
      <c r="N807" s="125">
        <v>441.73599999999999</v>
      </c>
      <c r="O807" s="127">
        <v>8660</v>
      </c>
      <c r="P807" s="125">
        <v>442.79500000000002</v>
      </c>
      <c r="Q807" s="127">
        <v>8680</v>
      </c>
      <c r="R807" s="125">
        <v>442.45699999999999</v>
      </c>
      <c r="S807" s="127">
        <v>8680</v>
      </c>
      <c r="T807" s="125">
        <v>443.12799999999999</v>
      </c>
      <c r="U807" s="127">
        <v>8670</v>
      </c>
      <c r="V807" s="125">
        <v>442.84699999999998</v>
      </c>
      <c r="W807" s="127">
        <v>8680</v>
      </c>
      <c r="X807" s="125">
        <v>442.24200000000002</v>
      </c>
      <c r="Y807" s="127">
        <v>8680</v>
      </c>
      <c r="Z807" s="125">
        <v>440.62599999999998</v>
      </c>
      <c r="AA807" s="127">
        <v>8680</v>
      </c>
      <c r="AB807" s="125">
        <v>440.97899999999998</v>
      </c>
      <c r="AC807" s="127">
        <v>8670</v>
      </c>
      <c r="AD807" s="125">
        <v>365.61700000000002</v>
      </c>
      <c r="AE807" s="127">
        <v>8680</v>
      </c>
      <c r="AF807" s="125">
        <v>367.24099999999999</v>
      </c>
      <c r="AG807" s="127">
        <v>8660</v>
      </c>
      <c r="AH807" s="125">
        <v>84.998000000000005</v>
      </c>
      <c r="AI807" s="127">
        <v>8660</v>
      </c>
      <c r="AJ807" s="125">
        <v>90.188000000000002</v>
      </c>
    </row>
    <row r="808" spans="1:36" ht="14.25">
      <c r="A808" s="128">
        <v>8690</v>
      </c>
      <c r="B808" s="124">
        <v>193.8</v>
      </c>
      <c r="C808" s="128">
        <v>8700</v>
      </c>
      <c r="D808" s="125">
        <v>192.054</v>
      </c>
      <c r="E808" s="126">
        <v>8690</v>
      </c>
      <c r="F808" s="125">
        <v>480.03300000000002</v>
      </c>
      <c r="G808" s="127">
        <v>8690</v>
      </c>
      <c r="H808" s="125">
        <v>480.07600000000002</v>
      </c>
      <c r="I808" s="127">
        <v>8690</v>
      </c>
      <c r="J808" s="125">
        <v>440.69299999999998</v>
      </c>
      <c r="K808" s="127">
        <v>8690</v>
      </c>
      <c r="L808" s="125">
        <v>439.935</v>
      </c>
      <c r="M808" s="127">
        <v>8690</v>
      </c>
      <c r="N808" s="125">
        <v>440.52499999999998</v>
      </c>
      <c r="O808" s="127">
        <v>8670</v>
      </c>
      <c r="P808" s="125">
        <v>441.58300000000003</v>
      </c>
      <c r="Q808" s="127">
        <v>8690</v>
      </c>
      <c r="R808" s="125">
        <v>441.245</v>
      </c>
      <c r="S808" s="127">
        <v>8690</v>
      </c>
      <c r="T808" s="125">
        <v>441.916</v>
      </c>
      <c r="U808" s="127">
        <v>8680</v>
      </c>
      <c r="V808" s="125">
        <v>441.637</v>
      </c>
      <c r="W808" s="127">
        <v>8690</v>
      </c>
      <c r="X808" s="125">
        <v>441.03100000000001</v>
      </c>
      <c r="Y808" s="127">
        <v>8690</v>
      </c>
      <c r="Z808" s="125">
        <v>439.416</v>
      </c>
      <c r="AA808" s="127">
        <v>8690</v>
      </c>
      <c r="AB808" s="125">
        <v>439.76900000000001</v>
      </c>
      <c r="AC808" s="127">
        <v>8680</v>
      </c>
      <c r="AD808" s="125">
        <v>364.43200000000002</v>
      </c>
      <c r="AE808" s="127">
        <v>8690</v>
      </c>
      <c r="AF808" s="125">
        <v>366.05599999999998</v>
      </c>
      <c r="AG808" s="127">
        <v>8670</v>
      </c>
      <c r="AH808" s="125">
        <v>84.683999999999997</v>
      </c>
      <c r="AI808" s="127">
        <v>8670</v>
      </c>
      <c r="AJ808" s="125">
        <v>89.858999999999995</v>
      </c>
    </row>
    <row r="809" spans="1:36" ht="14.25">
      <c r="A809" s="128">
        <v>8700</v>
      </c>
      <c r="B809" s="124">
        <v>193.089</v>
      </c>
      <c r="C809" s="128">
        <v>8710</v>
      </c>
      <c r="D809" s="125">
        <v>191.346</v>
      </c>
      <c r="E809" s="126">
        <v>8700</v>
      </c>
      <c r="F809" s="125">
        <v>478.57900000000001</v>
      </c>
      <c r="G809" s="127">
        <v>8700</v>
      </c>
      <c r="H809" s="125">
        <v>478.62200000000001</v>
      </c>
      <c r="I809" s="127">
        <v>8700</v>
      </c>
      <c r="J809" s="125">
        <v>439.48099999999999</v>
      </c>
      <c r="K809" s="127">
        <v>8700</v>
      </c>
      <c r="L809" s="125">
        <v>438.72199999999998</v>
      </c>
      <c r="M809" s="127">
        <v>8700</v>
      </c>
      <c r="N809" s="125">
        <v>439.31299999999999</v>
      </c>
      <c r="O809" s="127">
        <v>8680</v>
      </c>
      <c r="P809" s="125">
        <v>440.37099999999998</v>
      </c>
      <c r="Q809" s="127">
        <v>8700</v>
      </c>
      <c r="R809" s="125">
        <v>440.03300000000002</v>
      </c>
      <c r="S809" s="127">
        <v>8700</v>
      </c>
      <c r="T809" s="125">
        <v>440.70400000000001</v>
      </c>
      <c r="U809" s="127">
        <v>8690</v>
      </c>
      <c r="V809" s="125">
        <v>440.42700000000002</v>
      </c>
      <c r="W809" s="127">
        <v>8700</v>
      </c>
      <c r="X809" s="125">
        <v>439.82</v>
      </c>
      <c r="Y809" s="127">
        <v>8700</v>
      </c>
      <c r="Z809" s="125">
        <v>438.20499999999998</v>
      </c>
      <c r="AA809" s="127">
        <v>8700</v>
      </c>
      <c r="AB809" s="125">
        <v>438.55900000000003</v>
      </c>
      <c r="AC809" s="127">
        <v>8690</v>
      </c>
      <c r="AD809" s="125">
        <v>363.24700000000001</v>
      </c>
      <c r="AE809" s="127">
        <v>8700</v>
      </c>
      <c r="AF809" s="125">
        <v>364.87200000000001</v>
      </c>
      <c r="AG809" s="127">
        <v>8680</v>
      </c>
      <c r="AH809" s="125">
        <v>84.37</v>
      </c>
      <c r="AI809" s="127">
        <v>8680</v>
      </c>
      <c r="AJ809" s="125">
        <v>89.531000000000006</v>
      </c>
    </row>
    <row r="810" spans="1:36" ht="14.25">
      <c r="A810" s="128">
        <v>8710</v>
      </c>
      <c r="B810" s="124">
        <v>192.37899999999999</v>
      </c>
      <c r="C810" s="128">
        <v>8720</v>
      </c>
      <c r="D810" s="125">
        <v>190.63800000000001</v>
      </c>
      <c r="E810" s="126">
        <v>8710</v>
      </c>
      <c r="F810" s="125">
        <v>477.125</v>
      </c>
      <c r="G810" s="127">
        <v>8710</v>
      </c>
      <c r="H810" s="125">
        <v>477.16699999999997</v>
      </c>
      <c r="I810" s="127">
        <v>8710</v>
      </c>
      <c r="J810" s="125">
        <v>438.26900000000001</v>
      </c>
      <c r="K810" s="127">
        <v>8710</v>
      </c>
      <c r="L810" s="125">
        <v>437.50900000000001</v>
      </c>
      <c r="M810" s="127">
        <v>8710</v>
      </c>
      <c r="N810" s="125">
        <v>438.101</v>
      </c>
      <c r="O810" s="127">
        <v>8690</v>
      </c>
      <c r="P810" s="125">
        <v>439.15899999999999</v>
      </c>
      <c r="Q810" s="127">
        <v>8710</v>
      </c>
      <c r="R810" s="125">
        <v>438.82100000000003</v>
      </c>
      <c r="S810" s="127">
        <v>8710</v>
      </c>
      <c r="T810" s="125">
        <v>439.49200000000002</v>
      </c>
      <c r="U810" s="127">
        <v>8700</v>
      </c>
      <c r="V810" s="125">
        <v>439.21699999999998</v>
      </c>
      <c r="W810" s="127">
        <v>8710</v>
      </c>
      <c r="X810" s="125">
        <v>438.60899999999998</v>
      </c>
      <c r="Y810" s="127">
        <v>8710</v>
      </c>
      <c r="Z810" s="125">
        <v>436.99400000000003</v>
      </c>
      <c r="AA810" s="127">
        <v>8710</v>
      </c>
      <c r="AB810" s="125">
        <v>437.34899999999999</v>
      </c>
      <c r="AC810" s="127">
        <v>8700</v>
      </c>
      <c r="AD810" s="125">
        <v>362.06299999999999</v>
      </c>
      <c r="AE810" s="127">
        <v>8710</v>
      </c>
      <c r="AF810" s="125">
        <v>363.68799999999999</v>
      </c>
      <c r="AG810" s="127">
        <v>8690</v>
      </c>
      <c r="AH810" s="125">
        <v>84.055999999999997</v>
      </c>
      <c r="AI810" s="127">
        <v>8690</v>
      </c>
      <c r="AJ810" s="125">
        <v>89.203000000000003</v>
      </c>
    </row>
    <row r="811" spans="1:36" ht="14.25">
      <c r="A811" s="128">
        <v>8720</v>
      </c>
      <c r="B811" s="124">
        <v>191.66800000000001</v>
      </c>
      <c r="C811" s="128">
        <v>8730</v>
      </c>
      <c r="D811" s="125">
        <v>189.93100000000001</v>
      </c>
      <c r="E811" s="126">
        <v>8720</v>
      </c>
      <c r="F811" s="125">
        <v>475.67099999999999</v>
      </c>
      <c r="G811" s="127">
        <v>8720</v>
      </c>
      <c r="H811" s="125">
        <v>475.71199999999999</v>
      </c>
      <c r="I811" s="127">
        <v>8720</v>
      </c>
      <c r="J811" s="125">
        <v>437.05700000000002</v>
      </c>
      <c r="K811" s="127">
        <v>8720</v>
      </c>
      <c r="L811" s="125">
        <v>436.29500000000002</v>
      </c>
      <c r="M811" s="127">
        <v>8720</v>
      </c>
      <c r="N811" s="125">
        <v>436.88900000000001</v>
      </c>
      <c r="O811" s="127">
        <v>8700</v>
      </c>
      <c r="P811" s="125">
        <v>437.947</v>
      </c>
      <c r="Q811" s="127">
        <v>8720</v>
      </c>
      <c r="R811" s="125">
        <v>437.60899999999998</v>
      </c>
      <c r="S811" s="127">
        <v>8720</v>
      </c>
      <c r="T811" s="125">
        <v>438.28</v>
      </c>
      <c r="U811" s="127">
        <v>8710</v>
      </c>
      <c r="V811" s="125">
        <v>438.00599999999997</v>
      </c>
      <c r="W811" s="127">
        <v>8720</v>
      </c>
      <c r="X811" s="125">
        <v>437.39800000000002</v>
      </c>
      <c r="Y811" s="127">
        <v>8720</v>
      </c>
      <c r="Z811" s="125">
        <v>435.78300000000002</v>
      </c>
      <c r="AA811" s="127">
        <v>8720</v>
      </c>
      <c r="AB811" s="125">
        <v>436.13900000000001</v>
      </c>
      <c r="AC811" s="127">
        <v>8710</v>
      </c>
      <c r="AD811" s="125">
        <v>360.88</v>
      </c>
      <c r="AE811" s="127">
        <v>8720</v>
      </c>
      <c r="AF811" s="125">
        <v>362.505</v>
      </c>
      <c r="AG811" s="127">
        <v>8700</v>
      </c>
      <c r="AH811" s="125">
        <v>83.742999999999995</v>
      </c>
      <c r="AI811" s="127">
        <v>8700</v>
      </c>
      <c r="AJ811" s="125">
        <v>88.875</v>
      </c>
    </row>
    <row r="812" spans="1:36" ht="14.25">
      <c r="A812" s="128">
        <v>8730</v>
      </c>
      <c r="B812" s="124">
        <v>190.958</v>
      </c>
      <c r="C812" s="128">
        <v>8740</v>
      </c>
      <c r="D812" s="125">
        <v>189.22399999999999</v>
      </c>
      <c r="E812" s="126">
        <v>8730</v>
      </c>
      <c r="F812" s="125">
        <v>474.21699999999998</v>
      </c>
      <c r="G812" s="127">
        <v>8730</v>
      </c>
      <c r="H812" s="125">
        <v>474.25799999999998</v>
      </c>
      <c r="I812" s="127">
        <v>8730</v>
      </c>
      <c r="J812" s="125">
        <v>435.846</v>
      </c>
      <c r="K812" s="127">
        <v>8730</v>
      </c>
      <c r="L812" s="125">
        <v>435.08199999999999</v>
      </c>
      <c r="M812" s="127">
        <v>8730</v>
      </c>
      <c r="N812" s="125">
        <v>435.67700000000002</v>
      </c>
      <c r="O812" s="127">
        <v>8710</v>
      </c>
      <c r="P812" s="125">
        <v>436.73500000000001</v>
      </c>
      <c r="Q812" s="127">
        <v>8730</v>
      </c>
      <c r="R812" s="125">
        <v>436.39800000000002</v>
      </c>
      <c r="S812" s="127">
        <v>8730</v>
      </c>
      <c r="T812" s="125">
        <v>437.06799999999998</v>
      </c>
      <c r="U812" s="127">
        <v>8720</v>
      </c>
      <c r="V812" s="125">
        <v>436.79599999999999</v>
      </c>
      <c r="W812" s="127">
        <v>8730</v>
      </c>
      <c r="X812" s="125">
        <v>436.18700000000001</v>
      </c>
      <c r="Y812" s="127">
        <v>8730</v>
      </c>
      <c r="Z812" s="125">
        <v>434.572</v>
      </c>
      <c r="AA812" s="127">
        <v>8730</v>
      </c>
      <c r="AB812" s="125">
        <v>434.92899999999997</v>
      </c>
      <c r="AC812" s="127">
        <v>8720</v>
      </c>
      <c r="AD812" s="125">
        <v>359.697</v>
      </c>
      <c r="AE812" s="127">
        <v>8730</v>
      </c>
      <c r="AF812" s="125">
        <v>361.322</v>
      </c>
      <c r="AG812" s="127">
        <v>8710</v>
      </c>
      <c r="AH812" s="125">
        <v>83.43</v>
      </c>
      <c r="AI812" s="127">
        <v>8710</v>
      </c>
      <c r="AJ812" s="125">
        <v>88.548000000000002</v>
      </c>
    </row>
    <row r="813" spans="1:36" ht="14.25">
      <c r="A813" s="128">
        <v>8740</v>
      </c>
      <c r="B813" s="124">
        <v>190.24700000000001</v>
      </c>
      <c r="C813" s="128">
        <v>8750</v>
      </c>
      <c r="D813" s="125">
        <v>188.517</v>
      </c>
      <c r="E813" s="126">
        <v>8740</v>
      </c>
      <c r="F813" s="125">
        <v>472.76400000000001</v>
      </c>
      <c r="G813" s="127">
        <v>8740</v>
      </c>
      <c r="H813" s="125">
        <v>472.80399999999997</v>
      </c>
      <c r="I813" s="127">
        <v>8740</v>
      </c>
      <c r="J813" s="125">
        <v>434.63400000000001</v>
      </c>
      <c r="K813" s="127">
        <v>8740</v>
      </c>
      <c r="L813" s="125">
        <v>433.86799999999999</v>
      </c>
      <c r="M813" s="127">
        <v>8740</v>
      </c>
      <c r="N813" s="125">
        <v>434.46499999999997</v>
      </c>
      <c r="O813" s="127">
        <v>8720</v>
      </c>
      <c r="P813" s="125">
        <v>435.52199999999999</v>
      </c>
      <c r="Q813" s="127">
        <v>8740</v>
      </c>
      <c r="R813" s="125">
        <v>435.18599999999998</v>
      </c>
      <c r="S813" s="127">
        <v>8740</v>
      </c>
      <c r="T813" s="125">
        <v>435.85599999999999</v>
      </c>
      <c r="U813" s="127">
        <v>8730</v>
      </c>
      <c r="V813" s="125">
        <v>435.58600000000001</v>
      </c>
      <c r="W813" s="127">
        <v>8740</v>
      </c>
      <c r="X813" s="125">
        <v>434.976</v>
      </c>
      <c r="Y813" s="127">
        <v>8740</v>
      </c>
      <c r="Z813" s="125">
        <v>433.36099999999999</v>
      </c>
      <c r="AA813" s="127">
        <v>8740</v>
      </c>
      <c r="AB813" s="125">
        <v>433.71899999999999</v>
      </c>
      <c r="AC813" s="127">
        <v>8730</v>
      </c>
      <c r="AD813" s="125">
        <v>358.51499999999999</v>
      </c>
      <c r="AE813" s="127">
        <v>8740</v>
      </c>
      <c r="AF813" s="125">
        <v>360.14</v>
      </c>
      <c r="AG813" s="127">
        <v>8720</v>
      </c>
      <c r="AH813" s="125">
        <v>83.117999999999995</v>
      </c>
      <c r="AI813" s="127">
        <v>8720</v>
      </c>
      <c r="AJ813" s="125">
        <v>88.221000000000004</v>
      </c>
    </row>
    <row r="814" spans="1:36" ht="14.25">
      <c r="A814" s="128">
        <v>8750</v>
      </c>
      <c r="B814" s="124">
        <v>189.53700000000001</v>
      </c>
      <c r="C814" s="128">
        <v>8760</v>
      </c>
      <c r="D814" s="125">
        <v>187.81</v>
      </c>
      <c r="E814" s="126">
        <v>8750</v>
      </c>
      <c r="F814" s="125">
        <v>471.31</v>
      </c>
      <c r="G814" s="127">
        <v>8750</v>
      </c>
      <c r="H814" s="125">
        <v>471.35</v>
      </c>
      <c r="I814" s="127">
        <v>8750</v>
      </c>
      <c r="J814" s="125">
        <v>433.42200000000003</v>
      </c>
      <c r="K814" s="127">
        <v>8750</v>
      </c>
      <c r="L814" s="125">
        <v>432.65499999999997</v>
      </c>
      <c r="M814" s="127">
        <v>8750</v>
      </c>
      <c r="N814" s="125">
        <v>433.25299999999999</v>
      </c>
      <c r="O814" s="127">
        <v>8730</v>
      </c>
      <c r="P814" s="125">
        <v>434.31</v>
      </c>
      <c r="Q814" s="127">
        <v>8750</v>
      </c>
      <c r="R814" s="125">
        <v>433.97399999999999</v>
      </c>
      <c r="S814" s="127">
        <v>8750</v>
      </c>
      <c r="T814" s="125">
        <v>434.64400000000001</v>
      </c>
      <c r="U814" s="127">
        <v>8740</v>
      </c>
      <c r="V814" s="125">
        <v>434.37599999999998</v>
      </c>
      <c r="W814" s="127">
        <v>8750</v>
      </c>
      <c r="X814" s="125">
        <v>433.76499999999999</v>
      </c>
      <c r="Y814" s="127">
        <v>8750</v>
      </c>
      <c r="Z814" s="125">
        <v>432.15100000000001</v>
      </c>
      <c r="AA814" s="127">
        <v>8750</v>
      </c>
      <c r="AB814" s="125">
        <v>432.50900000000001</v>
      </c>
      <c r="AC814" s="127">
        <v>8740</v>
      </c>
      <c r="AD814" s="125">
        <v>357.33300000000003</v>
      </c>
      <c r="AE814" s="127">
        <v>8750</v>
      </c>
      <c r="AF814" s="125">
        <v>358.959</v>
      </c>
      <c r="AG814" s="127">
        <v>8730</v>
      </c>
      <c r="AH814" s="125">
        <v>82.805999999999997</v>
      </c>
      <c r="AI814" s="127">
        <v>8730</v>
      </c>
      <c r="AJ814" s="125">
        <v>87.894999999999996</v>
      </c>
    </row>
    <row r="815" spans="1:36" ht="14.25">
      <c r="A815" s="128">
        <v>8760</v>
      </c>
      <c r="B815" s="124">
        <v>188.828</v>
      </c>
      <c r="C815" s="128">
        <v>8770</v>
      </c>
      <c r="D815" s="125">
        <v>187.10400000000001</v>
      </c>
      <c r="E815" s="126">
        <v>8760</v>
      </c>
      <c r="F815" s="125">
        <v>469.85700000000003</v>
      </c>
      <c r="G815" s="127">
        <v>8760</v>
      </c>
      <c r="H815" s="125">
        <v>469.89499999999998</v>
      </c>
      <c r="I815" s="127">
        <v>8760</v>
      </c>
      <c r="J815" s="125">
        <v>432.21100000000001</v>
      </c>
      <c r="K815" s="127">
        <v>8760</v>
      </c>
      <c r="L815" s="125">
        <v>431.44200000000001</v>
      </c>
      <c r="M815" s="127">
        <v>8760</v>
      </c>
      <c r="N815" s="125">
        <v>432.041</v>
      </c>
      <c r="O815" s="127">
        <v>8740</v>
      </c>
      <c r="P815" s="125">
        <v>433.09800000000001</v>
      </c>
      <c r="Q815" s="127">
        <v>8760</v>
      </c>
      <c r="R815" s="125">
        <v>432.762</v>
      </c>
      <c r="S815" s="127">
        <v>8760</v>
      </c>
      <c r="T815" s="125">
        <v>433.43200000000002</v>
      </c>
      <c r="U815" s="127">
        <v>8750</v>
      </c>
      <c r="V815" s="125">
        <v>433.16500000000002</v>
      </c>
      <c r="W815" s="127">
        <v>8760</v>
      </c>
      <c r="X815" s="125">
        <v>432.55399999999997</v>
      </c>
      <c r="Y815" s="127">
        <v>8760</v>
      </c>
      <c r="Z815" s="125">
        <v>430.94</v>
      </c>
      <c r="AA815" s="127">
        <v>8760</v>
      </c>
      <c r="AB815" s="125">
        <v>431.29899999999998</v>
      </c>
      <c r="AC815" s="127">
        <v>8750</v>
      </c>
      <c r="AD815" s="125">
        <v>356.15199999999999</v>
      </c>
      <c r="AE815" s="127">
        <v>8760</v>
      </c>
      <c r="AF815" s="125">
        <v>357.77800000000002</v>
      </c>
      <c r="AG815" s="127">
        <v>8740</v>
      </c>
      <c r="AH815" s="125">
        <v>82.495000000000005</v>
      </c>
      <c r="AI815" s="127">
        <v>8740</v>
      </c>
      <c r="AJ815" s="125">
        <v>87.569000000000003</v>
      </c>
    </row>
    <row r="816" spans="1:36" ht="14.25">
      <c r="A816" s="128">
        <v>8770</v>
      </c>
      <c r="B816" s="124">
        <v>188.11799999999999</v>
      </c>
      <c r="C816" s="128">
        <v>8780</v>
      </c>
      <c r="D816" s="125">
        <v>186.398</v>
      </c>
      <c r="E816" s="126">
        <v>8770</v>
      </c>
      <c r="F816" s="125">
        <v>468.404</v>
      </c>
      <c r="G816" s="127">
        <v>8770</v>
      </c>
      <c r="H816" s="125">
        <v>468.44099999999997</v>
      </c>
      <c r="I816" s="127">
        <v>8770</v>
      </c>
      <c r="J816" s="125">
        <v>430.99900000000002</v>
      </c>
      <c r="K816" s="127">
        <v>8770</v>
      </c>
      <c r="L816" s="125">
        <v>430.22800000000001</v>
      </c>
      <c r="M816" s="127">
        <v>8770</v>
      </c>
      <c r="N816" s="125">
        <v>430.83</v>
      </c>
      <c r="O816" s="127">
        <v>8750</v>
      </c>
      <c r="P816" s="125">
        <v>431.88600000000002</v>
      </c>
      <c r="Q816" s="127">
        <v>8770</v>
      </c>
      <c r="R816" s="125">
        <v>431.55</v>
      </c>
      <c r="S816" s="127">
        <v>8770</v>
      </c>
      <c r="T816" s="125">
        <v>432.22</v>
      </c>
      <c r="U816" s="127">
        <v>8760</v>
      </c>
      <c r="V816" s="125">
        <v>431.95499999999998</v>
      </c>
      <c r="W816" s="127">
        <v>8770</v>
      </c>
      <c r="X816" s="125">
        <v>431.34300000000002</v>
      </c>
      <c r="Y816" s="127">
        <v>8770</v>
      </c>
      <c r="Z816" s="125">
        <v>429.72899999999998</v>
      </c>
      <c r="AA816" s="127">
        <v>8770</v>
      </c>
      <c r="AB816" s="125">
        <v>430.089</v>
      </c>
      <c r="AC816" s="127">
        <v>8760</v>
      </c>
      <c r="AD816" s="125">
        <v>354.97199999999998</v>
      </c>
      <c r="AE816" s="127">
        <v>8770</v>
      </c>
      <c r="AF816" s="125">
        <v>356.59699999999998</v>
      </c>
      <c r="AG816" s="127">
        <v>8750</v>
      </c>
      <c r="AH816" s="125">
        <v>82.183000000000007</v>
      </c>
      <c r="AI816" s="127">
        <v>8750</v>
      </c>
      <c r="AJ816" s="125">
        <v>87.244</v>
      </c>
    </row>
    <row r="817" spans="1:36" ht="14.25">
      <c r="A817" s="128">
        <v>8780</v>
      </c>
      <c r="B817" s="124">
        <v>187.40899999999999</v>
      </c>
      <c r="C817" s="128">
        <v>8790</v>
      </c>
      <c r="D817" s="125">
        <v>185.69200000000001</v>
      </c>
      <c r="E817" s="126">
        <v>8780</v>
      </c>
      <c r="F817" s="125">
        <v>466.95</v>
      </c>
      <c r="G817" s="127">
        <v>8780</v>
      </c>
      <c r="H817" s="125">
        <v>466.988</v>
      </c>
      <c r="I817" s="127">
        <v>8780</v>
      </c>
      <c r="J817" s="125">
        <v>429.78699999999998</v>
      </c>
      <c r="K817" s="127">
        <v>8780</v>
      </c>
      <c r="L817" s="125">
        <v>429.01499999999999</v>
      </c>
      <c r="M817" s="127">
        <v>8780</v>
      </c>
      <c r="N817" s="125">
        <v>429.61799999999999</v>
      </c>
      <c r="O817" s="127">
        <v>8760</v>
      </c>
      <c r="P817" s="125">
        <v>430.67399999999998</v>
      </c>
      <c r="Q817" s="127">
        <v>8780</v>
      </c>
      <c r="R817" s="125">
        <v>430.33800000000002</v>
      </c>
      <c r="S817" s="127">
        <v>8780</v>
      </c>
      <c r="T817" s="125">
        <v>431.00799999999998</v>
      </c>
      <c r="U817" s="127">
        <v>8770</v>
      </c>
      <c r="V817" s="125">
        <v>430.745</v>
      </c>
      <c r="W817" s="127">
        <v>8780</v>
      </c>
      <c r="X817" s="125">
        <v>430.13200000000001</v>
      </c>
      <c r="Y817" s="127">
        <v>8780</v>
      </c>
      <c r="Z817" s="125">
        <v>428.51799999999997</v>
      </c>
      <c r="AA817" s="127">
        <v>8780</v>
      </c>
      <c r="AB817" s="125">
        <v>428.87900000000002</v>
      </c>
      <c r="AC817" s="127">
        <v>8770</v>
      </c>
      <c r="AD817" s="125">
        <v>353.79199999999997</v>
      </c>
      <c r="AE817" s="127">
        <v>8780</v>
      </c>
      <c r="AF817" s="125">
        <v>355.41699999999997</v>
      </c>
      <c r="AG817" s="127">
        <v>8760</v>
      </c>
      <c r="AH817" s="125">
        <v>81.873000000000005</v>
      </c>
      <c r="AI817" s="127">
        <v>8760</v>
      </c>
      <c r="AJ817" s="125">
        <v>86.918000000000006</v>
      </c>
    </row>
    <row r="818" spans="1:36" ht="14.25">
      <c r="A818" s="128">
        <v>8790</v>
      </c>
      <c r="B818" s="124">
        <v>186.7</v>
      </c>
      <c r="C818" s="128">
        <v>8800</v>
      </c>
      <c r="D818" s="125">
        <v>184.98599999999999</v>
      </c>
      <c r="E818" s="126">
        <v>8790</v>
      </c>
      <c r="F818" s="125">
        <v>465.49700000000001</v>
      </c>
      <c r="G818" s="127">
        <v>8790</v>
      </c>
      <c r="H818" s="125">
        <v>465.53399999999999</v>
      </c>
      <c r="I818" s="127">
        <v>8790</v>
      </c>
      <c r="J818" s="125">
        <v>428.57600000000002</v>
      </c>
      <c r="K818" s="127">
        <v>8790</v>
      </c>
      <c r="L818" s="125">
        <v>427.80099999999999</v>
      </c>
      <c r="M818" s="127">
        <v>8790</v>
      </c>
      <c r="N818" s="125">
        <v>428.40600000000001</v>
      </c>
      <c r="O818" s="127">
        <v>8770</v>
      </c>
      <c r="P818" s="125">
        <v>429.46199999999999</v>
      </c>
      <c r="Q818" s="127">
        <v>8790</v>
      </c>
      <c r="R818" s="125">
        <v>429.12599999999998</v>
      </c>
      <c r="S818" s="127">
        <v>8790</v>
      </c>
      <c r="T818" s="125">
        <v>429.79599999999999</v>
      </c>
      <c r="U818" s="127">
        <v>8780</v>
      </c>
      <c r="V818" s="125">
        <v>429.53500000000003</v>
      </c>
      <c r="W818" s="127">
        <v>8790</v>
      </c>
      <c r="X818" s="125">
        <v>428.92099999999999</v>
      </c>
      <c r="Y818" s="127">
        <v>8790</v>
      </c>
      <c r="Z818" s="125">
        <v>427.30700000000002</v>
      </c>
      <c r="AA818" s="127">
        <v>8790</v>
      </c>
      <c r="AB818" s="125">
        <v>427.66899999999998</v>
      </c>
      <c r="AC818" s="127">
        <v>8780</v>
      </c>
      <c r="AD818" s="125">
        <v>352.613</v>
      </c>
      <c r="AE818" s="127">
        <v>8790</v>
      </c>
      <c r="AF818" s="125">
        <v>354.238</v>
      </c>
      <c r="AG818" s="127">
        <v>8770</v>
      </c>
      <c r="AH818" s="125">
        <v>81.561999999999998</v>
      </c>
      <c r="AI818" s="127">
        <v>8770</v>
      </c>
      <c r="AJ818" s="125">
        <v>86.593999999999994</v>
      </c>
    </row>
    <row r="819" spans="1:36" ht="14.25">
      <c r="A819" s="128">
        <v>8800</v>
      </c>
      <c r="B819" s="124">
        <v>185.99100000000001</v>
      </c>
      <c r="C819" s="128">
        <v>8810</v>
      </c>
      <c r="D819" s="125">
        <v>184.28</v>
      </c>
      <c r="E819" s="126">
        <v>8800</v>
      </c>
      <c r="F819" s="125">
        <v>464.04399999999998</v>
      </c>
      <c r="G819" s="127">
        <v>8800</v>
      </c>
      <c r="H819" s="125">
        <v>464.08</v>
      </c>
      <c r="I819" s="127">
        <v>8800</v>
      </c>
      <c r="J819" s="125">
        <v>427.36399999999998</v>
      </c>
      <c r="K819" s="127">
        <v>8800</v>
      </c>
      <c r="L819" s="125">
        <v>426.58800000000002</v>
      </c>
      <c r="M819" s="127">
        <v>8800</v>
      </c>
      <c r="N819" s="125">
        <v>427.19400000000002</v>
      </c>
      <c r="O819" s="127">
        <v>8780</v>
      </c>
      <c r="P819" s="125">
        <v>428.25</v>
      </c>
      <c r="Q819" s="127">
        <v>8800</v>
      </c>
      <c r="R819" s="125">
        <v>427.91399999999999</v>
      </c>
      <c r="S819" s="127">
        <v>8800</v>
      </c>
      <c r="T819" s="125">
        <v>428.584</v>
      </c>
      <c r="U819" s="127">
        <v>8790</v>
      </c>
      <c r="V819" s="125">
        <v>428.32400000000001</v>
      </c>
      <c r="W819" s="127">
        <v>8800</v>
      </c>
      <c r="X819" s="125">
        <v>427.71</v>
      </c>
      <c r="Y819" s="127">
        <v>8800</v>
      </c>
      <c r="Z819" s="125">
        <v>426.096</v>
      </c>
      <c r="AA819" s="127">
        <v>8800</v>
      </c>
      <c r="AB819" s="125">
        <v>426.459</v>
      </c>
      <c r="AC819" s="127">
        <v>8790</v>
      </c>
      <c r="AD819" s="125">
        <v>351.43400000000003</v>
      </c>
      <c r="AE819" s="127">
        <v>8800</v>
      </c>
      <c r="AF819" s="125">
        <v>353.06</v>
      </c>
      <c r="AG819" s="127">
        <v>8780</v>
      </c>
      <c r="AH819" s="125">
        <v>81.251999999999995</v>
      </c>
      <c r="AI819" s="127">
        <v>8780</v>
      </c>
      <c r="AJ819" s="125">
        <v>86.269000000000005</v>
      </c>
    </row>
    <row r="820" spans="1:36" ht="14.25">
      <c r="A820" s="128">
        <v>8810</v>
      </c>
      <c r="B820" s="124">
        <v>185.28200000000001</v>
      </c>
      <c r="C820" s="128">
        <v>8820</v>
      </c>
      <c r="D820" s="125">
        <v>183.57499999999999</v>
      </c>
      <c r="E820" s="126">
        <v>8810</v>
      </c>
      <c r="F820" s="125">
        <v>462.59100000000001</v>
      </c>
      <c r="G820" s="127">
        <v>8810</v>
      </c>
      <c r="H820" s="125">
        <v>462.62599999999998</v>
      </c>
      <c r="I820" s="127">
        <v>8810</v>
      </c>
      <c r="J820" s="125">
        <v>426.15199999999999</v>
      </c>
      <c r="K820" s="127">
        <v>8810</v>
      </c>
      <c r="L820" s="125">
        <v>425.375</v>
      </c>
      <c r="M820" s="127">
        <v>8810</v>
      </c>
      <c r="N820" s="125">
        <v>425.98200000000003</v>
      </c>
      <c r="O820" s="127">
        <v>8790</v>
      </c>
      <c r="P820" s="125">
        <v>427.03800000000001</v>
      </c>
      <c r="Q820" s="127">
        <v>8810</v>
      </c>
      <c r="R820" s="125">
        <v>426.70299999999997</v>
      </c>
      <c r="S820" s="127">
        <v>8810</v>
      </c>
      <c r="T820" s="125">
        <v>427.37200000000001</v>
      </c>
      <c r="U820" s="127">
        <v>8800</v>
      </c>
      <c r="V820" s="125">
        <v>427.11399999999998</v>
      </c>
      <c r="W820" s="127">
        <v>8810</v>
      </c>
      <c r="X820" s="125">
        <v>426.49900000000002</v>
      </c>
      <c r="Y820" s="127">
        <v>8810</v>
      </c>
      <c r="Z820" s="125">
        <v>424.88499999999999</v>
      </c>
      <c r="AA820" s="127">
        <v>8810</v>
      </c>
      <c r="AB820" s="125">
        <v>425.24900000000002</v>
      </c>
      <c r="AC820" s="127">
        <v>8800</v>
      </c>
      <c r="AD820" s="125">
        <v>350.25599999999997</v>
      </c>
      <c r="AE820" s="127">
        <v>8810</v>
      </c>
      <c r="AF820" s="125">
        <v>351.88200000000001</v>
      </c>
      <c r="AG820" s="127">
        <v>8790</v>
      </c>
      <c r="AH820" s="125">
        <v>80.942999999999998</v>
      </c>
      <c r="AI820" s="127">
        <v>8790</v>
      </c>
      <c r="AJ820" s="125">
        <v>85.944999999999993</v>
      </c>
    </row>
    <row r="821" spans="1:36" ht="14.25">
      <c r="A821" s="128">
        <v>8820</v>
      </c>
      <c r="B821" s="124">
        <v>184.57400000000001</v>
      </c>
      <c r="C821" s="128">
        <v>8830</v>
      </c>
      <c r="D821" s="125">
        <v>182.869</v>
      </c>
      <c r="E821" s="126">
        <v>8820</v>
      </c>
      <c r="F821" s="125">
        <v>461.13900000000001</v>
      </c>
      <c r="G821" s="127">
        <v>8820</v>
      </c>
      <c r="H821" s="125">
        <v>461.173</v>
      </c>
      <c r="I821" s="127">
        <v>8820</v>
      </c>
      <c r="J821" s="125">
        <v>424.94099999999997</v>
      </c>
      <c r="K821" s="127">
        <v>8820</v>
      </c>
      <c r="L821" s="125">
        <v>424.161</v>
      </c>
      <c r="M821" s="127">
        <v>8820</v>
      </c>
      <c r="N821" s="125">
        <v>424.77</v>
      </c>
      <c r="O821" s="127">
        <v>8800</v>
      </c>
      <c r="P821" s="125">
        <v>425.82600000000002</v>
      </c>
      <c r="Q821" s="127">
        <v>8820</v>
      </c>
      <c r="R821" s="125">
        <v>425.49099999999999</v>
      </c>
      <c r="S821" s="127">
        <v>8820</v>
      </c>
      <c r="T821" s="125">
        <v>426.16</v>
      </c>
      <c r="U821" s="127">
        <v>8810</v>
      </c>
      <c r="V821" s="125">
        <v>425.904</v>
      </c>
      <c r="W821" s="127">
        <v>8820</v>
      </c>
      <c r="X821" s="125">
        <v>425.28800000000001</v>
      </c>
      <c r="Y821" s="127">
        <v>8820</v>
      </c>
      <c r="Z821" s="125">
        <v>423.67500000000001</v>
      </c>
      <c r="AA821" s="127">
        <v>8820</v>
      </c>
      <c r="AB821" s="125">
        <v>424.03899999999999</v>
      </c>
      <c r="AC821" s="127">
        <v>8810</v>
      </c>
      <c r="AD821" s="125">
        <v>349.07900000000001</v>
      </c>
      <c r="AE821" s="127">
        <v>8820</v>
      </c>
      <c r="AF821" s="125">
        <v>350.70499999999998</v>
      </c>
      <c r="AG821" s="127">
        <v>8800</v>
      </c>
      <c r="AH821" s="125">
        <v>80.634</v>
      </c>
      <c r="AI821" s="127">
        <v>8800</v>
      </c>
      <c r="AJ821" s="125">
        <v>85.622</v>
      </c>
    </row>
    <row r="822" spans="1:36" ht="14.25">
      <c r="A822" s="128">
        <v>8830</v>
      </c>
      <c r="B822" s="124">
        <v>183.86600000000001</v>
      </c>
      <c r="C822" s="128">
        <v>8840</v>
      </c>
      <c r="D822" s="125">
        <v>182.16499999999999</v>
      </c>
      <c r="E822" s="126">
        <v>8830</v>
      </c>
      <c r="F822" s="125">
        <v>459.68599999999998</v>
      </c>
      <c r="G822" s="127">
        <v>8830</v>
      </c>
      <c r="H822" s="125">
        <v>459.72</v>
      </c>
      <c r="I822" s="127">
        <v>8830</v>
      </c>
      <c r="J822" s="125">
        <v>423.72899999999998</v>
      </c>
      <c r="K822" s="127">
        <v>8830</v>
      </c>
      <c r="L822" s="125">
        <v>422.94799999999998</v>
      </c>
      <c r="M822" s="127">
        <v>8830</v>
      </c>
      <c r="N822" s="125">
        <v>423.55900000000003</v>
      </c>
      <c r="O822" s="127">
        <v>8810</v>
      </c>
      <c r="P822" s="125">
        <v>424.61399999999998</v>
      </c>
      <c r="Q822" s="127">
        <v>8830</v>
      </c>
      <c r="R822" s="125">
        <v>424.279</v>
      </c>
      <c r="S822" s="127">
        <v>8830</v>
      </c>
      <c r="T822" s="125">
        <v>424.94799999999998</v>
      </c>
      <c r="U822" s="127">
        <v>8820</v>
      </c>
      <c r="V822" s="125">
        <v>424.69400000000002</v>
      </c>
      <c r="W822" s="127">
        <v>8830</v>
      </c>
      <c r="X822" s="125">
        <v>424.077</v>
      </c>
      <c r="Y822" s="127">
        <v>8830</v>
      </c>
      <c r="Z822" s="125">
        <v>422.464</v>
      </c>
      <c r="AA822" s="127">
        <v>8830</v>
      </c>
      <c r="AB822" s="125">
        <v>422.82900000000001</v>
      </c>
      <c r="AC822" s="127">
        <v>8820</v>
      </c>
      <c r="AD822" s="125">
        <v>347.90199999999999</v>
      </c>
      <c r="AE822" s="127">
        <v>8830</v>
      </c>
      <c r="AF822" s="125">
        <v>349.52800000000002</v>
      </c>
      <c r="AG822" s="127">
        <v>8810</v>
      </c>
      <c r="AH822" s="125">
        <v>80.325000000000003</v>
      </c>
      <c r="AI822" s="127">
        <v>8810</v>
      </c>
      <c r="AJ822" s="125">
        <v>85.299000000000007</v>
      </c>
    </row>
    <row r="823" spans="1:36" ht="14.25">
      <c r="A823" s="128">
        <v>8840</v>
      </c>
      <c r="B823" s="124">
        <v>183.15799999999999</v>
      </c>
      <c r="C823" s="128">
        <v>8850</v>
      </c>
      <c r="D823" s="125">
        <v>181.46</v>
      </c>
      <c r="E823" s="126">
        <v>8840</v>
      </c>
      <c r="F823" s="125">
        <v>458.233</v>
      </c>
      <c r="G823" s="127">
        <v>8840</v>
      </c>
      <c r="H823" s="125">
        <v>458.26600000000002</v>
      </c>
      <c r="I823" s="127">
        <v>8840</v>
      </c>
      <c r="J823" s="125">
        <v>422.517</v>
      </c>
      <c r="K823" s="127">
        <v>8840</v>
      </c>
      <c r="L823" s="125">
        <v>421.73399999999998</v>
      </c>
      <c r="M823" s="127">
        <v>8840</v>
      </c>
      <c r="N823" s="125">
        <v>422.34699999999998</v>
      </c>
      <c r="O823" s="127">
        <v>8820</v>
      </c>
      <c r="P823" s="125">
        <v>423.40100000000001</v>
      </c>
      <c r="Q823" s="127">
        <v>8840</v>
      </c>
      <c r="R823" s="125">
        <v>423.06700000000001</v>
      </c>
      <c r="S823" s="127">
        <v>8840</v>
      </c>
      <c r="T823" s="125">
        <v>423.73599999999999</v>
      </c>
      <c r="U823" s="127">
        <v>8830</v>
      </c>
      <c r="V823" s="125">
        <v>423.483</v>
      </c>
      <c r="W823" s="127">
        <v>8840</v>
      </c>
      <c r="X823" s="125">
        <v>422.86599999999999</v>
      </c>
      <c r="Y823" s="127">
        <v>8840</v>
      </c>
      <c r="Z823" s="125">
        <v>421.25299999999999</v>
      </c>
      <c r="AA823" s="127">
        <v>8840</v>
      </c>
      <c r="AB823" s="125">
        <v>421.61900000000003</v>
      </c>
      <c r="AC823" s="127">
        <v>8830</v>
      </c>
      <c r="AD823" s="125">
        <v>346.726</v>
      </c>
      <c r="AE823" s="127">
        <v>8840</v>
      </c>
      <c r="AF823" s="125">
        <v>348.35199999999998</v>
      </c>
      <c r="AG823" s="127">
        <v>8820</v>
      </c>
      <c r="AH823" s="125">
        <v>80.016999999999996</v>
      </c>
      <c r="AI823" s="127">
        <v>8820</v>
      </c>
      <c r="AJ823" s="125">
        <v>84.975999999999999</v>
      </c>
    </row>
    <row r="824" spans="1:36" ht="14.25">
      <c r="A824" s="128">
        <v>8850</v>
      </c>
      <c r="B824" s="124">
        <v>182.45</v>
      </c>
      <c r="C824" s="128">
        <v>8860</v>
      </c>
      <c r="D824" s="125">
        <v>180.755</v>
      </c>
      <c r="E824" s="126">
        <v>8850</v>
      </c>
      <c r="F824" s="125">
        <v>456.78100000000001</v>
      </c>
      <c r="G824" s="127">
        <v>8850</v>
      </c>
      <c r="H824" s="125">
        <v>456.81299999999999</v>
      </c>
      <c r="I824" s="127">
        <v>8850</v>
      </c>
      <c r="J824" s="125">
        <v>421.30599999999998</v>
      </c>
      <c r="K824" s="127">
        <v>8850</v>
      </c>
      <c r="L824" s="125">
        <v>420.52100000000002</v>
      </c>
      <c r="M824" s="127">
        <v>8850</v>
      </c>
      <c r="N824" s="125">
        <v>421.13499999999999</v>
      </c>
      <c r="O824" s="127">
        <v>8830</v>
      </c>
      <c r="P824" s="125">
        <v>422.18900000000002</v>
      </c>
      <c r="Q824" s="127">
        <v>8850</v>
      </c>
      <c r="R824" s="125">
        <v>421.85500000000002</v>
      </c>
      <c r="S824" s="127">
        <v>8850</v>
      </c>
      <c r="T824" s="125">
        <v>422.524</v>
      </c>
      <c r="U824" s="127">
        <v>8840</v>
      </c>
      <c r="V824" s="125">
        <v>422.27300000000002</v>
      </c>
      <c r="W824" s="127">
        <v>8850</v>
      </c>
      <c r="X824" s="125">
        <v>421.65499999999997</v>
      </c>
      <c r="Y824" s="127">
        <v>8850</v>
      </c>
      <c r="Z824" s="125">
        <v>420.04199999999997</v>
      </c>
      <c r="AA824" s="127">
        <v>8850</v>
      </c>
      <c r="AB824" s="125">
        <v>420.40899999999999</v>
      </c>
      <c r="AC824" s="127">
        <v>8840</v>
      </c>
      <c r="AD824" s="125">
        <v>345.55099999999999</v>
      </c>
      <c r="AE824" s="127">
        <v>8850</v>
      </c>
      <c r="AF824" s="125">
        <v>347.17700000000002</v>
      </c>
      <c r="AG824" s="127">
        <v>8830</v>
      </c>
      <c r="AH824" s="125">
        <v>79.709000000000003</v>
      </c>
      <c r="AI824" s="127">
        <v>8830</v>
      </c>
      <c r="AJ824" s="125">
        <v>84.653000000000006</v>
      </c>
    </row>
    <row r="825" spans="1:36" ht="14.25">
      <c r="A825" s="128">
        <v>8860</v>
      </c>
      <c r="B825" s="124">
        <v>181.74199999999999</v>
      </c>
      <c r="C825" s="128">
        <v>8870</v>
      </c>
      <c r="D825" s="125">
        <v>180.05099999999999</v>
      </c>
      <c r="E825" s="126">
        <v>8860</v>
      </c>
      <c r="F825" s="125">
        <v>455.32900000000001</v>
      </c>
      <c r="G825" s="127">
        <v>8860</v>
      </c>
      <c r="H825" s="125">
        <v>455.36</v>
      </c>
      <c r="I825" s="127">
        <v>8860</v>
      </c>
      <c r="J825" s="125">
        <v>420.09399999999999</v>
      </c>
      <c r="K825" s="127">
        <v>8860</v>
      </c>
      <c r="L825" s="125">
        <v>419.30799999999999</v>
      </c>
      <c r="M825" s="127">
        <v>8860</v>
      </c>
      <c r="N825" s="125">
        <v>419.923</v>
      </c>
      <c r="O825" s="127">
        <v>8840</v>
      </c>
      <c r="P825" s="125">
        <v>420.97699999999998</v>
      </c>
      <c r="Q825" s="127">
        <v>8860</v>
      </c>
      <c r="R825" s="125">
        <v>420.64299999999997</v>
      </c>
      <c r="S825" s="127">
        <v>8860</v>
      </c>
      <c r="T825" s="125">
        <v>421.31200000000001</v>
      </c>
      <c r="U825" s="127">
        <v>8850</v>
      </c>
      <c r="V825" s="125">
        <v>421.06299999999999</v>
      </c>
      <c r="W825" s="127">
        <v>8860</v>
      </c>
      <c r="X825" s="125">
        <v>420.44400000000002</v>
      </c>
      <c r="Y825" s="127">
        <v>8860</v>
      </c>
      <c r="Z825" s="125">
        <v>418.83100000000002</v>
      </c>
      <c r="AA825" s="127">
        <v>8860</v>
      </c>
      <c r="AB825" s="125">
        <v>419.19900000000001</v>
      </c>
      <c r="AC825" s="127">
        <v>8850</v>
      </c>
      <c r="AD825" s="125">
        <v>344.37599999999998</v>
      </c>
      <c r="AE825" s="127">
        <v>8860</v>
      </c>
      <c r="AF825" s="125">
        <v>346.00200000000001</v>
      </c>
      <c r="AG825" s="127">
        <v>8840</v>
      </c>
      <c r="AH825" s="125">
        <v>79.400999999999996</v>
      </c>
      <c r="AI825" s="127">
        <v>8840</v>
      </c>
      <c r="AJ825" s="125">
        <v>84.331000000000003</v>
      </c>
    </row>
    <row r="826" spans="1:36" ht="14.25">
      <c r="A826" s="128">
        <v>8870</v>
      </c>
      <c r="B826" s="124">
        <v>181.035</v>
      </c>
      <c r="C826" s="128">
        <v>8880</v>
      </c>
      <c r="D826" s="125">
        <v>179.34700000000001</v>
      </c>
      <c r="E826" s="126">
        <v>8870</v>
      </c>
      <c r="F826" s="125">
        <v>453.87599999999998</v>
      </c>
      <c r="G826" s="127">
        <v>8870</v>
      </c>
      <c r="H826" s="125">
        <v>453.90699999999998</v>
      </c>
      <c r="I826" s="127">
        <v>8870</v>
      </c>
      <c r="J826" s="125">
        <v>418.88200000000001</v>
      </c>
      <c r="K826" s="127">
        <v>8870</v>
      </c>
      <c r="L826" s="125">
        <v>418.09399999999999</v>
      </c>
      <c r="M826" s="127">
        <v>8870</v>
      </c>
      <c r="N826" s="125">
        <v>418.71100000000001</v>
      </c>
      <c r="O826" s="127">
        <v>8850</v>
      </c>
      <c r="P826" s="125">
        <v>419.76499999999999</v>
      </c>
      <c r="Q826" s="127">
        <v>8870</v>
      </c>
      <c r="R826" s="125">
        <v>419.43200000000002</v>
      </c>
      <c r="S826" s="127">
        <v>8870</v>
      </c>
      <c r="T826" s="125">
        <v>420.1</v>
      </c>
      <c r="U826" s="127">
        <v>8860</v>
      </c>
      <c r="V826" s="125">
        <v>419.85199999999998</v>
      </c>
      <c r="W826" s="127">
        <v>8870</v>
      </c>
      <c r="X826" s="125">
        <v>419.233</v>
      </c>
      <c r="Y826" s="127">
        <v>8870</v>
      </c>
      <c r="Z826" s="125">
        <v>417.62</v>
      </c>
      <c r="AA826" s="127">
        <v>8870</v>
      </c>
      <c r="AB826" s="125">
        <v>417.98899999999998</v>
      </c>
      <c r="AC826" s="127">
        <v>8860</v>
      </c>
      <c r="AD826" s="125">
        <v>343.202</v>
      </c>
      <c r="AE826" s="127">
        <v>8870</v>
      </c>
      <c r="AF826" s="125">
        <v>344.82799999999997</v>
      </c>
      <c r="AG826" s="127">
        <v>8850</v>
      </c>
      <c r="AH826" s="125">
        <v>79.093999999999994</v>
      </c>
      <c r="AI826" s="127">
        <v>8850</v>
      </c>
      <c r="AJ826" s="125">
        <v>84.01</v>
      </c>
    </row>
    <row r="827" spans="1:36" ht="14.25">
      <c r="A827" s="128">
        <v>8880</v>
      </c>
      <c r="B827" s="124">
        <v>180.328</v>
      </c>
      <c r="C827" s="128">
        <v>8890</v>
      </c>
      <c r="D827" s="125">
        <v>178.643</v>
      </c>
      <c r="E827" s="126">
        <v>8880</v>
      </c>
      <c r="F827" s="125">
        <v>452.42399999999998</v>
      </c>
      <c r="G827" s="127">
        <v>8880</v>
      </c>
      <c r="H827" s="125">
        <v>452.45400000000001</v>
      </c>
      <c r="I827" s="127">
        <v>8880</v>
      </c>
      <c r="J827" s="125">
        <v>417.67099999999999</v>
      </c>
      <c r="K827" s="127">
        <v>8880</v>
      </c>
      <c r="L827" s="125">
        <v>416.88099999999997</v>
      </c>
      <c r="M827" s="127">
        <v>8880</v>
      </c>
      <c r="N827" s="125">
        <v>417.49900000000002</v>
      </c>
      <c r="O827" s="127">
        <v>8860</v>
      </c>
      <c r="P827" s="125">
        <v>418.553</v>
      </c>
      <c r="Q827" s="127">
        <v>8880</v>
      </c>
      <c r="R827" s="125">
        <v>418.22</v>
      </c>
      <c r="S827" s="127">
        <v>8880</v>
      </c>
      <c r="T827" s="125">
        <v>418.88799999999998</v>
      </c>
      <c r="U827" s="127">
        <v>8870</v>
      </c>
      <c r="V827" s="125">
        <v>418.642</v>
      </c>
      <c r="W827" s="127">
        <v>8880</v>
      </c>
      <c r="X827" s="125">
        <v>418.02199999999999</v>
      </c>
      <c r="Y827" s="127">
        <v>8880</v>
      </c>
      <c r="Z827" s="125">
        <v>416.41</v>
      </c>
      <c r="AA827" s="127">
        <v>8880</v>
      </c>
      <c r="AB827" s="125">
        <v>416.779</v>
      </c>
      <c r="AC827" s="127">
        <v>8870</v>
      </c>
      <c r="AD827" s="125">
        <v>342.029</v>
      </c>
      <c r="AE827" s="127">
        <v>8880</v>
      </c>
      <c r="AF827" s="125">
        <v>343.654</v>
      </c>
      <c r="AG827" s="127">
        <v>8860</v>
      </c>
      <c r="AH827" s="125">
        <v>78.787000000000006</v>
      </c>
      <c r="AI827" s="127">
        <v>8860</v>
      </c>
      <c r="AJ827" s="125">
        <v>83.688999999999993</v>
      </c>
    </row>
    <row r="828" spans="1:36" ht="14.25">
      <c r="A828" s="128">
        <v>8890</v>
      </c>
      <c r="B828" s="124">
        <v>179.62100000000001</v>
      </c>
      <c r="C828" s="128">
        <v>8900</v>
      </c>
      <c r="D828" s="125">
        <v>177.93899999999999</v>
      </c>
      <c r="E828" s="126">
        <v>8890</v>
      </c>
      <c r="F828" s="125">
        <v>450.97199999999998</v>
      </c>
      <c r="G828" s="127">
        <v>8890</v>
      </c>
      <c r="H828" s="125">
        <v>451.00099999999998</v>
      </c>
      <c r="I828" s="127">
        <v>8890</v>
      </c>
      <c r="J828" s="125">
        <v>416.459</v>
      </c>
      <c r="K828" s="127">
        <v>8890</v>
      </c>
      <c r="L828" s="125">
        <v>415.66800000000001</v>
      </c>
      <c r="M828" s="127">
        <v>8890</v>
      </c>
      <c r="N828" s="125">
        <v>416.28800000000001</v>
      </c>
      <c r="O828" s="127">
        <v>8870</v>
      </c>
      <c r="P828" s="125">
        <v>417.34100000000001</v>
      </c>
      <c r="Q828" s="127">
        <v>8890</v>
      </c>
      <c r="R828" s="125">
        <v>417.00799999999998</v>
      </c>
      <c r="S828" s="127">
        <v>8890</v>
      </c>
      <c r="T828" s="125">
        <v>417.67599999999999</v>
      </c>
      <c r="U828" s="127">
        <v>8880</v>
      </c>
      <c r="V828" s="125">
        <v>417.43200000000002</v>
      </c>
      <c r="W828" s="127">
        <v>8890</v>
      </c>
      <c r="X828" s="125">
        <v>416.81099999999998</v>
      </c>
      <c r="Y828" s="127">
        <v>8890</v>
      </c>
      <c r="Z828" s="125">
        <v>415.19900000000001</v>
      </c>
      <c r="AA828" s="127">
        <v>8890</v>
      </c>
      <c r="AB828" s="125">
        <v>415.56900000000002</v>
      </c>
      <c r="AC828" s="127">
        <v>8880</v>
      </c>
      <c r="AD828" s="125">
        <v>340.85599999999999</v>
      </c>
      <c r="AE828" s="127">
        <v>8890</v>
      </c>
      <c r="AF828" s="125">
        <v>342.48099999999999</v>
      </c>
      <c r="AG828" s="127">
        <v>8870</v>
      </c>
      <c r="AH828" s="125">
        <v>78.480999999999995</v>
      </c>
      <c r="AI828" s="127">
        <v>8870</v>
      </c>
      <c r="AJ828" s="125">
        <v>83.367999999999995</v>
      </c>
    </row>
    <row r="829" spans="1:36" ht="14.25">
      <c r="A829" s="128">
        <v>8900</v>
      </c>
      <c r="B829" s="124">
        <v>178.91399999999999</v>
      </c>
      <c r="C829" s="128">
        <v>8910</v>
      </c>
      <c r="D829" s="125">
        <v>177.23599999999999</v>
      </c>
      <c r="E829" s="126">
        <v>8900</v>
      </c>
      <c r="F829" s="125">
        <v>449.52</v>
      </c>
      <c r="G829" s="127">
        <v>8900</v>
      </c>
      <c r="H829" s="125">
        <v>449.548</v>
      </c>
      <c r="I829" s="127">
        <v>8900</v>
      </c>
      <c r="J829" s="125">
        <v>415.24700000000001</v>
      </c>
      <c r="K829" s="127">
        <v>8900</v>
      </c>
      <c r="L829" s="125">
        <v>414.45400000000001</v>
      </c>
      <c r="M829" s="127">
        <v>8900</v>
      </c>
      <c r="N829" s="125">
        <v>415.07600000000002</v>
      </c>
      <c r="O829" s="127">
        <v>8880</v>
      </c>
      <c r="P829" s="125">
        <v>416.12900000000002</v>
      </c>
      <c r="Q829" s="127">
        <v>8900</v>
      </c>
      <c r="R829" s="125">
        <v>415.79599999999999</v>
      </c>
      <c r="S829" s="127">
        <v>8900</v>
      </c>
      <c r="T829" s="125">
        <v>416.464</v>
      </c>
      <c r="U829" s="127">
        <v>8890</v>
      </c>
      <c r="V829" s="125">
        <v>416.22199999999998</v>
      </c>
      <c r="W829" s="127">
        <v>8900</v>
      </c>
      <c r="X829" s="125">
        <v>415.59899999999999</v>
      </c>
      <c r="Y829" s="127">
        <v>8900</v>
      </c>
      <c r="Z829" s="125">
        <v>413.988</v>
      </c>
      <c r="AA829" s="127">
        <v>8900</v>
      </c>
      <c r="AB829" s="125">
        <v>414.35899999999998</v>
      </c>
      <c r="AC829" s="127">
        <v>8890</v>
      </c>
      <c r="AD829" s="125">
        <v>339.68400000000003</v>
      </c>
      <c r="AE829" s="127">
        <v>8900</v>
      </c>
      <c r="AF829" s="125">
        <v>341.30900000000003</v>
      </c>
      <c r="AG829" s="127">
        <v>8880</v>
      </c>
      <c r="AH829" s="125">
        <v>78.174999999999997</v>
      </c>
      <c r="AI829" s="127">
        <v>8880</v>
      </c>
      <c r="AJ829" s="125">
        <v>83.046999999999997</v>
      </c>
    </row>
    <row r="830" spans="1:36" ht="14.25">
      <c r="A830" s="128">
        <v>8910</v>
      </c>
      <c r="B830" s="124">
        <v>178.208</v>
      </c>
      <c r="C830" s="128">
        <v>8920</v>
      </c>
      <c r="D830" s="125">
        <v>176.53200000000001</v>
      </c>
      <c r="E830" s="126">
        <v>8910</v>
      </c>
      <c r="F830" s="125">
        <v>448.06799999999998</v>
      </c>
      <c r="G830" s="127">
        <v>8910</v>
      </c>
      <c r="H830" s="125">
        <v>448.09500000000003</v>
      </c>
      <c r="I830" s="127">
        <v>8910</v>
      </c>
      <c r="J830" s="125">
        <v>414.036</v>
      </c>
      <c r="K830" s="127">
        <v>8910</v>
      </c>
      <c r="L830" s="125">
        <v>413.24099999999999</v>
      </c>
      <c r="M830" s="127">
        <v>8910</v>
      </c>
      <c r="N830" s="125">
        <v>413.86399999999998</v>
      </c>
      <c r="O830" s="127">
        <v>8890</v>
      </c>
      <c r="P830" s="125">
        <v>414.91699999999997</v>
      </c>
      <c r="Q830" s="127">
        <v>8910</v>
      </c>
      <c r="R830" s="125">
        <v>414.584</v>
      </c>
      <c r="S830" s="127">
        <v>8910</v>
      </c>
      <c r="T830" s="125">
        <v>415.25200000000001</v>
      </c>
      <c r="U830" s="127">
        <v>8900</v>
      </c>
      <c r="V830" s="125">
        <v>415.01100000000002</v>
      </c>
      <c r="W830" s="127">
        <v>8910</v>
      </c>
      <c r="X830" s="125">
        <v>414.38799999999998</v>
      </c>
      <c r="Y830" s="127">
        <v>8910</v>
      </c>
      <c r="Z830" s="125">
        <v>412.77699999999999</v>
      </c>
      <c r="AA830" s="127">
        <v>8910</v>
      </c>
      <c r="AB830" s="125">
        <v>413.149</v>
      </c>
      <c r="AC830" s="127">
        <v>8900</v>
      </c>
      <c r="AD830" s="125">
        <v>338.512</v>
      </c>
      <c r="AE830" s="127">
        <v>8910</v>
      </c>
      <c r="AF830" s="125">
        <v>340.13799999999998</v>
      </c>
      <c r="AG830" s="127">
        <v>8890</v>
      </c>
      <c r="AH830" s="125">
        <v>77.87</v>
      </c>
      <c r="AI830" s="127">
        <v>8890</v>
      </c>
      <c r="AJ830" s="125">
        <v>82.727000000000004</v>
      </c>
    </row>
    <row r="831" spans="1:36" ht="14.25">
      <c r="A831" s="128">
        <v>8920</v>
      </c>
      <c r="B831" s="124">
        <v>177.50200000000001</v>
      </c>
      <c r="C831" s="128">
        <v>8930</v>
      </c>
      <c r="D831" s="125">
        <v>175.82900000000001</v>
      </c>
      <c r="E831" s="126">
        <v>8920</v>
      </c>
      <c r="F831" s="125">
        <v>446.61700000000002</v>
      </c>
      <c r="G831" s="127">
        <v>8920</v>
      </c>
      <c r="H831" s="125">
        <v>446.64299999999997</v>
      </c>
      <c r="I831" s="127">
        <v>8920</v>
      </c>
      <c r="J831" s="125">
        <v>412.82400000000001</v>
      </c>
      <c r="K831" s="127">
        <v>8920</v>
      </c>
      <c r="L831" s="125">
        <v>412.02699999999999</v>
      </c>
      <c r="M831" s="127">
        <v>8920</v>
      </c>
      <c r="N831" s="125">
        <v>412.65199999999999</v>
      </c>
      <c r="O831" s="127">
        <v>8900</v>
      </c>
      <c r="P831" s="125">
        <v>413.70499999999998</v>
      </c>
      <c r="Q831" s="127">
        <v>8920</v>
      </c>
      <c r="R831" s="125">
        <v>413.37200000000001</v>
      </c>
      <c r="S831" s="127">
        <v>8920</v>
      </c>
      <c r="T831" s="125">
        <v>414.04</v>
      </c>
      <c r="U831" s="127">
        <v>8910</v>
      </c>
      <c r="V831" s="125">
        <v>413.80099999999999</v>
      </c>
      <c r="W831" s="127">
        <v>8920</v>
      </c>
      <c r="X831" s="125">
        <v>413.17700000000002</v>
      </c>
      <c r="Y831" s="127">
        <v>8920</v>
      </c>
      <c r="Z831" s="125">
        <v>411.56599999999997</v>
      </c>
      <c r="AA831" s="127">
        <v>8920</v>
      </c>
      <c r="AB831" s="125">
        <v>411.93900000000002</v>
      </c>
      <c r="AC831" s="127">
        <v>8910</v>
      </c>
      <c r="AD831" s="125">
        <v>337.34100000000001</v>
      </c>
      <c r="AE831" s="127">
        <v>8920</v>
      </c>
      <c r="AF831" s="125">
        <v>338.96699999999998</v>
      </c>
      <c r="AG831" s="127">
        <v>8900</v>
      </c>
      <c r="AH831" s="125">
        <v>77.563999999999993</v>
      </c>
      <c r="AI831" s="127">
        <v>8900</v>
      </c>
      <c r="AJ831" s="125">
        <v>82.408000000000001</v>
      </c>
    </row>
    <row r="832" spans="1:36" ht="14.25">
      <c r="A832" s="128">
        <v>8930</v>
      </c>
      <c r="B832" s="124">
        <v>176.79599999999999</v>
      </c>
      <c r="C832" s="128">
        <v>8940</v>
      </c>
      <c r="D832" s="125">
        <v>175.126</v>
      </c>
      <c r="E832" s="126">
        <v>8930</v>
      </c>
      <c r="F832" s="125">
        <v>445.16500000000002</v>
      </c>
      <c r="G832" s="127">
        <v>8930</v>
      </c>
      <c r="H832" s="125">
        <v>445.19</v>
      </c>
      <c r="I832" s="127">
        <v>8930</v>
      </c>
      <c r="J832" s="125">
        <v>411.613</v>
      </c>
      <c r="K832" s="127">
        <v>8930</v>
      </c>
      <c r="L832" s="125">
        <v>410.81400000000002</v>
      </c>
      <c r="M832" s="127">
        <v>8930</v>
      </c>
      <c r="N832" s="125">
        <v>411.44</v>
      </c>
      <c r="O832" s="127">
        <v>8910</v>
      </c>
      <c r="P832" s="125">
        <v>412.49299999999999</v>
      </c>
      <c r="Q832" s="127">
        <v>8930</v>
      </c>
      <c r="R832" s="125">
        <v>412.16</v>
      </c>
      <c r="S832" s="127">
        <v>8930</v>
      </c>
      <c r="T832" s="125">
        <v>412.82799999999997</v>
      </c>
      <c r="U832" s="127">
        <v>8920</v>
      </c>
      <c r="V832" s="125">
        <v>412.59100000000001</v>
      </c>
      <c r="W832" s="127">
        <v>8930</v>
      </c>
      <c r="X832" s="125">
        <v>411.96600000000001</v>
      </c>
      <c r="Y832" s="127">
        <v>8930</v>
      </c>
      <c r="Z832" s="125">
        <v>410.35500000000002</v>
      </c>
      <c r="AA832" s="127">
        <v>8930</v>
      </c>
      <c r="AB832" s="125">
        <v>410.72899999999998</v>
      </c>
      <c r="AC832" s="127">
        <v>8920</v>
      </c>
      <c r="AD832" s="125">
        <v>336.17099999999999</v>
      </c>
      <c r="AE832" s="127">
        <v>8930</v>
      </c>
      <c r="AF832" s="125">
        <v>337.79700000000003</v>
      </c>
      <c r="AG832" s="127">
        <v>8910</v>
      </c>
      <c r="AH832" s="125">
        <v>77.260000000000005</v>
      </c>
      <c r="AI832" s="127">
        <v>8910</v>
      </c>
      <c r="AJ832" s="125">
        <v>82.088999999999999</v>
      </c>
    </row>
    <row r="833" spans="1:36" ht="14.25">
      <c r="A833" s="128">
        <v>8940</v>
      </c>
      <c r="B833" s="124">
        <v>176.09</v>
      </c>
      <c r="C833" s="128">
        <v>8950</v>
      </c>
      <c r="D833" s="125">
        <v>174.42400000000001</v>
      </c>
      <c r="E833" s="126">
        <v>8940</v>
      </c>
      <c r="F833" s="125">
        <v>443.714</v>
      </c>
      <c r="G833" s="127">
        <v>8940</v>
      </c>
      <c r="H833" s="125">
        <v>443.738</v>
      </c>
      <c r="I833" s="127">
        <v>8940</v>
      </c>
      <c r="J833" s="125">
        <v>410.40100000000001</v>
      </c>
      <c r="K833" s="127">
        <v>8940</v>
      </c>
      <c r="L833" s="125">
        <v>409.601</v>
      </c>
      <c r="M833" s="127">
        <v>8940</v>
      </c>
      <c r="N833" s="125">
        <v>410.22899999999998</v>
      </c>
      <c r="O833" s="127">
        <v>8920</v>
      </c>
      <c r="P833" s="125">
        <v>411.28100000000001</v>
      </c>
      <c r="Q833" s="127">
        <v>8940</v>
      </c>
      <c r="R833" s="125">
        <v>410.94900000000001</v>
      </c>
      <c r="S833" s="127">
        <v>8940</v>
      </c>
      <c r="T833" s="125">
        <v>411.61599999999999</v>
      </c>
      <c r="U833" s="127">
        <v>8930</v>
      </c>
      <c r="V833" s="125">
        <v>411.38099999999997</v>
      </c>
      <c r="W833" s="127">
        <v>8940</v>
      </c>
      <c r="X833" s="125">
        <v>410.755</v>
      </c>
      <c r="Y833" s="127">
        <v>8940</v>
      </c>
      <c r="Z833" s="125">
        <v>409.14499999999998</v>
      </c>
      <c r="AA833" s="127">
        <v>8940</v>
      </c>
      <c r="AB833" s="125">
        <v>409.51900000000001</v>
      </c>
      <c r="AC833" s="127">
        <v>8930</v>
      </c>
      <c r="AD833" s="125">
        <v>335.00200000000001</v>
      </c>
      <c r="AE833" s="127">
        <v>8940</v>
      </c>
      <c r="AF833" s="125">
        <v>336.62700000000001</v>
      </c>
      <c r="AG833" s="127">
        <v>8920</v>
      </c>
      <c r="AH833" s="125">
        <v>76.954999999999998</v>
      </c>
      <c r="AI833" s="127">
        <v>8920</v>
      </c>
      <c r="AJ833" s="125">
        <v>81.77</v>
      </c>
    </row>
    <row r="834" spans="1:36" ht="14.25">
      <c r="A834" s="128">
        <v>8950</v>
      </c>
      <c r="B834" s="124">
        <v>175.38499999999999</v>
      </c>
      <c r="C834" s="128">
        <v>8960</v>
      </c>
      <c r="D834" s="125">
        <v>173.721</v>
      </c>
      <c r="E834" s="126">
        <v>8950</v>
      </c>
      <c r="F834" s="125">
        <v>442.262</v>
      </c>
      <c r="G834" s="127">
        <v>8950</v>
      </c>
      <c r="H834" s="125">
        <v>442.286</v>
      </c>
      <c r="I834" s="127">
        <v>8950</v>
      </c>
      <c r="J834" s="125">
        <v>409.18900000000002</v>
      </c>
      <c r="K834" s="127">
        <v>8950</v>
      </c>
      <c r="L834" s="125">
        <v>408.387</v>
      </c>
      <c r="M834" s="127">
        <v>8950</v>
      </c>
      <c r="N834" s="125">
        <v>409.017</v>
      </c>
      <c r="O834" s="127">
        <v>8930</v>
      </c>
      <c r="P834" s="125">
        <v>410.06900000000002</v>
      </c>
      <c r="Q834" s="127">
        <v>8950</v>
      </c>
      <c r="R834" s="125">
        <v>409.73700000000002</v>
      </c>
      <c r="S834" s="127">
        <v>8950</v>
      </c>
      <c r="T834" s="125">
        <v>410.404</v>
      </c>
      <c r="U834" s="127">
        <v>8940</v>
      </c>
      <c r="V834" s="125">
        <v>410.17</v>
      </c>
      <c r="W834" s="127">
        <v>8950</v>
      </c>
      <c r="X834" s="125">
        <v>409.54399999999998</v>
      </c>
      <c r="Y834" s="127">
        <v>8950</v>
      </c>
      <c r="Z834" s="125">
        <v>407.93400000000003</v>
      </c>
      <c r="AA834" s="127">
        <v>8950</v>
      </c>
      <c r="AB834" s="125">
        <v>408.30900000000003</v>
      </c>
      <c r="AC834" s="127">
        <v>8940</v>
      </c>
      <c r="AD834" s="125">
        <v>333.83300000000003</v>
      </c>
      <c r="AE834" s="127">
        <v>8950</v>
      </c>
      <c r="AF834" s="125">
        <v>335.45800000000003</v>
      </c>
      <c r="AG834" s="127">
        <v>8930</v>
      </c>
      <c r="AH834" s="125">
        <v>76.650999999999996</v>
      </c>
      <c r="AI834" s="127">
        <v>8930</v>
      </c>
      <c r="AJ834" s="125">
        <v>81.451999999999998</v>
      </c>
    </row>
    <row r="835" spans="1:36" ht="14.25">
      <c r="A835" s="128">
        <v>8960</v>
      </c>
      <c r="B835" s="124">
        <v>174.679</v>
      </c>
      <c r="C835" s="128">
        <v>8970</v>
      </c>
      <c r="D835" s="125">
        <v>173.01900000000001</v>
      </c>
      <c r="E835" s="126">
        <v>8960</v>
      </c>
      <c r="F835" s="125">
        <v>440.81099999999998</v>
      </c>
      <c r="G835" s="127">
        <v>8960</v>
      </c>
      <c r="H835" s="125">
        <v>440.83300000000003</v>
      </c>
      <c r="I835" s="127">
        <v>8960</v>
      </c>
      <c r="J835" s="125">
        <v>407.97800000000001</v>
      </c>
      <c r="K835" s="127">
        <v>8960</v>
      </c>
      <c r="L835" s="125">
        <v>407.17399999999998</v>
      </c>
      <c r="M835" s="127">
        <v>8960</v>
      </c>
      <c r="N835" s="125">
        <v>407.80500000000001</v>
      </c>
      <c r="O835" s="127">
        <v>8940</v>
      </c>
      <c r="P835" s="125">
        <v>408.85700000000003</v>
      </c>
      <c r="Q835" s="127">
        <v>8960</v>
      </c>
      <c r="R835" s="125">
        <v>408.52499999999998</v>
      </c>
      <c r="S835" s="127">
        <v>8960</v>
      </c>
      <c r="T835" s="125">
        <v>409.19200000000001</v>
      </c>
      <c r="U835" s="127">
        <v>8950</v>
      </c>
      <c r="V835" s="125">
        <v>408.96</v>
      </c>
      <c r="W835" s="127">
        <v>8960</v>
      </c>
      <c r="X835" s="125">
        <v>408.33300000000003</v>
      </c>
      <c r="Y835" s="127">
        <v>8960</v>
      </c>
      <c r="Z835" s="125">
        <v>406.72300000000001</v>
      </c>
      <c r="AA835" s="127">
        <v>8960</v>
      </c>
      <c r="AB835" s="125">
        <v>407.09899999999999</v>
      </c>
      <c r="AC835" s="127">
        <v>8950</v>
      </c>
      <c r="AD835" s="125">
        <v>332.66500000000002</v>
      </c>
      <c r="AE835" s="127">
        <v>8960</v>
      </c>
      <c r="AF835" s="125">
        <v>334.29</v>
      </c>
      <c r="AG835" s="127">
        <v>8940</v>
      </c>
      <c r="AH835" s="125">
        <v>76.347999999999999</v>
      </c>
      <c r="AI835" s="127">
        <v>8940</v>
      </c>
      <c r="AJ835" s="125">
        <v>81.134</v>
      </c>
    </row>
    <row r="836" spans="1:36" ht="14.25">
      <c r="A836" s="128">
        <v>8970</v>
      </c>
      <c r="B836" s="124">
        <v>173.97399999999999</v>
      </c>
      <c r="C836" s="128">
        <v>8980</v>
      </c>
      <c r="D836" s="125">
        <v>172.31700000000001</v>
      </c>
      <c r="E836" s="126">
        <v>8970</v>
      </c>
      <c r="F836" s="125">
        <v>439.36</v>
      </c>
      <c r="G836" s="127">
        <v>8970</v>
      </c>
      <c r="H836" s="125">
        <v>439.38099999999997</v>
      </c>
      <c r="I836" s="127">
        <v>8970</v>
      </c>
      <c r="J836" s="125">
        <v>406.76600000000002</v>
      </c>
      <c r="K836" s="127">
        <v>8970</v>
      </c>
      <c r="L836" s="125">
        <v>405.96</v>
      </c>
      <c r="M836" s="127">
        <v>8970</v>
      </c>
      <c r="N836" s="125">
        <v>406.59300000000002</v>
      </c>
      <c r="O836" s="127">
        <v>8950</v>
      </c>
      <c r="P836" s="125">
        <v>407.64499999999998</v>
      </c>
      <c r="Q836" s="127">
        <v>8970</v>
      </c>
      <c r="R836" s="125">
        <v>407.31299999999999</v>
      </c>
      <c r="S836" s="127">
        <v>8970</v>
      </c>
      <c r="T836" s="125">
        <v>407.98</v>
      </c>
      <c r="U836" s="127">
        <v>8960</v>
      </c>
      <c r="V836" s="125">
        <v>407.75</v>
      </c>
      <c r="W836" s="127">
        <v>8970</v>
      </c>
      <c r="X836" s="125">
        <v>407.12200000000001</v>
      </c>
      <c r="Y836" s="127">
        <v>8970</v>
      </c>
      <c r="Z836" s="125">
        <v>405.512</v>
      </c>
      <c r="AA836" s="127">
        <v>8970</v>
      </c>
      <c r="AB836" s="125">
        <v>405.88900000000001</v>
      </c>
      <c r="AC836" s="127">
        <v>8960</v>
      </c>
      <c r="AD836" s="125">
        <v>331.49799999999999</v>
      </c>
      <c r="AE836" s="127">
        <v>8970</v>
      </c>
      <c r="AF836" s="125">
        <v>333.12200000000001</v>
      </c>
      <c r="AG836" s="127">
        <v>8950</v>
      </c>
      <c r="AH836" s="125">
        <v>76.045000000000002</v>
      </c>
      <c r="AI836" s="127">
        <v>8950</v>
      </c>
      <c r="AJ836" s="125">
        <v>80.816000000000003</v>
      </c>
    </row>
    <row r="837" spans="1:36" ht="14.25">
      <c r="A837" s="128">
        <v>8980</v>
      </c>
      <c r="B837" s="124">
        <v>173.26900000000001</v>
      </c>
      <c r="C837" s="128">
        <v>8990</v>
      </c>
      <c r="D837" s="125">
        <v>171.61500000000001</v>
      </c>
      <c r="E837" s="126">
        <v>8980</v>
      </c>
      <c r="F837" s="125">
        <v>437.90800000000002</v>
      </c>
      <c r="G837" s="127">
        <v>8980</v>
      </c>
      <c r="H837" s="125">
        <v>437.92899999999997</v>
      </c>
      <c r="I837" s="127">
        <v>8980</v>
      </c>
      <c r="J837" s="125">
        <v>405.55399999999997</v>
      </c>
      <c r="K837" s="127">
        <v>8980</v>
      </c>
      <c r="L837" s="125">
        <v>404.74700000000001</v>
      </c>
      <c r="M837" s="127">
        <v>8980</v>
      </c>
      <c r="N837" s="125">
        <v>405.38099999999997</v>
      </c>
      <c r="O837" s="127">
        <v>8960</v>
      </c>
      <c r="P837" s="125">
        <v>406.43200000000002</v>
      </c>
      <c r="Q837" s="127">
        <v>8980</v>
      </c>
      <c r="R837" s="125">
        <v>406.101</v>
      </c>
      <c r="S837" s="127">
        <v>8980</v>
      </c>
      <c r="T837" s="125">
        <v>406.76799999999997</v>
      </c>
      <c r="U837" s="127">
        <v>8970</v>
      </c>
      <c r="V837" s="125">
        <v>406.53899999999999</v>
      </c>
      <c r="W837" s="127">
        <v>8980</v>
      </c>
      <c r="X837" s="125">
        <v>405.911</v>
      </c>
      <c r="Y837" s="127">
        <v>8980</v>
      </c>
      <c r="Z837" s="125">
        <v>404.30099999999999</v>
      </c>
      <c r="AA837" s="127">
        <v>8980</v>
      </c>
      <c r="AB837" s="125">
        <v>404.67899999999997</v>
      </c>
      <c r="AC837" s="127">
        <v>8970</v>
      </c>
      <c r="AD837" s="125">
        <v>330.33100000000002</v>
      </c>
      <c r="AE837" s="127">
        <v>8980</v>
      </c>
      <c r="AF837" s="125">
        <v>331.95600000000002</v>
      </c>
      <c r="AG837" s="127">
        <v>8960</v>
      </c>
      <c r="AH837" s="125">
        <v>75.742000000000004</v>
      </c>
      <c r="AI837" s="127">
        <v>8960</v>
      </c>
      <c r="AJ837" s="125">
        <v>80.498999999999995</v>
      </c>
    </row>
    <row r="838" spans="1:36" ht="14.25">
      <c r="A838" s="128">
        <v>8990</v>
      </c>
      <c r="B838" s="124">
        <v>172.565</v>
      </c>
      <c r="C838" s="128">
        <v>9000</v>
      </c>
      <c r="D838" s="125">
        <v>170.91399999999999</v>
      </c>
      <c r="E838" s="126">
        <v>8990</v>
      </c>
      <c r="F838" s="125">
        <v>436.45699999999999</v>
      </c>
      <c r="G838" s="127">
        <v>8990</v>
      </c>
      <c r="H838" s="125">
        <v>436.47699999999998</v>
      </c>
      <c r="I838" s="127">
        <v>8990</v>
      </c>
      <c r="J838" s="125">
        <v>404.34300000000002</v>
      </c>
      <c r="K838" s="127">
        <v>8990</v>
      </c>
      <c r="L838" s="125">
        <v>403.53399999999999</v>
      </c>
      <c r="M838" s="127">
        <v>8990</v>
      </c>
      <c r="N838" s="125">
        <v>404.17</v>
      </c>
      <c r="O838" s="127">
        <v>8970</v>
      </c>
      <c r="P838" s="125">
        <v>405.22</v>
      </c>
      <c r="Q838" s="127">
        <v>8990</v>
      </c>
      <c r="R838" s="125">
        <v>404.89</v>
      </c>
      <c r="S838" s="127">
        <v>8990</v>
      </c>
      <c r="T838" s="125">
        <v>405.55599999999998</v>
      </c>
      <c r="U838" s="127">
        <v>8980</v>
      </c>
      <c r="V838" s="125">
        <v>405.32900000000001</v>
      </c>
      <c r="W838" s="127">
        <v>8990</v>
      </c>
      <c r="X838" s="125">
        <v>404.7</v>
      </c>
      <c r="Y838" s="127">
        <v>8990</v>
      </c>
      <c r="Z838" s="125">
        <v>403.09100000000001</v>
      </c>
      <c r="AA838" s="127">
        <v>8990</v>
      </c>
      <c r="AB838" s="125">
        <v>403.46899999999999</v>
      </c>
      <c r="AC838" s="127">
        <v>8980</v>
      </c>
      <c r="AD838" s="125">
        <v>329.16500000000002</v>
      </c>
      <c r="AE838" s="127">
        <v>8990</v>
      </c>
      <c r="AF838" s="125">
        <v>330.79</v>
      </c>
      <c r="AG838" s="127">
        <v>8970</v>
      </c>
      <c r="AH838" s="125">
        <v>75.44</v>
      </c>
      <c r="AI838" s="127">
        <v>8970</v>
      </c>
      <c r="AJ838" s="125">
        <v>80.182000000000002</v>
      </c>
    </row>
    <row r="839" spans="1:36" ht="14.25">
      <c r="A839" s="128">
        <v>9000</v>
      </c>
      <c r="B839" s="124">
        <v>171.86</v>
      </c>
      <c r="C839" s="128">
        <v>9010</v>
      </c>
      <c r="D839" s="125">
        <v>170.21199999999999</v>
      </c>
      <c r="E839" s="126">
        <v>9000</v>
      </c>
      <c r="F839" s="125">
        <v>435.00700000000001</v>
      </c>
      <c r="G839" s="127">
        <v>9000</v>
      </c>
      <c r="H839" s="125">
        <v>435.02499999999998</v>
      </c>
      <c r="I839" s="127">
        <v>9000</v>
      </c>
      <c r="J839" s="125">
        <v>403.13099999999997</v>
      </c>
      <c r="K839" s="127">
        <v>9000</v>
      </c>
      <c r="L839" s="125">
        <v>402.32</v>
      </c>
      <c r="M839" s="127">
        <v>9000</v>
      </c>
      <c r="N839" s="125">
        <v>402.95800000000003</v>
      </c>
      <c r="O839" s="127">
        <v>8980</v>
      </c>
      <c r="P839" s="125">
        <v>404.00799999999998</v>
      </c>
      <c r="Q839" s="127">
        <v>9000</v>
      </c>
      <c r="R839" s="125">
        <v>403.678</v>
      </c>
      <c r="S839" s="127">
        <v>9000</v>
      </c>
      <c r="T839" s="125">
        <v>404.34399999999999</v>
      </c>
      <c r="U839" s="127">
        <v>8990</v>
      </c>
      <c r="V839" s="125">
        <v>404.11900000000003</v>
      </c>
      <c r="W839" s="127">
        <v>9000</v>
      </c>
      <c r="X839" s="125">
        <v>403.48899999999998</v>
      </c>
      <c r="Y839" s="127">
        <v>9000</v>
      </c>
      <c r="Z839" s="125">
        <v>401.88</v>
      </c>
      <c r="AA839" s="127">
        <v>9000</v>
      </c>
      <c r="AB839" s="125">
        <v>402.25900000000001</v>
      </c>
      <c r="AC839" s="127">
        <v>8990</v>
      </c>
      <c r="AD839" s="125">
        <v>328</v>
      </c>
      <c r="AE839" s="127">
        <v>9000</v>
      </c>
      <c r="AF839" s="125">
        <v>329.62400000000002</v>
      </c>
      <c r="AG839" s="127">
        <v>8980</v>
      </c>
      <c r="AH839" s="125">
        <v>75.138000000000005</v>
      </c>
      <c r="AI839" s="127">
        <v>8980</v>
      </c>
      <c r="AJ839" s="125">
        <v>79.866</v>
      </c>
    </row>
    <row r="840" spans="1:36" ht="14.25">
      <c r="A840" s="128">
        <v>9010</v>
      </c>
      <c r="B840" s="124">
        <v>171.15600000000001</v>
      </c>
      <c r="C840" s="128">
        <v>9020</v>
      </c>
      <c r="D840" s="125">
        <v>169.511</v>
      </c>
      <c r="E840" s="126">
        <v>9010</v>
      </c>
      <c r="F840" s="125">
        <v>433.55599999999998</v>
      </c>
      <c r="G840" s="127">
        <v>9010</v>
      </c>
      <c r="H840" s="125">
        <v>433.57400000000001</v>
      </c>
      <c r="I840" s="127">
        <v>9010</v>
      </c>
      <c r="J840" s="125">
        <v>401.92</v>
      </c>
      <c r="K840" s="127">
        <v>9010</v>
      </c>
      <c r="L840" s="125">
        <v>401.10700000000003</v>
      </c>
      <c r="M840" s="127">
        <v>9010</v>
      </c>
      <c r="N840" s="125">
        <v>401.74599999999998</v>
      </c>
      <c r="O840" s="127">
        <v>8990</v>
      </c>
      <c r="P840" s="125">
        <v>402.79599999999999</v>
      </c>
      <c r="Q840" s="127">
        <v>9010</v>
      </c>
      <c r="R840" s="125">
        <v>402.46600000000001</v>
      </c>
      <c r="S840" s="127">
        <v>9010</v>
      </c>
      <c r="T840" s="125">
        <v>403.13200000000001</v>
      </c>
      <c r="U840" s="127">
        <v>9000</v>
      </c>
      <c r="V840" s="125">
        <v>402.90899999999999</v>
      </c>
      <c r="W840" s="127">
        <v>9010</v>
      </c>
      <c r="X840" s="125">
        <v>402.27800000000002</v>
      </c>
      <c r="Y840" s="127">
        <v>9010</v>
      </c>
      <c r="Z840" s="125">
        <v>400.66899999999998</v>
      </c>
      <c r="AA840" s="127">
        <v>9010</v>
      </c>
      <c r="AB840" s="125">
        <v>401.04899999999998</v>
      </c>
      <c r="AC840" s="127">
        <v>9000</v>
      </c>
      <c r="AD840" s="125">
        <v>326.83499999999998</v>
      </c>
      <c r="AE840" s="127">
        <v>9010</v>
      </c>
      <c r="AF840" s="125">
        <v>328.459</v>
      </c>
      <c r="AG840" s="127">
        <v>8990</v>
      </c>
      <c r="AH840" s="125">
        <v>74.835999999999999</v>
      </c>
      <c r="AI840" s="127">
        <v>8990</v>
      </c>
      <c r="AJ840" s="125">
        <v>79.55</v>
      </c>
    </row>
    <row r="841" spans="1:36" ht="14.25">
      <c r="A841" s="128">
        <v>9020</v>
      </c>
      <c r="B841" s="124">
        <v>170.452</v>
      </c>
      <c r="C841" s="128">
        <v>9030</v>
      </c>
      <c r="D841" s="125">
        <v>168.81</v>
      </c>
      <c r="E841" s="126">
        <v>9020</v>
      </c>
      <c r="F841" s="125">
        <v>432.10500000000002</v>
      </c>
      <c r="G841" s="127">
        <v>9020</v>
      </c>
      <c r="H841" s="125">
        <v>432.12200000000001</v>
      </c>
      <c r="I841" s="127">
        <v>9020</v>
      </c>
      <c r="J841" s="125">
        <v>400.70800000000003</v>
      </c>
      <c r="K841" s="127">
        <v>9020</v>
      </c>
      <c r="L841" s="125">
        <v>399.89400000000001</v>
      </c>
      <c r="M841" s="127">
        <v>9020</v>
      </c>
      <c r="N841" s="125">
        <v>400.53399999999999</v>
      </c>
      <c r="O841" s="127">
        <v>9000</v>
      </c>
      <c r="P841" s="125">
        <v>401.584</v>
      </c>
      <c r="Q841" s="127">
        <v>9020</v>
      </c>
      <c r="R841" s="125">
        <v>401.25400000000002</v>
      </c>
      <c r="S841" s="127">
        <v>9020</v>
      </c>
      <c r="T841" s="125">
        <v>401.92</v>
      </c>
      <c r="U841" s="127">
        <v>9010</v>
      </c>
      <c r="V841" s="125">
        <v>401.69799999999998</v>
      </c>
      <c r="W841" s="127">
        <v>9020</v>
      </c>
      <c r="X841" s="125">
        <v>401.06700000000001</v>
      </c>
      <c r="Y841" s="127">
        <v>9020</v>
      </c>
      <c r="Z841" s="125">
        <v>399.45800000000003</v>
      </c>
      <c r="AA841" s="127">
        <v>9020</v>
      </c>
      <c r="AB841" s="125">
        <v>399.839</v>
      </c>
      <c r="AC841" s="127">
        <v>9010</v>
      </c>
      <c r="AD841" s="125">
        <v>325.67099999999999</v>
      </c>
      <c r="AE841" s="127">
        <v>9020</v>
      </c>
      <c r="AF841" s="125">
        <v>327.29500000000002</v>
      </c>
      <c r="AG841" s="127">
        <v>9000</v>
      </c>
      <c r="AH841" s="125">
        <v>74.534999999999997</v>
      </c>
      <c r="AI841" s="127">
        <v>9000</v>
      </c>
      <c r="AJ841" s="125">
        <v>79.233999999999995</v>
      </c>
    </row>
    <row r="842" spans="1:36" ht="14.25">
      <c r="A842" s="128">
        <v>9030</v>
      </c>
      <c r="B842" s="124">
        <v>169.74799999999999</v>
      </c>
      <c r="C842" s="128">
        <v>9040</v>
      </c>
      <c r="D842" s="125">
        <v>168.10900000000001</v>
      </c>
      <c r="E842" s="126">
        <v>9030</v>
      </c>
      <c r="F842" s="125">
        <v>430.65499999999997</v>
      </c>
      <c r="G842" s="127">
        <v>9030</v>
      </c>
      <c r="H842" s="125">
        <v>430.67</v>
      </c>
      <c r="I842" s="127">
        <v>9030</v>
      </c>
      <c r="J842" s="125">
        <v>399.49599999999998</v>
      </c>
      <c r="K842" s="127">
        <v>9030</v>
      </c>
      <c r="L842" s="125">
        <v>398.68</v>
      </c>
      <c r="M842" s="127">
        <v>9030</v>
      </c>
      <c r="N842" s="125">
        <v>399.322</v>
      </c>
      <c r="O842" s="127">
        <v>9010</v>
      </c>
      <c r="P842" s="125">
        <v>400.37200000000001</v>
      </c>
      <c r="Q842" s="127">
        <v>9030</v>
      </c>
      <c r="R842" s="125">
        <v>400.04199999999997</v>
      </c>
      <c r="S842" s="127">
        <v>9030</v>
      </c>
      <c r="T842" s="125">
        <v>400.70800000000003</v>
      </c>
      <c r="U842" s="127">
        <v>9020</v>
      </c>
      <c r="V842" s="125">
        <v>400.488</v>
      </c>
      <c r="W842" s="127">
        <v>9030</v>
      </c>
      <c r="X842" s="125">
        <v>399.85599999999999</v>
      </c>
      <c r="Y842" s="127">
        <v>9030</v>
      </c>
      <c r="Z842" s="125">
        <v>398.24700000000001</v>
      </c>
      <c r="AA842" s="127">
        <v>9030</v>
      </c>
      <c r="AB842" s="125">
        <v>398.62900000000002</v>
      </c>
      <c r="AC842" s="127">
        <v>9020</v>
      </c>
      <c r="AD842" s="125">
        <v>324.50799999999998</v>
      </c>
      <c r="AE842" s="127">
        <v>9030</v>
      </c>
      <c r="AF842" s="125">
        <v>326.13200000000001</v>
      </c>
      <c r="AG842" s="127">
        <v>9010</v>
      </c>
      <c r="AH842" s="125">
        <v>74.233999999999995</v>
      </c>
      <c r="AI842" s="127">
        <v>9010</v>
      </c>
      <c r="AJ842" s="125">
        <v>78.918999999999997</v>
      </c>
    </row>
    <row r="843" spans="1:36" ht="14.25">
      <c r="A843" s="128">
        <v>9040</v>
      </c>
      <c r="B843" s="124">
        <v>169.04499999999999</v>
      </c>
      <c r="C843" s="128">
        <v>9050</v>
      </c>
      <c r="D843" s="125">
        <v>167.40899999999999</v>
      </c>
      <c r="E843" s="126">
        <v>9040</v>
      </c>
      <c r="F843" s="125">
        <v>429.20400000000001</v>
      </c>
      <c r="G843" s="127">
        <v>9040</v>
      </c>
      <c r="H843" s="125">
        <v>429.21899999999999</v>
      </c>
      <c r="I843" s="127">
        <v>9040</v>
      </c>
      <c r="J843" s="125">
        <v>398.28500000000003</v>
      </c>
      <c r="K843" s="127">
        <v>9040</v>
      </c>
      <c r="L843" s="125">
        <v>397.46699999999998</v>
      </c>
      <c r="M843" s="127">
        <v>9040</v>
      </c>
      <c r="N843" s="125">
        <v>398.11099999999999</v>
      </c>
      <c r="O843" s="127">
        <v>9020</v>
      </c>
      <c r="P843" s="125">
        <v>399.16</v>
      </c>
      <c r="Q843" s="127">
        <v>9040</v>
      </c>
      <c r="R843" s="125">
        <v>398.83100000000002</v>
      </c>
      <c r="S843" s="127">
        <v>9040</v>
      </c>
      <c r="T843" s="125">
        <v>399.49599999999998</v>
      </c>
      <c r="U843" s="127">
        <v>9030</v>
      </c>
      <c r="V843" s="125">
        <v>399.27800000000002</v>
      </c>
      <c r="W843" s="127">
        <v>9040</v>
      </c>
      <c r="X843" s="125">
        <v>398.64499999999998</v>
      </c>
      <c r="Y843" s="127">
        <v>9040</v>
      </c>
      <c r="Z843" s="125">
        <v>397.036</v>
      </c>
      <c r="AA843" s="127">
        <v>9040</v>
      </c>
      <c r="AB843" s="125">
        <v>397.41899999999998</v>
      </c>
      <c r="AC843" s="127">
        <v>9030</v>
      </c>
      <c r="AD843" s="125">
        <v>323.346</v>
      </c>
      <c r="AE843" s="127">
        <v>9040</v>
      </c>
      <c r="AF843" s="125">
        <v>324.97000000000003</v>
      </c>
      <c r="AG843" s="127">
        <v>9020</v>
      </c>
      <c r="AH843" s="125">
        <v>73.933999999999997</v>
      </c>
      <c r="AI843" s="127">
        <v>9020</v>
      </c>
      <c r="AJ843" s="125">
        <v>78.603999999999999</v>
      </c>
    </row>
    <row r="844" spans="1:36" ht="14.25">
      <c r="A844" s="128">
        <v>9050</v>
      </c>
      <c r="B844" s="124">
        <v>168.34100000000001</v>
      </c>
      <c r="C844" s="128">
        <v>9060</v>
      </c>
      <c r="D844" s="125">
        <v>166.709</v>
      </c>
      <c r="E844" s="126">
        <v>9050</v>
      </c>
      <c r="F844" s="125">
        <v>427.75400000000002</v>
      </c>
      <c r="G844" s="127">
        <v>9050</v>
      </c>
      <c r="H844" s="125">
        <v>427.76799999999997</v>
      </c>
      <c r="I844" s="127">
        <v>9050</v>
      </c>
      <c r="J844" s="125">
        <v>397.07299999999998</v>
      </c>
      <c r="K844" s="127">
        <v>9050</v>
      </c>
      <c r="L844" s="125">
        <v>396.25299999999999</v>
      </c>
      <c r="M844" s="127">
        <v>9050</v>
      </c>
      <c r="N844" s="125">
        <v>396.899</v>
      </c>
      <c r="O844" s="127">
        <v>9030</v>
      </c>
      <c r="P844" s="125">
        <v>397.94799999999998</v>
      </c>
      <c r="Q844" s="127">
        <v>9050</v>
      </c>
      <c r="R844" s="125">
        <v>397.61900000000003</v>
      </c>
      <c r="S844" s="127">
        <v>9050</v>
      </c>
      <c r="T844" s="125">
        <v>398.28399999999999</v>
      </c>
      <c r="U844" s="127">
        <v>9040</v>
      </c>
      <c r="V844" s="125">
        <v>398.06700000000001</v>
      </c>
      <c r="W844" s="127">
        <v>9050</v>
      </c>
      <c r="X844" s="125">
        <v>397.43400000000003</v>
      </c>
      <c r="Y844" s="127">
        <v>9050</v>
      </c>
      <c r="Z844" s="125">
        <v>395.82600000000002</v>
      </c>
      <c r="AA844" s="127">
        <v>9050</v>
      </c>
      <c r="AB844" s="125">
        <v>396.209</v>
      </c>
      <c r="AC844" s="127">
        <v>9040</v>
      </c>
      <c r="AD844" s="125">
        <v>322.18400000000003</v>
      </c>
      <c r="AE844" s="127">
        <v>9050</v>
      </c>
      <c r="AF844" s="125">
        <v>323.80799999999999</v>
      </c>
      <c r="AG844" s="127">
        <v>9030</v>
      </c>
      <c r="AH844" s="125">
        <v>73.634</v>
      </c>
      <c r="AI844" s="127">
        <v>9030</v>
      </c>
      <c r="AJ844" s="125">
        <v>78.290000000000006</v>
      </c>
    </row>
    <row r="845" spans="1:36" ht="14.25">
      <c r="A845" s="128">
        <v>9060</v>
      </c>
      <c r="B845" s="124">
        <v>167.63800000000001</v>
      </c>
      <c r="C845" s="128">
        <v>9070</v>
      </c>
      <c r="D845" s="125">
        <v>166.00899999999999</v>
      </c>
      <c r="E845" s="126">
        <v>9060</v>
      </c>
      <c r="F845" s="125">
        <v>426.303</v>
      </c>
      <c r="G845" s="127">
        <v>9060</v>
      </c>
      <c r="H845" s="125">
        <v>426.31599999999997</v>
      </c>
      <c r="I845" s="127">
        <v>9060</v>
      </c>
      <c r="J845" s="125">
        <v>395.86200000000002</v>
      </c>
      <c r="K845" s="127">
        <v>9060</v>
      </c>
      <c r="L845" s="125">
        <v>395.04</v>
      </c>
      <c r="M845" s="127">
        <v>9060</v>
      </c>
      <c r="N845" s="125">
        <v>395.68700000000001</v>
      </c>
      <c r="O845" s="127">
        <v>9040</v>
      </c>
      <c r="P845" s="125">
        <v>396.73599999999999</v>
      </c>
      <c r="Q845" s="127">
        <v>9060</v>
      </c>
      <c r="R845" s="125">
        <v>396.40699999999998</v>
      </c>
      <c r="S845" s="127">
        <v>9060</v>
      </c>
      <c r="T845" s="125">
        <v>397.072</v>
      </c>
      <c r="U845" s="127">
        <v>9050</v>
      </c>
      <c r="V845" s="125">
        <v>396.85700000000003</v>
      </c>
      <c r="W845" s="127">
        <v>9060</v>
      </c>
      <c r="X845" s="125">
        <v>396.22300000000001</v>
      </c>
      <c r="Y845" s="127">
        <v>9060</v>
      </c>
      <c r="Z845" s="125">
        <v>394.61500000000001</v>
      </c>
      <c r="AA845" s="127">
        <v>9060</v>
      </c>
      <c r="AB845" s="125">
        <v>394.99900000000002</v>
      </c>
      <c r="AC845" s="127">
        <v>9050</v>
      </c>
      <c r="AD845" s="125">
        <v>321.02300000000002</v>
      </c>
      <c r="AE845" s="127">
        <v>9060</v>
      </c>
      <c r="AF845" s="125">
        <v>322.64699999999999</v>
      </c>
      <c r="AG845" s="127">
        <v>9040</v>
      </c>
      <c r="AH845" s="125">
        <v>73.334000000000003</v>
      </c>
      <c r="AI845" s="127">
        <v>9040</v>
      </c>
      <c r="AJ845" s="125">
        <v>77.975999999999999</v>
      </c>
    </row>
    <row r="846" spans="1:36" ht="14.25">
      <c r="A846" s="128">
        <v>9070</v>
      </c>
      <c r="B846" s="124">
        <v>166.93600000000001</v>
      </c>
      <c r="C846" s="128">
        <v>9080</v>
      </c>
      <c r="D846" s="125">
        <v>165.309</v>
      </c>
      <c r="E846" s="126">
        <v>9070</v>
      </c>
      <c r="F846" s="125">
        <v>424.85300000000001</v>
      </c>
      <c r="G846" s="127">
        <v>9070</v>
      </c>
      <c r="H846" s="125">
        <v>424.86500000000001</v>
      </c>
      <c r="I846" s="127">
        <v>9070</v>
      </c>
      <c r="J846" s="125">
        <v>394.65</v>
      </c>
      <c r="K846" s="127">
        <v>9070</v>
      </c>
      <c r="L846" s="125">
        <v>393.827</v>
      </c>
      <c r="M846" s="127">
        <v>9070</v>
      </c>
      <c r="N846" s="125">
        <v>394.47500000000002</v>
      </c>
      <c r="O846" s="127">
        <v>9050</v>
      </c>
      <c r="P846" s="125">
        <v>395.524</v>
      </c>
      <c r="Q846" s="127">
        <v>9070</v>
      </c>
      <c r="R846" s="125">
        <v>395.19499999999999</v>
      </c>
      <c r="S846" s="127">
        <v>9070</v>
      </c>
      <c r="T846" s="125">
        <v>395.86</v>
      </c>
      <c r="U846" s="127">
        <v>9060</v>
      </c>
      <c r="V846" s="125">
        <v>395.64699999999999</v>
      </c>
      <c r="W846" s="127">
        <v>9070</v>
      </c>
      <c r="X846" s="125">
        <v>395.012</v>
      </c>
      <c r="Y846" s="127">
        <v>9070</v>
      </c>
      <c r="Z846" s="125">
        <v>393.404</v>
      </c>
      <c r="AA846" s="127">
        <v>9070</v>
      </c>
      <c r="AB846" s="125">
        <v>393.78899999999999</v>
      </c>
      <c r="AC846" s="127">
        <v>9060</v>
      </c>
      <c r="AD846" s="125">
        <v>319.863</v>
      </c>
      <c r="AE846" s="127">
        <v>9070</v>
      </c>
      <c r="AF846" s="125">
        <v>321.48599999999999</v>
      </c>
      <c r="AG846" s="127">
        <v>9050</v>
      </c>
      <c r="AH846" s="125">
        <v>73.034999999999997</v>
      </c>
      <c r="AI846" s="127">
        <v>9050</v>
      </c>
      <c r="AJ846" s="125">
        <v>77.662000000000006</v>
      </c>
    </row>
    <row r="847" spans="1:36" ht="14.25">
      <c r="A847" s="128">
        <v>9080</v>
      </c>
      <c r="B847" s="124">
        <v>166.233</v>
      </c>
      <c r="C847" s="128">
        <v>9090</v>
      </c>
      <c r="D847" s="125">
        <v>164.61</v>
      </c>
      <c r="E847" s="126">
        <v>9080</v>
      </c>
      <c r="F847" s="125">
        <v>423.40300000000002</v>
      </c>
      <c r="G847" s="127">
        <v>9080</v>
      </c>
      <c r="H847" s="125">
        <v>423.41399999999999</v>
      </c>
      <c r="I847" s="127">
        <v>9080</v>
      </c>
      <c r="J847" s="125">
        <v>393.43799999999999</v>
      </c>
      <c r="K847" s="127">
        <v>9080</v>
      </c>
      <c r="L847" s="125">
        <v>392.613</v>
      </c>
      <c r="M847" s="127">
        <v>9080</v>
      </c>
      <c r="N847" s="125">
        <v>393.26400000000001</v>
      </c>
      <c r="O847" s="127">
        <v>9060</v>
      </c>
      <c r="P847" s="125">
        <v>394.31200000000001</v>
      </c>
      <c r="Q847" s="127">
        <v>9080</v>
      </c>
      <c r="R847" s="125">
        <v>393.983</v>
      </c>
      <c r="S847" s="127">
        <v>9080</v>
      </c>
      <c r="T847" s="125">
        <v>394.64800000000002</v>
      </c>
      <c r="U847" s="127">
        <v>9070</v>
      </c>
      <c r="V847" s="125">
        <v>394.43599999999998</v>
      </c>
      <c r="W847" s="127">
        <v>9080</v>
      </c>
      <c r="X847" s="125">
        <v>393.80099999999999</v>
      </c>
      <c r="Y847" s="127">
        <v>9080</v>
      </c>
      <c r="Z847" s="125">
        <v>392.19299999999998</v>
      </c>
      <c r="AA847" s="127">
        <v>9080</v>
      </c>
      <c r="AB847" s="125">
        <v>392.57900000000001</v>
      </c>
      <c r="AC847" s="127">
        <v>9070</v>
      </c>
      <c r="AD847" s="125">
        <v>318.70299999999997</v>
      </c>
      <c r="AE847" s="127">
        <v>9080</v>
      </c>
      <c r="AF847" s="125">
        <v>320.32600000000002</v>
      </c>
      <c r="AG847" s="127">
        <v>9060</v>
      </c>
      <c r="AH847" s="125">
        <v>72.736000000000004</v>
      </c>
      <c r="AI847" s="127">
        <v>9060</v>
      </c>
      <c r="AJ847" s="125">
        <v>77.349000000000004</v>
      </c>
    </row>
    <row r="848" spans="1:36" ht="14.25">
      <c r="A848" s="128">
        <v>9090</v>
      </c>
      <c r="B848" s="124">
        <v>165.53200000000001</v>
      </c>
      <c r="C848" s="128">
        <v>9100</v>
      </c>
      <c r="D848" s="125">
        <v>163.911</v>
      </c>
      <c r="E848" s="126">
        <v>9090</v>
      </c>
      <c r="F848" s="125">
        <v>421.95299999999997</v>
      </c>
      <c r="G848" s="127">
        <v>9090</v>
      </c>
      <c r="H848" s="125">
        <v>421.96300000000002</v>
      </c>
      <c r="I848" s="127">
        <v>9090</v>
      </c>
      <c r="J848" s="125">
        <v>392.22699999999998</v>
      </c>
      <c r="K848" s="127">
        <v>9090</v>
      </c>
      <c r="L848" s="125">
        <v>391.4</v>
      </c>
      <c r="M848" s="127">
        <v>9090</v>
      </c>
      <c r="N848" s="125">
        <v>392.05200000000002</v>
      </c>
      <c r="O848" s="127">
        <v>9070</v>
      </c>
      <c r="P848" s="125">
        <v>393.1</v>
      </c>
      <c r="Q848" s="127">
        <v>9090</v>
      </c>
      <c r="R848" s="125">
        <v>392.77199999999999</v>
      </c>
      <c r="S848" s="127">
        <v>9090</v>
      </c>
      <c r="T848" s="125">
        <v>393.43599999999998</v>
      </c>
      <c r="U848" s="127">
        <v>9080</v>
      </c>
      <c r="V848" s="125">
        <v>393.226</v>
      </c>
      <c r="W848" s="127">
        <v>9090</v>
      </c>
      <c r="X848" s="125">
        <v>392.59</v>
      </c>
      <c r="Y848" s="127">
        <v>9090</v>
      </c>
      <c r="Z848" s="125">
        <v>390.98200000000003</v>
      </c>
      <c r="AA848" s="127">
        <v>9090</v>
      </c>
      <c r="AB848" s="125">
        <v>391.36900000000003</v>
      </c>
      <c r="AC848" s="127">
        <v>9080</v>
      </c>
      <c r="AD848" s="125">
        <v>317.54399999999998</v>
      </c>
      <c r="AE848" s="127">
        <v>9090</v>
      </c>
      <c r="AF848" s="125">
        <v>319.16800000000001</v>
      </c>
      <c r="AG848" s="127">
        <v>9070</v>
      </c>
      <c r="AH848" s="125">
        <v>72.438000000000002</v>
      </c>
      <c r="AI848" s="127">
        <v>9070</v>
      </c>
      <c r="AJ848" s="125">
        <v>77.036000000000001</v>
      </c>
    </row>
    <row r="849" spans="1:36" ht="14.25">
      <c r="A849" s="128">
        <v>9100</v>
      </c>
      <c r="B849" s="124">
        <v>164.83</v>
      </c>
      <c r="C849" s="128">
        <v>9110</v>
      </c>
      <c r="D849" s="125">
        <v>163.21199999999999</v>
      </c>
      <c r="E849" s="126">
        <v>9100</v>
      </c>
      <c r="F849" s="125">
        <v>420.50299999999999</v>
      </c>
      <c r="G849" s="127">
        <v>9100</v>
      </c>
      <c r="H849" s="125">
        <v>420.512</v>
      </c>
      <c r="I849" s="127">
        <v>9100</v>
      </c>
      <c r="J849" s="125">
        <v>391.01499999999999</v>
      </c>
      <c r="K849" s="127">
        <v>9100</v>
      </c>
      <c r="L849" s="125">
        <v>390.18599999999998</v>
      </c>
      <c r="M849" s="127">
        <v>9100</v>
      </c>
      <c r="N849" s="125">
        <v>390.84</v>
      </c>
      <c r="O849" s="127">
        <v>9080</v>
      </c>
      <c r="P849" s="125">
        <v>391.88799999999998</v>
      </c>
      <c r="Q849" s="127">
        <v>9100</v>
      </c>
      <c r="R849" s="125">
        <v>391.56</v>
      </c>
      <c r="S849" s="127">
        <v>9100</v>
      </c>
      <c r="T849" s="125">
        <v>392.22399999999999</v>
      </c>
      <c r="U849" s="127">
        <v>9090</v>
      </c>
      <c r="V849" s="125">
        <v>392.01600000000002</v>
      </c>
      <c r="W849" s="127">
        <v>9100</v>
      </c>
      <c r="X849" s="125">
        <v>391.37900000000002</v>
      </c>
      <c r="Y849" s="127">
        <v>9100</v>
      </c>
      <c r="Z849" s="125">
        <v>389.77199999999999</v>
      </c>
      <c r="AA849" s="127">
        <v>9100</v>
      </c>
      <c r="AB849" s="125">
        <v>390.15899999999999</v>
      </c>
      <c r="AC849" s="127">
        <v>9090</v>
      </c>
      <c r="AD849" s="125">
        <v>316.38600000000002</v>
      </c>
      <c r="AE849" s="127">
        <v>9100</v>
      </c>
      <c r="AF849" s="125">
        <v>318.00900000000001</v>
      </c>
      <c r="AG849" s="127">
        <v>9080</v>
      </c>
      <c r="AH849" s="125">
        <v>72.14</v>
      </c>
      <c r="AI849" s="127">
        <v>9080</v>
      </c>
      <c r="AJ849" s="125">
        <v>76.724000000000004</v>
      </c>
    </row>
    <row r="850" spans="1:36" ht="14.25">
      <c r="A850" s="128">
        <v>9110</v>
      </c>
      <c r="B850" s="124">
        <v>164.12899999999999</v>
      </c>
      <c r="C850" s="128">
        <v>9120</v>
      </c>
      <c r="D850" s="125">
        <v>162.51499999999999</v>
      </c>
      <c r="E850" s="126">
        <v>9110</v>
      </c>
      <c r="F850" s="125">
        <v>419.05399999999997</v>
      </c>
      <c r="G850" s="127">
        <v>9110</v>
      </c>
      <c r="H850" s="125">
        <v>419.06099999999998</v>
      </c>
      <c r="I850" s="127">
        <v>9110</v>
      </c>
      <c r="J850" s="125">
        <v>389.80399999999997</v>
      </c>
      <c r="K850" s="127">
        <v>9110</v>
      </c>
      <c r="L850" s="125">
        <v>388.97300000000001</v>
      </c>
      <c r="M850" s="127">
        <v>9110</v>
      </c>
      <c r="N850" s="125">
        <v>389.62799999999999</v>
      </c>
      <c r="O850" s="127">
        <v>9090</v>
      </c>
      <c r="P850" s="125">
        <v>390.67599999999999</v>
      </c>
      <c r="Q850" s="127">
        <v>9110</v>
      </c>
      <c r="R850" s="125">
        <v>390.34800000000001</v>
      </c>
      <c r="S850" s="127">
        <v>9110</v>
      </c>
      <c r="T850" s="125">
        <v>391.012</v>
      </c>
      <c r="U850" s="127">
        <v>9100</v>
      </c>
      <c r="V850" s="125">
        <v>390.80599999999998</v>
      </c>
      <c r="W850" s="127">
        <v>9110</v>
      </c>
      <c r="X850" s="125">
        <v>390.16800000000001</v>
      </c>
      <c r="Y850" s="127">
        <v>9110</v>
      </c>
      <c r="Z850" s="125">
        <v>388.56099999999998</v>
      </c>
      <c r="AA850" s="127">
        <v>9110</v>
      </c>
      <c r="AB850" s="125">
        <v>388.94900000000001</v>
      </c>
      <c r="AC850" s="127">
        <v>9100</v>
      </c>
      <c r="AD850" s="125">
        <v>315.22899999999998</v>
      </c>
      <c r="AE850" s="127">
        <v>9110</v>
      </c>
      <c r="AF850" s="125">
        <v>316.85199999999998</v>
      </c>
      <c r="AG850" s="127">
        <v>9090</v>
      </c>
      <c r="AH850" s="125">
        <v>71.841999999999999</v>
      </c>
      <c r="AI850" s="127">
        <v>9090</v>
      </c>
      <c r="AJ850" s="125">
        <v>76.412000000000006</v>
      </c>
    </row>
    <row r="851" spans="1:36" ht="14.25">
      <c r="A851" s="128">
        <v>9120</v>
      </c>
      <c r="B851" s="124">
        <v>163.429</v>
      </c>
      <c r="C851" s="128">
        <v>9130</v>
      </c>
      <c r="D851" s="125">
        <v>161.81700000000001</v>
      </c>
      <c r="E851" s="126">
        <v>9120</v>
      </c>
      <c r="F851" s="125">
        <v>417.60399999999998</v>
      </c>
      <c r="G851" s="127">
        <v>9120</v>
      </c>
      <c r="H851" s="125">
        <v>417.61099999999999</v>
      </c>
      <c r="I851" s="127">
        <v>9120</v>
      </c>
      <c r="J851" s="125">
        <v>388.59199999999998</v>
      </c>
      <c r="K851" s="127">
        <v>9120</v>
      </c>
      <c r="L851" s="125">
        <v>387.76</v>
      </c>
      <c r="M851" s="127">
        <v>9120</v>
      </c>
      <c r="N851" s="125">
        <v>388.416</v>
      </c>
      <c r="O851" s="127">
        <v>9100</v>
      </c>
      <c r="P851" s="125">
        <v>389.464</v>
      </c>
      <c r="Q851" s="127">
        <v>9120</v>
      </c>
      <c r="R851" s="125">
        <v>389.13600000000002</v>
      </c>
      <c r="S851" s="127">
        <v>9120</v>
      </c>
      <c r="T851" s="125">
        <v>389.8</v>
      </c>
      <c r="U851" s="127">
        <v>9110</v>
      </c>
      <c r="V851" s="125">
        <v>389.59500000000003</v>
      </c>
      <c r="W851" s="127">
        <v>9120</v>
      </c>
      <c r="X851" s="125">
        <v>388.95699999999999</v>
      </c>
      <c r="Y851" s="127">
        <v>9120</v>
      </c>
      <c r="Z851" s="125">
        <v>387.35</v>
      </c>
      <c r="AA851" s="127">
        <v>9120</v>
      </c>
      <c r="AB851" s="125">
        <v>387.73899999999998</v>
      </c>
      <c r="AC851" s="127">
        <v>9110</v>
      </c>
      <c r="AD851" s="125">
        <v>314.07299999999998</v>
      </c>
      <c r="AE851" s="127">
        <v>9120</v>
      </c>
      <c r="AF851" s="125">
        <v>315.69499999999999</v>
      </c>
      <c r="AG851" s="127">
        <v>9100</v>
      </c>
      <c r="AH851" s="125">
        <v>71.545000000000002</v>
      </c>
      <c r="AI851" s="127">
        <v>9100</v>
      </c>
      <c r="AJ851" s="125">
        <v>76.099999999999994</v>
      </c>
    </row>
    <row r="852" spans="1:36" ht="14.25">
      <c r="A852" s="128">
        <v>9130</v>
      </c>
      <c r="B852" s="124">
        <v>162.72900000000001</v>
      </c>
      <c r="C852" s="128">
        <v>9140</v>
      </c>
      <c r="D852" s="125">
        <v>161.12100000000001</v>
      </c>
      <c r="E852" s="126">
        <v>9130</v>
      </c>
      <c r="F852" s="125">
        <v>416.15499999999997</v>
      </c>
      <c r="G852" s="127">
        <v>9130</v>
      </c>
      <c r="H852" s="125">
        <v>416.16</v>
      </c>
      <c r="I852" s="127">
        <v>9130</v>
      </c>
      <c r="J852" s="125">
        <v>387.38099999999997</v>
      </c>
      <c r="K852" s="127">
        <v>9130</v>
      </c>
      <c r="L852" s="125">
        <v>386.54599999999999</v>
      </c>
      <c r="M852" s="127">
        <v>9130</v>
      </c>
      <c r="N852" s="125">
        <v>387.20499999999998</v>
      </c>
      <c r="O852" s="127">
        <v>9110</v>
      </c>
      <c r="P852" s="125">
        <v>388.25200000000001</v>
      </c>
      <c r="Q852" s="127">
        <v>9130</v>
      </c>
      <c r="R852" s="125">
        <v>387.92399999999998</v>
      </c>
      <c r="S852" s="127">
        <v>9130</v>
      </c>
      <c r="T852" s="125">
        <v>388.58800000000002</v>
      </c>
      <c r="U852" s="127">
        <v>9120</v>
      </c>
      <c r="V852" s="125">
        <v>388.38499999999999</v>
      </c>
      <c r="W852" s="127">
        <v>9130</v>
      </c>
      <c r="X852" s="125">
        <v>387.74599999999998</v>
      </c>
      <c r="Y852" s="127">
        <v>9130</v>
      </c>
      <c r="Z852" s="125">
        <v>386.13900000000001</v>
      </c>
      <c r="AA852" s="127">
        <v>9130</v>
      </c>
      <c r="AB852" s="125">
        <v>386.529</v>
      </c>
      <c r="AC852" s="127">
        <v>9120</v>
      </c>
      <c r="AD852" s="125">
        <v>312.91699999999997</v>
      </c>
      <c r="AE852" s="127">
        <v>9130</v>
      </c>
      <c r="AF852" s="125">
        <v>314.53899999999999</v>
      </c>
      <c r="AG852" s="127">
        <v>9110</v>
      </c>
      <c r="AH852" s="125">
        <v>71.248999999999995</v>
      </c>
      <c r="AI852" s="127">
        <v>9110</v>
      </c>
      <c r="AJ852" s="125">
        <v>75.789000000000001</v>
      </c>
    </row>
    <row r="853" spans="1:36" ht="14.25">
      <c r="A853" s="128">
        <v>9140</v>
      </c>
      <c r="B853" s="124">
        <v>162.029</v>
      </c>
      <c r="C853" s="128">
        <v>9150</v>
      </c>
      <c r="D853" s="125">
        <v>160.42500000000001</v>
      </c>
      <c r="E853" s="126">
        <v>9140</v>
      </c>
      <c r="F853" s="125">
        <v>414.70499999999998</v>
      </c>
      <c r="G853" s="127">
        <v>9140</v>
      </c>
      <c r="H853" s="125">
        <v>414.709</v>
      </c>
      <c r="I853" s="127">
        <v>9140</v>
      </c>
      <c r="J853" s="125">
        <v>386.16899999999998</v>
      </c>
      <c r="K853" s="127">
        <v>9140</v>
      </c>
      <c r="L853" s="125">
        <v>385.33300000000003</v>
      </c>
      <c r="M853" s="127">
        <v>9140</v>
      </c>
      <c r="N853" s="125">
        <v>385.99299999999999</v>
      </c>
      <c r="O853" s="127">
        <v>9120</v>
      </c>
      <c r="P853" s="125">
        <v>387.04</v>
      </c>
      <c r="Q853" s="127">
        <v>9140</v>
      </c>
      <c r="R853" s="125">
        <v>386.71300000000002</v>
      </c>
      <c r="S853" s="127">
        <v>9140</v>
      </c>
      <c r="T853" s="125">
        <v>387.37599999999998</v>
      </c>
      <c r="U853" s="127">
        <v>9130</v>
      </c>
      <c r="V853" s="125">
        <v>387.17500000000001</v>
      </c>
      <c r="W853" s="127">
        <v>9140</v>
      </c>
      <c r="X853" s="125">
        <v>386.53500000000003</v>
      </c>
      <c r="Y853" s="127">
        <v>9140</v>
      </c>
      <c r="Z853" s="125">
        <v>384.928</v>
      </c>
      <c r="AA853" s="127">
        <v>9140</v>
      </c>
      <c r="AB853" s="125">
        <v>385.31900000000002</v>
      </c>
      <c r="AC853" s="127">
        <v>9130</v>
      </c>
      <c r="AD853" s="125">
        <v>311.762</v>
      </c>
      <c r="AE853" s="127">
        <v>9140</v>
      </c>
      <c r="AF853" s="125">
        <v>313.38400000000001</v>
      </c>
      <c r="AG853" s="127">
        <v>9120</v>
      </c>
      <c r="AH853" s="125">
        <v>70.951999999999998</v>
      </c>
      <c r="AI853" s="127">
        <v>9120</v>
      </c>
      <c r="AJ853" s="125">
        <v>75.477999999999994</v>
      </c>
    </row>
    <row r="854" spans="1:36" ht="14.25">
      <c r="A854" s="128">
        <v>9150</v>
      </c>
      <c r="B854" s="124">
        <v>161.33099999999999</v>
      </c>
      <c r="C854" s="128">
        <v>9160</v>
      </c>
      <c r="D854" s="125">
        <v>159.72900000000001</v>
      </c>
      <c r="E854" s="126">
        <v>9150</v>
      </c>
      <c r="F854" s="125">
        <v>413.25599999999997</v>
      </c>
      <c r="G854" s="127">
        <v>9150</v>
      </c>
      <c r="H854" s="125">
        <v>413.25900000000001</v>
      </c>
      <c r="I854" s="127">
        <v>9150</v>
      </c>
      <c r="J854" s="125">
        <v>384.95800000000003</v>
      </c>
      <c r="K854" s="127">
        <v>9150</v>
      </c>
      <c r="L854" s="125">
        <v>384.12</v>
      </c>
      <c r="M854" s="127">
        <v>9150</v>
      </c>
      <c r="N854" s="125">
        <v>384.78100000000001</v>
      </c>
      <c r="O854" s="127">
        <v>9130</v>
      </c>
      <c r="P854" s="125">
        <v>385.82799999999997</v>
      </c>
      <c r="Q854" s="127">
        <v>9150</v>
      </c>
      <c r="R854" s="125">
        <v>385.50099999999998</v>
      </c>
      <c r="S854" s="127">
        <v>9150</v>
      </c>
      <c r="T854" s="125">
        <v>386.16399999999999</v>
      </c>
      <c r="U854" s="127">
        <v>9140</v>
      </c>
      <c r="V854" s="125">
        <v>385.964</v>
      </c>
      <c r="W854" s="127">
        <v>9150</v>
      </c>
      <c r="X854" s="125">
        <v>385.32299999999998</v>
      </c>
      <c r="Y854" s="127">
        <v>9150</v>
      </c>
      <c r="Z854" s="125">
        <v>383.71800000000002</v>
      </c>
      <c r="AA854" s="127">
        <v>9150</v>
      </c>
      <c r="AB854" s="125">
        <v>384.10899999999998</v>
      </c>
      <c r="AC854" s="127">
        <v>9140</v>
      </c>
      <c r="AD854" s="125">
        <v>310.608</v>
      </c>
      <c r="AE854" s="127">
        <v>9150</v>
      </c>
      <c r="AF854" s="125">
        <v>312.23</v>
      </c>
      <c r="AG854" s="127">
        <v>9130</v>
      </c>
      <c r="AH854" s="125">
        <v>70.656000000000006</v>
      </c>
      <c r="AI854" s="127">
        <v>9130</v>
      </c>
      <c r="AJ854" s="125">
        <v>75.168000000000006</v>
      </c>
    </row>
    <row r="855" spans="1:36" ht="14.25">
      <c r="A855" s="128">
        <v>9160</v>
      </c>
      <c r="B855" s="124">
        <v>160.63300000000001</v>
      </c>
      <c r="C855" s="128">
        <v>9170</v>
      </c>
      <c r="D855" s="125">
        <v>159.035</v>
      </c>
      <c r="E855" s="126">
        <v>9160</v>
      </c>
      <c r="F855" s="125">
        <v>411.80700000000002</v>
      </c>
      <c r="G855" s="127">
        <v>9160</v>
      </c>
      <c r="H855" s="125">
        <v>411.80900000000003</v>
      </c>
      <c r="I855" s="127">
        <v>9160</v>
      </c>
      <c r="J855" s="125">
        <v>383.74599999999998</v>
      </c>
      <c r="K855" s="127">
        <v>9160</v>
      </c>
      <c r="L855" s="125">
        <v>382.90600000000001</v>
      </c>
      <c r="M855" s="127">
        <v>9160</v>
      </c>
      <c r="N855" s="125">
        <v>383.56900000000002</v>
      </c>
      <c r="O855" s="127">
        <v>9140</v>
      </c>
      <c r="P855" s="125">
        <v>384.61599999999999</v>
      </c>
      <c r="Q855" s="127">
        <v>9160</v>
      </c>
      <c r="R855" s="125">
        <v>384.28899999999999</v>
      </c>
      <c r="S855" s="127">
        <v>9160</v>
      </c>
      <c r="T855" s="125">
        <v>384.952</v>
      </c>
      <c r="U855" s="127">
        <v>9150</v>
      </c>
      <c r="V855" s="125">
        <v>384.75400000000002</v>
      </c>
      <c r="W855" s="127">
        <v>9160</v>
      </c>
      <c r="X855" s="125">
        <v>384.11200000000002</v>
      </c>
      <c r="Y855" s="127">
        <v>9160</v>
      </c>
      <c r="Z855" s="125">
        <v>382.50700000000001</v>
      </c>
      <c r="AA855" s="127">
        <v>9160</v>
      </c>
      <c r="AB855" s="125">
        <v>382.899</v>
      </c>
      <c r="AC855" s="127">
        <v>9150</v>
      </c>
      <c r="AD855" s="125">
        <v>309.45400000000001</v>
      </c>
      <c r="AE855" s="127">
        <v>9160</v>
      </c>
      <c r="AF855" s="125">
        <v>311.07600000000002</v>
      </c>
      <c r="AG855" s="127">
        <v>9140</v>
      </c>
      <c r="AH855" s="125">
        <v>70.361000000000004</v>
      </c>
      <c r="AI855" s="127">
        <v>9140</v>
      </c>
      <c r="AJ855" s="125">
        <v>74.858000000000004</v>
      </c>
    </row>
    <row r="856" spans="1:36" ht="14.25">
      <c r="A856" s="128">
        <v>9170</v>
      </c>
      <c r="B856" s="124">
        <v>159.935</v>
      </c>
      <c r="C856" s="128">
        <v>9180</v>
      </c>
      <c r="D856" s="125">
        <v>158.34100000000001</v>
      </c>
      <c r="E856" s="126">
        <v>9170</v>
      </c>
      <c r="F856" s="125">
        <v>410.358</v>
      </c>
      <c r="G856" s="127">
        <v>9170</v>
      </c>
      <c r="H856" s="125">
        <v>410.358</v>
      </c>
      <c r="I856" s="127">
        <v>9170</v>
      </c>
      <c r="J856" s="125">
        <v>382.53399999999999</v>
      </c>
      <c r="K856" s="127">
        <v>9170</v>
      </c>
      <c r="L856" s="125">
        <v>381.69299999999998</v>
      </c>
      <c r="M856" s="127">
        <v>9170</v>
      </c>
      <c r="N856" s="125">
        <v>382.358</v>
      </c>
      <c r="O856" s="127">
        <v>9150</v>
      </c>
      <c r="P856" s="125">
        <v>383.404</v>
      </c>
      <c r="Q856" s="127">
        <v>9170</v>
      </c>
      <c r="R856" s="125">
        <v>383.077</v>
      </c>
      <c r="S856" s="127">
        <v>9170</v>
      </c>
      <c r="T856" s="125">
        <v>383.74</v>
      </c>
      <c r="U856" s="127">
        <v>9160</v>
      </c>
      <c r="V856" s="125">
        <v>383.54399999999998</v>
      </c>
      <c r="W856" s="127">
        <v>9170</v>
      </c>
      <c r="X856" s="125">
        <v>382.90100000000001</v>
      </c>
      <c r="Y856" s="127">
        <v>9170</v>
      </c>
      <c r="Z856" s="125">
        <v>381.29599999999999</v>
      </c>
      <c r="AA856" s="127">
        <v>9170</v>
      </c>
      <c r="AB856" s="125">
        <v>381.68900000000002</v>
      </c>
      <c r="AC856" s="127">
        <v>9160</v>
      </c>
      <c r="AD856" s="125">
        <v>308.30200000000002</v>
      </c>
      <c r="AE856" s="127">
        <v>9170</v>
      </c>
      <c r="AF856" s="125">
        <v>309.923</v>
      </c>
      <c r="AG856" s="127">
        <v>9150</v>
      </c>
      <c r="AH856" s="125">
        <v>70.064999999999998</v>
      </c>
      <c r="AI856" s="127">
        <v>9150</v>
      </c>
      <c r="AJ856" s="125">
        <v>74.548000000000002</v>
      </c>
    </row>
    <row r="857" spans="1:36" ht="14.25">
      <c r="A857" s="128">
        <v>9180</v>
      </c>
      <c r="B857" s="124">
        <v>159.239</v>
      </c>
      <c r="C857" s="128">
        <v>9190</v>
      </c>
      <c r="D857" s="125">
        <v>157.648</v>
      </c>
      <c r="E857" s="126">
        <v>9180</v>
      </c>
      <c r="F857" s="125">
        <v>408.90899999999999</v>
      </c>
      <c r="G857" s="127">
        <v>9180</v>
      </c>
      <c r="H857" s="125">
        <v>408.90800000000002</v>
      </c>
      <c r="I857" s="127">
        <v>9180</v>
      </c>
      <c r="J857" s="125">
        <v>381.32299999999998</v>
      </c>
      <c r="K857" s="127">
        <v>9180</v>
      </c>
      <c r="L857" s="125">
        <v>380.48</v>
      </c>
      <c r="M857" s="127">
        <v>9180</v>
      </c>
      <c r="N857" s="125">
        <v>381.14600000000002</v>
      </c>
      <c r="O857" s="127">
        <v>9160</v>
      </c>
      <c r="P857" s="125">
        <v>382.19200000000001</v>
      </c>
      <c r="Q857" s="127">
        <v>9180</v>
      </c>
      <c r="R857" s="125">
        <v>381.86599999999999</v>
      </c>
      <c r="S857" s="127">
        <v>9180</v>
      </c>
      <c r="T857" s="125">
        <v>382.52800000000002</v>
      </c>
      <c r="U857" s="127">
        <v>9170</v>
      </c>
      <c r="V857" s="125">
        <v>382.33300000000003</v>
      </c>
      <c r="W857" s="127">
        <v>9180</v>
      </c>
      <c r="X857" s="125">
        <v>381.69</v>
      </c>
      <c r="Y857" s="127">
        <v>9180</v>
      </c>
      <c r="Z857" s="125">
        <v>380.08499999999998</v>
      </c>
      <c r="AA857" s="127">
        <v>9180</v>
      </c>
      <c r="AB857" s="125">
        <v>380.47899999999998</v>
      </c>
      <c r="AC857" s="127">
        <v>9170</v>
      </c>
      <c r="AD857" s="125">
        <v>307.14999999999998</v>
      </c>
      <c r="AE857" s="127">
        <v>9180</v>
      </c>
      <c r="AF857" s="125">
        <v>308.77100000000002</v>
      </c>
      <c r="AG857" s="127">
        <v>9160</v>
      </c>
      <c r="AH857" s="125">
        <v>69.771000000000001</v>
      </c>
      <c r="AI857" s="127">
        <v>9160</v>
      </c>
      <c r="AJ857" s="125">
        <v>74.239000000000004</v>
      </c>
    </row>
    <row r="858" spans="1:36" ht="14.25">
      <c r="A858" s="128">
        <v>9190</v>
      </c>
      <c r="B858" s="124">
        <v>158.54300000000001</v>
      </c>
      <c r="C858" s="128">
        <v>9200</v>
      </c>
      <c r="D858" s="125">
        <v>156.95599999999999</v>
      </c>
      <c r="E858" s="126">
        <v>9190</v>
      </c>
      <c r="F858" s="125">
        <v>407.46</v>
      </c>
      <c r="G858" s="127">
        <v>9190</v>
      </c>
      <c r="H858" s="125">
        <v>407.45800000000003</v>
      </c>
      <c r="I858" s="127">
        <v>9190</v>
      </c>
      <c r="J858" s="125">
        <v>380.11099999999999</v>
      </c>
      <c r="K858" s="127">
        <v>9190</v>
      </c>
      <c r="L858" s="125">
        <v>379.26600000000002</v>
      </c>
      <c r="M858" s="127">
        <v>9190</v>
      </c>
      <c r="N858" s="125">
        <v>379.93400000000003</v>
      </c>
      <c r="O858" s="127">
        <v>9170</v>
      </c>
      <c r="P858" s="125">
        <v>380.98</v>
      </c>
      <c r="Q858" s="127">
        <v>9190</v>
      </c>
      <c r="R858" s="125">
        <v>380.654</v>
      </c>
      <c r="S858" s="127">
        <v>9190</v>
      </c>
      <c r="T858" s="125">
        <v>381.31599999999997</v>
      </c>
      <c r="U858" s="127">
        <v>9180</v>
      </c>
      <c r="V858" s="125">
        <v>381.12299999999999</v>
      </c>
      <c r="W858" s="127">
        <v>9190</v>
      </c>
      <c r="X858" s="125">
        <v>380.47899999999998</v>
      </c>
      <c r="Y858" s="127">
        <v>9190</v>
      </c>
      <c r="Z858" s="125">
        <v>378.87400000000002</v>
      </c>
      <c r="AA858" s="127">
        <v>9190</v>
      </c>
      <c r="AB858" s="125">
        <v>379.26900000000001</v>
      </c>
      <c r="AC858" s="127">
        <v>9180</v>
      </c>
      <c r="AD858" s="125">
        <v>305.99900000000002</v>
      </c>
      <c r="AE858" s="127">
        <v>9190</v>
      </c>
      <c r="AF858" s="125">
        <v>307.62</v>
      </c>
      <c r="AG858" s="127">
        <v>9170</v>
      </c>
      <c r="AH858" s="125">
        <v>69.475999999999999</v>
      </c>
      <c r="AI858" s="127">
        <v>9170</v>
      </c>
      <c r="AJ858" s="125">
        <v>73.930000000000007</v>
      </c>
    </row>
    <row r="859" spans="1:36" ht="14.25">
      <c r="A859" s="128">
        <v>9200</v>
      </c>
      <c r="B859" s="124">
        <v>157.84800000000001</v>
      </c>
      <c r="C859" s="128">
        <v>9210</v>
      </c>
      <c r="D859" s="125">
        <v>156.26599999999999</v>
      </c>
      <c r="E859" s="126">
        <v>9200</v>
      </c>
      <c r="F859" s="125">
        <v>406.01100000000002</v>
      </c>
      <c r="G859" s="127">
        <v>9200</v>
      </c>
      <c r="H859" s="125">
        <v>406.00799999999998</v>
      </c>
      <c r="I859" s="127">
        <v>9200</v>
      </c>
      <c r="J859" s="125">
        <v>378.9</v>
      </c>
      <c r="K859" s="127">
        <v>9200</v>
      </c>
      <c r="L859" s="125">
        <v>378.053</v>
      </c>
      <c r="M859" s="127">
        <v>9200</v>
      </c>
      <c r="N859" s="125">
        <v>378.72199999999998</v>
      </c>
      <c r="O859" s="127">
        <v>9180</v>
      </c>
      <c r="P859" s="125">
        <v>379.76799999999997</v>
      </c>
      <c r="Q859" s="127">
        <v>9200</v>
      </c>
      <c r="R859" s="125">
        <v>379.44200000000001</v>
      </c>
      <c r="S859" s="127">
        <v>9200</v>
      </c>
      <c r="T859" s="125">
        <v>380.10399999999998</v>
      </c>
      <c r="U859" s="127">
        <v>9190</v>
      </c>
      <c r="V859" s="125">
        <v>379.91300000000001</v>
      </c>
      <c r="W859" s="127">
        <v>9200</v>
      </c>
      <c r="X859" s="125">
        <v>379.26799999999997</v>
      </c>
      <c r="Y859" s="127">
        <v>9200</v>
      </c>
      <c r="Z859" s="125">
        <v>377.66399999999999</v>
      </c>
      <c r="AA859" s="127">
        <v>9200</v>
      </c>
      <c r="AB859" s="125">
        <v>378.05900000000003</v>
      </c>
      <c r="AC859" s="127">
        <v>9190</v>
      </c>
      <c r="AD859" s="125">
        <v>304.84899999999999</v>
      </c>
      <c r="AE859" s="127">
        <v>9200</v>
      </c>
      <c r="AF859" s="125">
        <v>306.46899999999999</v>
      </c>
      <c r="AG859" s="127">
        <v>9180</v>
      </c>
      <c r="AH859" s="125">
        <v>69.182000000000002</v>
      </c>
      <c r="AI859" s="127">
        <v>9180</v>
      </c>
      <c r="AJ859" s="125">
        <v>73.622</v>
      </c>
    </row>
    <row r="860" spans="1:36" ht="14.25">
      <c r="A860" s="128">
        <v>9210</v>
      </c>
      <c r="B860" s="124">
        <v>157.154</v>
      </c>
      <c r="C860" s="128">
        <v>9220</v>
      </c>
      <c r="D860" s="125">
        <v>155.57599999999999</v>
      </c>
      <c r="E860" s="126">
        <v>9210</v>
      </c>
      <c r="F860" s="125">
        <v>404.56200000000001</v>
      </c>
      <c r="G860" s="127">
        <v>9210</v>
      </c>
      <c r="H860" s="125">
        <v>404.55799999999999</v>
      </c>
      <c r="I860" s="127">
        <v>9210</v>
      </c>
      <c r="J860" s="125">
        <v>377.68799999999999</v>
      </c>
      <c r="K860" s="127">
        <v>9210</v>
      </c>
      <c r="L860" s="125">
        <v>376.84</v>
      </c>
      <c r="M860" s="127">
        <v>9210</v>
      </c>
      <c r="N860" s="125">
        <v>377.51100000000002</v>
      </c>
      <c r="O860" s="127">
        <v>9190</v>
      </c>
      <c r="P860" s="125">
        <v>378.55599999999998</v>
      </c>
      <c r="Q860" s="127">
        <v>9210</v>
      </c>
      <c r="R860" s="125">
        <v>378.23</v>
      </c>
      <c r="S860" s="127">
        <v>9210</v>
      </c>
      <c r="T860" s="125">
        <v>378.892</v>
      </c>
      <c r="U860" s="127">
        <v>9200</v>
      </c>
      <c r="V860" s="125">
        <v>378.702</v>
      </c>
      <c r="W860" s="127">
        <v>9210</v>
      </c>
      <c r="X860" s="125">
        <v>378.05700000000002</v>
      </c>
      <c r="Y860" s="127">
        <v>9210</v>
      </c>
      <c r="Z860" s="125">
        <v>376.45299999999997</v>
      </c>
      <c r="AA860" s="127">
        <v>9210</v>
      </c>
      <c r="AB860" s="125">
        <v>376.84899999999999</v>
      </c>
      <c r="AC860" s="127">
        <v>9200</v>
      </c>
      <c r="AD860" s="125">
        <v>303.69900000000001</v>
      </c>
      <c r="AE860" s="127">
        <v>9210</v>
      </c>
      <c r="AF860" s="125">
        <v>305.31900000000002</v>
      </c>
      <c r="AG860" s="127">
        <v>9190</v>
      </c>
      <c r="AH860" s="125">
        <v>68.888999999999996</v>
      </c>
      <c r="AI860" s="127">
        <v>9190</v>
      </c>
      <c r="AJ860" s="125">
        <v>73.313999999999993</v>
      </c>
    </row>
    <row r="861" spans="1:36" ht="14.25">
      <c r="A861" s="128">
        <v>9220</v>
      </c>
      <c r="B861" s="124">
        <v>156.46100000000001</v>
      </c>
      <c r="C861" s="128">
        <v>9230</v>
      </c>
      <c r="D861" s="125">
        <v>154.887</v>
      </c>
      <c r="E861" s="126">
        <v>9220</v>
      </c>
      <c r="F861" s="125">
        <v>403.11399999999998</v>
      </c>
      <c r="G861" s="127">
        <v>9220</v>
      </c>
      <c r="H861" s="125">
        <v>403.10899999999998</v>
      </c>
      <c r="I861" s="127">
        <v>9220</v>
      </c>
      <c r="J861" s="125">
        <v>376.47699999999998</v>
      </c>
      <c r="K861" s="127">
        <v>9220</v>
      </c>
      <c r="L861" s="125">
        <v>375.62599999999998</v>
      </c>
      <c r="M861" s="127">
        <v>9220</v>
      </c>
      <c r="N861" s="125">
        <v>376.29899999999998</v>
      </c>
      <c r="O861" s="127">
        <v>9200</v>
      </c>
      <c r="P861" s="125">
        <v>377.34399999999999</v>
      </c>
      <c r="Q861" s="127">
        <v>9220</v>
      </c>
      <c r="R861" s="125">
        <v>377.01900000000001</v>
      </c>
      <c r="S861" s="127">
        <v>9220</v>
      </c>
      <c r="T861" s="125">
        <v>377.68</v>
      </c>
      <c r="U861" s="127">
        <v>9210</v>
      </c>
      <c r="V861" s="125">
        <v>377.49200000000002</v>
      </c>
      <c r="W861" s="127">
        <v>9220</v>
      </c>
      <c r="X861" s="125">
        <v>376.846</v>
      </c>
      <c r="Y861" s="127">
        <v>9220</v>
      </c>
      <c r="Z861" s="125">
        <v>375.24200000000002</v>
      </c>
      <c r="AA861" s="127">
        <v>9220</v>
      </c>
      <c r="AB861" s="125">
        <v>375.63900000000001</v>
      </c>
      <c r="AC861" s="127">
        <v>9210</v>
      </c>
      <c r="AD861" s="125">
        <v>302.55</v>
      </c>
      <c r="AE861" s="127">
        <v>9220</v>
      </c>
      <c r="AF861" s="125">
        <v>304.17</v>
      </c>
      <c r="AG861" s="127">
        <v>9200</v>
      </c>
      <c r="AH861" s="125">
        <v>68.596000000000004</v>
      </c>
      <c r="AI861" s="127">
        <v>9200</v>
      </c>
      <c r="AJ861" s="125">
        <v>73.006</v>
      </c>
    </row>
    <row r="862" spans="1:36" ht="14.25">
      <c r="A862" s="128">
        <v>9230</v>
      </c>
      <c r="B862" s="124">
        <v>155.768</v>
      </c>
      <c r="C862" s="128">
        <v>9240</v>
      </c>
      <c r="D862" s="125">
        <v>154.19900000000001</v>
      </c>
      <c r="E862" s="126">
        <v>9230</v>
      </c>
      <c r="F862" s="125">
        <v>401.66500000000002</v>
      </c>
      <c r="G862" s="127">
        <v>9230</v>
      </c>
      <c r="H862" s="125">
        <v>401.65899999999999</v>
      </c>
      <c r="I862" s="127">
        <v>9230</v>
      </c>
      <c r="J862" s="125">
        <v>375.26499999999999</v>
      </c>
      <c r="K862" s="127">
        <v>9230</v>
      </c>
      <c r="L862" s="125">
        <v>374.41300000000001</v>
      </c>
      <c r="M862" s="127">
        <v>9230</v>
      </c>
      <c r="N862" s="125">
        <v>375.08699999999999</v>
      </c>
      <c r="O862" s="127">
        <v>9210</v>
      </c>
      <c r="P862" s="125">
        <v>376.13200000000001</v>
      </c>
      <c r="Q862" s="127">
        <v>9230</v>
      </c>
      <c r="R862" s="125">
        <v>375.80700000000002</v>
      </c>
      <c r="S862" s="127">
        <v>9230</v>
      </c>
      <c r="T862" s="125">
        <v>376.46800000000002</v>
      </c>
      <c r="U862" s="127">
        <v>9220</v>
      </c>
      <c r="V862" s="125">
        <v>376.28199999999998</v>
      </c>
      <c r="W862" s="127">
        <v>9230</v>
      </c>
      <c r="X862" s="125">
        <v>375.63499999999999</v>
      </c>
      <c r="Y862" s="127">
        <v>9230</v>
      </c>
      <c r="Z862" s="125">
        <v>374.03100000000001</v>
      </c>
      <c r="AA862" s="127">
        <v>9230</v>
      </c>
      <c r="AB862" s="125">
        <v>374.42899999999997</v>
      </c>
      <c r="AC862" s="127">
        <v>9220</v>
      </c>
      <c r="AD862" s="125">
        <v>301.40199999999999</v>
      </c>
      <c r="AE862" s="127">
        <v>9230</v>
      </c>
      <c r="AF862" s="125">
        <v>303.02199999999999</v>
      </c>
      <c r="AG862" s="127">
        <v>9210</v>
      </c>
      <c r="AH862" s="125">
        <v>68.302999999999997</v>
      </c>
      <c r="AI862" s="127">
        <v>9210</v>
      </c>
      <c r="AJ862" s="125">
        <v>72.698999999999998</v>
      </c>
    </row>
    <row r="863" spans="1:36" ht="14.25">
      <c r="A863" s="128">
        <v>9240</v>
      </c>
      <c r="B863" s="124">
        <v>155.077</v>
      </c>
      <c r="C863" s="128">
        <v>9250</v>
      </c>
      <c r="D863" s="125">
        <v>153.51300000000001</v>
      </c>
      <c r="E863" s="126">
        <v>9240</v>
      </c>
      <c r="F863" s="125">
        <v>400.21699999999998</v>
      </c>
      <c r="G863" s="127">
        <v>9240</v>
      </c>
      <c r="H863" s="125">
        <v>400.209</v>
      </c>
      <c r="I863" s="127">
        <v>9240</v>
      </c>
      <c r="J863" s="125">
        <v>374.05399999999997</v>
      </c>
      <c r="K863" s="127">
        <v>9240</v>
      </c>
      <c r="L863" s="125">
        <v>373.19900000000001</v>
      </c>
      <c r="M863" s="127">
        <v>9240</v>
      </c>
      <c r="N863" s="125">
        <v>373.875</v>
      </c>
      <c r="O863" s="127">
        <v>9220</v>
      </c>
      <c r="P863" s="125">
        <v>374.92</v>
      </c>
      <c r="Q863" s="127">
        <v>9240</v>
      </c>
      <c r="R863" s="125">
        <v>374.59500000000003</v>
      </c>
      <c r="S863" s="127">
        <v>9240</v>
      </c>
      <c r="T863" s="125">
        <v>375.25599999999997</v>
      </c>
      <c r="U863" s="127">
        <v>9230</v>
      </c>
      <c r="V863" s="125">
        <v>375.07100000000003</v>
      </c>
      <c r="W863" s="127">
        <v>9240</v>
      </c>
      <c r="X863" s="125">
        <v>374.42399999999998</v>
      </c>
      <c r="Y863" s="127">
        <v>9240</v>
      </c>
      <c r="Z863" s="125">
        <v>372.82</v>
      </c>
      <c r="AA863" s="127">
        <v>9240</v>
      </c>
      <c r="AB863" s="125">
        <v>373.21899999999999</v>
      </c>
      <c r="AC863" s="127">
        <v>9230</v>
      </c>
      <c r="AD863" s="125">
        <v>300.255</v>
      </c>
      <c r="AE863" s="127">
        <v>9240</v>
      </c>
      <c r="AF863" s="125">
        <v>301.875</v>
      </c>
      <c r="AG863" s="127">
        <v>9220</v>
      </c>
      <c r="AH863" s="125">
        <v>68.010000000000005</v>
      </c>
      <c r="AI863" s="127">
        <v>9220</v>
      </c>
      <c r="AJ863" s="125">
        <v>72.391999999999996</v>
      </c>
    </row>
    <row r="864" spans="1:36" ht="14.25">
      <c r="A864" s="128">
        <v>9250</v>
      </c>
      <c r="B864" s="124">
        <v>154.387</v>
      </c>
      <c r="C864" s="128">
        <v>9260</v>
      </c>
      <c r="D864" s="125">
        <v>152.827</v>
      </c>
      <c r="E864" s="126">
        <v>9250</v>
      </c>
      <c r="F864" s="125">
        <v>398.76900000000001</v>
      </c>
      <c r="G864" s="127">
        <v>9250</v>
      </c>
      <c r="H864" s="125">
        <v>398.76</v>
      </c>
      <c r="I864" s="127">
        <v>9250</v>
      </c>
      <c r="J864" s="125">
        <v>372.84199999999998</v>
      </c>
      <c r="K864" s="127">
        <v>9250</v>
      </c>
      <c r="L864" s="125">
        <v>371.98599999999999</v>
      </c>
      <c r="M864" s="127">
        <v>9250</v>
      </c>
      <c r="N864" s="125">
        <v>372.66399999999999</v>
      </c>
      <c r="O864" s="127">
        <v>9230</v>
      </c>
      <c r="P864" s="125">
        <v>373.70800000000003</v>
      </c>
      <c r="Q864" s="127">
        <v>9250</v>
      </c>
      <c r="R864" s="125">
        <v>373.38299999999998</v>
      </c>
      <c r="S864" s="127">
        <v>9250</v>
      </c>
      <c r="T864" s="125">
        <v>374.04399999999998</v>
      </c>
      <c r="U864" s="127">
        <v>9240</v>
      </c>
      <c r="V864" s="125">
        <v>373.86099999999999</v>
      </c>
      <c r="W864" s="127">
        <v>9250</v>
      </c>
      <c r="X864" s="125">
        <v>373.21300000000002</v>
      </c>
      <c r="Y864" s="127">
        <v>9250</v>
      </c>
      <c r="Z864" s="125">
        <v>371.61</v>
      </c>
      <c r="AA864" s="127">
        <v>9250</v>
      </c>
      <c r="AB864" s="125">
        <v>372.00900000000001</v>
      </c>
      <c r="AC864" s="127">
        <v>9240</v>
      </c>
      <c r="AD864" s="125">
        <v>299.10899999999998</v>
      </c>
      <c r="AE864" s="127">
        <v>9250</v>
      </c>
      <c r="AF864" s="125">
        <v>300.72800000000001</v>
      </c>
      <c r="AG864" s="127">
        <v>9230</v>
      </c>
      <c r="AH864" s="125">
        <v>67.718000000000004</v>
      </c>
      <c r="AI864" s="127">
        <v>9230</v>
      </c>
      <c r="AJ864" s="125">
        <v>72.085999999999999</v>
      </c>
    </row>
    <row r="865" spans="1:36" ht="14.25">
      <c r="A865" s="128">
        <v>9260</v>
      </c>
      <c r="B865" s="124">
        <v>153.69800000000001</v>
      </c>
      <c r="C865" s="128">
        <v>9270</v>
      </c>
      <c r="D865" s="125">
        <v>152.143</v>
      </c>
      <c r="E865" s="126">
        <v>9260</v>
      </c>
      <c r="F865" s="125">
        <v>397.32</v>
      </c>
      <c r="G865" s="127">
        <v>9260</v>
      </c>
      <c r="H865" s="125">
        <v>397.31</v>
      </c>
      <c r="I865" s="127">
        <v>9260</v>
      </c>
      <c r="J865" s="125">
        <v>371.63099999999997</v>
      </c>
      <c r="K865" s="127">
        <v>9260</v>
      </c>
      <c r="L865" s="125">
        <v>370.77300000000002</v>
      </c>
      <c r="M865" s="127">
        <v>9260</v>
      </c>
      <c r="N865" s="125">
        <v>371.452</v>
      </c>
      <c r="O865" s="127">
        <v>9240</v>
      </c>
      <c r="P865" s="125">
        <v>372.49599999999998</v>
      </c>
      <c r="Q865" s="127">
        <v>9260</v>
      </c>
      <c r="R865" s="125">
        <v>372.17200000000003</v>
      </c>
      <c r="S865" s="127">
        <v>9260</v>
      </c>
      <c r="T865" s="125">
        <v>372.83199999999999</v>
      </c>
      <c r="U865" s="127">
        <v>9250</v>
      </c>
      <c r="V865" s="125">
        <v>372.65100000000001</v>
      </c>
      <c r="W865" s="127">
        <v>9260</v>
      </c>
      <c r="X865" s="125">
        <v>372.00200000000001</v>
      </c>
      <c r="Y865" s="127">
        <v>9260</v>
      </c>
      <c r="Z865" s="125">
        <v>370.399</v>
      </c>
      <c r="AA865" s="127">
        <v>9260</v>
      </c>
      <c r="AB865" s="125">
        <v>370.79899999999998</v>
      </c>
      <c r="AC865" s="127">
        <v>9250</v>
      </c>
      <c r="AD865" s="125">
        <v>297.964</v>
      </c>
      <c r="AE865" s="127">
        <v>9260</v>
      </c>
      <c r="AF865" s="125">
        <v>299.58300000000003</v>
      </c>
      <c r="AG865" s="127">
        <v>9240</v>
      </c>
      <c r="AH865" s="125">
        <v>67.427000000000007</v>
      </c>
      <c r="AI865" s="127">
        <v>9240</v>
      </c>
      <c r="AJ865" s="125">
        <v>71.78</v>
      </c>
    </row>
    <row r="866" spans="1:36" ht="14.25">
      <c r="A866" s="128">
        <v>9270</v>
      </c>
      <c r="B866" s="124">
        <v>153.01</v>
      </c>
      <c r="C866" s="128">
        <v>9280</v>
      </c>
      <c r="D866" s="125">
        <v>151.46</v>
      </c>
      <c r="E866" s="126">
        <v>9270</v>
      </c>
      <c r="F866" s="125">
        <v>395.87200000000001</v>
      </c>
      <c r="G866" s="127">
        <v>9270</v>
      </c>
      <c r="H866" s="125">
        <v>395.86099999999999</v>
      </c>
      <c r="I866" s="127">
        <v>9270</v>
      </c>
      <c r="J866" s="125">
        <v>370.41899999999998</v>
      </c>
      <c r="K866" s="127">
        <v>9270</v>
      </c>
      <c r="L866" s="125">
        <v>369.55900000000003</v>
      </c>
      <c r="M866" s="127">
        <v>9270</v>
      </c>
      <c r="N866" s="125">
        <v>370.24</v>
      </c>
      <c r="O866" s="127">
        <v>9250</v>
      </c>
      <c r="P866" s="125">
        <v>371.28399999999999</v>
      </c>
      <c r="Q866" s="127">
        <v>9270</v>
      </c>
      <c r="R866" s="125">
        <v>370.96</v>
      </c>
      <c r="S866" s="127">
        <v>9270</v>
      </c>
      <c r="T866" s="125">
        <v>371.62</v>
      </c>
      <c r="U866" s="127">
        <v>9260</v>
      </c>
      <c r="V866" s="125">
        <v>371.44</v>
      </c>
      <c r="W866" s="127">
        <v>9270</v>
      </c>
      <c r="X866" s="125">
        <v>370.791</v>
      </c>
      <c r="Y866" s="127">
        <v>9270</v>
      </c>
      <c r="Z866" s="125">
        <v>369.18799999999999</v>
      </c>
      <c r="AA866" s="127">
        <v>9270</v>
      </c>
      <c r="AB866" s="125">
        <v>369.589</v>
      </c>
      <c r="AC866" s="127">
        <v>9260</v>
      </c>
      <c r="AD866" s="125">
        <v>296.81900000000002</v>
      </c>
      <c r="AE866" s="127">
        <v>9270</v>
      </c>
      <c r="AF866" s="125">
        <v>298.43799999999999</v>
      </c>
      <c r="AG866" s="127">
        <v>9250</v>
      </c>
      <c r="AH866" s="125">
        <v>67.135999999999996</v>
      </c>
      <c r="AI866" s="127">
        <v>9250</v>
      </c>
      <c r="AJ866" s="125">
        <v>71.474000000000004</v>
      </c>
    </row>
    <row r="867" spans="1:36" ht="14.25">
      <c r="A867" s="128">
        <v>9280</v>
      </c>
      <c r="B867" s="124">
        <v>152.32300000000001</v>
      </c>
      <c r="C867" s="128">
        <v>9290</v>
      </c>
      <c r="D867" s="125">
        <v>150.77799999999999</v>
      </c>
      <c r="E867" s="126">
        <v>9280</v>
      </c>
      <c r="F867" s="125">
        <v>394.42399999999998</v>
      </c>
      <c r="G867" s="127">
        <v>9280</v>
      </c>
      <c r="H867" s="125">
        <v>394.41199999999998</v>
      </c>
      <c r="I867" s="127">
        <v>9280</v>
      </c>
      <c r="J867" s="125">
        <v>369.20800000000003</v>
      </c>
      <c r="K867" s="127">
        <v>9280</v>
      </c>
      <c r="L867" s="125">
        <v>368.346</v>
      </c>
      <c r="M867" s="127">
        <v>9280</v>
      </c>
      <c r="N867" s="125">
        <v>369.02800000000002</v>
      </c>
      <c r="O867" s="127">
        <v>9260</v>
      </c>
      <c r="P867" s="125">
        <v>370.072</v>
      </c>
      <c r="Q867" s="127">
        <v>9280</v>
      </c>
      <c r="R867" s="125">
        <v>369.74799999999999</v>
      </c>
      <c r="S867" s="127">
        <v>9280</v>
      </c>
      <c r="T867" s="125">
        <v>370.40800000000002</v>
      </c>
      <c r="U867" s="127">
        <v>9270</v>
      </c>
      <c r="V867" s="125">
        <v>370.23</v>
      </c>
      <c r="W867" s="127">
        <v>9280</v>
      </c>
      <c r="X867" s="125">
        <v>369.58</v>
      </c>
      <c r="Y867" s="127">
        <v>9280</v>
      </c>
      <c r="Z867" s="125">
        <v>367.97699999999998</v>
      </c>
      <c r="AA867" s="127">
        <v>9280</v>
      </c>
      <c r="AB867" s="125">
        <v>368.37900000000002</v>
      </c>
      <c r="AC867" s="127">
        <v>9270</v>
      </c>
      <c r="AD867" s="125">
        <v>295.67500000000001</v>
      </c>
      <c r="AE867" s="127">
        <v>9280</v>
      </c>
      <c r="AF867" s="125">
        <v>297.29399999999998</v>
      </c>
      <c r="AG867" s="127">
        <v>9260</v>
      </c>
      <c r="AH867" s="125">
        <v>66.844999999999999</v>
      </c>
      <c r="AI867" s="127">
        <v>9260</v>
      </c>
      <c r="AJ867" s="125">
        <v>71.168999999999997</v>
      </c>
    </row>
    <row r="868" spans="1:36" ht="14.25">
      <c r="A868" s="128">
        <v>9290</v>
      </c>
      <c r="B868" s="124">
        <v>151.637</v>
      </c>
      <c r="C868" s="128">
        <v>9300</v>
      </c>
      <c r="D868" s="125">
        <v>150.09700000000001</v>
      </c>
      <c r="E868" s="126">
        <v>9290</v>
      </c>
      <c r="F868" s="125">
        <v>392.97699999999998</v>
      </c>
      <c r="G868" s="127">
        <v>9290</v>
      </c>
      <c r="H868" s="125">
        <v>392.96300000000002</v>
      </c>
      <c r="I868" s="127">
        <v>9290</v>
      </c>
      <c r="J868" s="125">
        <v>367.99599999999998</v>
      </c>
      <c r="K868" s="127">
        <v>9290</v>
      </c>
      <c r="L868" s="125">
        <v>367.13299999999998</v>
      </c>
      <c r="M868" s="127">
        <v>9290</v>
      </c>
      <c r="N868" s="125">
        <v>367.81700000000001</v>
      </c>
      <c r="O868" s="127">
        <v>9270</v>
      </c>
      <c r="P868" s="125">
        <v>368.86</v>
      </c>
      <c r="Q868" s="127">
        <v>9290</v>
      </c>
      <c r="R868" s="125">
        <v>368.536</v>
      </c>
      <c r="S868" s="127">
        <v>9290</v>
      </c>
      <c r="T868" s="125">
        <v>369.19600000000003</v>
      </c>
      <c r="U868" s="127">
        <v>9280</v>
      </c>
      <c r="V868" s="125">
        <v>369.02</v>
      </c>
      <c r="W868" s="127">
        <v>9290</v>
      </c>
      <c r="X868" s="125">
        <v>368.36900000000003</v>
      </c>
      <c r="Y868" s="127">
        <v>9290</v>
      </c>
      <c r="Z868" s="125">
        <v>366.76600000000002</v>
      </c>
      <c r="AA868" s="127">
        <v>9290</v>
      </c>
      <c r="AB868" s="125">
        <v>367.16899999999998</v>
      </c>
      <c r="AC868" s="127">
        <v>9280</v>
      </c>
      <c r="AD868" s="125">
        <v>294.53199999999998</v>
      </c>
      <c r="AE868" s="127">
        <v>9290</v>
      </c>
      <c r="AF868" s="125">
        <v>296.14999999999998</v>
      </c>
      <c r="AG868" s="127">
        <v>9270</v>
      </c>
      <c r="AH868" s="125">
        <v>66.555000000000007</v>
      </c>
      <c r="AI868" s="127">
        <v>9270</v>
      </c>
      <c r="AJ868" s="125">
        <v>70.864000000000004</v>
      </c>
    </row>
    <row r="869" spans="1:36" ht="14.25">
      <c r="A869" s="128">
        <v>9300</v>
      </c>
      <c r="B869" s="124">
        <v>150.952</v>
      </c>
      <c r="C869" s="128">
        <v>9310</v>
      </c>
      <c r="D869" s="125">
        <v>149.41800000000001</v>
      </c>
      <c r="E869" s="126">
        <v>9300</v>
      </c>
      <c r="F869" s="125">
        <v>391.529</v>
      </c>
      <c r="G869" s="127">
        <v>9300</v>
      </c>
      <c r="H869" s="125">
        <v>391.51400000000001</v>
      </c>
      <c r="I869" s="127">
        <v>9300</v>
      </c>
      <c r="J869" s="125">
        <v>366.78500000000003</v>
      </c>
      <c r="K869" s="127">
        <v>9300</v>
      </c>
      <c r="L869" s="125">
        <v>365.91899999999998</v>
      </c>
      <c r="M869" s="127">
        <v>9300</v>
      </c>
      <c r="N869" s="125">
        <v>366.60500000000002</v>
      </c>
      <c r="O869" s="127">
        <v>9280</v>
      </c>
      <c r="P869" s="125">
        <v>367.64800000000002</v>
      </c>
      <c r="Q869" s="127">
        <v>9300</v>
      </c>
      <c r="R869" s="125">
        <v>367.32499999999999</v>
      </c>
      <c r="S869" s="127">
        <v>9300</v>
      </c>
      <c r="T869" s="125">
        <v>367.98399999999998</v>
      </c>
      <c r="U869" s="127">
        <v>9290</v>
      </c>
      <c r="V869" s="125">
        <v>367.80900000000003</v>
      </c>
      <c r="W869" s="127">
        <v>9300</v>
      </c>
      <c r="X869" s="125">
        <v>367.15800000000002</v>
      </c>
      <c r="Y869" s="127">
        <v>9300</v>
      </c>
      <c r="Z869" s="125">
        <v>365.55599999999998</v>
      </c>
      <c r="AA869" s="127">
        <v>9300</v>
      </c>
      <c r="AB869" s="125">
        <v>365.959</v>
      </c>
      <c r="AC869" s="127">
        <v>9290</v>
      </c>
      <c r="AD869" s="125">
        <v>293.39</v>
      </c>
      <c r="AE869" s="127">
        <v>9300</v>
      </c>
      <c r="AF869" s="125">
        <v>295.00799999999998</v>
      </c>
      <c r="AG869" s="127">
        <v>9280</v>
      </c>
      <c r="AH869" s="125">
        <v>66.265000000000001</v>
      </c>
      <c r="AI869" s="127">
        <v>9280</v>
      </c>
      <c r="AJ869" s="125">
        <v>70.56</v>
      </c>
    </row>
    <row r="870" spans="1:36" ht="14.25">
      <c r="A870" s="128">
        <v>9310</v>
      </c>
      <c r="B870" s="124">
        <v>150.26900000000001</v>
      </c>
      <c r="C870" s="128">
        <v>9320</v>
      </c>
      <c r="D870" s="125">
        <v>148.74</v>
      </c>
      <c r="E870" s="126">
        <v>9310</v>
      </c>
      <c r="F870" s="125">
        <v>390.08100000000002</v>
      </c>
      <c r="G870" s="127">
        <v>9310</v>
      </c>
      <c r="H870" s="125">
        <v>390.065</v>
      </c>
      <c r="I870" s="127">
        <v>9310</v>
      </c>
      <c r="J870" s="125">
        <v>365.57299999999998</v>
      </c>
      <c r="K870" s="127">
        <v>9310</v>
      </c>
      <c r="L870" s="125">
        <v>364.70600000000002</v>
      </c>
      <c r="M870" s="127">
        <v>9310</v>
      </c>
      <c r="N870" s="125">
        <v>365.39299999999997</v>
      </c>
      <c r="O870" s="127">
        <v>9290</v>
      </c>
      <c r="P870" s="125">
        <v>366.43599999999998</v>
      </c>
      <c r="Q870" s="127">
        <v>9310</v>
      </c>
      <c r="R870" s="125">
        <v>366.113</v>
      </c>
      <c r="S870" s="127">
        <v>9310</v>
      </c>
      <c r="T870" s="125">
        <v>366.77199999999999</v>
      </c>
      <c r="U870" s="127">
        <v>9300</v>
      </c>
      <c r="V870" s="125">
        <v>366.59899999999999</v>
      </c>
      <c r="W870" s="127">
        <v>9310</v>
      </c>
      <c r="X870" s="125">
        <v>365.947</v>
      </c>
      <c r="Y870" s="127">
        <v>9310</v>
      </c>
      <c r="Z870" s="125">
        <v>364.34500000000003</v>
      </c>
      <c r="AA870" s="127">
        <v>9310</v>
      </c>
      <c r="AB870" s="125">
        <v>364.74900000000002</v>
      </c>
      <c r="AC870" s="127">
        <v>9300</v>
      </c>
      <c r="AD870" s="125">
        <v>292.24900000000002</v>
      </c>
      <c r="AE870" s="127">
        <v>9310</v>
      </c>
      <c r="AF870" s="125">
        <v>293.86599999999999</v>
      </c>
      <c r="AG870" s="127">
        <v>9290</v>
      </c>
      <c r="AH870" s="125">
        <v>65.974999999999994</v>
      </c>
      <c r="AI870" s="127">
        <v>9290</v>
      </c>
      <c r="AJ870" s="125">
        <v>70.256</v>
      </c>
    </row>
    <row r="871" spans="1:36" ht="14.25">
      <c r="A871" s="128">
        <v>9320</v>
      </c>
      <c r="B871" s="124">
        <v>149.58600000000001</v>
      </c>
      <c r="C871" s="128">
        <v>9330</v>
      </c>
      <c r="D871" s="125">
        <v>148.06299999999999</v>
      </c>
      <c r="E871" s="126">
        <v>9320</v>
      </c>
      <c r="F871" s="125">
        <v>388.63400000000001</v>
      </c>
      <c r="G871" s="127">
        <v>9320</v>
      </c>
      <c r="H871" s="125">
        <v>388.61599999999999</v>
      </c>
      <c r="I871" s="127">
        <v>9320</v>
      </c>
      <c r="J871" s="125">
        <v>364.36200000000002</v>
      </c>
      <c r="K871" s="127">
        <v>9320</v>
      </c>
      <c r="L871" s="125">
        <v>363.49200000000002</v>
      </c>
      <c r="M871" s="127">
        <v>9320</v>
      </c>
      <c r="N871" s="125">
        <v>364.18200000000002</v>
      </c>
      <c r="O871" s="127">
        <v>9300</v>
      </c>
      <c r="P871" s="125">
        <v>365.22399999999999</v>
      </c>
      <c r="Q871" s="127">
        <v>9320</v>
      </c>
      <c r="R871" s="125">
        <v>364.90100000000001</v>
      </c>
      <c r="S871" s="127">
        <v>9320</v>
      </c>
      <c r="T871" s="125">
        <v>365.56</v>
      </c>
      <c r="U871" s="127">
        <v>9310</v>
      </c>
      <c r="V871" s="125">
        <v>365.38900000000001</v>
      </c>
      <c r="W871" s="127">
        <v>9320</v>
      </c>
      <c r="X871" s="125">
        <v>364.73599999999999</v>
      </c>
      <c r="Y871" s="127">
        <v>9320</v>
      </c>
      <c r="Z871" s="125">
        <v>363.13400000000001</v>
      </c>
      <c r="AA871" s="127">
        <v>9320</v>
      </c>
      <c r="AB871" s="125">
        <v>363.53899999999999</v>
      </c>
      <c r="AC871" s="127">
        <v>9310</v>
      </c>
      <c r="AD871" s="125">
        <v>291.10899999999998</v>
      </c>
      <c r="AE871" s="127">
        <v>9320</v>
      </c>
      <c r="AF871" s="125">
        <v>292.72500000000002</v>
      </c>
      <c r="AG871" s="127">
        <v>9300</v>
      </c>
      <c r="AH871" s="125">
        <v>65.686000000000007</v>
      </c>
      <c r="AI871" s="127">
        <v>9300</v>
      </c>
      <c r="AJ871" s="125">
        <v>69.951999999999998</v>
      </c>
    </row>
    <row r="872" spans="1:36" ht="14.25">
      <c r="A872" s="128">
        <v>9330</v>
      </c>
      <c r="B872" s="124">
        <v>148.905</v>
      </c>
      <c r="C872" s="128">
        <v>9340</v>
      </c>
      <c r="D872" s="125">
        <v>147.387</v>
      </c>
      <c r="E872" s="126">
        <v>9330</v>
      </c>
      <c r="F872" s="125">
        <v>387.18599999999998</v>
      </c>
      <c r="G872" s="127">
        <v>9330</v>
      </c>
      <c r="H872" s="125">
        <v>387.16699999999997</v>
      </c>
      <c r="I872" s="127">
        <v>9330</v>
      </c>
      <c r="J872" s="125">
        <v>363.15</v>
      </c>
      <c r="K872" s="127">
        <v>9330</v>
      </c>
      <c r="L872" s="125">
        <v>362.279</v>
      </c>
      <c r="M872" s="127">
        <v>9330</v>
      </c>
      <c r="N872" s="125">
        <v>362.97</v>
      </c>
      <c r="O872" s="127">
        <v>9310</v>
      </c>
      <c r="P872" s="125">
        <v>364.012</v>
      </c>
      <c r="Q872" s="127">
        <v>9330</v>
      </c>
      <c r="R872" s="125">
        <v>363.68900000000002</v>
      </c>
      <c r="S872" s="127">
        <v>9330</v>
      </c>
      <c r="T872" s="125">
        <v>364.34800000000001</v>
      </c>
      <c r="U872" s="127">
        <v>9320</v>
      </c>
      <c r="V872" s="125">
        <v>364.178</v>
      </c>
      <c r="W872" s="127">
        <v>9330</v>
      </c>
      <c r="X872" s="125">
        <v>363.524</v>
      </c>
      <c r="Y872" s="127">
        <v>9330</v>
      </c>
      <c r="Z872" s="125">
        <v>361.923</v>
      </c>
      <c r="AA872" s="127">
        <v>9330</v>
      </c>
      <c r="AB872" s="125">
        <v>362.32900000000001</v>
      </c>
      <c r="AC872" s="127">
        <v>9320</v>
      </c>
      <c r="AD872" s="125">
        <v>289.96899999999999</v>
      </c>
      <c r="AE872" s="127">
        <v>9330</v>
      </c>
      <c r="AF872" s="125">
        <v>291.58499999999998</v>
      </c>
      <c r="AG872" s="127">
        <v>9310</v>
      </c>
      <c r="AH872" s="125">
        <v>65.397000000000006</v>
      </c>
      <c r="AI872" s="127">
        <v>9310</v>
      </c>
      <c r="AJ872" s="125">
        <v>69.649000000000001</v>
      </c>
    </row>
    <row r="873" spans="1:36" ht="14.25">
      <c r="A873" s="128">
        <v>9340</v>
      </c>
      <c r="B873" s="124">
        <v>148.22499999999999</v>
      </c>
      <c r="C873" s="128">
        <v>9350</v>
      </c>
      <c r="D873" s="125">
        <v>146.71199999999999</v>
      </c>
      <c r="E873" s="126">
        <v>9340</v>
      </c>
      <c r="F873" s="125">
        <v>385.73899999999998</v>
      </c>
      <c r="G873" s="127">
        <v>9340</v>
      </c>
      <c r="H873" s="125">
        <v>385.71800000000002</v>
      </c>
      <c r="I873" s="127">
        <v>9340</v>
      </c>
      <c r="J873" s="125">
        <v>361.93900000000002</v>
      </c>
      <c r="K873" s="127">
        <v>9340</v>
      </c>
      <c r="L873" s="125">
        <v>361.06599999999997</v>
      </c>
      <c r="M873" s="127">
        <v>9340</v>
      </c>
      <c r="N873" s="125">
        <v>361.75799999999998</v>
      </c>
      <c r="O873" s="127">
        <v>9320</v>
      </c>
      <c r="P873" s="125">
        <v>362.8</v>
      </c>
      <c r="Q873" s="127">
        <v>9340</v>
      </c>
      <c r="R873" s="125">
        <v>362.47800000000001</v>
      </c>
      <c r="S873" s="127">
        <v>9340</v>
      </c>
      <c r="T873" s="125">
        <v>363.13600000000002</v>
      </c>
      <c r="U873" s="127">
        <v>9330</v>
      </c>
      <c r="V873" s="125">
        <v>362.96800000000002</v>
      </c>
      <c r="W873" s="127">
        <v>9340</v>
      </c>
      <c r="X873" s="125">
        <v>362.31299999999999</v>
      </c>
      <c r="Y873" s="127">
        <v>9340</v>
      </c>
      <c r="Z873" s="125">
        <v>360.71300000000002</v>
      </c>
      <c r="AA873" s="127">
        <v>9340</v>
      </c>
      <c r="AB873" s="125">
        <v>361.11900000000003</v>
      </c>
      <c r="AC873" s="127">
        <v>9330</v>
      </c>
      <c r="AD873" s="125">
        <v>288.83</v>
      </c>
      <c r="AE873" s="127">
        <v>9340</v>
      </c>
      <c r="AF873" s="125">
        <v>290.44600000000003</v>
      </c>
      <c r="AG873" s="127">
        <v>9320</v>
      </c>
      <c r="AH873" s="125">
        <v>65.108999999999995</v>
      </c>
      <c r="AI873" s="127">
        <v>9320</v>
      </c>
      <c r="AJ873" s="125">
        <v>69.346000000000004</v>
      </c>
    </row>
    <row r="874" spans="1:36" ht="14.25">
      <c r="A874" s="128">
        <v>9350</v>
      </c>
      <c r="B874" s="124">
        <v>147.547</v>
      </c>
      <c r="C874" s="128">
        <v>9360</v>
      </c>
      <c r="D874" s="125">
        <v>146.03899999999999</v>
      </c>
      <c r="E874" s="126">
        <v>9350</v>
      </c>
      <c r="F874" s="125">
        <v>384.29199999999997</v>
      </c>
      <c r="G874" s="127">
        <v>9350</v>
      </c>
      <c r="H874" s="125">
        <v>384.27</v>
      </c>
      <c r="I874" s="127">
        <v>9350</v>
      </c>
      <c r="J874" s="125">
        <v>360.72699999999998</v>
      </c>
      <c r="K874" s="127">
        <v>9350</v>
      </c>
      <c r="L874" s="125">
        <v>359.85199999999998</v>
      </c>
      <c r="M874" s="127">
        <v>9350</v>
      </c>
      <c r="N874" s="125">
        <v>360.54599999999999</v>
      </c>
      <c r="O874" s="127">
        <v>9330</v>
      </c>
      <c r="P874" s="125">
        <v>361.58800000000002</v>
      </c>
      <c r="Q874" s="127">
        <v>9350</v>
      </c>
      <c r="R874" s="125">
        <v>361.26600000000002</v>
      </c>
      <c r="S874" s="127">
        <v>9350</v>
      </c>
      <c r="T874" s="125">
        <v>361.92399999999998</v>
      </c>
      <c r="U874" s="127">
        <v>9340</v>
      </c>
      <c r="V874" s="125">
        <v>361.75799999999998</v>
      </c>
      <c r="W874" s="127">
        <v>9350</v>
      </c>
      <c r="X874" s="125">
        <v>361.10199999999998</v>
      </c>
      <c r="Y874" s="127">
        <v>9350</v>
      </c>
      <c r="Z874" s="125">
        <v>359.50200000000001</v>
      </c>
      <c r="AA874" s="127">
        <v>9350</v>
      </c>
      <c r="AB874" s="125">
        <v>359.90899999999999</v>
      </c>
      <c r="AC874" s="127">
        <v>9340</v>
      </c>
      <c r="AD874" s="125">
        <v>287.69299999999998</v>
      </c>
      <c r="AE874" s="127">
        <v>9350</v>
      </c>
      <c r="AF874" s="125">
        <v>289.30799999999999</v>
      </c>
      <c r="AG874" s="127">
        <v>9330</v>
      </c>
      <c r="AH874" s="125">
        <v>64.820999999999998</v>
      </c>
      <c r="AI874" s="127">
        <v>9330</v>
      </c>
      <c r="AJ874" s="125">
        <v>69.043999999999997</v>
      </c>
    </row>
    <row r="875" spans="1:36" ht="14.25">
      <c r="A875" s="128">
        <v>9360</v>
      </c>
      <c r="B875" s="124">
        <v>146.869</v>
      </c>
      <c r="C875" s="128">
        <v>9370</v>
      </c>
      <c r="D875" s="125">
        <v>145.36699999999999</v>
      </c>
      <c r="E875" s="126">
        <v>9360</v>
      </c>
      <c r="F875" s="125">
        <v>382.84500000000003</v>
      </c>
      <c r="G875" s="127">
        <v>9360</v>
      </c>
      <c r="H875" s="125">
        <v>382.82100000000003</v>
      </c>
      <c r="I875" s="127">
        <v>9360</v>
      </c>
      <c r="J875" s="125">
        <v>359.51600000000002</v>
      </c>
      <c r="K875" s="127">
        <v>9360</v>
      </c>
      <c r="L875" s="125">
        <v>358.63900000000001</v>
      </c>
      <c r="M875" s="127">
        <v>9360</v>
      </c>
      <c r="N875" s="125">
        <v>359.33499999999998</v>
      </c>
      <c r="O875" s="127">
        <v>9340</v>
      </c>
      <c r="P875" s="125">
        <v>360.37599999999998</v>
      </c>
      <c r="Q875" s="127">
        <v>9360</v>
      </c>
      <c r="R875" s="125">
        <v>360.05399999999997</v>
      </c>
      <c r="S875" s="127">
        <v>9360</v>
      </c>
      <c r="T875" s="125">
        <v>360.71199999999999</v>
      </c>
      <c r="U875" s="127">
        <v>9350</v>
      </c>
      <c r="V875" s="125">
        <v>360.54700000000003</v>
      </c>
      <c r="W875" s="127">
        <v>9360</v>
      </c>
      <c r="X875" s="125">
        <v>359.89100000000002</v>
      </c>
      <c r="Y875" s="127">
        <v>9360</v>
      </c>
      <c r="Z875" s="125">
        <v>358.291</v>
      </c>
      <c r="AA875" s="127">
        <v>9360</v>
      </c>
      <c r="AB875" s="125">
        <v>358.69900000000001</v>
      </c>
      <c r="AC875" s="127">
        <v>9350</v>
      </c>
      <c r="AD875" s="125">
        <v>286.55599999999998</v>
      </c>
      <c r="AE875" s="127">
        <v>9360</v>
      </c>
      <c r="AF875" s="125">
        <v>288.17099999999999</v>
      </c>
      <c r="AG875" s="127">
        <v>9340</v>
      </c>
      <c r="AH875" s="125">
        <v>64.533000000000001</v>
      </c>
      <c r="AI875" s="127">
        <v>9340</v>
      </c>
      <c r="AJ875" s="125">
        <v>68.742000000000004</v>
      </c>
    </row>
    <row r="876" spans="1:36" ht="14.25">
      <c r="A876" s="128">
        <v>9370</v>
      </c>
      <c r="B876" s="124">
        <v>146.19300000000001</v>
      </c>
      <c r="C876" s="128">
        <v>9380</v>
      </c>
      <c r="D876" s="125">
        <v>144.696</v>
      </c>
      <c r="E876" s="126">
        <v>9370</v>
      </c>
      <c r="F876" s="125">
        <v>381.39800000000002</v>
      </c>
      <c r="G876" s="127">
        <v>9370</v>
      </c>
      <c r="H876" s="125">
        <v>381.37299999999999</v>
      </c>
      <c r="I876" s="127">
        <v>9370</v>
      </c>
      <c r="J876" s="125">
        <v>358.30399999999997</v>
      </c>
      <c r="K876" s="127">
        <v>9370</v>
      </c>
      <c r="L876" s="125">
        <v>357.42599999999999</v>
      </c>
      <c r="M876" s="127">
        <v>9370</v>
      </c>
      <c r="N876" s="125">
        <v>358.12299999999999</v>
      </c>
      <c r="O876" s="127">
        <v>9350</v>
      </c>
      <c r="P876" s="125">
        <v>359.16399999999999</v>
      </c>
      <c r="Q876" s="127">
        <v>9370</v>
      </c>
      <c r="R876" s="125">
        <v>358.84199999999998</v>
      </c>
      <c r="S876" s="127">
        <v>9370</v>
      </c>
      <c r="T876" s="125">
        <v>359.5</v>
      </c>
      <c r="U876" s="127">
        <v>9360</v>
      </c>
      <c r="V876" s="125">
        <v>359.33699999999999</v>
      </c>
      <c r="W876" s="127">
        <v>9370</v>
      </c>
      <c r="X876" s="125">
        <v>358.68</v>
      </c>
      <c r="Y876" s="127">
        <v>9370</v>
      </c>
      <c r="Z876" s="125">
        <v>357.08</v>
      </c>
      <c r="AA876" s="127">
        <v>9370</v>
      </c>
      <c r="AB876" s="125">
        <v>357.48899999999998</v>
      </c>
      <c r="AC876" s="127">
        <v>9360</v>
      </c>
      <c r="AD876" s="125">
        <v>285.41899999999998</v>
      </c>
      <c r="AE876" s="127">
        <v>9370</v>
      </c>
      <c r="AF876" s="125">
        <v>287.03399999999999</v>
      </c>
      <c r="AG876" s="127">
        <v>9350</v>
      </c>
      <c r="AH876" s="125">
        <v>64.245999999999995</v>
      </c>
      <c r="AI876" s="127">
        <v>9350</v>
      </c>
      <c r="AJ876" s="125">
        <v>68.44</v>
      </c>
    </row>
    <row r="877" spans="1:36" ht="14.25">
      <c r="A877" s="128">
        <v>9380</v>
      </c>
      <c r="B877" s="124">
        <v>145.518</v>
      </c>
      <c r="C877" s="128">
        <v>9390</v>
      </c>
      <c r="D877" s="125">
        <v>144.02699999999999</v>
      </c>
      <c r="E877" s="126">
        <v>9380</v>
      </c>
      <c r="F877" s="125">
        <v>379.95100000000002</v>
      </c>
      <c r="G877" s="127">
        <v>9380</v>
      </c>
      <c r="H877" s="125">
        <v>379.92500000000001</v>
      </c>
      <c r="I877" s="127">
        <v>9380</v>
      </c>
      <c r="J877" s="125">
        <v>357.09300000000002</v>
      </c>
      <c r="K877" s="127">
        <v>9380</v>
      </c>
      <c r="L877" s="125">
        <v>356.21199999999999</v>
      </c>
      <c r="M877" s="127">
        <v>9380</v>
      </c>
      <c r="N877" s="125">
        <v>356.911</v>
      </c>
      <c r="O877" s="127">
        <v>9360</v>
      </c>
      <c r="P877" s="125">
        <v>357.952</v>
      </c>
      <c r="Q877" s="127">
        <v>9380</v>
      </c>
      <c r="R877" s="125">
        <v>357.63099999999997</v>
      </c>
      <c r="S877" s="127">
        <v>9380</v>
      </c>
      <c r="T877" s="125">
        <v>358.28800000000001</v>
      </c>
      <c r="U877" s="127">
        <v>9370</v>
      </c>
      <c r="V877" s="125">
        <v>358.12700000000001</v>
      </c>
      <c r="W877" s="127">
        <v>9380</v>
      </c>
      <c r="X877" s="125">
        <v>357.46899999999999</v>
      </c>
      <c r="Y877" s="127">
        <v>9380</v>
      </c>
      <c r="Z877" s="125">
        <v>355.86900000000003</v>
      </c>
      <c r="AA877" s="127">
        <v>9380</v>
      </c>
      <c r="AB877" s="125">
        <v>356.279</v>
      </c>
      <c r="AC877" s="127">
        <v>9370</v>
      </c>
      <c r="AD877" s="125">
        <v>284.28399999999999</v>
      </c>
      <c r="AE877" s="127">
        <v>9380</v>
      </c>
      <c r="AF877" s="125">
        <v>285.89800000000002</v>
      </c>
      <c r="AG877" s="127">
        <v>9360</v>
      </c>
      <c r="AH877" s="125">
        <v>63.959000000000003</v>
      </c>
      <c r="AI877" s="127">
        <v>9360</v>
      </c>
      <c r="AJ877" s="125">
        <v>68.138999999999996</v>
      </c>
    </row>
    <row r="878" spans="1:36" ht="14.25">
      <c r="A878" s="128">
        <v>9390</v>
      </c>
      <c r="B878" s="124">
        <v>144.84399999999999</v>
      </c>
      <c r="C878" s="128">
        <v>9400</v>
      </c>
      <c r="D878" s="125">
        <v>143.35900000000001</v>
      </c>
      <c r="E878" s="126">
        <v>9390</v>
      </c>
      <c r="F878" s="125">
        <v>378.50400000000002</v>
      </c>
      <c r="G878" s="127">
        <v>9390</v>
      </c>
      <c r="H878" s="125">
        <v>378.47699999999998</v>
      </c>
      <c r="I878" s="127">
        <v>9390</v>
      </c>
      <c r="J878" s="125">
        <v>355.88099999999997</v>
      </c>
      <c r="K878" s="127">
        <v>9390</v>
      </c>
      <c r="L878" s="125">
        <v>354.99900000000002</v>
      </c>
      <c r="M878" s="127">
        <v>9390</v>
      </c>
      <c r="N878" s="125">
        <v>355.7</v>
      </c>
      <c r="O878" s="127">
        <v>9370</v>
      </c>
      <c r="P878" s="125">
        <v>356.74</v>
      </c>
      <c r="Q878" s="127">
        <v>9390</v>
      </c>
      <c r="R878" s="125">
        <v>356.41899999999998</v>
      </c>
      <c r="S878" s="127">
        <v>9390</v>
      </c>
      <c r="T878" s="125">
        <v>357.07600000000002</v>
      </c>
      <c r="U878" s="127">
        <v>9380</v>
      </c>
      <c r="V878" s="125">
        <v>356.916</v>
      </c>
      <c r="W878" s="127">
        <v>9390</v>
      </c>
      <c r="X878" s="125">
        <v>356.25799999999998</v>
      </c>
      <c r="Y878" s="127">
        <v>9390</v>
      </c>
      <c r="Z878" s="125">
        <v>354.65899999999999</v>
      </c>
      <c r="AA878" s="127">
        <v>9390</v>
      </c>
      <c r="AB878" s="125">
        <v>355.06900000000002</v>
      </c>
      <c r="AC878" s="127">
        <v>9380</v>
      </c>
      <c r="AD878" s="125">
        <v>283.14999999999998</v>
      </c>
      <c r="AE878" s="127">
        <v>9390</v>
      </c>
      <c r="AF878" s="125">
        <v>284.76400000000001</v>
      </c>
      <c r="AG878" s="127">
        <v>9370</v>
      </c>
      <c r="AH878" s="125">
        <v>63.673000000000002</v>
      </c>
      <c r="AI878" s="127">
        <v>9370</v>
      </c>
      <c r="AJ878" s="125">
        <v>67.837999999999994</v>
      </c>
    </row>
    <row r="879" spans="1:36" ht="14.25">
      <c r="A879" s="128">
        <v>9400</v>
      </c>
      <c r="B879" s="124">
        <v>144.172</v>
      </c>
      <c r="C879" s="128">
        <v>9410</v>
      </c>
      <c r="D879" s="125">
        <v>142.69200000000001</v>
      </c>
      <c r="E879" s="126">
        <v>9400</v>
      </c>
      <c r="F879" s="125">
        <v>377.05700000000002</v>
      </c>
      <c r="G879" s="127">
        <v>9400</v>
      </c>
      <c r="H879" s="125">
        <v>377.029</v>
      </c>
      <c r="I879" s="127">
        <v>9400</v>
      </c>
      <c r="J879" s="125">
        <v>354.67</v>
      </c>
      <c r="K879" s="127">
        <v>9400</v>
      </c>
      <c r="L879" s="125">
        <v>353.786</v>
      </c>
      <c r="M879" s="127">
        <v>9400</v>
      </c>
      <c r="N879" s="125">
        <v>354.488</v>
      </c>
      <c r="O879" s="127">
        <v>9380</v>
      </c>
      <c r="P879" s="125">
        <v>355.52800000000002</v>
      </c>
      <c r="Q879" s="127">
        <v>9400</v>
      </c>
      <c r="R879" s="125">
        <v>355.20699999999999</v>
      </c>
      <c r="S879" s="127">
        <v>9400</v>
      </c>
      <c r="T879" s="125">
        <v>355.86399999999998</v>
      </c>
      <c r="U879" s="127">
        <v>9390</v>
      </c>
      <c r="V879" s="125">
        <v>355.70600000000002</v>
      </c>
      <c r="W879" s="127">
        <v>9400</v>
      </c>
      <c r="X879" s="125">
        <v>355.04700000000003</v>
      </c>
      <c r="Y879" s="127">
        <v>9400</v>
      </c>
      <c r="Z879" s="125">
        <v>353.44799999999998</v>
      </c>
      <c r="AA879" s="127">
        <v>9400</v>
      </c>
      <c r="AB879" s="125">
        <v>353.85899999999998</v>
      </c>
      <c r="AC879" s="127">
        <v>9390</v>
      </c>
      <c r="AD879" s="125">
        <v>282.01600000000002</v>
      </c>
      <c r="AE879" s="127">
        <v>9400</v>
      </c>
      <c r="AF879" s="125">
        <v>283.63</v>
      </c>
      <c r="AG879" s="127">
        <v>9380</v>
      </c>
      <c r="AH879" s="125">
        <v>63.387</v>
      </c>
      <c r="AI879" s="127">
        <v>9380</v>
      </c>
      <c r="AJ879" s="125">
        <v>67.537999999999997</v>
      </c>
    </row>
    <row r="880" spans="1:36" ht="14.25">
      <c r="A880" s="128">
        <v>9410</v>
      </c>
      <c r="B880" s="124">
        <v>143.501</v>
      </c>
      <c r="C880" s="128">
        <v>9420</v>
      </c>
      <c r="D880" s="125">
        <v>142.02600000000001</v>
      </c>
      <c r="E880" s="126">
        <v>9410</v>
      </c>
      <c r="F880" s="125">
        <v>375.61099999999999</v>
      </c>
      <c r="G880" s="127">
        <v>9410</v>
      </c>
      <c r="H880" s="125">
        <v>375.58100000000002</v>
      </c>
      <c r="I880" s="127">
        <v>9410</v>
      </c>
      <c r="J880" s="125">
        <v>353.45800000000003</v>
      </c>
      <c r="K880" s="127">
        <v>9410</v>
      </c>
      <c r="L880" s="125">
        <v>352.572</v>
      </c>
      <c r="M880" s="127">
        <v>9410</v>
      </c>
      <c r="N880" s="125">
        <v>353.27600000000001</v>
      </c>
      <c r="O880" s="127">
        <v>9390</v>
      </c>
      <c r="P880" s="125">
        <v>354.31599999999997</v>
      </c>
      <c r="Q880" s="127">
        <v>9410</v>
      </c>
      <c r="R880" s="125">
        <v>353.99599999999998</v>
      </c>
      <c r="S880" s="127">
        <v>9410</v>
      </c>
      <c r="T880" s="125">
        <v>354.65199999999999</v>
      </c>
      <c r="U880" s="127">
        <v>9400</v>
      </c>
      <c r="V880" s="125">
        <v>354.49599999999998</v>
      </c>
      <c r="W880" s="127">
        <v>9410</v>
      </c>
      <c r="X880" s="125">
        <v>353.83600000000001</v>
      </c>
      <c r="Y880" s="127">
        <v>9410</v>
      </c>
      <c r="Z880" s="125">
        <v>352.23700000000002</v>
      </c>
      <c r="AA880" s="127">
        <v>9410</v>
      </c>
      <c r="AB880" s="125">
        <v>352.649</v>
      </c>
      <c r="AC880" s="127">
        <v>9400</v>
      </c>
      <c r="AD880" s="125">
        <v>280.88400000000001</v>
      </c>
      <c r="AE880" s="127">
        <v>9410</v>
      </c>
      <c r="AF880" s="125">
        <v>282.49700000000001</v>
      </c>
      <c r="AG880" s="127">
        <v>9390</v>
      </c>
      <c r="AH880" s="125">
        <v>63.100999999999999</v>
      </c>
      <c r="AI880" s="127">
        <v>9390</v>
      </c>
      <c r="AJ880" s="125">
        <v>67.238</v>
      </c>
    </row>
    <row r="881" spans="1:36" ht="14.25">
      <c r="A881" s="128">
        <v>9420</v>
      </c>
      <c r="B881" s="124">
        <v>142.83099999999999</v>
      </c>
      <c r="C881" s="128">
        <v>9430</v>
      </c>
      <c r="D881" s="125">
        <v>141.36199999999999</v>
      </c>
      <c r="E881" s="126">
        <v>9420</v>
      </c>
      <c r="F881" s="125">
        <v>374.16399999999999</v>
      </c>
      <c r="G881" s="127">
        <v>9420</v>
      </c>
      <c r="H881" s="125">
        <v>374.13400000000001</v>
      </c>
      <c r="I881" s="127">
        <v>9420</v>
      </c>
      <c r="J881" s="125">
        <v>352.24700000000001</v>
      </c>
      <c r="K881" s="127">
        <v>9420</v>
      </c>
      <c r="L881" s="125">
        <v>351.35899999999998</v>
      </c>
      <c r="M881" s="127">
        <v>9420</v>
      </c>
      <c r="N881" s="125">
        <v>352.06400000000002</v>
      </c>
      <c r="O881" s="127">
        <v>9400</v>
      </c>
      <c r="P881" s="125">
        <v>353.10399999999998</v>
      </c>
      <c r="Q881" s="127">
        <v>9420</v>
      </c>
      <c r="R881" s="125">
        <v>352.78399999999999</v>
      </c>
      <c r="S881" s="127">
        <v>9420</v>
      </c>
      <c r="T881" s="125">
        <v>353.44</v>
      </c>
      <c r="U881" s="127">
        <v>9410</v>
      </c>
      <c r="V881" s="125">
        <v>353.28500000000003</v>
      </c>
      <c r="W881" s="127">
        <v>9420</v>
      </c>
      <c r="X881" s="125">
        <v>352.625</v>
      </c>
      <c r="Y881" s="127">
        <v>9420</v>
      </c>
      <c r="Z881" s="125">
        <v>351.02600000000001</v>
      </c>
      <c r="AA881" s="127">
        <v>9420</v>
      </c>
      <c r="AB881" s="125">
        <v>351.43900000000002</v>
      </c>
      <c r="AC881" s="127">
        <v>9410</v>
      </c>
      <c r="AD881" s="125">
        <v>279.75200000000001</v>
      </c>
      <c r="AE881" s="127">
        <v>9420</v>
      </c>
      <c r="AF881" s="125">
        <v>281.36399999999998</v>
      </c>
      <c r="AG881" s="127">
        <v>9400</v>
      </c>
      <c r="AH881" s="125">
        <v>62.816000000000003</v>
      </c>
      <c r="AI881" s="127">
        <v>9400</v>
      </c>
      <c r="AJ881" s="125">
        <v>66.938999999999993</v>
      </c>
    </row>
    <row r="882" spans="1:36" ht="14.25">
      <c r="A882" s="128">
        <v>9430</v>
      </c>
      <c r="B882" s="124">
        <v>142.16300000000001</v>
      </c>
      <c r="C882" s="128">
        <v>9440</v>
      </c>
      <c r="D882" s="125">
        <v>140.69900000000001</v>
      </c>
      <c r="E882" s="126">
        <v>9430</v>
      </c>
      <c r="F882" s="125">
        <v>372.71800000000002</v>
      </c>
      <c r="G882" s="127">
        <v>9430</v>
      </c>
      <c r="H882" s="125">
        <v>372.68599999999998</v>
      </c>
      <c r="I882" s="127">
        <v>9430</v>
      </c>
      <c r="J882" s="125">
        <v>351.03500000000003</v>
      </c>
      <c r="K882" s="127">
        <v>9430</v>
      </c>
      <c r="L882" s="125">
        <v>350.14499999999998</v>
      </c>
      <c r="M882" s="127">
        <v>9430</v>
      </c>
      <c r="N882" s="125">
        <v>350.85300000000001</v>
      </c>
      <c r="O882" s="127">
        <v>9410</v>
      </c>
      <c r="P882" s="125">
        <v>351.892</v>
      </c>
      <c r="Q882" s="127">
        <v>9430</v>
      </c>
      <c r="R882" s="125">
        <v>351.572</v>
      </c>
      <c r="S882" s="127">
        <v>9430</v>
      </c>
      <c r="T882" s="125">
        <v>352.22800000000001</v>
      </c>
      <c r="U882" s="127">
        <v>9420</v>
      </c>
      <c r="V882" s="125">
        <v>352.07499999999999</v>
      </c>
      <c r="W882" s="127">
        <v>9430</v>
      </c>
      <c r="X882" s="125">
        <v>351.41399999999999</v>
      </c>
      <c r="Y882" s="127">
        <v>9430</v>
      </c>
      <c r="Z882" s="125">
        <v>349.81599999999997</v>
      </c>
      <c r="AA882" s="127">
        <v>9430</v>
      </c>
      <c r="AB882" s="125">
        <v>350.22899999999998</v>
      </c>
      <c r="AC882" s="127">
        <v>9420</v>
      </c>
      <c r="AD882" s="125">
        <v>278.62099999999998</v>
      </c>
      <c r="AE882" s="127">
        <v>9430</v>
      </c>
      <c r="AF882" s="125">
        <v>280.233</v>
      </c>
      <c r="AG882" s="127">
        <v>9410</v>
      </c>
      <c r="AH882" s="125">
        <v>62.530999999999999</v>
      </c>
      <c r="AI882" s="127">
        <v>9410</v>
      </c>
      <c r="AJ882" s="125">
        <v>66.638999999999996</v>
      </c>
    </row>
    <row r="883" spans="1:36" ht="14.25">
      <c r="A883" s="128">
        <v>9440</v>
      </c>
      <c r="B883" s="124">
        <v>141.49600000000001</v>
      </c>
      <c r="C883" s="128">
        <v>9450</v>
      </c>
      <c r="D883" s="125">
        <v>140.03700000000001</v>
      </c>
      <c r="E883" s="126">
        <v>9440</v>
      </c>
      <c r="F883" s="125">
        <v>371.27199999999999</v>
      </c>
      <c r="G883" s="127">
        <v>9440</v>
      </c>
      <c r="H883" s="125">
        <v>371.23899999999998</v>
      </c>
      <c r="I883" s="127">
        <v>9440</v>
      </c>
      <c r="J883" s="125">
        <v>349.82400000000001</v>
      </c>
      <c r="K883" s="127">
        <v>9440</v>
      </c>
      <c r="L883" s="125">
        <v>348.93200000000002</v>
      </c>
      <c r="M883" s="127">
        <v>9440</v>
      </c>
      <c r="N883" s="125">
        <v>349.64100000000002</v>
      </c>
      <c r="O883" s="127">
        <v>9420</v>
      </c>
      <c r="P883" s="125">
        <v>350.68</v>
      </c>
      <c r="Q883" s="127">
        <v>9440</v>
      </c>
      <c r="R883" s="125">
        <v>350.36099999999999</v>
      </c>
      <c r="S883" s="127">
        <v>9440</v>
      </c>
      <c r="T883" s="125">
        <v>351.01600000000002</v>
      </c>
      <c r="U883" s="127">
        <v>9430</v>
      </c>
      <c r="V883" s="125">
        <v>350.86500000000001</v>
      </c>
      <c r="W883" s="127">
        <v>9440</v>
      </c>
      <c r="X883" s="125">
        <v>350.20299999999997</v>
      </c>
      <c r="Y883" s="127">
        <v>9440</v>
      </c>
      <c r="Z883" s="125">
        <v>348.60500000000002</v>
      </c>
      <c r="AA883" s="127">
        <v>9440</v>
      </c>
      <c r="AB883" s="125">
        <v>349.01900000000001</v>
      </c>
      <c r="AC883" s="127">
        <v>9430</v>
      </c>
      <c r="AD883" s="125">
        <v>277.49099999999999</v>
      </c>
      <c r="AE883" s="127">
        <v>9440</v>
      </c>
      <c r="AF883" s="125">
        <v>279.10300000000001</v>
      </c>
      <c r="AG883" s="127">
        <v>9420</v>
      </c>
      <c r="AH883" s="125">
        <v>62.247</v>
      </c>
      <c r="AI883" s="127">
        <v>9420</v>
      </c>
      <c r="AJ883" s="125">
        <v>66.340999999999994</v>
      </c>
    </row>
    <row r="884" spans="1:36" ht="14.25">
      <c r="A884" s="128">
        <v>9450</v>
      </c>
      <c r="B884" s="124">
        <v>140.83000000000001</v>
      </c>
      <c r="C884" s="128">
        <v>9460</v>
      </c>
      <c r="D884" s="125">
        <v>139.37700000000001</v>
      </c>
      <c r="E884" s="126">
        <v>9450</v>
      </c>
      <c r="F884" s="125">
        <v>369.82600000000002</v>
      </c>
      <c r="G884" s="127">
        <v>9450</v>
      </c>
      <c r="H884" s="125">
        <v>369.79199999999997</v>
      </c>
      <c r="I884" s="127">
        <v>9450</v>
      </c>
      <c r="J884" s="125">
        <v>348.61200000000002</v>
      </c>
      <c r="K884" s="127">
        <v>9450</v>
      </c>
      <c r="L884" s="125">
        <v>347.71899999999999</v>
      </c>
      <c r="M884" s="127">
        <v>9450</v>
      </c>
      <c r="N884" s="125">
        <v>348.42899999999997</v>
      </c>
      <c r="O884" s="127">
        <v>9430</v>
      </c>
      <c r="P884" s="125">
        <v>349.46899999999999</v>
      </c>
      <c r="Q884" s="127">
        <v>9450</v>
      </c>
      <c r="R884" s="125">
        <v>349.149</v>
      </c>
      <c r="S884" s="127">
        <v>9450</v>
      </c>
      <c r="T884" s="125">
        <v>349.80399999999997</v>
      </c>
      <c r="U884" s="127">
        <v>9440</v>
      </c>
      <c r="V884" s="129">
        <v>349.654</v>
      </c>
      <c r="W884" s="127">
        <v>9450</v>
      </c>
      <c r="X884" s="125">
        <v>348.99200000000002</v>
      </c>
      <c r="Y884" s="127">
        <v>9450</v>
      </c>
      <c r="Z884" s="125">
        <v>347.39400000000001</v>
      </c>
      <c r="AA884" s="127">
        <v>9450</v>
      </c>
      <c r="AB884" s="125">
        <v>347.80900000000003</v>
      </c>
      <c r="AC884" s="127">
        <v>9440</v>
      </c>
      <c r="AD884" s="125">
        <v>276.36200000000002</v>
      </c>
      <c r="AE884" s="127">
        <v>9450</v>
      </c>
      <c r="AF884" s="125">
        <v>277.97300000000001</v>
      </c>
      <c r="AG884" s="127">
        <v>9430</v>
      </c>
      <c r="AH884" s="125">
        <v>61.963000000000001</v>
      </c>
      <c r="AI884" s="127">
        <v>9430</v>
      </c>
      <c r="AJ884" s="125">
        <v>66.042000000000002</v>
      </c>
    </row>
    <row r="885" spans="1:36" ht="14.25">
      <c r="A885" s="128">
        <v>9460</v>
      </c>
      <c r="B885" s="124">
        <v>140.16499999999999</v>
      </c>
      <c r="C885" s="128">
        <v>9470</v>
      </c>
      <c r="D885" s="125">
        <v>138.71700000000001</v>
      </c>
      <c r="E885" s="126">
        <v>9460</v>
      </c>
      <c r="F885" s="125">
        <v>368.38</v>
      </c>
      <c r="G885" s="127">
        <v>9460</v>
      </c>
      <c r="H885" s="125">
        <v>368.34500000000003</v>
      </c>
      <c r="I885" s="127">
        <v>9460</v>
      </c>
      <c r="J885" s="125">
        <v>347.40100000000001</v>
      </c>
      <c r="K885" s="127">
        <v>9460</v>
      </c>
      <c r="L885" s="125">
        <v>346.505</v>
      </c>
      <c r="M885" s="127">
        <v>9460</v>
      </c>
      <c r="N885" s="125">
        <v>347.21800000000002</v>
      </c>
      <c r="O885" s="127">
        <v>9440</v>
      </c>
      <c r="P885" s="125">
        <v>348.25700000000001</v>
      </c>
      <c r="Q885" s="127">
        <v>9460</v>
      </c>
      <c r="R885" s="125">
        <v>347.93700000000001</v>
      </c>
      <c r="S885" s="127">
        <v>9460</v>
      </c>
      <c r="T885" s="125">
        <v>348.59199999999998</v>
      </c>
      <c r="U885" s="127">
        <v>9450</v>
      </c>
      <c r="V885" s="129">
        <v>348.44400000000002</v>
      </c>
      <c r="W885" s="127">
        <v>9460</v>
      </c>
      <c r="X885" s="125">
        <v>347.78</v>
      </c>
      <c r="Y885" s="127">
        <v>9460</v>
      </c>
      <c r="Z885" s="125">
        <v>346.18299999999999</v>
      </c>
      <c r="AA885" s="127">
        <v>9460</v>
      </c>
      <c r="AB885" s="125">
        <v>346.59899999999999</v>
      </c>
      <c r="AC885" s="127">
        <v>9450</v>
      </c>
      <c r="AD885" s="125">
        <v>275.23399999999998</v>
      </c>
      <c r="AE885" s="127">
        <v>9460</v>
      </c>
      <c r="AF885" s="125">
        <v>276.84399999999999</v>
      </c>
      <c r="AG885" s="127">
        <v>9440</v>
      </c>
      <c r="AH885" s="125">
        <v>61.679000000000002</v>
      </c>
      <c r="AI885" s="127">
        <v>9440</v>
      </c>
      <c r="AJ885" s="125">
        <v>65.744</v>
      </c>
    </row>
    <row r="886" spans="1:36" ht="14.25">
      <c r="A886" s="128">
        <v>9470</v>
      </c>
      <c r="B886" s="124">
        <v>139.50200000000001</v>
      </c>
      <c r="C886" s="128">
        <v>9480</v>
      </c>
      <c r="D886" s="125">
        <v>138.059</v>
      </c>
      <c r="E886" s="126">
        <v>9470</v>
      </c>
      <c r="F886" s="125">
        <v>366.935</v>
      </c>
      <c r="G886" s="127">
        <v>9470</v>
      </c>
      <c r="H886" s="125">
        <v>366.899</v>
      </c>
      <c r="I886" s="127">
        <v>9470</v>
      </c>
      <c r="J886" s="125">
        <v>346.18900000000002</v>
      </c>
      <c r="K886" s="127">
        <v>9470</v>
      </c>
      <c r="L886" s="125">
        <v>345.29199999999997</v>
      </c>
      <c r="M886" s="127">
        <v>9470</v>
      </c>
      <c r="N886" s="125">
        <v>346.00599999999997</v>
      </c>
      <c r="O886" s="127">
        <v>9450</v>
      </c>
      <c r="P886" s="125">
        <v>347.04500000000002</v>
      </c>
      <c r="Q886" s="127">
        <v>9470</v>
      </c>
      <c r="R886" s="125">
        <v>346.72500000000002</v>
      </c>
      <c r="S886" s="127">
        <v>9470</v>
      </c>
      <c r="T886" s="125">
        <v>347.38</v>
      </c>
      <c r="U886" s="127">
        <v>9460</v>
      </c>
      <c r="V886" s="125">
        <v>347.233</v>
      </c>
      <c r="W886" s="127">
        <v>9470</v>
      </c>
      <c r="X886" s="125">
        <v>346.56900000000002</v>
      </c>
      <c r="Y886" s="127">
        <v>9470</v>
      </c>
      <c r="Z886" s="125">
        <v>344.97300000000001</v>
      </c>
      <c r="AA886" s="127">
        <v>9470</v>
      </c>
      <c r="AB886" s="125">
        <v>345.38900000000001</v>
      </c>
      <c r="AC886" s="127">
        <v>9460</v>
      </c>
      <c r="AD886" s="125">
        <v>274.10700000000003</v>
      </c>
      <c r="AE886" s="127">
        <v>9470</v>
      </c>
      <c r="AF886" s="125">
        <v>275.71699999999998</v>
      </c>
      <c r="AG886" s="127">
        <v>9450</v>
      </c>
      <c r="AH886" s="125">
        <v>61.396000000000001</v>
      </c>
      <c r="AI886" s="127">
        <v>9450</v>
      </c>
      <c r="AJ886" s="125">
        <v>65.447000000000003</v>
      </c>
    </row>
    <row r="887" spans="1:36" ht="14.25">
      <c r="A887" s="128">
        <v>9480</v>
      </c>
      <c r="B887" s="124">
        <v>138.839</v>
      </c>
      <c r="C887" s="128">
        <v>9490</v>
      </c>
      <c r="D887" s="132">
        <v>137.40299999999999</v>
      </c>
      <c r="E887" s="126">
        <v>9480</v>
      </c>
      <c r="F887" s="125">
        <v>365.49</v>
      </c>
      <c r="G887" s="127">
        <v>9480</v>
      </c>
      <c r="H887" s="125">
        <v>365.45299999999997</v>
      </c>
      <c r="I887" s="127">
        <v>9480</v>
      </c>
      <c r="J887" s="125">
        <v>344.97800000000001</v>
      </c>
      <c r="K887" s="127">
        <v>9480</v>
      </c>
      <c r="L887" s="125">
        <v>344.07900000000001</v>
      </c>
      <c r="M887" s="127">
        <v>9480</v>
      </c>
      <c r="N887" s="125">
        <v>344.79399999999998</v>
      </c>
      <c r="O887" s="127">
        <v>9460</v>
      </c>
      <c r="P887" s="125">
        <v>345.83300000000003</v>
      </c>
      <c r="Q887" s="127">
        <v>9480</v>
      </c>
      <c r="R887" s="125">
        <v>345.51400000000001</v>
      </c>
      <c r="S887" s="127">
        <v>9480</v>
      </c>
      <c r="T887" s="125">
        <v>346.16800000000001</v>
      </c>
      <c r="U887" s="127">
        <v>9470</v>
      </c>
      <c r="V887" s="125">
        <v>346.02300000000002</v>
      </c>
      <c r="W887" s="127">
        <v>9480</v>
      </c>
      <c r="X887" s="125">
        <v>345.358</v>
      </c>
      <c r="Y887" s="127">
        <v>9480</v>
      </c>
      <c r="Z887" s="125">
        <v>343.762</v>
      </c>
      <c r="AA887" s="127">
        <v>9480</v>
      </c>
      <c r="AB887" s="125">
        <v>344.17899999999997</v>
      </c>
      <c r="AC887" s="127">
        <v>9470</v>
      </c>
      <c r="AD887" s="125">
        <v>272.98</v>
      </c>
      <c r="AE887" s="127">
        <v>9480</v>
      </c>
      <c r="AF887" s="125">
        <v>274.58999999999997</v>
      </c>
      <c r="AG887" s="127">
        <v>9460</v>
      </c>
      <c r="AH887" s="125">
        <v>61.113</v>
      </c>
      <c r="AI887" s="127">
        <v>9460</v>
      </c>
      <c r="AJ887" s="125">
        <v>65.150000000000006</v>
      </c>
    </row>
    <row r="888" spans="1:36" ht="14.25">
      <c r="A888" s="128">
        <v>9490</v>
      </c>
      <c r="B888" s="124">
        <v>138.179</v>
      </c>
      <c r="C888" s="128">
        <v>9500</v>
      </c>
      <c r="D888" s="125">
        <v>136.74700000000001</v>
      </c>
      <c r="E888" s="126">
        <v>9490</v>
      </c>
      <c r="F888" s="125">
        <v>364.04500000000002</v>
      </c>
      <c r="G888" s="127">
        <v>9490</v>
      </c>
      <c r="H888" s="125">
        <v>364.00700000000001</v>
      </c>
      <c r="I888" s="127">
        <v>9490</v>
      </c>
      <c r="J888" s="125">
        <v>343.767</v>
      </c>
      <c r="K888" s="127">
        <v>9490</v>
      </c>
      <c r="L888" s="125">
        <v>342.86500000000001</v>
      </c>
      <c r="M888" s="127">
        <v>9490</v>
      </c>
      <c r="N888" s="125">
        <v>343.58300000000003</v>
      </c>
      <c r="O888" s="127">
        <v>9470</v>
      </c>
      <c r="P888" s="125">
        <v>344.62099999999998</v>
      </c>
      <c r="Q888" s="127">
        <v>9490</v>
      </c>
      <c r="R888" s="125">
        <v>344.30200000000002</v>
      </c>
      <c r="S888" s="127">
        <v>9490</v>
      </c>
      <c r="T888" s="125">
        <v>344.95600000000002</v>
      </c>
      <c r="U888" s="127">
        <v>9480</v>
      </c>
      <c r="V888" s="125">
        <v>344.81299999999999</v>
      </c>
      <c r="W888" s="127">
        <v>9490</v>
      </c>
      <c r="X888" s="125">
        <v>344.14699999999999</v>
      </c>
      <c r="Y888" s="127">
        <v>9490</v>
      </c>
      <c r="Z888" s="125">
        <v>342.55099999999999</v>
      </c>
      <c r="AA888" s="127">
        <v>9490</v>
      </c>
      <c r="AB888" s="125">
        <v>342.96899999999999</v>
      </c>
      <c r="AC888" s="127">
        <v>9480</v>
      </c>
      <c r="AD888" s="125">
        <v>271.85500000000002</v>
      </c>
      <c r="AE888" s="127">
        <v>9490</v>
      </c>
      <c r="AF888" s="125">
        <v>273.464</v>
      </c>
      <c r="AG888" s="127">
        <v>9470</v>
      </c>
      <c r="AH888" s="125">
        <v>60.831000000000003</v>
      </c>
      <c r="AI888" s="127">
        <v>9470</v>
      </c>
      <c r="AJ888" s="125">
        <v>64.852999999999994</v>
      </c>
    </row>
    <row r="889" spans="1:36" ht="14.25">
      <c r="A889" s="128">
        <v>9500</v>
      </c>
      <c r="B889" s="124">
        <v>137.51900000000001</v>
      </c>
      <c r="C889" s="128">
        <v>9510</v>
      </c>
      <c r="D889" s="125">
        <v>136.09299999999999</v>
      </c>
      <c r="E889" s="126">
        <v>9500</v>
      </c>
      <c r="F889" s="125">
        <v>362.6</v>
      </c>
      <c r="G889" s="127">
        <v>9500</v>
      </c>
      <c r="H889" s="125">
        <v>362.56099999999998</v>
      </c>
      <c r="I889" s="127">
        <v>9500</v>
      </c>
      <c r="J889" s="125">
        <v>342.55500000000001</v>
      </c>
      <c r="K889" s="127">
        <v>9500</v>
      </c>
      <c r="L889" s="125">
        <v>341.65199999999999</v>
      </c>
      <c r="M889" s="127">
        <v>9500</v>
      </c>
      <c r="N889" s="125">
        <v>342.37099999999998</v>
      </c>
      <c r="O889" s="127">
        <v>9480</v>
      </c>
      <c r="P889" s="125">
        <v>343.40899999999999</v>
      </c>
      <c r="Q889" s="127">
        <v>9500</v>
      </c>
      <c r="R889" s="125">
        <v>343.09</v>
      </c>
      <c r="S889" s="127">
        <v>9500</v>
      </c>
      <c r="T889" s="125">
        <v>343.74400000000003</v>
      </c>
      <c r="U889" s="127">
        <v>9490</v>
      </c>
      <c r="V889" s="125">
        <v>343.60199999999998</v>
      </c>
      <c r="W889" s="127">
        <v>9500</v>
      </c>
      <c r="X889" s="125">
        <v>342.93599999999998</v>
      </c>
      <c r="Y889" s="127">
        <v>9500</v>
      </c>
      <c r="Z889" s="125">
        <v>341.34</v>
      </c>
      <c r="AA889" s="127">
        <v>9500</v>
      </c>
      <c r="AB889" s="125">
        <v>341.75900000000001</v>
      </c>
      <c r="AC889" s="127">
        <v>9490</v>
      </c>
      <c r="AD889" s="125">
        <v>270.73</v>
      </c>
      <c r="AE889" s="127">
        <v>9500</v>
      </c>
      <c r="AF889" s="125">
        <v>272.339</v>
      </c>
      <c r="AG889" s="127">
        <v>9480</v>
      </c>
      <c r="AH889" s="125">
        <v>60.548999999999999</v>
      </c>
      <c r="AI889" s="127">
        <v>9480</v>
      </c>
      <c r="AJ889" s="125">
        <v>64.557000000000002</v>
      </c>
    </row>
    <row r="890" spans="1:36" ht="14.25">
      <c r="A890" s="128">
        <v>9510</v>
      </c>
      <c r="B890" s="124">
        <v>136.86099999999999</v>
      </c>
      <c r="C890" s="128">
        <v>9520</v>
      </c>
      <c r="D890" s="125">
        <v>135.44</v>
      </c>
      <c r="E890" s="126">
        <v>9510</v>
      </c>
      <c r="F890" s="125">
        <v>361.15600000000001</v>
      </c>
      <c r="G890" s="127">
        <v>9510</v>
      </c>
      <c r="H890" s="125">
        <v>361.11599999999999</v>
      </c>
      <c r="I890" s="127">
        <v>9510</v>
      </c>
      <c r="J890" s="125">
        <v>341.34399999999999</v>
      </c>
      <c r="K890" s="127">
        <v>9510</v>
      </c>
      <c r="L890" s="125">
        <v>340.43900000000002</v>
      </c>
      <c r="M890" s="127">
        <v>9510</v>
      </c>
      <c r="N890" s="125">
        <v>341.15899999999999</v>
      </c>
      <c r="O890" s="127">
        <v>9490</v>
      </c>
      <c r="P890" s="125">
        <v>342.197</v>
      </c>
      <c r="Q890" s="127">
        <v>9510</v>
      </c>
      <c r="R890" s="125">
        <v>341.87900000000002</v>
      </c>
      <c r="S890" s="127">
        <v>9510</v>
      </c>
      <c r="T890" s="125">
        <v>342.53199999999998</v>
      </c>
      <c r="U890" s="127">
        <v>9500</v>
      </c>
      <c r="V890" s="125">
        <v>342.392</v>
      </c>
      <c r="W890" s="127">
        <v>9510</v>
      </c>
      <c r="X890" s="125">
        <v>341.72500000000002</v>
      </c>
      <c r="Y890" s="127">
        <v>9510</v>
      </c>
      <c r="Z890" s="125">
        <v>340.13</v>
      </c>
      <c r="AA890" s="127">
        <v>9510</v>
      </c>
      <c r="AB890" s="125">
        <v>340.54899999999998</v>
      </c>
      <c r="AC890" s="127">
        <v>9500</v>
      </c>
      <c r="AD890" s="125">
        <v>269.60599999999999</v>
      </c>
      <c r="AE890" s="127">
        <v>9510</v>
      </c>
      <c r="AF890" s="125">
        <v>271.214</v>
      </c>
      <c r="AG890" s="127">
        <v>9490</v>
      </c>
      <c r="AH890" s="125">
        <v>60.268000000000001</v>
      </c>
      <c r="AI890" s="127">
        <v>9490</v>
      </c>
      <c r="AJ890" s="125">
        <v>64.260999999999996</v>
      </c>
    </row>
    <row r="891" spans="1:36" ht="14.25">
      <c r="A891" s="128">
        <v>9520</v>
      </c>
      <c r="B891" s="124">
        <v>136.20400000000001</v>
      </c>
      <c r="C891" s="128">
        <v>9530</v>
      </c>
      <c r="D891" s="125">
        <v>134.78899999999999</v>
      </c>
      <c r="E891" s="126">
        <v>9520</v>
      </c>
      <c r="F891" s="125">
        <v>359.71100000000001</v>
      </c>
      <c r="G891" s="127">
        <v>9520</v>
      </c>
      <c r="H891" s="125">
        <v>359.67099999999999</v>
      </c>
      <c r="I891" s="127">
        <v>9520</v>
      </c>
      <c r="J891" s="125">
        <v>340.13200000000001</v>
      </c>
      <c r="K891" s="127">
        <v>9520</v>
      </c>
      <c r="L891" s="125">
        <v>339.22500000000002</v>
      </c>
      <c r="M891" s="127">
        <v>9520</v>
      </c>
      <c r="N891" s="125">
        <v>339.94799999999998</v>
      </c>
      <c r="O891" s="127">
        <v>9500</v>
      </c>
      <c r="P891" s="125">
        <v>340.98500000000001</v>
      </c>
      <c r="Q891" s="127">
        <v>9520</v>
      </c>
      <c r="R891" s="125">
        <v>340.66699999999997</v>
      </c>
      <c r="S891" s="127">
        <v>9520</v>
      </c>
      <c r="T891" s="125">
        <v>341.32</v>
      </c>
      <c r="U891" s="127">
        <v>9510</v>
      </c>
      <c r="V891" s="125">
        <v>341.18200000000002</v>
      </c>
      <c r="W891" s="127">
        <v>9520</v>
      </c>
      <c r="X891" s="125">
        <v>340.51400000000001</v>
      </c>
      <c r="Y891" s="127">
        <v>9520</v>
      </c>
      <c r="Z891" s="125">
        <v>338.91899999999998</v>
      </c>
      <c r="AA891" s="127">
        <v>9520</v>
      </c>
      <c r="AB891" s="125">
        <v>339.339</v>
      </c>
      <c r="AC891" s="127">
        <v>9510</v>
      </c>
      <c r="AD891" s="125">
        <v>268.48399999999998</v>
      </c>
      <c r="AE891" s="127">
        <v>9520</v>
      </c>
      <c r="AF891" s="125">
        <v>270.09100000000001</v>
      </c>
      <c r="AG891" s="127">
        <v>9500</v>
      </c>
      <c r="AH891" s="125">
        <v>59.985999999999997</v>
      </c>
      <c r="AI891" s="127">
        <v>9500</v>
      </c>
      <c r="AJ891" s="125">
        <v>63.966000000000001</v>
      </c>
    </row>
    <row r="892" spans="1:36" ht="14.25">
      <c r="A892" s="128">
        <v>9530</v>
      </c>
      <c r="B892" s="124">
        <v>135.548</v>
      </c>
      <c r="C892" s="128">
        <v>9540</v>
      </c>
      <c r="D892" s="125">
        <v>134.13900000000001</v>
      </c>
      <c r="E892" s="126">
        <v>9530</v>
      </c>
      <c r="F892" s="125">
        <v>358.267</v>
      </c>
      <c r="G892" s="127">
        <v>9530</v>
      </c>
      <c r="H892" s="125">
        <v>358.226</v>
      </c>
      <c r="I892" s="127">
        <v>9530</v>
      </c>
      <c r="J892" s="125">
        <v>338.92099999999999</v>
      </c>
      <c r="K892" s="127">
        <v>9530</v>
      </c>
      <c r="L892" s="125">
        <v>338.012</v>
      </c>
      <c r="M892" s="127">
        <v>9530</v>
      </c>
      <c r="N892" s="125">
        <v>338.73599999999999</v>
      </c>
      <c r="O892" s="127">
        <v>9510</v>
      </c>
      <c r="P892" s="125">
        <v>339.77300000000002</v>
      </c>
      <c r="Q892" s="127">
        <v>9530</v>
      </c>
      <c r="R892" s="125">
        <v>339.45499999999998</v>
      </c>
      <c r="S892" s="127">
        <v>9530</v>
      </c>
      <c r="T892" s="125">
        <v>340.108</v>
      </c>
      <c r="U892" s="127">
        <v>9520</v>
      </c>
      <c r="V892" s="125">
        <v>339.971</v>
      </c>
      <c r="W892" s="127">
        <v>9530</v>
      </c>
      <c r="X892" s="125">
        <v>339.303</v>
      </c>
      <c r="Y892" s="127">
        <v>9530</v>
      </c>
      <c r="Z892" s="125">
        <v>337.70800000000003</v>
      </c>
      <c r="AA892" s="127">
        <v>9530</v>
      </c>
      <c r="AB892" s="125">
        <v>338.12799999999999</v>
      </c>
      <c r="AC892" s="127">
        <v>9520</v>
      </c>
      <c r="AD892" s="125">
        <v>267.36200000000002</v>
      </c>
      <c r="AE892" s="127">
        <v>9530</v>
      </c>
      <c r="AF892" s="125">
        <v>268.96899999999999</v>
      </c>
      <c r="AG892" s="127">
        <v>9510</v>
      </c>
      <c r="AH892" s="125">
        <v>59.706000000000003</v>
      </c>
      <c r="AI892" s="127">
        <v>9510</v>
      </c>
      <c r="AJ892" s="125">
        <v>63.670999999999999</v>
      </c>
    </row>
    <row r="893" spans="1:36" ht="14.25">
      <c r="A893" s="128">
        <v>9540</v>
      </c>
      <c r="B893" s="124">
        <v>134.89400000000001</v>
      </c>
      <c r="C893" s="128">
        <v>9550</v>
      </c>
      <c r="D893" s="125">
        <v>133.49</v>
      </c>
      <c r="E893" s="126">
        <v>9540</v>
      </c>
      <c r="F893" s="125">
        <v>356.82400000000001</v>
      </c>
      <c r="G893" s="127">
        <v>9540</v>
      </c>
      <c r="H893" s="125">
        <v>356.78199999999998</v>
      </c>
      <c r="I893" s="127">
        <v>9540</v>
      </c>
      <c r="J893" s="125">
        <v>337.71</v>
      </c>
      <c r="K893" s="127">
        <v>9540</v>
      </c>
      <c r="L893" s="125">
        <v>336.79899999999998</v>
      </c>
      <c r="M893" s="127">
        <v>9540</v>
      </c>
      <c r="N893" s="125">
        <v>337.524</v>
      </c>
      <c r="O893" s="127">
        <v>9520</v>
      </c>
      <c r="P893" s="125">
        <v>338.56099999999998</v>
      </c>
      <c r="Q893" s="127">
        <v>9540</v>
      </c>
      <c r="R893" s="125">
        <v>338.24400000000003</v>
      </c>
      <c r="S893" s="127">
        <v>9540</v>
      </c>
      <c r="T893" s="125">
        <v>338.89600000000002</v>
      </c>
      <c r="U893" s="127">
        <v>9530</v>
      </c>
      <c r="V893" s="125">
        <v>338.76100000000002</v>
      </c>
      <c r="W893" s="127">
        <v>9540</v>
      </c>
      <c r="X893" s="125">
        <v>338.09199999999998</v>
      </c>
      <c r="Y893" s="127">
        <v>9540</v>
      </c>
      <c r="Z893" s="125">
        <v>336.49700000000001</v>
      </c>
      <c r="AA893" s="127">
        <v>9540</v>
      </c>
      <c r="AB893" s="125">
        <v>336.91800000000001</v>
      </c>
      <c r="AC893" s="127">
        <v>9530</v>
      </c>
      <c r="AD893" s="125">
        <v>266.24099999999999</v>
      </c>
      <c r="AE893" s="127">
        <v>9540</v>
      </c>
      <c r="AF893" s="125">
        <v>267.84699999999998</v>
      </c>
      <c r="AG893" s="127">
        <v>9520</v>
      </c>
      <c r="AH893" s="125">
        <v>59.426000000000002</v>
      </c>
      <c r="AI893" s="127">
        <v>9520</v>
      </c>
      <c r="AJ893" s="125">
        <v>63.375999999999998</v>
      </c>
    </row>
    <row r="894" spans="1:36" ht="14.25">
      <c r="A894" s="128">
        <v>9550</v>
      </c>
      <c r="B894" s="124">
        <v>134.24100000000001</v>
      </c>
      <c r="C894" s="128">
        <v>9560</v>
      </c>
      <c r="D894" s="125">
        <v>132.84200000000001</v>
      </c>
      <c r="E894" s="126">
        <v>9550</v>
      </c>
      <c r="F894" s="125">
        <v>355.38</v>
      </c>
      <c r="G894" s="127">
        <v>9550</v>
      </c>
      <c r="H894" s="125">
        <v>355.33800000000002</v>
      </c>
      <c r="I894" s="127">
        <v>9550</v>
      </c>
      <c r="J894" s="125">
        <v>336.49799999999999</v>
      </c>
      <c r="K894" s="127">
        <v>9550</v>
      </c>
      <c r="L894" s="125">
        <v>335.58499999999998</v>
      </c>
      <c r="M894" s="127">
        <v>9550</v>
      </c>
      <c r="N894" s="125">
        <v>336.31299999999999</v>
      </c>
      <c r="O894" s="127">
        <v>9530</v>
      </c>
      <c r="P894" s="125">
        <v>337.34899999999999</v>
      </c>
      <c r="Q894" s="127">
        <v>9550</v>
      </c>
      <c r="R894" s="125">
        <v>337.03199999999998</v>
      </c>
      <c r="S894" s="127">
        <v>9550</v>
      </c>
      <c r="T894" s="125">
        <v>337.68400000000003</v>
      </c>
      <c r="U894" s="127">
        <v>9540</v>
      </c>
      <c r="V894" s="125">
        <v>337.55099999999999</v>
      </c>
      <c r="W894" s="127">
        <v>9550</v>
      </c>
      <c r="X894" s="125">
        <v>336.88099999999997</v>
      </c>
      <c r="Y894" s="127">
        <v>9550</v>
      </c>
      <c r="Z894" s="125">
        <v>335.28699999999998</v>
      </c>
      <c r="AA894" s="127">
        <v>9550</v>
      </c>
      <c r="AB894" s="125">
        <v>335.70800000000003</v>
      </c>
      <c r="AC894" s="127">
        <v>9540</v>
      </c>
      <c r="AD894" s="125">
        <v>265.12099999999998</v>
      </c>
      <c r="AE894" s="127">
        <v>9550</v>
      </c>
      <c r="AF894" s="125">
        <v>266.72699999999998</v>
      </c>
      <c r="AG894" s="127">
        <v>9530</v>
      </c>
      <c r="AH894" s="125">
        <v>59.146000000000001</v>
      </c>
      <c r="AI894" s="127">
        <v>9530</v>
      </c>
      <c r="AJ894" s="125">
        <v>63.082000000000001</v>
      </c>
    </row>
    <row r="895" spans="1:36" ht="14.25">
      <c r="A895" s="128">
        <v>9560</v>
      </c>
      <c r="B895" s="124">
        <v>133.589</v>
      </c>
      <c r="C895" s="128">
        <v>9570</v>
      </c>
      <c r="D895" s="125">
        <v>132.196</v>
      </c>
      <c r="E895" s="126">
        <v>9560</v>
      </c>
      <c r="F895" s="125">
        <v>353.93700000000001</v>
      </c>
      <c r="G895" s="127">
        <v>9560</v>
      </c>
      <c r="H895" s="125">
        <v>353.89400000000001</v>
      </c>
      <c r="I895" s="127">
        <v>9560</v>
      </c>
      <c r="J895" s="125">
        <v>335.28699999999998</v>
      </c>
      <c r="K895" s="127">
        <v>9560</v>
      </c>
      <c r="L895" s="125">
        <v>334.37200000000001</v>
      </c>
      <c r="M895" s="127">
        <v>9560</v>
      </c>
      <c r="N895" s="125">
        <v>335.101</v>
      </c>
      <c r="O895" s="127">
        <v>9540</v>
      </c>
      <c r="P895" s="125">
        <v>336.137</v>
      </c>
      <c r="Q895" s="127">
        <v>9560</v>
      </c>
      <c r="R895" s="125">
        <v>335.82</v>
      </c>
      <c r="S895" s="127">
        <v>9560</v>
      </c>
      <c r="T895" s="125">
        <v>336.47199999999998</v>
      </c>
      <c r="U895" s="127">
        <v>9550</v>
      </c>
      <c r="V895" s="125">
        <v>336.34</v>
      </c>
      <c r="W895" s="127">
        <v>9560</v>
      </c>
      <c r="X895" s="125">
        <v>335.67</v>
      </c>
      <c r="Y895" s="127">
        <v>9560</v>
      </c>
      <c r="Z895" s="125">
        <v>334.07600000000002</v>
      </c>
      <c r="AA895" s="127">
        <v>9560</v>
      </c>
      <c r="AB895" s="125">
        <v>334.49799999999999</v>
      </c>
      <c r="AC895" s="127">
        <v>9550</v>
      </c>
      <c r="AD895" s="125">
        <v>264.00200000000001</v>
      </c>
      <c r="AE895" s="127">
        <v>9560</v>
      </c>
      <c r="AF895" s="125">
        <v>265.60700000000003</v>
      </c>
      <c r="AG895" s="127">
        <v>9540</v>
      </c>
      <c r="AH895" s="125">
        <v>58.866999999999997</v>
      </c>
      <c r="AI895" s="127">
        <v>9540</v>
      </c>
      <c r="AJ895" s="125">
        <v>62.787999999999997</v>
      </c>
    </row>
    <row r="896" spans="1:36" ht="14.25">
      <c r="A896" s="128">
        <v>9570</v>
      </c>
      <c r="B896" s="124">
        <v>132.93799999999999</v>
      </c>
      <c r="C896" s="128">
        <v>9580</v>
      </c>
      <c r="D896" s="125">
        <v>131.55000000000001</v>
      </c>
      <c r="E896" s="126">
        <v>9570</v>
      </c>
      <c r="F896" s="125">
        <v>352.495</v>
      </c>
      <c r="G896" s="127">
        <v>9570</v>
      </c>
      <c r="H896" s="125">
        <v>352.45</v>
      </c>
      <c r="I896" s="127">
        <v>9570</v>
      </c>
      <c r="J896" s="125">
        <v>334.07499999999999</v>
      </c>
      <c r="K896" s="127">
        <v>9570</v>
      </c>
      <c r="L896" s="125">
        <v>333.15899999999999</v>
      </c>
      <c r="M896" s="127">
        <v>9570</v>
      </c>
      <c r="N896" s="125">
        <v>333.88900000000001</v>
      </c>
      <c r="O896" s="127">
        <v>9550</v>
      </c>
      <c r="P896" s="125">
        <v>334.92500000000001</v>
      </c>
      <c r="Q896" s="127">
        <v>9570</v>
      </c>
      <c r="R896" s="125">
        <v>334.60899999999998</v>
      </c>
      <c r="S896" s="127">
        <v>9570</v>
      </c>
      <c r="T896" s="125">
        <v>335.26</v>
      </c>
      <c r="U896" s="127">
        <v>9560</v>
      </c>
      <c r="V896" s="125">
        <v>335.13</v>
      </c>
      <c r="W896" s="127">
        <v>9570</v>
      </c>
      <c r="X896" s="125">
        <v>334.459</v>
      </c>
      <c r="Y896" s="127">
        <v>9570</v>
      </c>
      <c r="Z896" s="125">
        <v>332.86500000000001</v>
      </c>
      <c r="AA896" s="127">
        <v>9570</v>
      </c>
      <c r="AB896" s="125">
        <v>333.28800000000001</v>
      </c>
      <c r="AC896" s="127">
        <v>9560</v>
      </c>
      <c r="AD896" s="125">
        <v>262.935</v>
      </c>
      <c r="AE896" s="127">
        <v>9570</v>
      </c>
      <c r="AF896" s="125">
        <v>264.488</v>
      </c>
      <c r="AG896" s="127">
        <v>9550</v>
      </c>
      <c r="AH896" s="125">
        <v>58.588000000000001</v>
      </c>
      <c r="AI896" s="127">
        <v>9550</v>
      </c>
      <c r="AJ896" s="125">
        <v>62.494999999999997</v>
      </c>
    </row>
    <row r="897" spans="1:36" ht="14.25">
      <c r="A897" s="128">
        <v>9580</v>
      </c>
      <c r="B897" s="124">
        <v>132.28899999999999</v>
      </c>
      <c r="C897" s="128">
        <v>9590</v>
      </c>
      <c r="D897" s="125">
        <v>130.90600000000001</v>
      </c>
      <c r="E897" s="126">
        <v>9580</v>
      </c>
      <c r="F897" s="125">
        <v>351.05200000000002</v>
      </c>
      <c r="G897" s="127">
        <v>9580</v>
      </c>
      <c r="H897" s="125">
        <v>351.00799999999998</v>
      </c>
      <c r="I897" s="127">
        <v>9580</v>
      </c>
      <c r="J897" s="125">
        <v>332.86399999999998</v>
      </c>
      <c r="K897" s="127">
        <v>9580</v>
      </c>
      <c r="L897" s="125">
        <v>331.94499999999999</v>
      </c>
      <c r="M897" s="127">
        <v>9580</v>
      </c>
      <c r="N897" s="125">
        <v>332.678</v>
      </c>
      <c r="O897" s="127">
        <v>9560</v>
      </c>
      <c r="P897" s="125">
        <v>333.71300000000002</v>
      </c>
      <c r="Q897" s="127">
        <v>9580</v>
      </c>
      <c r="R897" s="125">
        <v>333.39699999999999</v>
      </c>
      <c r="S897" s="127">
        <v>9580</v>
      </c>
      <c r="T897" s="125">
        <v>334.048</v>
      </c>
      <c r="U897" s="127">
        <v>9570</v>
      </c>
      <c r="V897" s="125">
        <v>333.91899999999998</v>
      </c>
      <c r="W897" s="127">
        <v>9580</v>
      </c>
      <c r="X897" s="125">
        <v>333.24700000000001</v>
      </c>
      <c r="Y897" s="127">
        <v>9580</v>
      </c>
      <c r="Z897" s="125">
        <v>331.654</v>
      </c>
      <c r="AA897" s="127">
        <v>9580</v>
      </c>
      <c r="AB897" s="125">
        <v>332.07799999999997</v>
      </c>
      <c r="AC897" s="127">
        <v>9570</v>
      </c>
      <c r="AD897" s="125">
        <v>261.88200000000001</v>
      </c>
      <c r="AE897" s="127">
        <v>9580</v>
      </c>
      <c r="AF897" s="125">
        <v>263.37</v>
      </c>
      <c r="AG897" s="127">
        <v>9560</v>
      </c>
      <c r="AH897" s="125">
        <v>58.308999999999997</v>
      </c>
      <c r="AI897" s="127">
        <v>9560</v>
      </c>
      <c r="AJ897" s="125">
        <v>62.201999999999998</v>
      </c>
    </row>
    <row r="898" spans="1:36" ht="14.25">
      <c r="A898" s="128">
        <v>9590</v>
      </c>
      <c r="B898" s="124">
        <v>131.64099999999999</v>
      </c>
      <c r="C898" s="128">
        <v>9600</v>
      </c>
      <c r="D898" s="125">
        <v>130.26400000000001</v>
      </c>
      <c r="E898" s="126">
        <v>9590</v>
      </c>
      <c r="F898" s="125">
        <v>349.61099999999999</v>
      </c>
      <c r="G898" s="127">
        <v>9590</v>
      </c>
      <c r="H898" s="125">
        <v>349.565</v>
      </c>
      <c r="I898" s="127">
        <v>9590</v>
      </c>
      <c r="J898" s="125">
        <v>331.65199999999999</v>
      </c>
      <c r="K898" s="127">
        <v>9590</v>
      </c>
      <c r="L898" s="125">
        <v>330.73200000000003</v>
      </c>
      <c r="M898" s="127">
        <v>9590</v>
      </c>
      <c r="N898" s="125">
        <v>331.46600000000001</v>
      </c>
      <c r="O898" s="127">
        <v>9570</v>
      </c>
      <c r="P898" s="125">
        <v>332.50099999999998</v>
      </c>
      <c r="Q898" s="127">
        <v>9590</v>
      </c>
      <c r="R898" s="125">
        <v>332.185</v>
      </c>
      <c r="S898" s="127">
        <v>9590</v>
      </c>
      <c r="T898" s="125">
        <v>332.83600000000001</v>
      </c>
      <c r="U898" s="127">
        <v>9580</v>
      </c>
      <c r="V898" s="125">
        <v>332.709</v>
      </c>
      <c r="W898" s="127">
        <v>9590</v>
      </c>
      <c r="X898" s="125">
        <v>332.036</v>
      </c>
      <c r="Y898" s="127">
        <v>9590</v>
      </c>
      <c r="Z898" s="125">
        <v>330.44400000000002</v>
      </c>
      <c r="AA898" s="127">
        <v>9590</v>
      </c>
      <c r="AB898" s="125">
        <v>330.86799999999999</v>
      </c>
      <c r="AC898" s="127">
        <v>9580</v>
      </c>
      <c r="AD898" s="125">
        <v>260.82900000000001</v>
      </c>
      <c r="AE898" s="127">
        <v>9590</v>
      </c>
      <c r="AF898" s="125">
        <v>262.25299999999999</v>
      </c>
      <c r="AG898" s="127">
        <v>9570</v>
      </c>
      <c r="AH898" s="125">
        <v>58.030999999999999</v>
      </c>
      <c r="AI898" s="127">
        <v>9570</v>
      </c>
      <c r="AJ898" s="125">
        <v>61.91</v>
      </c>
    </row>
    <row r="899" spans="1:36" ht="14.25">
      <c r="A899" s="128">
        <v>9600</v>
      </c>
      <c r="B899" s="124">
        <v>130.995</v>
      </c>
      <c r="C899" s="128">
        <v>9610</v>
      </c>
      <c r="D899" s="125">
        <v>129.62299999999999</v>
      </c>
      <c r="E899" s="126">
        <v>9600</v>
      </c>
      <c r="F899" s="125">
        <v>348.16899999999998</v>
      </c>
      <c r="G899" s="127">
        <v>9600</v>
      </c>
      <c r="H899" s="125">
        <v>348.12299999999999</v>
      </c>
      <c r="I899" s="127">
        <v>9600</v>
      </c>
      <c r="J899" s="125">
        <v>330.44099999999997</v>
      </c>
      <c r="K899" s="127">
        <v>9600</v>
      </c>
      <c r="L899" s="125">
        <v>329.51799999999997</v>
      </c>
      <c r="M899" s="127">
        <v>9600</v>
      </c>
      <c r="N899" s="125">
        <v>330.25400000000002</v>
      </c>
      <c r="O899" s="127">
        <v>9580</v>
      </c>
      <c r="P899" s="125">
        <v>331.29</v>
      </c>
      <c r="Q899" s="127">
        <v>9600</v>
      </c>
      <c r="R899" s="125">
        <v>330.97399999999999</v>
      </c>
      <c r="S899" s="127">
        <v>9600</v>
      </c>
      <c r="T899" s="125">
        <v>331.62400000000002</v>
      </c>
      <c r="U899" s="127">
        <v>9590</v>
      </c>
      <c r="V899" s="125">
        <v>331.49900000000002</v>
      </c>
      <c r="W899" s="127">
        <v>9600</v>
      </c>
      <c r="X899" s="125">
        <v>330.82499999999999</v>
      </c>
      <c r="Y899" s="127">
        <v>9600</v>
      </c>
      <c r="Z899" s="125">
        <v>329.233</v>
      </c>
      <c r="AA899" s="127">
        <v>9600</v>
      </c>
      <c r="AB899" s="125">
        <v>329.65800000000002</v>
      </c>
      <c r="AC899" s="127">
        <v>9590</v>
      </c>
      <c r="AD899" s="125">
        <v>259.77699999999999</v>
      </c>
      <c r="AE899" s="127">
        <v>9600</v>
      </c>
      <c r="AF899" s="125">
        <v>261.137</v>
      </c>
      <c r="AG899" s="127">
        <v>9580</v>
      </c>
      <c r="AH899" s="125">
        <v>57.753</v>
      </c>
      <c r="AI899" s="127">
        <v>9580</v>
      </c>
      <c r="AJ899" s="125">
        <v>61.618000000000002</v>
      </c>
    </row>
    <row r="900" spans="1:36" ht="14.25">
      <c r="A900" s="128">
        <v>9610</v>
      </c>
      <c r="B900" s="124">
        <v>130.34899999999999</v>
      </c>
      <c r="C900" s="128">
        <v>9620</v>
      </c>
      <c r="D900" s="125">
        <v>128.983</v>
      </c>
      <c r="E900" s="126">
        <v>9610</v>
      </c>
      <c r="F900" s="125">
        <v>346.72800000000001</v>
      </c>
      <c r="G900" s="127">
        <v>9610</v>
      </c>
      <c r="H900" s="125">
        <v>346.68099999999998</v>
      </c>
      <c r="I900" s="127">
        <v>9610</v>
      </c>
      <c r="J900" s="125">
        <v>329.23</v>
      </c>
      <c r="K900" s="127">
        <v>9610</v>
      </c>
      <c r="L900" s="125">
        <v>328.30500000000001</v>
      </c>
      <c r="M900" s="127">
        <v>9610</v>
      </c>
      <c r="N900" s="125">
        <v>329.04300000000001</v>
      </c>
      <c r="O900" s="127">
        <v>9590</v>
      </c>
      <c r="P900" s="125">
        <v>330.07799999999997</v>
      </c>
      <c r="Q900" s="127">
        <v>9610</v>
      </c>
      <c r="R900" s="125">
        <v>329.762</v>
      </c>
      <c r="S900" s="127">
        <v>9610</v>
      </c>
      <c r="T900" s="125">
        <v>330.41199999999998</v>
      </c>
      <c r="U900" s="127">
        <v>9600</v>
      </c>
      <c r="V900" s="125">
        <v>330.28800000000001</v>
      </c>
      <c r="W900" s="127">
        <v>9610</v>
      </c>
      <c r="X900" s="125">
        <v>329.61399999999998</v>
      </c>
      <c r="Y900" s="127">
        <v>9610</v>
      </c>
      <c r="Z900" s="125">
        <v>328.02199999999999</v>
      </c>
      <c r="AA900" s="127">
        <v>9610</v>
      </c>
      <c r="AB900" s="125">
        <v>328.44799999999998</v>
      </c>
      <c r="AC900" s="127">
        <v>9600</v>
      </c>
      <c r="AD900" s="125">
        <v>258.72399999999999</v>
      </c>
      <c r="AE900" s="127">
        <v>9610</v>
      </c>
      <c r="AF900" s="125">
        <v>260.02199999999999</v>
      </c>
      <c r="AG900" s="127">
        <v>9590</v>
      </c>
      <c r="AH900" s="125">
        <v>57.475999999999999</v>
      </c>
      <c r="AI900" s="127">
        <v>9590</v>
      </c>
      <c r="AJ900" s="125">
        <v>61.326000000000001</v>
      </c>
    </row>
    <row r="901" spans="1:36" ht="14.25">
      <c r="A901" s="128">
        <v>9620</v>
      </c>
      <c r="B901" s="124">
        <v>129.70500000000001</v>
      </c>
      <c r="C901" s="128">
        <v>9630</v>
      </c>
      <c r="D901" s="125">
        <v>128.34399999999999</v>
      </c>
      <c r="E901" s="126">
        <v>9620</v>
      </c>
      <c r="F901" s="125">
        <v>345.28699999999998</v>
      </c>
      <c r="G901" s="127">
        <v>9620</v>
      </c>
      <c r="H901" s="125">
        <v>345.24</v>
      </c>
      <c r="I901" s="127">
        <v>9620</v>
      </c>
      <c r="J901" s="125">
        <v>328.01799999999997</v>
      </c>
      <c r="K901" s="127">
        <v>9620</v>
      </c>
      <c r="L901" s="125">
        <v>327.09199999999998</v>
      </c>
      <c r="M901" s="127">
        <v>9620</v>
      </c>
      <c r="N901" s="125">
        <v>327.83100000000002</v>
      </c>
      <c r="O901" s="127">
        <v>9600</v>
      </c>
      <c r="P901" s="125">
        <v>328.86599999999999</v>
      </c>
      <c r="Q901" s="127">
        <v>9620</v>
      </c>
      <c r="R901" s="125">
        <v>328.55</v>
      </c>
      <c r="S901" s="127">
        <v>9620</v>
      </c>
      <c r="T901" s="125">
        <v>329.2</v>
      </c>
      <c r="U901" s="127">
        <v>9610</v>
      </c>
      <c r="V901" s="125">
        <v>329.07799999999997</v>
      </c>
      <c r="W901" s="127">
        <v>9620</v>
      </c>
      <c r="X901" s="125">
        <v>328.40300000000002</v>
      </c>
      <c r="Y901" s="127">
        <v>9620</v>
      </c>
      <c r="Z901" s="125">
        <v>326.81099999999998</v>
      </c>
      <c r="AA901" s="127">
        <v>9620</v>
      </c>
      <c r="AB901" s="125">
        <v>327.238</v>
      </c>
      <c r="AC901" s="127">
        <v>9610</v>
      </c>
      <c r="AD901" s="125">
        <v>257.67099999999999</v>
      </c>
      <c r="AE901" s="127">
        <v>9620</v>
      </c>
      <c r="AF901" s="125">
        <v>258.90800000000002</v>
      </c>
      <c r="AG901" s="127">
        <v>9600</v>
      </c>
      <c r="AH901" s="125">
        <v>57.2</v>
      </c>
      <c r="AI901" s="127">
        <v>9600</v>
      </c>
      <c r="AJ901" s="125">
        <v>61.034999999999997</v>
      </c>
    </row>
    <row r="902" spans="1:36" ht="14.25">
      <c r="A902" s="128">
        <v>9630</v>
      </c>
      <c r="B902" s="124">
        <v>129.06200000000001</v>
      </c>
      <c r="C902" s="128">
        <v>9640</v>
      </c>
      <c r="D902" s="125">
        <v>127.706</v>
      </c>
      <c r="E902" s="126">
        <v>9630</v>
      </c>
      <c r="F902" s="125">
        <v>343.84699999999998</v>
      </c>
      <c r="G902" s="127">
        <v>9630</v>
      </c>
      <c r="H902" s="125">
        <v>343.79899999999998</v>
      </c>
      <c r="I902" s="127">
        <v>9630</v>
      </c>
      <c r="J902" s="125">
        <v>326.80700000000002</v>
      </c>
      <c r="K902" s="127">
        <v>9630</v>
      </c>
      <c r="L902" s="125">
        <v>325.87799999999999</v>
      </c>
      <c r="M902" s="127">
        <v>9630</v>
      </c>
      <c r="N902" s="125">
        <v>326.61900000000003</v>
      </c>
      <c r="O902" s="127">
        <v>9610</v>
      </c>
      <c r="P902" s="125">
        <v>327.654</v>
      </c>
      <c r="Q902" s="127">
        <v>9630</v>
      </c>
      <c r="R902" s="125">
        <v>327.339</v>
      </c>
      <c r="S902" s="127">
        <v>9630</v>
      </c>
      <c r="T902" s="125">
        <v>327.988</v>
      </c>
      <c r="U902" s="127">
        <v>9620</v>
      </c>
      <c r="V902" s="125">
        <v>327.86799999999999</v>
      </c>
      <c r="W902" s="127">
        <v>9630</v>
      </c>
      <c r="X902" s="125">
        <v>327.19200000000001</v>
      </c>
      <c r="Y902" s="127">
        <v>9630</v>
      </c>
      <c r="Z902" s="125">
        <v>325.601</v>
      </c>
      <c r="AA902" s="127">
        <v>9630</v>
      </c>
      <c r="AB902" s="125">
        <v>326.02800000000002</v>
      </c>
      <c r="AC902" s="127">
        <v>9620</v>
      </c>
      <c r="AD902" s="125">
        <v>256.61900000000003</v>
      </c>
      <c r="AE902" s="127">
        <v>9630</v>
      </c>
      <c r="AF902" s="125">
        <v>257.79399999999998</v>
      </c>
      <c r="AG902" s="127">
        <v>9610</v>
      </c>
      <c r="AH902" s="125">
        <v>56.923000000000002</v>
      </c>
      <c r="AI902" s="127">
        <v>9610</v>
      </c>
      <c r="AJ902" s="125">
        <v>60.744999999999997</v>
      </c>
    </row>
    <row r="903" spans="1:36" ht="14.25">
      <c r="A903" s="128">
        <v>9640</v>
      </c>
      <c r="B903" s="124">
        <v>128.42099999999999</v>
      </c>
      <c r="C903" s="128">
        <v>9650</v>
      </c>
      <c r="D903" s="125">
        <v>127.07</v>
      </c>
      <c r="E903" s="126">
        <v>9640</v>
      </c>
      <c r="F903" s="125">
        <v>342.40699999999998</v>
      </c>
      <c r="G903" s="127">
        <v>9640</v>
      </c>
      <c r="H903" s="125">
        <v>342.35899999999998</v>
      </c>
      <c r="I903" s="127">
        <v>9640</v>
      </c>
      <c r="J903" s="125">
        <v>325.59500000000003</v>
      </c>
      <c r="K903" s="127">
        <v>9640</v>
      </c>
      <c r="L903" s="125">
        <v>324.66500000000002</v>
      </c>
      <c r="M903" s="127">
        <v>9640</v>
      </c>
      <c r="N903" s="125">
        <v>325.40800000000002</v>
      </c>
      <c r="O903" s="127">
        <v>9620</v>
      </c>
      <c r="P903" s="125">
        <v>326.44200000000001</v>
      </c>
      <c r="Q903" s="127">
        <v>9640</v>
      </c>
      <c r="R903" s="125">
        <v>326.12700000000001</v>
      </c>
      <c r="S903" s="127">
        <v>9640</v>
      </c>
      <c r="T903" s="125">
        <v>326.77600000000001</v>
      </c>
      <c r="U903" s="127">
        <v>9630</v>
      </c>
      <c r="V903" s="125">
        <v>326.65699999999998</v>
      </c>
      <c r="W903" s="127">
        <v>9640</v>
      </c>
      <c r="X903" s="125">
        <v>325.98099999999999</v>
      </c>
      <c r="Y903" s="127">
        <v>9640</v>
      </c>
      <c r="Z903" s="125">
        <v>324.39</v>
      </c>
      <c r="AA903" s="127">
        <v>9640</v>
      </c>
      <c r="AB903" s="125">
        <v>324.81799999999998</v>
      </c>
      <c r="AC903" s="127">
        <v>9630</v>
      </c>
      <c r="AD903" s="125">
        <v>255.566</v>
      </c>
      <c r="AE903" s="127">
        <v>9640</v>
      </c>
      <c r="AF903" s="125">
        <v>256.68200000000002</v>
      </c>
      <c r="AG903" s="127">
        <v>9620</v>
      </c>
      <c r="AH903" s="125">
        <v>56.648000000000003</v>
      </c>
      <c r="AI903" s="127">
        <v>9620</v>
      </c>
      <c r="AJ903" s="125">
        <v>60.454000000000001</v>
      </c>
    </row>
    <row r="904" spans="1:36" ht="14.25">
      <c r="A904" s="128">
        <v>9650</v>
      </c>
      <c r="B904" s="124">
        <v>127.78</v>
      </c>
      <c r="C904" s="128">
        <v>9660</v>
      </c>
      <c r="D904" s="125">
        <v>126.435</v>
      </c>
      <c r="E904" s="126">
        <v>9650</v>
      </c>
      <c r="F904" s="125">
        <v>340.96699999999998</v>
      </c>
      <c r="G904" s="127">
        <v>9650</v>
      </c>
      <c r="H904" s="125">
        <v>340.91899999999998</v>
      </c>
      <c r="I904" s="127">
        <v>9650</v>
      </c>
      <c r="J904" s="125">
        <v>324.38400000000001</v>
      </c>
      <c r="K904" s="127">
        <v>9650</v>
      </c>
      <c r="L904" s="125">
        <v>323.452</v>
      </c>
      <c r="M904" s="127">
        <v>9650</v>
      </c>
      <c r="N904" s="125">
        <v>324.19600000000003</v>
      </c>
      <c r="O904" s="127">
        <v>9630</v>
      </c>
      <c r="P904" s="125">
        <v>325.23</v>
      </c>
      <c r="Q904" s="127">
        <v>9650</v>
      </c>
      <c r="R904" s="125">
        <v>324.91500000000002</v>
      </c>
      <c r="S904" s="127">
        <v>9650</v>
      </c>
      <c r="T904" s="125">
        <v>325.56400000000002</v>
      </c>
      <c r="U904" s="127">
        <v>9640</v>
      </c>
      <c r="V904" s="125">
        <v>325.447</v>
      </c>
      <c r="W904" s="127">
        <v>9650</v>
      </c>
      <c r="X904" s="125">
        <v>324.77</v>
      </c>
      <c r="Y904" s="127">
        <v>9650</v>
      </c>
      <c r="Z904" s="125">
        <v>323.17899999999997</v>
      </c>
      <c r="AA904" s="127">
        <v>9650</v>
      </c>
      <c r="AB904" s="125">
        <v>323.608</v>
      </c>
      <c r="AC904" s="127">
        <v>9640</v>
      </c>
      <c r="AD904" s="125">
        <v>254.51300000000001</v>
      </c>
      <c r="AE904" s="127">
        <v>9650</v>
      </c>
      <c r="AF904" s="125">
        <v>255.57</v>
      </c>
      <c r="AG904" s="127">
        <v>9630</v>
      </c>
      <c r="AH904" s="125">
        <v>56.372</v>
      </c>
      <c r="AI904" s="127">
        <v>9630</v>
      </c>
      <c r="AJ904" s="125">
        <v>60.164999999999999</v>
      </c>
    </row>
    <row r="905" spans="1:36" ht="14.25">
      <c r="A905" s="128">
        <v>9660</v>
      </c>
      <c r="B905" s="124">
        <v>127.14100000000001</v>
      </c>
      <c r="C905" s="128">
        <v>9670</v>
      </c>
      <c r="D905" s="125">
        <v>125.801</v>
      </c>
      <c r="E905" s="126">
        <v>9660</v>
      </c>
      <c r="F905" s="125">
        <v>339.52800000000002</v>
      </c>
      <c r="G905" s="127">
        <v>9660</v>
      </c>
      <c r="H905" s="125">
        <v>339.47899999999998</v>
      </c>
      <c r="I905" s="127">
        <v>9660</v>
      </c>
      <c r="J905" s="125">
        <v>323.173</v>
      </c>
      <c r="K905" s="127">
        <v>9660</v>
      </c>
      <c r="L905" s="125">
        <v>322.238</v>
      </c>
      <c r="M905" s="127">
        <v>9660</v>
      </c>
      <c r="N905" s="125">
        <v>322.98399999999998</v>
      </c>
      <c r="O905" s="127">
        <v>9640</v>
      </c>
      <c r="P905" s="125">
        <v>324.01799999999997</v>
      </c>
      <c r="Q905" s="127">
        <v>9660</v>
      </c>
      <c r="R905" s="125">
        <v>323.70400000000001</v>
      </c>
      <c r="S905" s="127">
        <v>9660</v>
      </c>
      <c r="T905" s="125">
        <v>324.35199999999998</v>
      </c>
      <c r="U905" s="127">
        <v>9650</v>
      </c>
      <c r="V905" s="125">
        <v>324.23599999999999</v>
      </c>
      <c r="W905" s="127">
        <v>9660</v>
      </c>
      <c r="X905" s="125">
        <v>323.55900000000003</v>
      </c>
      <c r="Y905" s="127">
        <v>9660</v>
      </c>
      <c r="Z905" s="125">
        <v>321.96899999999999</v>
      </c>
      <c r="AA905" s="127">
        <v>9660</v>
      </c>
      <c r="AB905" s="125">
        <v>322.39800000000002</v>
      </c>
      <c r="AC905" s="127">
        <v>9650</v>
      </c>
      <c r="AD905" s="125">
        <v>253.46100000000001</v>
      </c>
      <c r="AE905" s="127">
        <v>9660</v>
      </c>
      <c r="AF905" s="125">
        <v>254.46</v>
      </c>
      <c r="AG905" s="127">
        <v>9640</v>
      </c>
      <c r="AH905" s="125">
        <v>56.097000000000001</v>
      </c>
      <c r="AI905" s="127">
        <v>9640</v>
      </c>
      <c r="AJ905" s="125">
        <v>59.875999999999998</v>
      </c>
    </row>
    <row r="906" spans="1:36" ht="14.25">
      <c r="A906" s="128">
        <v>9670</v>
      </c>
      <c r="B906" s="124">
        <v>126.504</v>
      </c>
      <c r="C906" s="128">
        <v>9680</v>
      </c>
      <c r="D906" s="125">
        <v>125.169</v>
      </c>
      <c r="E906" s="126">
        <v>9670</v>
      </c>
      <c r="F906" s="125">
        <v>338.09</v>
      </c>
      <c r="G906" s="127">
        <v>9670</v>
      </c>
      <c r="H906" s="125">
        <v>338.041</v>
      </c>
      <c r="I906" s="127">
        <v>9670</v>
      </c>
      <c r="J906" s="125">
        <v>321.96100000000001</v>
      </c>
      <c r="K906" s="127">
        <v>9670</v>
      </c>
      <c r="L906" s="125">
        <v>321.02499999999998</v>
      </c>
      <c r="M906" s="127">
        <v>9670</v>
      </c>
      <c r="N906" s="125">
        <v>321.77300000000002</v>
      </c>
      <c r="O906" s="127">
        <v>9650</v>
      </c>
      <c r="P906" s="125">
        <v>322.80599999999998</v>
      </c>
      <c r="Q906" s="127">
        <v>9670</v>
      </c>
      <c r="R906" s="125">
        <v>322.49200000000002</v>
      </c>
      <c r="S906" s="127">
        <v>9670</v>
      </c>
      <c r="T906" s="125">
        <v>323.14</v>
      </c>
      <c r="U906" s="127">
        <v>9660</v>
      </c>
      <c r="V906" s="125">
        <v>323.02600000000001</v>
      </c>
      <c r="W906" s="127">
        <v>9670</v>
      </c>
      <c r="X906" s="125">
        <v>322.34800000000001</v>
      </c>
      <c r="Y906" s="127">
        <v>9670</v>
      </c>
      <c r="Z906" s="125">
        <v>320.75799999999998</v>
      </c>
      <c r="AA906" s="127">
        <v>9670</v>
      </c>
      <c r="AB906" s="125">
        <v>321.18799999999999</v>
      </c>
      <c r="AC906" s="127">
        <v>9660</v>
      </c>
      <c r="AD906" s="125">
        <v>252.40799999999999</v>
      </c>
      <c r="AE906" s="127">
        <v>9670</v>
      </c>
      <c r="AF906" s="125">
        <v>253.35</v>
      </c>
      <c r="AG906" s="127">
        <v>9650</v>
      </c>
      <c r="AH906" s="125">
        <v>55.823</v>
      </c>
      <c r="AI906" s="127">
        <v>9650</v>
      </c>
      <c r="AJ906" s="125">
        <v>59.587000000000003</v>
      </c>
    </row>
    <row r="907" spans="1:36" ht="14.25">
      <c r="A907" s="128">
        <v>9680</v>
      </c>
      <c r="B907" s="124">
        <v>125.867</v>
      </c>
      <c r="C907" s="128">
        <v>9690</v>
      </c>
      <c r="D907" s="125">
        <v>124.538</v>
      </c>
      <c r="E907" s="126">
        <v>9680</v>
      </c>
      <c r="F907" s="125">
        <v>336.65100000000001</v>
      </c>
      <c r="G907" s="127">
        <v>9680</v>
      </c>
      <c r="H907" s="125">
        <v>336.60199999999998</v>
      </c>
      <c r="I907" s="127">
        <v>9680</v>
      </c>
      <c r="J907" s="125">
        <v>320.75</v>
      </c>
      <c r="K907" s="127">
        <v>9680</v>
      </c>
      <c r="L907" s="125">
        <v>319.81200000000001</v>
      </c>
      <c r="M907" s="127">
        <v>9680</v>
      </c>
      <c r="N907" s="125">
        <v>320.56099999999998</v>
      </c>
      <c r="O907" s="127">
        <v>9660</v>
      </c>
      <c r="P907" s="125">
        <v>321.59399999999999</v>
      </c>
      <c r="Q907" s="127">
        <v>9680</v>
      </c>
      <c r="R907" s="125">
        <v>321.27999999999997</v>
      </c>
      <c r="S907" s="127">
        <v>9680</v>
      </c>
      <c r="T907" s="125">
        <v>321.928</v>
      </c>
      <c r="U907" s="127">
        <v>9670</v>
      </c>
      <c r="V907" s="125">
        <v>321.81599999999997</v>
      </c>
      <c r="W907" s="127">
        <v>9680</v>
      </c>
      <c r="X907" s="125">
        <v>321.13600000000002</v>
      </c>
      <c r="Y907" s="127">
        <v>9680</v>
      </c>
      <c r="Z907" s="125">
        <v>319.54700000000003</v>
      </c>
      <c r="AA907" s="127">
        <v>9680</v>
      </c>
      <c r="AB907" s="125">
        <v>319.97800000000001</v>
      </c>
      <c r="AC907" s="127">
        <v>9670</v>
      </c>
      <c r="AD907" s="125">
        <v>251.35499999999999</v>
      </c>
      <c r="AE907" s="127">
        <v>9680</v>
      </c>
      <c r="AF907" s="125">
        <v>252.24199999999999</v>
      </c>
      <c r="AG907" s="127">
        <v>9660</v>
      </c>
      <c r="AH907" s="125">
        <v>55.548999999999999</v>
      </c>
      <c r="AI907" s="127">
        <v>9660</v>
      </c>
      <c r="AJ907" s="125">
        <v>59.298000000000002</v>
      </c>
    </row>
    <row r="908" spans="1:36" ht="14.25">
      <c r="A908" s="128">
        <v>9690</v>
      </c>
      <c r="B908" s="124">
        <v>125.232</v>
      </c>
      <c r="C908" s="128">
        <v>9700</v>
      </c>
      <c r="D908" s="125">
        <v>123.908</v>
      </c>
      <c r="E908" s="126">
        <v>9690</v>
      </c>
      <c r="F908" s="125">
        <v>335.214</v>
      </c>
      <c r="G908" s="127">
        <v>9690</v>
      </c>
      <c r="H908" s="125">
        <v>335.16399999999999</v>
      </c>
      <c r="I908" s="127">
        <v>9690</v>
      </c>
      <c r="J908" s="125">
        <v>319.53899999999999</v>
      </c>
      <c r="K908" s="127">
        <v>9690</v>
      </c>
      <c r="L908" s="125">
        <v>318.59800000000001</v>
      </c>
      <c r="M908" s="127">
        <v>9690</v>
      </c>
      <c r="N908" s="125">
        <v>319.34899999999999</v>
      </c>
      <c r="O908" s="127">
        <v>9670</v>
      </c>
      <c r="P908" s="125">
        <v>320.38200000000001</v>
      </c>
      <c r="Q908" s="127">
        <v>9690</v>
      </c>
      <c r="R908" s="125">
        <v>320.06900000000002</v>
      </c>
      <c r="S908" s="127">
        <v>9690</v>
      </c>
      <c r="T908" s="125">
        <v>320.71600000000001</v>
      </c>
      <c r="U908" s="127">
        <v>9680</v>
      </c>
      <c r="V908" s="125">
        <v>320.60500000000002</v>
      </c>
      <c r="W908" s="127">
        <v>9690</v>
      </c>
      <c r="X908" s="125">
        <v>319.92500000000001</v>
      </c>
      <c r="Y908" s="127">
        <v>9690</v>
      </c>
      <c r="Z908" s="125">
        <v>318.33600000000001</v>
      </c>
      <c r="AA908" s="127">
        <v>9690</v>
      </c>
      <c r="AB908" s="125">
        <v>318.76799999999997</v>
      </c>
      <c r="AC908" s="127">
        <v>9680</v>
      </c>
      <c r="AD908" s="125">
        <v>250.303</v>
      </c>
      <c r="AE908" s="127">
        <v>9690</v>
      </c>
      <c r="AF908" s="125">
        <v>251.13399999999999</v>
      </c>
      <c r="AG908" s="127">
        <v>9670</v>
      </c>
      <c r="AH908" s="125">
        <v>55.274999999999999</v>
      </c>
      <c r="AI908" s="127">
        <v>9670</v>
      </c>
      <c r="AJ908" s="125">
        <v>59.011000000000003</v>
      </c>
    </row>
    <row r="909" spans="1:36" ht="14.25">
      <c r="A909" s="128">
        <v>9700</v>
      </c>
      <c r="B909" s="124">
        <v>124.598</v>
      </c>
      <c r="C909" s="128">
        <v>9710</v>
      </c>
      <c r="D909" s="125">
        <v>123.28</v>
      </c>
      <c r="E909" s="126">
        <v>9700</v>
      </c>
      <c r="F909" s="125">
        <v>333.77699999999999</v>
      </c>
      <c r="G909" s="127">
        <v>9700</v>
      </c>
      <c r="H909" s="125">
        <v>333.72699999999998</v>
      </c>
      <c r="I909" s="127">
        <v>9700</v>
      </c>
      <c r="J909" s="125">
        <v>318.327</v>
      </c>
      <c r="K909" s="127">
        <v>9700</v>
      </c>
      <c r="L909" s="125">
        <v>317.38499999999999</v>
      </c>
      <c r="M909" s="127">
        <v>9700</v>
      </c>
      <c r="N909" s="125">
        <v>318.13799999999998</v>
      </c>
      <c r="O909" s="127">
        <v>9680</v>
      </c>
      <c r="P909" s="125">
        <v>319.17099999999999</v>
      </c>
      <c r="Q909" s="127">
        <v>9700</v>
      </c>
      <c r="R909" s="125">
        <v>318.85700000000003</v>
      </c>
      <c r="S909" s="127">
        <v>9700</v>
      </c>
      <c r="T909" s="125">
        <v>319.50400000000002</v>
      </c>
      <c r="U909" s="127">
        <v>9690</v>
      </c>
      <c r="V909" s="125">
        <v>319.39499999999998</v>
      </c>
      <c r="W909" s="127">
        <v>9700</v>
      </c>
      <c r="X909" s="125">
        <v>318.714</v>
      </c>
      <c r="Y909" s="127">
        <v>9700</v>
      </c>
      <c r="Z909" s="125">
        <v>317.12599999999998</v>
      </c>
      <c r="AA909" s="127">
        <v>9700</v>
      </c>
      <c r="AB909" s="125">
        <v>317.55799999999999</v>
      </c>
      <c r="AC909" s="127">
        <v>9690</v>
      </c>
      <c r="AD909" s="125">
        <v>249.25</v>
      </c>
      <c r="AE909" s="127">
        <v>9700</v>
      </c>
      <c r="AF909" s="125">
        <v>250.02699999999999</v>
      </c>
      <c r="AG909" s="127">
        <v>9680</v>
      </c>
      <c r="AH909" s="125">
        <v>55.002000000000002</v>
      </c>
      <c r="AI909" s="127">
        <v>9680</v>
      </c>
      <c r="AJ909" s="125">
        <v>58.722999999999999</v>
      </c>
    </row>
    <row r="910" spans="1:36" ht="14.25">
      <c r="A910" s="128">
        <v>9710</v>
      </c>
      <c r="B910" s="124">
        <v>123.96599999999999</v>
      </c>
      <c r="C910" s="128">
        <v>9720</v>
      </c>
      <c r="D910" s="125">
        <v>122.652</v>
      </c>
      <c r="E910" s="126">
        <v>9710</v>
      </c>
      <c r="F910" s="125">
        <v>332.34</v>
      </c>
      <c r="G910" s="127">
        <v>9710</v>
      </c>
      <c r="H910" s="125">
        <v>332.29</v>
      </c>
      <c r="I910" s="127">
        <v>9710</v>
      </c>
      <c r="J910" s="125">
        <v>317.11599999999999</v>
      </c>
      <c r="K910" s="127">
        <v>9710</v>
      </c>
      <c r="L910" s="125">
        <v>316.17200000000003</v>
      </c>
      <c r="M910" s="127">
        <v>9710</v>
      </c>
      <c r="N910" s="125">
        <v>316.92599999999999</v>
      </c>
      <c r="O910" s="127">
        <v>9690</v>
      </c>
      <c r="P910" s="125">
        <v>317.959</v>
      </c>
      <c r="Q910" s="127">
        <v>9710</v>
      </c>
      <c r="R910" s="125">
        <v>317.64499999999998</v>
      </c>
      <c r="S910" s="127">
        <v>9710</v>
      </c>
      <c r="T910" s="125">
        <v>318.29199999999997</v>
      </c>
      <c r="U910" s="127">
        <v>9700</v>
      </c>
      <c r="V910" s="125">
        <v>318.18400000000003</v>
      </c>
      <c r="W910" s="127">
        <v>9710</v>
      </c>
      <c r="X910" s="125">
        <v>317.50299999999999</v>
      </c>
      <c r="Y910" s="127">
        <v>9710</v>
      </c>
      <c r="Z910" s="125">
        <v>315.91500000000002</v>
      </c>
      <c r="AA910" s="127">
        <v>9710</v>
      </c>
      <c r="AB910" s="125">
        <v>316.34800000000001</v>
      </c>
      <c r="AC910" s="127">
        <v>9700</v>
      </c>
      <c r="AD910" s="125">
        <v>248.197</v>
      </c>
      <c r="AE910" s="127">
        <v>9710</v>
      </c>
      <c r="AF910" s="125">
        <v>248.92099999999999</v>
      </c>
      <c r="AG910" s="127">
        <v>9690</v>
      </c>
      <c r="AH910" s="125">
        <v>54.728999999999999</v>
      </c>
      <c r="AI910" s="127">
        <v>9690</v>
      </c>
      <c r="AJ910" s="125">
        <v>58.436</v>
      </c>
    </row>
    <row r="911" spans="1:36" ht="14.25">
      <c r="A911" s="128">
        <v>9720</v>
      </c>
      <c r="B911" s="124">
        <v>123.334</v>
      </c>
      <c r="C911" s="128">
        <v>9730</v>
      </c>
      <c r="D911" s="125">
        <v>122.026</v>
      </c>
      <c r="E911" s="126">
        <v>9720</v>
      </c>
      <c r="F911" s="125">
        <v>330.904</v>
      </c>
      <c r="G911" s="127">
        <v>9720</v>
      </c>
      <c r="H911" s="125">
        <v>330.85399999999998</v>
      </c>
      <c r="I911" s="127">
        <v>9720</v>
      </c>
      <c r="J911" s="125">
        <v>315.904</v>
      </c>
      <c r="K911" s="127">
        <v>9720</v>
      </c>
      <c r="L911" s="125">
        <v>314.95800000000003</v>
      </c>
      <c r="M911" s="127">
        <v>9720</v>
      </c>
      <c r="N911" s="125">
        <v>315.714</v>
      </c>
      <c r="O911" s="127">
        <v>9700</v>
      </c>
      <c r="P911" s="125">
        <v>316.74700000000001</v>
      </c>
      <c r="Q911" s="127">
        <v>9720</v>
      </c>
      <c r="R911" s="125">
        <v>316.43400000000003</v>
      </c>
      <c r="S911" s="127">
        <v>9720</v>
      </c>
      <c r="T911" s="125">
        <v>317.08</v>
      </c>
      <c r="U911" s="127">
        <v>9710</v>
      </c>
      <c r="V911" s="125">
        <v>316.97399999999999</v>
      </c>
      <c r="W911" s="127">
        <v>9720</v>
      </c>
      <c r="X911" s="125">
        <v>316.29199999999997</v>
      </c>
      <c r="Y911" s="127">
        <v>9720</v>
      </c>
      <c r="Z911" s="125">
        <v>314.70400000000001</v>
      </c>
      <c r="AA911" s="127">
        <v>9720</v>
      </c>
      <c r="AB911" s="125">
        <v>315.13799999999998</v>
      </c>
      <c r="AC911" s="127">
        <v>9710</v>
      </c>
      <c r="AD911" s="125">
        <v>247.14500000000001</v>
      </c>
      <c r="AE911" s="127">
        <v>9720</v>
      </c>
      <c r="AF911" s="125">
        <v>247.816</v>
      </c>
      <c r="AG911" s="127">
        <v>9700</v>
      </c>
      <c r="AH911" s="125">
        <v>54.457000000000001</v>
      </c>
      <c r="AI911" s="127">
        <v>9700</v>
      </c>
      <c r="AJ911" s="125">
        <v>58.15</v>
      </c>
    </row>
    <row r="912" spans="1:36" ht="14.25">
      <c r="A912" s="128">
        <v>9730</v>
      </c>
      <c r="B912" s="124">
        <v>122.70399999999999</v>
      </c>
      <c r="C912" s="128">
        <v>9740</v>
      </c>
      <c r="D912" s="125">
        <v>121.402</v>
      </c>
      <c r="E912" s="126">
        <v>9730</v>
      </c>
      <c r="F912" s="125">
        <v>329.46899999999999</v>
      </c>
      <c r="G912" s="127">
        <v>9730</v>
      </c>
      <c r="H912" s="125">
        <v>329.41899999999998</v>
      </c>
      <c r="I912" s="127">
        <v>9730</v>
      </c>
      <c r="J912" s="125">
        <v>314.69299999999998</v>
      </c>
      <c r="K912" s="127">
        <v>9730</v>
      </c>
      <c r="L912" s="125">
        <v>313.745</v>
      </c>
      <c r="M912" s="127">
        <v>9730</v>
      </c>
      <c r="N912" s="125">
        <v>314.50299999999999</v>
      </c>
      <c r="O912" s="127">
        <v>9710</v>
      </c>
      <c r="P912" s="125">
        <v>315.53500000000003</v>
      </c>
      <c r="Q912" s="127">
        <v>9730</v>
      </c>
      <c r="R912" s="125">
        <v>315.22199999999998</v>
      </c>
      <c r="S912" s="127">
        <v>9730</v>
      </c>
      <c r="T912" s="125">
        <v>315.86799999999999</v>
      </c>
      <c r="U912" s="127">
        <v>9720</v>
      </c>
      <c r="V912" s="125">
        <v>315.76400000000001</v>
      </c>
      <c r="W912" s="127">
        <v>9730</v>
      </c>
      <c r="X912" s="125">
        <v>315.08100000000002</v>
      </c>
      <c r="Y912" s="127">
        <v>9730</v>
      </c>
      <c r="Z912" s="125">
        <v>313.49299999999999</v>
      </c>
      <c r="AA912" s="127">
        <v>9730</v>
      </c>
      <c r="AB912" s="125">
        <v>313.928</v>
      </c>
      <c r="AC912" s="127">
        <v>9720</v>
      </c>
      <c r="AD912" s="125">
        <v>246.09200000000001</v>
      </c>
      <c r="AE912" s="127">
        <v>9730</v>
      </c>
      <c r="AF912" s="125">
        <v>246.71199999999999</v>
      </c>
      <c r="AG912" s="127">
        <v>9710</v>
      </c>
      <c r="AH912" s="125">
        <v>54.186</v>
      </c>
      <c r="AI912" s="127">
        <v>9710</v>
      </c>
      <c r="AJ912" s="125">
        <v>57.863999999999997</v>
      </c>
    </row>
    <row r="913" spans="1:36" ht="14.25">
      <c r="A913" s="128">
        <v>9740</v>
      </c>
      <c r="B913" s="124">
        <v>122.07599999999999</v>
      </c>
      <c r="C913" s="128">
        <v>9750</v>
      </c>
      <c r="D913" s="125">
        <v>120.77800000000001</v>
      </c>
      <c r="E913" s="126">
        <v>9740</v>
      </c>
      <c r="F913" s="125">
        <v>328.03399999999999</v>
      </c>
      <c r="G913" s="127">
        <v>9740</v>
      </c>
      <c r="H913" s="125">
        <v>327.98399999999998</v>
      </c>
      <c r="I913" s="127">
        <v>9740</v>
      </c>
      <c r="J913" s="125">
        <v>313.48200000000003</v>
      </c>
      <c r="K913" s="127">
        <v>9740</v>
      </c>
      <c r="L913" s="125">
        <v>312.53199999999998</v>
      </c>
      <c r="M913" s="127">
        <v>9740</v>
      </c>
      <c r="N913" s="125">
        <v>313.291</v>
      </c>
      <c r="O913" s="127">
        <v>9720</v>
      </c>
      <c r="P913" s="125">
        <v>314.32299999999998</v>
      </c>
      <c r="Q913" s="127">
        <v>9740</v>
      </c>
      <c r="R913" s="125">
        <v>314.01100000000002</v>
      </c>
      <c r="S913" s="127">
        <v>9740</v>
      </c>
      <c r="T913" s="125">
        <v>314.65600000000001</v>
      </c>
      <c r="U913" s="127">
        <v>9730</v>
      </c>
      <c r="V913" s="125">
        <v>314.553</v>
      </c>
      <c r="W913" s="127">
        <v>9740</v>
      </c>
      <c r="X913" s="125">
        <v>313.87</v>
      </c>
      <c r="Y913" s="127">
        <v>9740</v>
      </c>
      <c r="Z913" s="125">
        <v>312.28300000000002</v>
      </c>
      <c r="AA913" s="127">
        <v>9740</v>
      </c>
      <c r="AB913" s="125">
        <v>312.71800000000002</v>
      </c>
      <c r="AC913" s="127">
        <v>9730</v>
      </c>
      <c r="AD913" s="125">
        <v>245.03899999999999</v>
      </c>
      <c r="AE913" s="127">
        <v>9740</v>
      </c>
      <c r="AF913" s="125">
        <v>245.60900000000001</v>
      </c>
      <c r="AG913" s="127">
        <v>9720</v>
      </c>
      <c r="AH913" s="125">
        <v>53.914000000000001</v>
      </c>
      <c r="AI913" s="127">
        <v>9720</v>
      </c>
      <c r="AJ913" s="125">
        <v>57.578000000000003</v>
      </c>
    </row>
    <row r="914" spans="1:36" ht="14.25">
      <c r="A914" s="128">
        <v>9750</v>
      </c>
      <c r="B914" s="124">
        <v>121.44799999999999</v>
      </c>
      <c r="C914" s="128">
        <v>9760</v>
      </c>
      <c r="D914" s="125">
        <v>120.15600000000001</v>
      </c>
      <c r="E914" s="126">
        <v>9750</v>
      </c>
      <c r="F914" s="125">
        <v>326.59899999999999</v>
      </c>
      <c r="G914" s="127">
        <v>9750</v>
      </c>
      <c r="H914" s="125">
        <v>326.54899999999998</v>
      </c>
      <c r="I914" s="127">
        <v>9750</v>
      </c>
      <c r="J914" s="125">
        <v>312.27</v>
      </c>
      <c r="K914" s="127">
        <v>9750</v>
      </c>
      <c r="L914" s="125">
        <v>311.31799999999998</v>
      </c>
      <c r="M914" s="127">
        <v>9750</v>
      </c>
      <c r="N914" s="125">
        <v>312.08</v>
      </c>
      <c r="O914" s="127">
        <v>9730</v>
      </c>
      <c r="P914" s="125">
        <v>313.11099999999999</v>
      </c>
      <c r="Q914" s="127">
        <v>9750</v>
      </c>
      <c r="R914" s="125">
        <v>312.79899999999998</v>
      </c>
      <c r="S914" s="127">
        <v>9750</v>
      </c>
      <c r="T914" s="125">
        <v>313.44400000000002</v>
      </c>
      <c r="U914" s="127">
        <v>9740</v>
      </c>
      <c r="V914" s="125">
        <v>313.34300000000002</v>
      </c>
      <c r="W914" s="127">
        <v>9750</v>
      </c>
      <c r="X914" s="125">
        <v>312.65899999999999</v>
      </c>
      <c r="Y914" s="127">
        <v>9750</v>
      </c>
      <c r="Z914" s="125">
        <v>311.072</v>
      </c>
      <c r="AA914" s="127">
        <v>9750</v>
      </c>
      <c r="AB914" s="125">
        <v>311.50799999999998</v>
      </c>
      <c r="AC914" s="127">
        <v>9740</v>
      </c>
      <c r="AD914" s="125">
        <v>243.98699999999999</v>
      </c>
      <c r="AE914" s="127">
        <v>9750</v>
      </c>
      <c r="AF914" s="125">
        <v>244.50700000000001</v>
      </c>
      <c r="AG914" s="127">
        <v>9730</v>
      </c>
      <c r="AH914" s="125">
        <v>53.643000000000001</v>
      </c>
      <c r="AI914" s="127">
        <v>9730</v>
      </c>
      <c r="AJ914" s="125">
        <v>57.292999999999999</v>
      </c>
    </row>
    <row r="915" spans="1:36" ht="14.25">
      <c r="A915" s="128">
        <v>9760</v>
      </c>
      <c r="B915" s="124">
        <v>120.822</v>
      </c>
      <c r="C915" s="128">
        <v>9770</v>
      </c>
      <c r="D915" s="125">
        <v>119.535</v>
      </c>
      <c r="E915" s="126">
        <v>9760</v>
      </c>
      <c r="F915" s="125">
        <v>325.16500000000002</v>
      </c>
      <c r="G915" s="127">
        <v>9760</v>
      </c>
      <c r="H915" s="125">
        <v>325.11599999999999</v>
      </c>
      <c r="I915" s="127">
        <v>9760</v>
      </c>
      <c r="J915" s="125">
        <v>311.05900000000003</v>
      </c>
      <c r="K915" s="127">
        <v>9760</v>
      </c>
      <c r="L915" s="125">
        <v>310.10500000000002</v>
      </c>
      <c r="M915" s="127">
        <v>9760</v>
      </c>
      <c r="N915" s="125">
        <v>310.86799999999999</v>
      </c>
      <c r="O915" s="127">
        <v>9740</v>
      </c>
      <c r="P915" s="125">
        <v>311.899</v>
      </c>
      <c r="Q915" s="127">
        <v>9760</v>
      </c>
      <c r="R915" s="125">
        <v>311.58699999999999</v>
      </c>
      <c r="S915" s="127">
        <v>9760</v>
      </c>
      <c r="T915" s="125">
        <v>312.23200000000003</v>
      </c>
      <c r="U915" s="127">
        <v>9750</v>
      </c>
      <c r="V915" s="125">
        <v>312.13200000000001</v>
      </c>
      <c r="W915" s="127">
        <v>9760</v>
      </c>
      <c r="X915" s="125">
        <v>311.44799999999998</v>
      </c>
      <c r="Y915" s="127">
        <v>9760</v>
      </c>
      <c r="Z915" s="125">
        <v>309.86099999999999</v>
      </c>
      <c r="AA915" s="127">
        <v>9760</v>
      </c>
      <c r="AB915" s="125">
        <v>310.298</v>
      </c>
      <c r="AC915" s="127">
        <v>9750</v>
      </c>
      <c r="AD915" s="125">
        <v>242.934</v>
      </c>
      <c r="AE915" s="127">
        <v>9760</v>
      </c>
      <c r="AF915" s="125">
        <v>243.40600000000001</v>
      </c>
      <c r="AG915" s="127">
        <v>9740</v>
      </c>
      <c r="AH915" s="125">
        <v>53.372999999999998</v>
      </c>
      <c r="AI915" s="127">
        <v>9740</v>
      </c>
      <c r="AJ915" s="125">
        <v>57.008000000000003</v>
      </c>
    </row>
    <row r="916" spans="1:36" ht="14.25">
      <c r="A916" s="128">
        <v>9770</v>
      </c>
      <c r="B916" s="124">
        <v>120.197</v>
      </c>
      <c r="C916" s="128">
        <v>9780</v>
      </c>
      <c r="D916" s="125">
        <v>118.916</v>
      </c>
      <c r="E916" s="126">
        <v>9770</v>
      </c>
      <c r="F916" s="125">
        <v>323.73200000000003</v>
      </c>
      <c r="G916" s="127">
        <v>9770</v>
      </c>
      <c r="H916" s="125">
        <v>323.68299999999999</v>
      </c>
      <c r="I916" s="127">
        <v>9770</v>
      </c>
      <c r="J916" s="125">
        <v>309.84800000000001</v>
      </c>
      <c r="K916" s="127">
        <v>9770</v>
      </c>
      <c r="L916" s="125">
        <v>308.892</v>
      </c>
      <c r="M916" s="127">
        <v>9770</v>
      </c>
      <c r="N916" s="125">
        <v>309.65600000000001</v>
      </c>
      <c r="O916" s="127">
        <v>9750</v>
      </c>
      <c r="P916" s="125">
        <v>310.68700000000001</v>
      </c>
      <c r="Q916" s="127">
        <v>9770</v>
      </c>
      <c r="R916" s="125">
        <v>310.37599999999998</v>
      </c>
      <c r="S916" s="127">
        <v>9770</v>
      </c>
      <c r="T916" s="125">
        <v>311.02</v>
      </c>
      <c r="U916" s="127">
        <v>9760</v>
      </c>
      <c r="V916" s="125">
        <v>310.92200000000003</v>
      </c>
      <c r="W916" s="127">
        <v>9770</v>
      </c>
      <c r="X916" s="125">
        <v>310.23700000000002</v>
      </c>
      <c r="Y916" s="127">
        <v>9770</v>
      </c>
      <c r="Z916" s="125">
        <v>308.64999999999998</v>
      </c>
      <c r="AA916" s="127">
        <v>9770</v>
      </c>
      <c r="AB916" s="125">
        <v>309.08800000000002</v>
      </c>
      <c r="AC916" s="127">
        <v>9760</v>
      </c>
      <c r="AD916" s="125">
        <v>241.881</v>
      </c>
      <c r="AE916" s="127">
        <v>9770</v>
      </c>
      <c r="AF916" s="125">
        <v>242.30600000000001</v>
      </c>
      <c r="AG916" s="127">
        <v>9750</v>
      </c>
      <c r="AH916" s="125">
        <v>53.103000000000002</v>
      </c>
      <c r="AI916" s="127">
        <v>9750</v>
      </c>
      <c r="AJ916" s="125">
        <v>56.723999999999997</v>
      </c>
    </row>
    <row r="917" spans="1:36" ht="14.25">
      <c r="A917" s="128">
        <v>9780</v>
      </c>
      <c r="B917" s="124">
        <v>119.574</v>
      </c>
      <c r="C917" s="128">
        <v>9790</v>
      </c>
      <c r="D917" s="125">
        <v>118.297</v>
      </c>
      <c r="E917" s="126">
        <v>9780</v>
      </c>
      <c r="F917" s="125">
        <v>322.3</v>
      </c>
      <c r="G917" s="127">
        <v>9780</v>
      </c>
      <c r="H917" s="125">
        <v>322.25</v>
      </c>
      <c r="I917" s="127">
        <v>9780</v>
      </c>
      <c r="J917" s="125">
        <v>308.63600000000002</v>
      </c>
      <c r="K917" s="127">
        <v>9780</v>
      </c>
      <c r="L917" s="125">
        <v>307.678</v>
      </c>
      <c r="M917" s="127">
        <v>9780</v>
      </c>
      <c r="N917" s="125">
        <v>308.44499999999999</v>
      </c>
      <c r="O917" s="127">
        <v>9760</v>
      </c>
      <c r="P917" s="125">
        <v>309.476</v>
      </c>
      <c r="Q917" s="127">
        <v>9780</v>
      </c>
      <c r="R917" s="125">
        <v>309.16399999999999</v>
      </c>
      <c r="S917" s="127">
        <v>9780</v>
      </c>
      <c r="T917" s="125">
        <v>309.80799999999999</v>
      </c>
      <c r="U917" s="127">
        <v>9770</v>
      </c>
      <c r="V917" s="125">
        <v>309.71199999999999</v>
      </c>
      <c r="W917" s="127">
        <v>9780</v>
      </c>
      <c r="X917" s="125">
        <v>309.02499999999998</v>
      </c>
      <c r="Y917" s="127">
        <v>9780</v>
      </c>
      <c r="Z917" s="125">
        <v>307.44</v>
      </c>
      <c r="AA917" s="127">
        <v>9780</v>
      </c>
      <c r="AB917" s="125">
        <v>307.87799999999999</v>
      </c>
      <c r="AC917" s="127">
        <v>9770</v>
      </c>
      <c r="AD917" s="125">
        <v>240.82900000000001</v>
      </c>
      <c r="AE917" s="127">
        <v>9780</v>
      </c>
      <c r="AF917" s="125">
        <v>241.20699999999999</v>
      </c>
      <c r="AG917" s="127">
        <v>9760</v>
      </c>
      <c r="AH917" s="125">
        <v>52.834000000000003</v>
      </c>
      <c r="AI917" s="127">
        <v>9760</v>
      </c>
      <c r="AJ917" s="125">
        <v>56.441000000000003</v>
      </c>
    </row>
    <row r="918" spans="1:36" ht="14.25">
      <c r="A918" s="128">
        <v>9790</v>
      </c>
      <c r="B918" s="124">
        <v>118.95099999999999</v>
      </c>
      <c r="C918" s="128">
        <v>9800</v>
      </c>
      <c r="D918" s="125">
        <v>117.68</v>
      </c>
      <c r="E918" s="126">
        <v>9790</v>
      </c>
      <c r="F918" s="125">
        <v>320.86799999999999</v>
      </c>
      <c r="G918" s="127">
        <v>9790</v>
      </c>
      <c r="H918" s="125">
        <v>320.81900000000002</v>
      </c>
      <c r="I918" s="127">
        <v>9790</v>
      </c>
      <c r="J918" s="125">
        <v>307.42500000000001</v>
      </c>
      <c r="K918" s="127">
        <v>9790</v>
      </c>
      <c r="L918" s="125">
        <v>306.46499999999997</v>
      </c>
      <c r="M918" s="127">
        <v>9790</v>
      </c>
      <c r="N918" s="125">
        <v>307.233</v>
      </c>
      <c r="O918" s="127">
        <v>9770</v>
      </c>
      <c r="P918" s="125">
        <v>308.26400000000001</v>
      </c>
      <c r="Q918" s="127">
        <v>9790</v>
      </c>
      <c r="R918" s="125">
        <v>307.952</v>
      </c>
      <c r="S918" s="127">
        <v>9790</v>
      </c>
      <c r="T918" s="125">
        <v>308.596</v>
      </c>
      <c r="U918" s="127">
        <v>9780</v>
      </c>
      <c r="V918" s="125">
        <v>308.50099999999998</v>
      </c>
      <c r="W918" s="127">
        <v>9790</v>
      </c>
      <c r="X918" s="125">
        <v>307.81400000000002</v>
      </c>
      <c r="Y918" s="127">
        <v>9790</v>
      </c>
      <c r="Z918" s="125">
        <v>306.22899999999998</v>
      </c>
      <c r="AA918" s="127">
        <v>9790</v>
      </c>
      <c r="AB918" s="125">
        <v>306.66800000000001</v>
      </c>
      <c r="AC918" s="127">
        <v>9780</v>
      </c>
      <c r="AD918" s="125">
        <v>239.77600000000001</v>
      </c>
      <c r="AE918" s="127">
        <v>9790</v>
      </c>
      <c r="AF918" s="125">
        <v>240.108</v>
      </c>
      <c r="AG918" s="127">
        <v>9770</v>
      </c>
      <c r="AH918" s="125">
        <v>52.564999999999998</v>
      </c>
      <c r="AI918" s="127">
        <v>9770</v>
      </c>
      <c r="AJ918" s="125">
        <v>56.158000000000001</v>
      </c>
    </row>
    <row r="919" spans="1:36" ht="14.25">
      <c r="A919" s="128">
        <v>9800</v>
      </c>
      <c r="B919" s="124">
        <v>118.33</v>
      </c>
      <c r="C919" s="128">
        <v>9810</v>
      </c>
      <c r="D919" s="125">
        <v>117.06399999999999</v>
      </c>
      <c r="E919" s="126">
        <v>9800</v>
      </c>
      <c r="F919" s="125">
        <v>319.43599999999998</v>
      </c>
      <c r="G919" s="127">
        <v>9800</v>
      </c>
      <c r="H919" s="125">
        <v>319.38799999999998</v>
      </c>
      <c r="I919" s="127">
        <v>9800</v>
      </c>
      <c r="J919" s="125">
        <v>306.214</v>
      </c>
      <c r="K919" s="127">
        <v>9800</v>
      </c>
      <c r="L919" s="125">
        <v>305.25200000000001</v>
      </c>
      <c r="M919" s="127">
        <v>9800</v>
      </c>
      <c r="N919" s="125">
        <v>306.02199999999999</v>
      </c>
      <c r="O919" s="127">
        <v>9780</v>
      </c>
      <c r="P919" s="125">
        <v>307.05200000000002</v>
      </c>
      <c r="Q919" s="127">
        <v>9800</v>
      </c>
      <c r="R919" s="125">
        <v>306.74099999999999</v>
      </c>
      <c r="S919" s="127">
        <v>9800</v>
      </c>
      <c r="T919" s="125">
        <v>307.38400000000001</v>
      </c>
      <c r="U919" s="127">
        <v>9790</v>
      </c>
      <c r="V919" s="125">
        <v>307.291</v>
      </c>
      <c r="W919" s="127">
        <v>9800</v>
      </c>
      <c r="X919" s="125">
        <v>306.60300000000001</v>
      </c>
      <c r="Y919" s="127">
        <v>9800</v>
      </c>
      <c r="Z919" s="125">
        <v>305.01799999999997</v>
      </c>
      <c r="AA919" s="127">
        <v>9800</v>
      </c>
      <c r="AB919" s="125">
        <v>305.45800000000003</v>
      </c>
      <c r="AC919" s="127">
        <v>9790</v>
      </c>
      <c r="AD919" s="125">
        <v>238.72300000000001</v>
      </c>
      <c r="AE919" s="127">
        <v>9800</v>
      </c>
      <c r="AF919" s="125">
        <v>239.011</v>
      </c>
      <c r="AG919" s="127">
        <v>9780</v>
      </c>
      <c r="AH919" s="125">
        <v>52.296999999999997</v>
      </c>
      <c r="AI919" s="127">
        <v>9780</v>
      </c>
      <c r="AJ919" s="125">
        <v>55.875</v>
      </c>
    </row>
    <row r="920" spans="1:36" ht="14.25">
      <c r="A920" s="128">
        <v>9810</v>
      </c>
      <c r="B920" s="124">
        <v>117.711</v>
      </c>
      <c r="C920" s="128">
        <v>9820</v>
      </c>
      <c r="D920" s="125">
        <v>116.45</v>
      </c>
      <c r="E920" s="126">
        <v>9810</v>
      </c>
      <c r="F920" s="125">
        <v>318.00599999999997</v>
      </c>
      <c r="G920" s="127">
        <v>9810</v>
      </c>
      <c r="H920" s="125">
        <v>317.95699999999999</v>
      </c>
      <c r="I920" s="127">
        <v>9810</v>
      </c>
      <c r="J920" s="125">
        <v>305.00200000000001</v>
      </c>
      <c r="K920" s="127">
        <v>9810</v>
      </c>
      <c r="L920" s="125">
        <v>304.03800000000001</v>
      </c>
      <c r="M920" s="127">
        <v>9810</v>
      </c>
      <c r="N920" s="125">
        <v>304.81</v>
      </c>
      <c r="O920" s="127">
        <v>9790</v>
      </c>
      <c r="P920" s="125">
        <v>305.83999999999997</v>
      </c>
      <c r="Q920" s="127">
        <v>9810</v>
      </c>
      <c r="R920" s="125">
        <v>305.529</v>
      </c>
      <c r="S920" s="127">
        <v>9810</v>
      </c>
      <c r="T920" s="125">
        <v>306.17200000000003</v>
      </c>
      <c r="U920" s="127">
        <v>9800</v>
      </c>
      <c r="V920" s="125">
        <v>306.08</v>
      </c>
      <c r="W920" s="127">
        <v>9810</v>
      </c>
      <c r="X920" s="125">
        <v>305.392</v>
      </c>
      <c r="Y920" s="127">
        <v>9810</v>
      </c>
      <c r="Z920" s="125">
        <v>303.80799999999999</v>
      </c>
      <c r="AA920" s="127">
        <v>9810</v>
      </c>
      <c r="AB920" s="125">
        <v>304.24799999999999</v>
      </c>
      <c r="AC920" s="127">
        <v>9800</v>
      </c>
      <c r="AD920" s="125">
        <v>237.67099999999999</v>
      </c>
      <c r="AE920" s="127">
        <v>9810</v>
      </c>
      <c r="AF920" s="125">
        <v>237.91499999999999</v>
      </c>
      <c r="AG920" s="127">
        <v>9790</v>
      </c>
      <c r="AH920" s="125">
        <v>52.029000000000003</v>
      </c>
      <c r="AI920" s="127">
        <v>9790</v>
      </c>
      <c r="AJ920" s="125">
        <v>55.593000000000004</v>
      </c>
    </row>
    <row r="921" spans="1:36" ht="14.25">
      <c r="A921" s="128">
        <v>9820</v>
      </c>
      <c r="B921" s="124">
        <v>117.092</v>
      </c>
      <c r="C921" s="128">
        <v>9830</v>
      </c>
      <c r="D921" s="125">
        <v>115.837</v>
      </c>
      <c r="E921" s="126">
        <v>9820</v>
      </c>
      <c r="F921" s="125">
        <v>316.57600000000002</v>
      </c>
      <c r="G921" s="127">
        <v>9820</v>
      </c>
      <c r="H921" s="125">
        <v>316.52800000000002</v>
      </c>
      <c r="I921" s="127">
        <v>9820</v>
      </c>
      <c r="J921" s="125">
        <v>303.791</v>
      </c>
      <c r="K921" s="127">
        <v>9820</v>
      </c>
      <c r="L921" s="125">
        <v>302.82499999999999</v>
      </c>
      <c r="M921" s="127">
        <v>9820</v>
      </c>
      <c r="N921" s="125">
        <v>303.59800000000001</v>
      </c>
      <c r="O921" s="127">
        <v>9800</v>
      </c>
      <c r="P921" s="125">
        <v>304.62799999999999</v>
      </c>
      <c r="Q921" s="127">
        <v>9820</v>
      </c>
      <c r="R921" s="125">
        <v>304.31799999999998</v>
      </c>
      <c r="S921" s="127">
        <v>9820</v>
      </c>
      <c r="T921" s="125">
        <v>304.95999999999998</v>
      </c>
      <c r="U921" s="127">
        <v>9810</v>
      </c>
      <c r="V921" s="125">
        <v>304.87</v>
      </c>
      <c r="W921" s="127">
        <v>9820</v>
      </c>
      <c r="X921" s="125">
        <v>304.18099999999998</v>
      </c>
      <c r="Y921" s="127">
        <v>9820</v>
      </c>
      <c r="Z921" s="125">
        <v>302.59699999999998</v>
      </c>
      <c r="AA921" s="127">
        <v>9820</v>
      </c>
      <c r="AB921" s="125">
        <v>303.03800000000001</v>
      </c>
      <c r="AC921" s="127">
        <v>9810</v>
      </c>
      <c r="AD921" s="125">
        <v>236.61799999999999</v>
      </c>
      <c r="AE921" s="127">
        <v>9820</v>
      </c>
      <c r="AF921" s="125">
        <v>236.81899999999999</v>
      </c>
      <c r="AG921" s="127">
        <v>9800</v>
      </c>
      <c r="AH921" s="125">
        <v>51.761000000000003</v>
      </c>
      <c r="AI921" s="127">
        <v>9800</v>
      </c>
      <c r="AJ921" s="125">
        <v>55.311</v>
      </c>
    </row>
    <row r="922" spans="1:36" ht="14.25">
      <c r="A922" s="128">
        <v>9830</v>
      </c>
      <c r="B922" s="124">
        <v>116.47499999999999</v>
      </c>
      <c r="C922" s="128">
        <v>9840</v>
      </c>
      <c r="D922" s="125">
        <v>115.22499999999999</v>
      </c>
      <c r="E922" s="126">
        <v>9830</v>
      </c>
      <c r="F922" s="125">
        <v>315.14699999999999</v>
      </c>
      <c r="G922" s="127">
        <v>9830</v>
      </c>
      <c r="H922" s="125">
        <v>315.09899999999999</v>
      </c>
      <c r="I922" s="127">
        <v>9830</v>
      </c>
      <c r="J922" s="125">
        <v>302.58</v>
      </c>
      <c r="K922" s="127">
        <v>9830</v>
      </c>
      <c r="L922" s="125">
        <v>301.61200000000002</v>
      </c>
      <c r="M922" s="127">
        <v>9830</v>
      </c>
      <c r="N922" s="125">
        <v>302.387</v>
      </c>
      <c r="O922" s="127">
        <v>9810</v>
      </c>
      <c r="P922" s="125">
        <v>303.416</v>
      </c>
      <c r="Q922" s="127">
        <v>9830</v>
      </c>
      <c r="R922" s="125">
        <v>303.10599999999999</v>
      </c>
      <c r="S922" s="127">
        <v>9830</v>
      </c>
      <c r="T922" s="125">
        <v>303.74799999999999</v>
      </c>
      <c r="U922" s="127">
        <v>9820</v>
      </c>
      <c r="V922" s="125">
        <v>303.66000000000003</v>
      </c>
      <c r="W922" s="127">
        <v>9830</v>
      </c>
      <c r="X922" s="125">
        <v>302.97000000000003</v>
      </c>
      <c r="Y922" s="127">
        <v>9830</v>
      </c>
      <c r="Z922" s="125">
        <v>301.38600000000002</v>
      </c>
      <c r="AA922" s="127">
        <v>9830</v>
      </c>
      <c r="AB922" s="125">
        <v>301.82799999999997</v>
      </c>
      <c r="AC922" s="127">
        <v>9820</v>
      </c>
      <c r="AD922" s="125">
        <v>235.565</v>
      </c>
      <c r="AE922" s="127">
        <v>9830</v>
      </c>
      <c r="AF922" s="125">
        <v>235.72499999999999</v>
      </c>
      <c r="AG922" s="127">
        <v>9810</v>
      </c>
      <c r="AH922" s="125">
        <v>51.494</v>
      </c>
      <c r="AI922" s="127">
        <v>9810</v>
      </c>
      <c r="AJ922" s="125">
        <v>55.03</v>
      </c>
    </row>
    <row r="923" spans="1:36" ht="14.25">
      <c r="A923" s="128">
        <v>9840</v>
      </c>
      <c r="B923" s="124">
        <v>115.85899999999999</v>
      </c>
      <c r="C923" s="128">
        <v>9850</v>
      </c>
      <c r="D923" s="125">
        <v>114.614</v>
      </c>
      <c r="E923" s="126">
        <v>9840</v>
      </c>
      <c r="F923" s="125">
        <v>313.71800000000002</v>
      </c>
      <c r="G923" s="127">
        <v>9840</v>
      </c>
      <c r="H923" s="125">
        <v>313.67099999999999</v>
      </c>
      <c r="I923" s="127">
        <v>9840</v>
      </c>
      <c r="J923" s="125">
        <v>301.36799999999999</v>
      </c>
      <c r="K923" s="127">
        <v>9840</v>
      </c>
      <c r="L923" s="125">
        <v>300.39800000000002</v>
      </c>
      <c r="M923" s="127">
        <v>9840</v>
      </c>
      <c r="N923" s="125">
        <v>301.17500000000001</v>
      </c>
      <c r="O923" s="127">
        <v>9820</v>
      </c>
      <c r="P923" s="125">
        <v>302.20400000000001</v>
      </c>
      <c r="Q923" s="127">
        <v>9840</v>
      </c>
      <c r="R923" s="125">
        <v>301.89400000000001</v>
      </c>
      <c r="S923" s="127">
        <v>9840</v>
      </c>
      <c r="T923" s="125">
        <v>302.536</v>
      </c>
      <c r="U923" s="127">
        <v>9830</v>
      </c>
      <c r="V923" s="125">
        <v>302.44900000000001</v>
      </c>
      <c r="W923" s="127">
        <v>9840</v>
      </c>
      <c r="X923" s="125">
        <v>301.75900000000001</v>
      </c>
      <c r="Y923" s="127">
        <v>9840</v>
      </c>
      <c r="Z923" s="125">
        <v>300.17599999999999</v>
      </c>
      <c r="AA923" s="127">
        <v>9840</v>
      </c>
      <c r="AB923" s="125">
        <v>300.61799999999999</v>
      </c>
      <c r="AC923" s="127">
        <v>9830</v>
      </c>
      <c r="AD923" s="125">
        <v>234.51300000000001</v>
      </c>
      <c r="AE923" s="127">
        <v>9840</v>
      </c>
      <c r="AF923" s="125">
        <v>234.631</v>
      </c>
      <c r="AG923" s="127">
        <v>9820</v>
      </c>
      <c r="AH923" s="125">
        <v>51.228000000000002</v>
      </c>
      <c r="AI923" s="127">
        <v>9820</v>
      </c>
      <c r="AJ923" s="125">
        <v>54.749000000000002</v>
      </c>
    </row>
    <row r="924" spans="1:36" ht="14.25">
      <c r="A924" s="128">
        <v>9850</v>
      </c>
      <c r="B924" s="124">
        <v>115.245</v>
      </c>
      <c r="C924" s="128">
        <v>9860</v>
      </c>
      <c r="D924" s="125">
        <v>114.005</v>
      </c>
      <c r="E924" s="126">
        <v>9850</v>
      </c>
      <c r="F924" s="125">
        <v>312.29000000000002</v>
      </c>
      <c r="G924" s="127">
        <v>9850</v>
      </c>
      <c r="H924" s="125">
        <v>312.24400000000003</v>
      </c>
      <c r="I924" s="127">
        <v>9850</v>
      </c>
      <c r="J924" s="125">
        <v>300.15699999999998</v>
      </c>
      <c r="K924" s="127">
        <v>9850</v>
      </c>
      <c r="L924" s="125">
        <v>299.185</v>
      </c>
      <c r="M924" s="127">
        <v>9850</v>
      </c>
      <c r="N924" s="125">
        <v>299.96300000000002</v>
      </c>
      <c r="O924" s="127">
        <v>9830</v>
      </c>
      <c r="P924" s="125">
        <v>300.99299999999999</v>
      </c>
      <c r="Q924" s="127">
        <v>9850</v>
      </c>
      <c r="R924" s="125">
        <v>300.68299999999999</v>
      </c>
      <c r="S924" s="127">
        <v>9850</v>
      </c>
      <c r="T924" s="125">
        <v>301.32400000000001</v>
      </c>
      <c r="U924" s="127">
        <v>9840</v>
      </c>
      <c r="V924" s="125">
        <v>301.23899999999998</v>
      </c>
      <c r="W924" s="127">
        <v>9850</v>
      </c>
      <c r="X924" s="125">
        <v>300.548</v>
      </c>
      <c r="Y924" s="127">
        <v>9850</v>
      </c>
      <c r="Z924" s="125">
        <v>298.96499999999997</v>
      </c>
      <c r="AA924" s="127">
        <v>9850</v>
      </c>
      <c r="AB924" s="125">
        <v>299.40800000000002</v>
      </c>
      <c r="AC924" s="127">
        <v>9840</v>
      </c>
      <c r="AD924" s="125">
        <v>233.46</v>
      </c>
      <c r="AE924" s="127">
        <v>9850</v>
      </c>
      <c r="AF924" s="125">
        <v>233.53899999999999</v>
      </c>
      <c r="AG924" s="127">
        <v>9830</v>
      </c>
      <c r="AH924" s="125">
        <v>50.962000000000003</v>
      </c>
      <c r="AI924" s="127">
        <v>9830</v>
      </c>
      <c r="AJ924" s="125">
        <v>54.469000000000001</v>
      </c>
    </row>
    <row r="925" spans="1:36" ht="14.25">
      <c r="A925" s="128">
        <v>9860</v>
      </c>
      <c r="B925" s="124">
        <v>114.631</v>
      </c>
      <c r="C925" s="128">
        <v>9870</v>
      </c>
      <c r="D925" s="125">
        <v>113.39700000000001</v>
      </c>
      <c r="E925" s="126">
        <v>9860</v>
      </c>
      <c r="F925" s="125">
        <v>310.863</v>
      </c>
      <c r="G925" s="127">
        <v>9860</v>
      </c>
      <c r="H925" s="125">
        <v>310.81700000000001</v>
      </c>
      <c r="I925" s="127">
        <v>9860</v>
      </c>
      <c r="J925" s="125">
        <v>298.94600000000003</v>
      </c>
      <c r="K925" s="127">
        <v>9860</v>
      </c>
      <c r="L925" s="125">
        <v>297.97199999999998</v>
      </c>
      <c r="M925" s="127">
        <v>9860</v>
      </c>
      <c r="N925" s="125">
        <v>298.75200000000001</v>
      </c>
      <c r="O925" s="127">
        <v>9840</v>
      </c>
      <c r="P925" s="125">
        <v>299.78100000000001</v>
      </c>
      <c r="Q925" s="127">
        <v>9860</v>
      </c>
      <c r="R925" s="125">
        <v>299.471</v>
      </c>
      <c r="S925" s="127">
        <v>9860</v>
      </c>
      <c r="T925" s="125">
        <v>300.11200000000002</v>
      </c>
      <c r="U925" s="127">
        <v>9850</v>
      </c>
      <c r="V925" s="125">
        <v>300.02800000000002</v>
      </c>
      <c r="W925" s="127">
        <v>9860</v>
      </c>
      <c r="X925" s="125">
        <v>299.33699999999999</v>
      </c>
      <c r="Y925" s="127">
        <v>9860</v>
      </c>
      <c r="Z925" s="125">
        <v>297.75400000000002</v>
      </c>
      <c r="AA925" s="127">
        <v>9860</v>
      </c>
      <c r="AB925" s="125">
        <v>298.19799999999998</v>
      </c>
      <c r="AC925" s="127">
        <v>9850</v>
      </c>
      <c r="AD925" s="125">
        <v>232.40700000000001</v>
      </c>
      <c r="AE925" s="127">
        <v>9860</v>
      </c>
      <c r="AF925" s="125">
        <v>232.447</v>
      </c>
      <c r="AG925" s="127">
        <v>9840</v>
      </c>
      <c r="AH925" s="125">
        <v>50.695999999999998</v>
      </c>
      <c r="AI925" s="127">
        <v>9840</v>
      </c>
      <c r="AJ925" s="125">
        <v>54.189</v>
      </c>
    </row>
    <row r="926" spans="1:36" ht="14.25">
      <c r="A926" s="128">
        <v>9870</v>
      </c>
      <c r="B926" s="124">
        <v>114.01900000000001</v>
      </c>
      <c r="C926" s="128">
        <v>9880</v>
      </c>
      <c r="D926" s="125">
        <v>112.79</v>
      </c>
      <c r="E926" s="126">
        <v>9870</v>
      </c>
      <c r="F926" s="125">
        <v>309.43700000000001</v>
      </c>
      <c r="G926" s="127">
        <v>9870</v>
      </c>
      <c r="H926" s="125">
        <v>309.39100000000002</v>
      </c>
      <c r="I926" s="127">
        <v>9870</v>
      </c>
      <c r="J926" s="125">
        <v>297.73399999999998</v>
      </c>
      <c r="K926" s="127">
        <v>9870</v>
      </c>
      <c r="L926" s="125">
        <v>296.75799999999998</v>
      </c>
      <c r="M926" s="127">
        <v>9870</v>
      </c>
      <c r="N926" s="125">
        <v>297.54000000000002</v>
      </c>
      <c r="O926" s="127">
        <v>9850</v>
      </c>
      <c r="P926" s="125">
        <v>298.56900000000002</v>
      </c>
      <c r="Q926" s="127">
        <v>9870</v>
      </c>
      <c r="R926" s="125">
        <v>298.26</v>
      </c>
      <c r="S926" s="127">
        <v>9870</v>
      </c>
      <c r="T926" s="125">
        <v>298.90100000000001</v>
      </c>
      <c r="U926" s="127">
        <v>9860</v>
      </c>
      <c r="V926" s="125">
        <v>298.81799999999998</v>
      </c>
      <c r="W926" s="127">
        <v>9870</v>
      </c>
      <c r="X926" s="125">
        <v>298.125</v>
      </c>
      <c r="Y926" s="127">
        <v>9870</v>
      </c>
      <c r="Z926" s="125">
        <v>296.54300000000001</v>
      </c>
      <c r="AA926" s="127">
        <v>9870</v>
      </c>
      <c r="AB926" s="125">
        <v>296.988</v>
      </c>
      <c r="AC926" s="127">
        <v>9860</v>
      </c>
      <c r="AD926" s="125">
        <v>231.35499999999999</v>
      </c>
      <c r="AE926" s="127">
        <v>9870</v>
      </c>
      <c r="AF926" s="125">
        <v>231.35599999999999</v>
      </c>
      <c r="AG926" s="127">
        <v>9850</v>
      </c>
      <c r="AH926" s="125">
        <v>50.430999999999997</v>
      </c>
      <c r="AI926" s="127">
        <v>9850</v>
      </c>
      <c r="AJ926" s="125">
        <v>53.91</v>
      </c>
    </row>
    <row r="927" spans="1:36" ht="14.25">
      <c r="A927" s="128">
        <v>9880</v>
      </c>
      <c r="B927" s="124">
        <v>113.40900000000001</v>
      </c>
      <c r="C927" s="128">
        <v>9890</v>
      </c>
      <c r="D927" s="125">
        <v>112.184</v>
      </c>
      <c r="E927" s="126">
        <v>9880</v>
      </c>
      <c r="F927" s="125">
        <v>308.01100000000002</v>
      </c>
      <c r="G927" s="127">
        <v>9880</v>
      </c>
      <c r="H927" s="125">
        <v>307.96699999999998</v>
      </c>
      <c r="I927" s="127">
        <v>9880</v>
      </c>
      <c r="J927" s="125">
        <v>296.52300000000002</v>
      </c>
      <c r="K927" s="127">
        <v>9880</v>
      </c>
      <c r="L927" s="125">
        <v>295.54500000000002</v>
      </c>
      <c r="M927" s="127">
        <v>9880</v>
      </c>
      <c r="N927" s="125">
        <v>296.32900000000001</v>
      </c>
      <c r="O927" s="127">
        <v>9860</v>
      </c>
      <c r="P927" s="125">
        <v>297.35700000000003</v>
      </c>
      <c r="Q927" s="127">
        <v>9880</v>
      </c>
      <c r="R927" s="125">
        <v>297.048</v>
      </c>
      <c r="S927" s="127">
        <v>9880</v>
      </c>
      <c r="T927" s="125">
        <v>297.68900000000002</v>
      </c>
      <c r="U927" s="127">
        <v>9870</v>
      </c>
      <c r="V927" s="125">
        <v>297.60700000000003</v>
      </c>
      <c r="W927" s="127">
        <v>9880</v>
      </c>
      <c r="X927" s="125">
        <v>296.91399999999999</v>
      </c>
      <c r="Y927" s="127">
        <v>9880</v>
      </c>
      <c r="Z927" s="125">
        <v>295.33300000000003</v>
      </c>
      <c r="AA927" s="127">
        <v>9880</v>
      </c>
      <c r="AB927" s="125">
        <v>295.77699999999999</v>
      </c>
      <c r="AC927" s="127">
        <v>9870</v>
      </c>
      <c r="AD927" s="125">
        <v>230.30199999999999</v>
      </c>
      <c r="AE927" s="127">
        <v>9880</v>
      </c>
      <c r="AF927" s="125">
        <v>230.267</v>
      </c>
      <c r="AG927" s="127">
        <v>9860</v>
      </c>
      <c r="AH927" s="125">
        <v>50.167000000000002</v>
      </c>
      <c r="AI927" s="127">
        <v>9860</v>
      </c>
      <c r="AJ927" s="125">
        <v>53.631</v>
      </c>
    </row>
    <row r="928" spans="1:36" ht="14.25">
      <c r="A928" s="128">
        <v>9890</v>
      </c>
      <c r="B928" s="124">
        <v>112.79900000000001</v>
      </c>
      <c r="C928" s="128">
        <v>9900</v>
      </c>
      <c r="D928" s="125">
        <v>111.58</v>
      </c>
      <c r="E928" s="126">
        <v>9890</v>
      </c>
      <c r="F928" s="125">
        <v>306.58600000000001</v>
      </c>
      <c r="G928" s="127">
        <v>9890</v>
      </c>
      <c r="H928" s="125">
        <v>306.54199999999997</v>
      </c>
      <c r="I928" s="127">
        <v>9890</v>
      </c>
      <c r="J928" s="125">
        <v>295.31200000000001</v>
      </c>
      <c r="K928" s="127">
        <v>9890</v>
      </c>
      <c r="L928" s="125">
        <v>294.33199999999999</v>
      </c>
      <c r="M928" s="127">
        <v>9890</v>
      </c>
      <c r="N928" s="125">
        <v>295.11700000000002</v>
      </c>
      <c r="O928" s="127">
        <v>9870</v>
      </c>
      <c r="P928" s="125">
        <v>296.14499999999998</v>
      </c>
      <c r="Q928" s="127">
        <v>9890</v>
      </c>
      <c r="R928" s="125">
        <v>295.83600000000001</v>
      </c>
      <c r="S928" s="127">
        <v>9890</v>
      </c>
      <c r="T928" s="125">
        <v>296.47699999999998</v>
      </c>
      <c r="U928" s="127">
        <v>9880</v>
      </c>
      <c r="V928" s="125">
        <v>296.39699999999999</v>
      </c>
      <c r="W928" s="127">
        <v>9890</v>
      </c>
      <c r="X928" s="125">
        <v>295.70299999999997</v>
      </c>
      <c r="Y928" s="127">
        <v>9890</v>
      </c>
      <c r="Z928" s="125">
        <v>294.12200000000001</v>
      </c>
      <c r="AA928" s="127">
        <v>9890</v>
      </c>
      <c r="AB928" s="125">
        <v>294.56700000000001</v>
      </c>
      <c r="AC928" s="127">
        <v>9880</v>
      </c>
      <c r="AD928" s="125">
        <v>229.249</v>
      </c>
      <c r="AE928" s="127">
        <v>9890</v>
      </c>
      <c r="AF928" s="125">
        <v>229.178</v>
      </c>
      <c r="AG928" s="127">
        <v>9870</v>
      </c>
      <c r="AH928" s="125">
        <v>49.902999999999999</v>
      </c>
      <c r="AI928" s="127">
        <v>9870</v>
      </c>
      <c r="AJ928" s="125">
        <v>53.353000000000002</v>
      </c>
    </row>
    <row r="929" spans="1:36" ht="14.25">
      <c r="A929" s="128">
        <v>9900</v>
      </c>
      <c r="B929" s="124">
        <v>112.191</v>
      </c>
      <c r="C929" s="128">
        <v>9910</v>
      </c>
      <c r="D929" s="125">
        <v>110.977</v>
      </c>
      <c r="E929" s="126">
        <v>9900</v>
      </c>
      <c r="F929" s="125">
        <v>305.16199999999998</v>
      </c>
      <c r="G929" s="127">
        <v>9900</v>
      </c>
      <c r="H929" s="125">
        <v>305.11900000000003</v>
      </c>
      <c r="I929" s="127">
        <v>9900</v>
      </c>
      <c r="J929" s="125">
        <v>294.10000000000002</v>
      </c>
      <c r="K929" s="127">
        <v>9900</v>
      </c>
      <c r="L929" s="125">
        <v>293.11799999999999</v>
      </c>
      <c r="M929" s="127">
        <v>9900</v>
      </c>
      <c r="N929" s="125">
        <v>293.90600000000001</v>
      </c>
      <c r="O929" s="127">
        <v>9880</v>
      </c>
      <c r="P929" s="125">
        <v>294.93299999999999</v>
      </c>
      <c r="Q929" s="127">
        <v>9900</v>
      </c>
      <c r="R929" s="125">
        <v>294.625</v>
      </c>
      <c r="S929" s="127">
        <v>9900</v>
      </c>
      <c r="T929" s="125">
        <v>295.26499999999999</v>
      </c>
      <c r="U929" s="127">
        <v>9890</v>
      </c>
      <c r="V929" s="125">
        <v>295.18700000000001</v>
      </c>
      <c r="W929" s="127">
        <v>9900</v>
      </c>
      <c r="X929" s="125">
        <v>294.49200000000002</v>
      </c>
      <c r="Y929" s="127">
        <v>9900</v>
      </c>
      <c r="Z929" s="125">
        <v>292.911</v>
      </c>
      <c r="AA929" s="127">
        <v>9900</v>
      </c>
      <c r="AB929" s="125">
        <v>293.35700000000003</v>
      </c>
      <c r="AC929" s="127">
        <v>9890</v>
      </c>
      <c r="AD929" s="125">
        <v>228.197</v>
      </c>
      <c r="AE929" s="127">
        <v>9900</v>
      </c>
      <c r="AF929" s="125">
        <v>228.09</v>
      </c>
      <c r="AG929" s="127">
        <v>9880</v>
      </c>
      <c r="AH929" s="125">
        <v>49.639000000000003</v>
      </c>
      <c r="AI929" s="127">
        <v>9880</v>
      </c>
      <c r="AJ929" s="125">
        <v>53.075000000000003</v>
      </c>
    </row>
    <row r="930" spans="1:36" ht="14.25">
      <c r="A930" s="128">
        <v>9910</v>
      </c>
      <c r="B930" s="124">
        <v>111.584</v>
      </c>
      <c r="C930" s="128">
        <v>9920</v>
      </c>
      <c r="D930" s="125">
        <v>110.375</v>
      </c>
      <c r="E930" s="126">
        <v>9910</v>
      </c>
      <c r="F930" s="125">
        <v>303.73899999999998</v>
      </c>
      <c r="G930" s="127">
        <v>9910</v>
      </c>
      <c r="H930" s="125">
        <v>303.697</v>
      </c>
      <c r="I930" s="127">
        <v>9910</v>
      </c>
      <c r="J930" s="125">
        <v>292.88900000000001</v>
      </c>
      <c r="K930" s="127">
        <v>9910</v>
      </c>
      <c r="L930" s="125">
        <v>291.90499999999997</v>
      </c>
      <c r="M930" s="127">
        <v>9910</v>
      </c>
      <c r="N930" s="125">
        <v>292.69400000000002</v>
      </c>
      <c r="O930" s="127">
        <v>9890</v>
      </c>
      <c r="P930" s="125">
        <v>293.72199999999998</v>
      </c>
      <c r="Q930" s="127">
        <v>9910</v>
      </c>
      <c r="R930" s="125">
        <v>293.41300000000001</v>
      </c>
      <c r="S930" s="127">
        <v>9910</v>
      </c>
      <c r="T930" s="125">
        <v>294.053</v>
      </c>
      <c r="U930" s="127">
        <v>9900</v>
      </c>
      <c r="V930" s="125">
        <v>293.976</v>
      </c>
      <c r="W930" s="127">
        <v>9910</v>
      </c>
      <c r="X930" s="125">
        <v>293.28100000000001</v>
      </c>
      <c r="Y930" s="127">
        <v>9910</v>
      </c>
      <c r="Z930" s="125">
        <v>291.70100000000002</v>
      </c>
      <c r="AA930" s="127">
        <v>9910</v>
      </c>
      <c r="AB930" s="125">
        <v>292.14699999999999</v>
      </c>
      <c r="AC930" s="127">
        <v>9900</v>
      </c>
      <c r="AD930" s="125">
        <v>227.14400000000001</v>
      </c>
      <c r="AE930" s="127">
        <v>9910</v>
      </c>
      <c r="AF930" s="125">
        <v>227.00399999999999</v>
      </c>
      <c r="AG930" s="127">
        <v>9890</v>
      </c>
      <c r="AH930" s="125">
        <v>49.375999999999998</v>
      </c>
      <c r="AI930" s="127">
        <v>9890</v>
      </c>
      <c r="AJ930" s="125">
        <v>52.796999999999997</v>
      </c>
    </row>
    <row r="931" spans="1:36" ht="14.25">
      <c r="A931" s="128">
        <v>9920</v>
      </c>
      <c r="B931" s="124">
        <v>110.97799999999999</v>
      </c>
      <c r="C931" s="128">
        <v>9930</v>
      </c>
      <c r="D931" s="125">
        <v>109.77500000000001</v>
      </c>
      <c r="E931" s="126">
        <v>9920</v>
      </c>
      <c r="F931" s="125">
        <v>302.31599999999997</v>
      </c>
      <c r="G931" s="127">
        <v>9920</v>
      </c>
      <c r="H931" s="125">
        <v>302.27499999999998</v>
      </c>
      <c r="I931" s="127">
        <v>9920</v>
      </c>
      <c r="J931" s="125">
        <v>291.678</v>
      </c>
      <c r="K931" s="127">
        <v>9920</v>
      </c>
      <c r="L931" s="125">
        <v>290.69200000000001</v>
      </c>
      <c r="M931" s="127">
        <v>9920</v>
      </c>
      <c r="N931" s="125">
        <v>291.48200000000003</v>
      </c>
      <c r="O931" s="127">
        <v>9900</v>
      </c>
      <c r="P931" s="125">
        <v>292.51</v>
      </c>
      <c r="Q931" s="127">
        <v>9920</v>
      </c>
      <c r="R931" s="125">
        <v>292.202</v>
      </c>
      <c r="S931" s="127">
        <v>9920</v>
      </c>
      <c r="T931" s="125">
        <v>292.84100000000001</v>
      </c>
      <c r="U931" s="127">
        <v>9910</v>
      </c>
      <c r="V931" s="125">
        <v>292.76600000000002</v>
      </c>
      <c r="W931" s="127">
        <v>9920</v>
      </c>
      <c r="X931" s="125">
        <v>292.07</v>
      </c>
      <c r="Y931" s="127">
        <v>9920</v>
      </c>
      <c r="Z931" s="125">
        <v>290.49</v>
      </c>
      <c r="AA931" s="127">
        <v>9920</v>
      </c>
      <c r="AB931" s="125">
        <v>290.93700000000001</v>
      </c>
      <c r="AC931" s="127">
        <v>9910</v>
      </c>
      <c r="AD931" s="125">
        <v>226.09100000000001</v>
      </c>
      <c r="AE931" s="127">
        <v>9920</v>
      </c>
      <c r="AF931" s="125">
        <v>225.91800000000001</v>
      </c>
      <c r="AG931" s="127">
        <v>9900</v>
      </c>
      <c r="AH931" s="125">
        <v>49.113999999999997</v>
      </c>
      <c r="AI931" s="127">
        <v>9900</v>
      </c>
      <c r="AJ931" s="125">
        <v>52.521000000000001</v>
      </c>
    </row>
    <row r="932" spans="1:36" ht="14.25">
      <c r="A932" s="128">
        <v>9930</v>
      </c>
      <c r="B932" s="124">
        <v>110.374</v>
      </c>
      <c r="C932" s="128">
        <v>9940</v>
      </c>
      <c r="D932" s="125">
        <v>109.176</v>
      </c>
      <c r="E932" s="126">
        <v>9930</v>
      </c>
      <c r="F932" s="125">
        <v>300.89499999999998</v>
      </c>
      <c r="G932" s="127">
        <v>9930</v>
      </c>
      <c r="H932" s="125">
        <v>300.85500000000002</v>
      </c>
      <c r="I932" s="127">
        <v>9930</v>
      </c>
      <c r="J932" s="125">
        <v>290.46699999999998</v>
      </c>
      <c r="K932" s="127">
        <v>9930</v>
      </c>
      <c r="L932" s="125">
        <v>289.47800000000001</v>
      </c>
      <c r="M932" s="127">
        <v>9930</v>
      </c>
      <c r="N932" s="125">
        <v>290.27100000000002</v>
      </c>
      <c r="O932" s="127">
        <v>9910</v>
      </c>
      <c r="P932" s="125">
        <v>291.298</v>
      </c>
      <c r="Q932" s="127">
        <v>9930</v>
      </c>
      <c r="R932" s="125">
        <v>290.99</v>
      </c>
      <c r="S932" s="127">
        <v>9930</v>
      </c>
      <c r="T932" s="125">
        <v>291.62900000000002</v>
      </c>
      <c r="U932" s="127">
        <v>9920</v>
      </c>
      <c r="V932" s="125">
        <v>291.55500000000001</v>
      </c>
      <c r="W932" s="127">
        <v>9930</v>
      </c>
      <c r="X932" s="125">
        <v>290.85899999999998</v>
      </c>
      <c r="Y932" s="127">
        <v>9930</v>
      </c>
      <c r="Z932" s="125">
        <v>289.279</v>
      </c>
      <c r="AA932" s="127">
        <v>9930</v>
      </c>
      <c r="AB932" s="125">
        <v>289.72699999999998</v>
      </c>
      <c r="AC932" s="127">
        <v>9920</v>
      </c>
      <c r="AD932" s="125">
        <v>225.03899999999999</v>
      </c>
      <c r="AE932" s="127">
        <v>9930</v>
      </c>
      <c r="AF932" s="125">
        <v>224.833</v>
      </c>
      <c r="AG932" s="127">
        <v>9910</v>
      </c>
      <c r="AH932" s="125">
        <v>48.851999999999997</v>
      </c>
      <c r="AI932" s="127">
        <v>9910</v>
      </c>
      <c r="AJ932" s="125">
        <v>52.244</v>
      </c>
    </row>
    <row r="933" spans="1:36" ht="14.25">
      <c r="A933" s="128">
        <v>9940</v>
      </c>
      <c r="B933" s="124">
        <v>109.771</v>
      </c>
      <c r="C933" s="128">
        <v>9950</v>
      </c>
      <c r="D933" s="125">
        <v>108.578</v>
      </c>
      <c r="E933" s="126">
        <v>9940</v>
      </c>
      <c r="F933" s="125">
        <v>299.47399999999999</v>
      </c>
      <c r="G933" s="127">
        <v>9940</v>
      </c>
      <c r="H933" s="125">
        <v>299.435</v>
      </c>
      <c r="I933" s="127">
        <v>9940</v>
      </c>
      <c r="J933" s="125">
        <v>289.255</v>
      </c>
      <c r="K933" s="127">
        <v>9940</v>
      </c>
      <c r="L933" s="125">
        <v>288.26499999999999</v>
      </c>
      <c r="M933" s="127">
        <v>9940</v>
      </c>
      <c r="N933" s="125">
        <v>289.05900000000003</v>
      </c>
      <c r="O933" s="127">
        <v>9920</v>
      </c>
      <c r="P933" s="125">
        <v>290.08600000000001</v>
      </c>
      <c r="Q933" s="127">
        <v>9940</v>
      </c>
      <c r="R933" s="125">
        <v>289.779</v>
      </c>
      <c r="S933" s="127">
        <v>9940</v>
      </c>
      <c r="T933" s="125">
        <v>290.41699999999997</v>
      </c>
      <c r="U933" s="127">
        <v>9930</v>
      </c>
      <c r="V933" s="125">
        <v>290.34500000000003</v>
      </c>
      <c r="W933" s="127">
        <v>9940</v>
      </c>
      <c r="X933" s="125">
        <v>289.64800000000002</v>
      </c>
      <c r="Y933" s="127">
        <v>9940</v>
      </c>
      <c r="Z933" s="125">
        <v>288.06799999999998</v>
      </c>
      <c r="AA933" s="127">
        <v>9940</v>
      </c>
      <c r="AB933" s="125">
        <v>288.517</v>
      </c>
      <c r="AC933" s="127">
        <v>9930</v>
      </c>
      <c r="AD933" s="125">
        <v>223.98599999999999</v>
      </c>
      <c r="AE933" s="127">
        <v>9940</v>
      </c>
      <c r="AF933" s="125">
        <v>223.749</v>
      </c>
      <c r="AG933" s="127">
        <v>9920</v>
      </c>
      <c r="AH933" s="125">
        <v>48.59</v>
      </c>
      <c r="AI933" s="127">
        <v>9920</v>
      </c>
      <c r="AJ933" s="125">
        <v>51.969000000000001</v>
      </c>
    </row>
    <row r="934" spans="1:36" ht="14.25">
      <c r="A934" s="128">
        <v>9950</v>
      </c>
      <c r="B934" s="124">
        <v>109.169</v>
      </c>
      <c r="C934" s="128">
        <v>9960</v>
      </c>
      <c r="D934" s="125">
        <v>107.98099999999999</v>
      </c>
      <c r="E934" s="126">
        <v>9950</v>
      </c>
      <c r="F934" s="125">
        <v>298.05399999999997</v>
      </c>
      <c r="G934" s="127">
        <v>9950</v>
      </c>
      <c r="H934" s="125">
        <v>298.01600000000002</v>
      </c>
      <c r="I934" s="127">
        <v>9950</v>
      </c>
      <c r="J934" s="125">
        <v>288.04399999999998</v>
      </c>
      <c r="K934" s="127">
        <v>9950</v>
      </c>
      <c r="L934" s="125">
        <v>287.05200000000002</v>
      </c>
      <c r="M934" s="127">
        <v>9950</v>
      </c>
      <c r="N934" s="125">
        <v>287.84800000000001</v>
      </c>
      <c r="O934" s="127">
        <v>9930</v>
      </c>
      <c r="P934" s="125">
        <v>288.87400000000002</v>
      </c>
      <c r="Q934" s="127">
        <v>9950</v>
      </c>
      <c r="R934" s="125">
        <v>288.56700000000001</v>
      </c>
      <c r="S934" s="127">
        <v>9950</v>
      </c>
      <c r="T934" s="125">
        <v>289.20499999999998</v>
      </c>
      <c r="U934" s="127">
        <v>9940</v>
      </c>
      <c r="V934" s="129">
        <v>289.13400000000001</v>
      </c>
      <c r="W934" s="127">
        <v>9950</v>
      </c>
      <c r="X934" s="125">
        <v>288.43599999999998</v>
      </c>
      <c r="Y934" s="127">
        <v>9950</v>
      </c>
      <c r="Z934" s="125">
        <v>286.858</v>
      </c>
      <c r="AA934" s="127">
        <v>9950</v>
      </c>
      <c r="AB934" s="125">
        <v>287.30700000000002</v>
      </c>
      <c r="AC934" s="127">
        <v>9940</v>
      </c>
      <c r="AD934" s="125">
        <v>222.93299999999999</v>
      </c>
      <c r="AE934" s="127">
        <v>9950</v>
      </c>
      <c r="AF934" s="125">
        <v>222.666</v>
      </c>
      <c r="AG934" s="127">
        <v>9930</v>
      </c>
      <c r="AH934" s="125">
        <v>48.329000000000001</v>
      </c>
      <c r="AI934" s="127">
        <v>9930</v>
      </c>
      <c r="AJ934" s="125">
        <v>51.692999999999998</v>
      </c>
    </row>
    <row r="935" spans="1:36" ht="14.25">
      <c r="A935" s="128">
        <v>9960</v>
      </c>
      <c r="B935" s="124">
        <v>108.569</v>
      </c>
      <c r="C935" s="128">
        <v>9970</v>
      </c>
      <c r="D935" s="125">
        <v>107.386</v>
      </c>
      <c r="E935" s="126">
        <v>9960</v>
      </c>
      <c r="F935" s="125">
        <v>296.63499999999999</v>
      </c>
      <c r="G935" s="127">
        <v>9960</v>
      </c>
      <c r="H935" s="125">
        <v>296.59800000000001</v>
      </c>
      <c r="I935" s="127">
        <v>9960</v>
      </c>
      <c r="J935" s="125">
        <v>286.83300000000003</v>
      </c>
      <c r="K935" s="127">
        <v>9960</v>
      </c>
      <c r="L935" s="125">
        <v>285.83800000000002</v>
      </c>
      <c r="M935" s="127">
        <v>9960</v>
      </c>
      <c r="N935" s="125">
        <v>286.63600000000002</v>
      </c>
      <c r="O935" s="127">
        <v>9940</v>
      </c>
      <c r="P935" s="125">
        <v>287.66199999999998</v>
      </c>
      <c r="Q935" s="127">
        <v>9960</v>
      </c>
      <c r="R935" s="125">
        <v>287.35500000000002</v>
      </c>
      <c r="S935" s="127">
        <v>9960</v>
      </c>
      <c r="T935" s="125">
        <v>287.99299999999999</v>
      </c>
      <c r="U935" s="127">
        <v>9950</v>
      </c>
      <c r="V935" s="129">
        <v>287.92399999999998</v>
      </c>
      <c r="W935" s="127">
        <v>9960</v>
      </c>
      <c r="X935" s="125">
        <v>287.22500000000002</v>
      </c>
      <c r="Y935" s="127">
        <v>9960</v>
      </c>
      <c r="Z935" s="125">
        <v>285.64699999999999</v>
      </c>
      <c r="AA935" s="127">
        <v>9960</v>
      </c>
      <c r="AB935" s="125">
        <v>286.09699999999998</v>
      </c>
      <c r="AC935" s="127">
        <v>9950</v>
      </c>
      <c r="AD935" s="125">
        <v>221.881</v>
      </c>
      <c r="AE935" s="127">
        <v>9960</v>
      </c>
      <c r="AF935" s="125">
        <v>221.584</v>
      </c>
      <c r="AG935" s="127">
        <v>9940</v>
      </c>
      <c r="AH935" s="125">
        <v>48.067999999999998</v>
      </c>
      <c r="AI935" s="127">
        <v>9940</v>
      </c>
      <c r="AJ935" s="125">
        <v>51.418999999999997</v>
      </c>
    </row>
    <row r="936" spans="1:36" ht="14.25">
      <c r="A936" s="128">
        <v>9970</v>
      </c>
      <c r="B936" s="124">
        <v>107.97</v>
      </c>
      <c r="C936" s="128">
        <v>9980</v>
      </c>
      <c r="D936" s="125">
        <v>106.792</v>
      </c>
      <c r="E936" s="126">
        <v>9970</v>
      </c>
      <c r="F936" s="125">
        <v>295.21600000000001</v>
      </c>
      <c r="G936" s="127">
        <v>9970</v>
      </c>
      <c r="H936" s="125">
        <v>295.18099999999998</v>
      </c>
      <c r="I936" s="127">
        <v>9970</v>
      </c>
      <c r="J936" s="125">
        <v>285.62200000000001</v>
      </c>
      <c r="K936" s="127">
        <v>9970</v>
      </c>
      <c r="L936" s="125">
        <v>284.625</v>
      </c>
      <c r="M936" s="127">
        <v>9970</v>
      </c>
      <c r="N936" s="125">
        <v>285.42399999999998</v>
      </c>
      <c r="O936" s="127">
        <v>9950</v>
      </c>
      <c r="P936" s="125">
        <v>286.45100000000002</v>
      </c>
      <c r="Q936" s="127">
        <v>9970</v>
      </c>
      <c r="R936" s="125">
        <v>286.14400000000001</v>
      </c>
      <c r="S936" s="127">
        <v>9970</v>
      </c>
      <c r="T936" s="125">
        <v>286.78100000000001</v>
      </c>
      <c r="U936" s="127">
        <v>9960</v>
      </c>
      <c r="V936" s="125">
        <v>286.714</v>
      </c>
      <c r="W936" s="127">
        <v>9970</v>
      </c>
      <c r="X936" s="125">
        <v>286.01400000000001</v>
      </c>
      <c r="Y936" s="127">
        <v>9970</v>
      </c>
      <c r="Z936" s="125">
        <v>284.43599999999998</v>
      </c>
      <c r="AA936" s="127">
        <v>9970</v>
      </c>
      <c r="AB936" s="125">
        <v>284.887</v>
      </c>
      <c r="AC936" s="127">
        <v>9960</v>
      </c>
      <c r="AD936" s="125">
        <v>220.828</v>
      </c>
      <c r="AE936" s="127">
        <v>9970</v>
      </c>
      <c r="AF936" s="125">
        <v>220.50399999999999</v>
      </c>
      <c r="AG936" s="127">
        <v>9950</v>
      </c>
      <c r="AH936" s="125">
        <v>47.808</v>
      </c>
      <c r="AI936" s="127">
        <v>9950</v>
      </c>
      <c r="AJ936" s="125">
        <v>51.143999999999998</v>
      </c>
    </row>
    <row r="937" spans="1:36" ht="14.25">
      <c r="A937" s="128">
        <v>9980</v>
      </c>
      <c r="B937" s="124">
        <v>107.372</v>
      </c>
      <c r="C937" s="128">
        <v>9990</v>
      </c>
      <c r="D937" s="125">
        <v>106.199</v>
      </c>
      <c r="E937" s="126">
        <v>9980</v>
      </c>
      <c r="F937" s="125">
        <v>293.79899999999998</v>
      </c>
      <c r="G937" s="127">
        <v>9980</v>
      </c>
      <c r="H937" s="125">
        <v>293.76499999999999</v>
      </c>
      <c r="I937" s="127">
        <v>9980</v>
      </c>
      <c r="J937" s="125">
        <v>284.41000000000003</v>
      </c>
      <c r="K937" s="127">
        <v>9980</v>
      </c>
      <c r="L937" s="125">
        <v>283.41199999999998</v>
      </c>
      <c r="M937" s="127">
        <v>9980</v>
      </c>
      <c r="N937" s="125">
        <v>284.21300000000002</v>
      </c>
      <c r="O937" s="127">
        <v>9960</v>
      </c>
      <c r="P937" s="125">
        <v>285.23899999999998</v>
      </c>
      <c r="Q937" s="127">
        <v>9980</v>
      </c>
      <c r="R937" s="125">
        <v>284.93200000000002</v>
      </c>
      <c r="S937" s="127">
        <v>9980</v>
      </c>
      <c r="T937" s="125">
        <v>285.56900000000002</v>
      </c>
      <c r="U937" s="127">
        <v>9970</v>
      </c>
      <c r="V937" s="125">
        <v>285.50299999999999</v>
      </c>
      <c r="W937" s="127">
        <v>9980</v>
      </c>
      <c r="X937" s="125">
        <v>284.803</v>
      </c>
      <c r="Y937" s="127">
        <v>9980</v>
      </c>
      <c r="Z937" s="125">
        <v>283.226</v>
      </c>
      <c r="AA937" s="127">
        <v>9980</v>
      </c>
      <c r="AB937" s="125">
        <v>283.67700000000002</v>
      </c>
      <c r="AC937" s="127">
        <v>9970</v>
      </c>
      <c r="AD937" s="125">
        <v>219.77500000000001</v>
      </c>
      <c r="AE937" s="127">
        <v>9980</v>
      </c>
      <c r="AF937" s="125">
        <v>219.42400000000001</v>
      </c>
      <c r="AG937" s="127">
        <v>9960</v>
      </c>
      <c r="AH937" s="125">
        <v>47.548999999999999</v>
      </c>
      <c r="AI937" s="127">
        <v>9960</v>
      </c>
      <c r="AJ937" s="125">
        <v>50.871000000000002</v>
      </c>
    </row>
    <row r="938" spans="1:36" ht="14.25">
      <c r="A938" s="128">
        <v>9990</v>
      </c>
      <c r="B938" s="124">
        <v>106.77500000000001</v>
      </c>
      <c r="C938" s="128">
        <v>10000</v>
      </c>
      <c r="D938" s="125">
        <v>105.608</v>
      </c>
      <c r="E938" s="126">
        <v>9990</v>
      </c>
      <c r="F938" s="125">
        <v>292.38299999999998</v>
      </c>
      <c r="G938" s="127">
        <v>9990</v>
      </c>
      <c r="H938" s="125">
        <v>292.35000000000002</v>
      </c>
      <c r="I938" s="127">
        <v>9990</v>
      </c>
      <c r="J938" s="125">
        <v>283.19900000000001</v>
      </c>
      <c r="K938" s="127">
        <v>9990</v>
      </c>
      <c r="L938" s="125">
        <v>282.19799999999998</v>
      </c>
      <c r="M938" s="127">
        <v>9990</v>
      </c>
      <c r="N938" s="125">
        <v>283.00099999999998</v>
      </c>
      <c r="O938" s="127">
        <v>9970</v>
      </c>
      <c r="P938" s="125">
        <v>284.02699999999999</v>
      </c>
      <c r="Q938" s="127">
        <v>9990</v>
      </c>
      <c r="R938" s="125">
        <v>283.721</v>
      </c>
      <c r="S938" s="127">
        <v>9990</v>
      </c>
      <c r="T938" s="125">
        <v>284.35700000000003</v>
      </c>
      <c r="U938" s="127">
        <v>9980</v>
      </c>
      <c r="V938" s="125">
        <v>284.29300000000001</v>
      </c>
      <c r="W938" s="127">
        <v>9990</v>
      </c>
      <c r="X938" s="125">
        <v>283.59199999999998</v>
      </c>
      <c r="Y938" s="127">
        <v>9990</v>
      </c>
      <c r="Z938" s="125">
        <v>282.01499999999999</v>
      </c>
      <c r="AA938" s="127">
        <v>9990</v>
      </c>
      <c r="AB938" s="125">
        <v>282.46699999999998</v>
      </c>
      <c r="AC938" s="127">
        <v>9980</v>
      </c>
      <c r="AD938" s="125">
        <v>218.72300000000001</v>
      </c>
      <c r="AE938" s="127">
        <v>9990</v>
      </c>
      <c r="AF938" s="125">
        <v>218.345</v>
      </c>
      <c r="AG938" s="127">
        <v>9970</v>
      </c>
      <c r="AH938" s="125">
        <v>47.29</v>
      </c>
      <c r="AI938" s="127">
        <v>9970</v>
      </c>
      <c r="AJ938" s="125">
        <v>50.597999999999999</v>
      </c>
    </row>
    <row r="939" spans="1:36" ht="14.25">
      <c r="A939" s="128">
        <v>10000</v>
      </c>
      <c r="B939" s="124">
        <v>106.18</v>
      </c>
      <c r="C939" s="128">
        <v>10010</v>
      </c>
      <c r="D939" s="125">
        <v>105.017</v>
      </c>
      <c r="E939" s="126">
        <v>10000</v>
      </c>
      <c r="F939" s="125">
        <v>290.96699999999998</v>
      </c>
      <c r="G939" s="127">
        <v>10000</v>
      </c>
      <c r="H939" s="125">
        <v>290.93599999999998</v>
      </c>
      <c r="I939" s="127">
        <v>10000</v>
      </c>
      <c r="J939" s="125">
        <v>281.988</v>
      </c>
      <c r="K939" s="127">
        <v>10000</v>
      </c>
      <c r="L939" s="125">
        <v>280.98500000000001</v>
      </c>
      <c r="M939" s="127">
        <v>10000</v>
      </c>
      <c r="N939" s="125">
        <v>281.79000000000002</v>
      </c>
      <c r="O939" s="127">
        <v>9980</v>
      </c>
      <c r="P939" s="125">
        <v>282.815</v>
      </c>
      <c r="Q939" s="127">
        <v>10000</v>
      </c>
      <c r="R939" s="125">
        <v>282.50900000000001</v>
      </c>
      <c r="S939" s="127">
        <v>10000</v>
      </c>
      <c r="T939" s="125">
        <v>283.14499999999998</v>
      </c>
      <c r="U939" s="127">
        <v>9990</v>
      </c>
      <c r="V939" s="125">
        <v>283.08199999999999</v>
      </c>
      <c r="W939" s="127">
        <v>10000</v>
      </c>
      <c r="X939" s="125">
        <v>282.38099999999997</v>
      </c>
      <c r="Y939" s="127">
        <v>10000</v>
      </c>
      <c r="Z939" s="125">
        <v>280.80399999999997</v>
      </c>
      <c r="AA939" s="127">
        <v>10000</v>
      </c>
      <c r="AB939" s="125">
        <v>281.25700000000001</v>
      </c>
      <c r="AC939" s="127">
        <v>9990</v>
      </c>
      <c r="AD939" s="125">
        <v>217.67</v>
      </c>
      <c r="AE939" s="127">
        <v>10000</v>
      </c>
      <c r="AF939" s="125">
        <v>217.267</v>
      </c>
      <c r="AG939" s="127">
        <v>9980</v>
      </c>
      <c r="AH939" s="125">
        <v>47.031999999999996</v>
      </c>
      <c r="AI939" s="127">
        <v>9980</v>
      </c>
      <c r="AJ939" s="125">
        <v>50.325000000000003</v>
      </c>
    </row>
    <row r="940" spans="1:36" ht="14.25">
      <c r="A940" s="128">
        <v>10010</v>
      </c>
      <c r="B940" s="124">
        <v>105.586</v>
      </c>
      <c r="C940" s="128">
        <v>10020</v>
      </c>
      <c r="D940" s="125">
        <v>104.428</v>
      </c>
      <c r="E940" s="126">
        <v>10010</v>
      </c>
      <c r="F940" s="125">
        <v>289.553</v>
      </c>
      <c r="G940" s="127">
        <v>10010</v>
      </c>
      <c r="H940" s="125">
        <v>289.52300000000002</v>
      </c>
      <c r="I940" s="127">
        <v>10010</v>
      </c>
      <c r="J940" s="125">
        <v>280.77600000000001</v>
      </c>
      <c r="K940" s="127">
        <v>10010</v>
      </c>
      <c r="L940" s="125">
        <v>279.77199999999999</v>
      </c>
      <c r="M940" s="127">
        <v>10010</v>
      </c>
      <c r="N940" s="125">
        <v>280.57799999999997</v>
      </c>
      <c r="O940" s="127">
        <v>9990</v>
      </c>
      <c r="P940" s="125">
        <v>281.60300000000001</v>
      </c>
      <c r="Q940" s="127">
        <v>10010</v>
      </c>
      <c r="R940" s="125">
        <v>281.298</v>
      </c>
      <c r="S940" s="127">
        <v>10010</v>
      </c>
      <c r="T940" s="125">
        <v>281.93299999999999</v>
      </c>
      <c r="U940" s="127">
        <v>10000</v>
      </c>
      <c r="V940" s="125">
        <v>281.87200000000001</v>
      </c>
      <c r="W940" s="127">
        <v>10010</v>
      </c>
      <c r="X940" s="125">
        <v>281.17</v>
      </c>
      <c r="Y940" s="127">
        <v>10010</v>
      </c>
      <c r="Z940" s="125">
        <v>279.59399999999999</v>
      </c>
      <c r="AA940" s="127">
        <v>10010</v>
      </c>
      <c r="AB940" s="125">
        <v>280.04700000000003</v>
      </c>
      <c r="AC940" s="127">
        <v>10000</v>
      </c>
      <c r="AD940" s="125">
        <v>216.61699999999999</v>
      </c>
      <c r="AE940" s="127">
        <v>10010</v>
      </c>
      <c r="AF940" s="125">
        <v>216.19</v>
      </c>
      <c r="AG940" s="127">
        <v>9990</v>
      </c>
      <c r="AH940" s="125">
        <v>46.774000000000001</v>
      </c>
      <c r="AI940" s="127">
        <v>9990</v>
      </c>
      <c r="AJ940" s="125">
        <v>50.052999999999997</v>
      </c>
    </row>
    <row r="941" spans="1:36" ht="14.25">
      <c r="A941" s="128">
        <v>10020</v>
      </c>
      <c r="B941" s="124">
        <v>104.99299999999999</v>
      </c>
      <c r="C941" s="128">
        <v>10030</v>
      </c>
      <c r="D941" s="125">
        <v>103.84099999999999</v>
      </c>
      <c r="E941" s="126">
        <v>10020</v>
      </c>
      <c r="F941" s="125">
        <v>288.13900000000001</v>
      </c>
      <c r="G941" s="127">
        <v>10020</v>
      </c>
      <c r="H941" s="125">
        <v>288.11099999999999</v>
      </c>
      <c r="I941" s="127">
        <v>10020</v>
      </c>
      <c r="J941" s="125">
        <v>279.565</v>
      </c>
      <c r="K941" s="127">
        <v>10020</v>
      </c>
      <c r="L941" s="125">
        <v>278.55799999999999</v>
      </c>
      <c r="M941" s="127">
        <v>10020</v>
      </c>
      <c r="N941" s="125">
        <v>279.36700000000002</v>
      </c>
      <c r="O941" s="127">
        <v>10000</v>
      </c>
      <c r="P941" s="125">
        <v>280.39100000000002</v>
      </c>
      <c r="Q941" s="127">
        <v>10020</v>
      </c>
      <c r="R941" s="125">
        <v>280.08600000000001</v>
      </c>
      <c r="S941" s="127">
        <v>10020</v>
      </c>
      <c r="T941" s="125">
        <v>280.721</v>
      </c>
      <c r="U941" s="127">
        <v>10010</v>
      </c>
      <c r="V941" s="125">
        <v>280.661</v>
      </c>
      <c r="W941" s="127">
        <v>10020</v>
      </c>
      <c r="X941" s="125">
        <v>279.959</v>
      </c>
      <c r="Y941" s="127">
        <v>10020</v>
      </c>
      <c r="Z941" s="125">
        <v>278.38299999999998</v>
      </c>
      <c r="AA941" s="127">
        <v>10020</v>
      </c>
      <c r="AB941" s="125">
        <v>278.83699999999999</v>
      </c>
      <c r="AC941" s="127">
        <v>10010</v>
      </c>
      <c r="AD941" s="125">
        <v>215.56399999999999</v>
      </c>
      <c r="AE941" s="127">
        <v>10020</v>
      </c>
      <c r="AF941" s="125">
        <v>215.114</v>
      </c>
      <c r="AG941" s="127">
        <v>10000</v>
      </c>
      <c r="AH941" s="125">
        <v>46.515999999999998</v>
      </c>
      <c r="AI941" s="127">
        <v>10000</v>
      </c>
      <c r="AJ941" s="125">
        <v>49.780999999999999</v>
      </c>
    </row>
    <row r="942" spans="1:36" ht="14.25">
      <c r="A942" s="128">
        <v>10030</v>
      </c>
      <c r="B942" s="124">
        <v>104.402</v>
      </c>
      <c r="C942" s="128">
        <v>10040</v>
      </c>
      <c r="D942" s="125">
        <v>103.254</v>
      </c>
      <c r="E942" s="126">
        <v>10030</v>
      </c>
      <c r="F942" s="125">
        <v>286.726</v>
      </c>
      <c r="G942" s="127">
        <v>10030</v>
      </c>
      <c r="H942" s="125">
        <v>286.7</v>
      </c>
      <c r="I942" s="127">
        <v>10030</v>
      </c>
      <c r="J942" s="125">
        <v>278.35399999999998</v>
      </c>
      <c r="K942" s="127">
        <v>10030</v>
      </c>
      <c r="L942" s="125">
        <v>277.34500000000003</v>
      </c>
      <c r="M942" s="127">
        <v>10030</v>
      </c>
      <c r="N942" s="125">
        <v>278.15499999999997</v>
      </c>
      <c r="O942" s="127">
        <v>10010</v>
      </c>
      <c r="P942" s="125">
        <v>279.18</v>
      </c>
      <c r="Q942" s="127">
        <v>10030</v>
      </c>
      <c r="R942" s="125">
        <v>278.87400000000002</v>
      </c>
      <c r="S942" s="127">
        <v>10030</v>
      </c>
      <c r="T942" s="125">
        <v>279.50900000000001</v>
      </c>
      <c r="U942" s="127">
        <v>10020</v>
      </c>
      <c r="V942" s="125">
        <v>279.45100000000002</v>
      </c>
      <c r="W942" s="127">
        <v>10030</v>
      </c>
      <c r="X942" s="125">
        <v>278.74700000000001</v>
      </c>
      <c r="Y942" s="127">
        <v>10030</v>
      </c>
      <c r="Z942" s="125">
        <v>277.17200000000003</v>
      </c>
      <c r="AA942" s="127">
        <v>10030</v>
      </c>
      <c r="AB942" s="125">
        <v>277.62700000000001</v>
      </c>
      <c r="AC942" s="127">
        <v>10020</v>
      </c>
      <c r="AD942" s="125">
        <v>214.512</v>
      </c>
      <c r="AE942" s="127">
        <v>10030</v>
      </c>
      <c r="AF942" s="125">
        <v>214.03899999999999</v>
      </c>
      <c r="AG942" s="127">
        <v>10010</v>
      </c>
      <c r="AH942" s="125">
        <v>46.259</v>
      </c>
      <c r="AI942" s="127">
        <v>10010</v>
      </c>
      <c r="AJ942" s="125">
        <v>49.51</v>
      </c>
    </row>
    <row r="943" spans="1:36" ht="14.25">
      <c r="A943" s="128">
        <v>10040</v>
      </c>
      <c r="B943" s="124">
        <v>103.81100000000001</v>
      </c>
      <c r="C943" s="128">
        <v>10050</v>
      </c>
      <c r="D943" s="125">
        <v>102.669</v>
      </c>
      <c r="E943" s="126">
        <v>10040</v>
      </c>
      <c r="F943" s="125">
        <v>285.315</v>
      </c>
      <c r="G943" s="127">
        <v>10040</v>
      </c>
      <c r="H943" s="125">
        <v>285.28899999999999</v>
      </c>
      <c r="I943" s="127">
        <v>10040</v>
      </c>
      <c r="J943" s="125">
        <v>277.14299999999997</v>
      </c>
      <c r="K943" s="127">
        <v>10040</v>
      </c>
      <c r="L943" s="125">
        <v>276.13200000000001</v>
      </c>
      <c r="M943" s="127">
        <v>10040</v>
      </c>
      <c r="N943" s="125">
        <v>276.94400000000002</v>
      </c>
      <c r="O943" s="127">
        <v>10020</v>
      </c>
      <c r="P943" s="125">
        <v>277.96800000000002</v>
      </c>
      <c r="Q943" s="127">
        <v>10040</v>
      </c>
      <c r="R943" s="125">
        <v>277.66300000000001</v>
      </c>
      <c r="S943" s="127">
        <v>10040</v>
      </c>
      <c r="T943" s="125">
        <v>278.29700000000003</v>
      </c>
      <c r="U943" s="127">
        <v>10030</v>
      </c>
      <c r="V943" s="125">
        <v>278.24</v>
      </c>
      <c r="W943" s="127">
        <v>10040</v>
      </c>
      <c r="X943" s="125">
        <v>277.536</v>
      </c>
      <c r="Y943" s="127">
        <v>10040</v>
      </c>
      <c r="Z943" s="125">
        <v>275.96199999999999</v>
      </c>
      <c r="AA943" s="127">
        <v>10040</v>
      </c>
      <c r="AB943" s="125">
        <v>276.41699999999997</v>
      </c>
      <c r="AC943" s="127">
        <v>10030</v>
      </c>
      <c r="AD943" s="125">
        <v>213.459</v>
      </c>
      <c r="AE943" s="127">
        <v>10040</v>
      </c>
      <c r="AF943" s="125">
        <v>212.965</v>
      </c>
      <c r="AG943" s="127">
        <v>10020</v>
      </c>
      <c r="AH943" s="125">
        <v>46.003</v>
      </c>
      <c r="AI943" s="127">
        <v>10020</v>
      </c>
      <c r="AJ943" s="125">
        <v>49.24</v>
      </c>
    </row>
    <row r="944" spans="1:36" ht="14.25">
      <c r="A944" s="128">
        <v>10050</v>
      </c>
      <c r="B944" s="124">
        <v>103.22199999999999</v>
      </c>
      <c r="C944" s="128">
        <v>10060</v>
      </c>
      <c r="D944" s="125">
        <v>102.08499999999999</v>
      </c>
      <c r="E944" s="126">
        <v>10050</v>
      </c>
      <c r="F944" s="125">
        <v>283.904</v>
      </c>
      <c r="G944" s="127">
        <v>10050</v>
      </c>
      <c r="H944" s="125">
        <v>283.88</v>
      </c>
      <c r="I944" s="127">
        <v>10050</v>
      </c>
      <c r="J944" s="125">
        <v>275.93099999999998</v>
      </c>
      <c r="K944" s="127">
        <v>10050</v>
      </c>
      <c r="L944" s="125">
        <v>274.91800000000001</v>
      </c>
      <c r="M944" s="127">
        <v>10050</v>
      </c>
      <c r="N944" s="125">
        <v>275.73200000000003</v>
      </c>
      <c r="O944" s="127">
        <v>10030</v>
      </c>
      <c r="P944" s="125">
        <v>276.75599999999997</v>
      </c>
      <c r="Q944" s="127">
        <v>10050</v>
      </c>
      <c r="R944" s="125">
        <v>276.45100000000002</v>
      </c>
      <c r="S944" s="127">
        <v>10050</v>
      </c>
      <c r="T944" s="125">
        <v>277.08499999999998</v>
      </c>
      <c r="U944" s="127">
        <v>10040</v>
      </c>
      <c r="V944" s="125">
        <v>277.02999999999997</v>
      </c>
      <c r="W944" s="127">
        <v>10050</v>
      </c>
      <c r="X944" s="125">
        <v>276.32499999999999</v>
      </c>
      <c r="Y944" s="127">
        <v>10050</v>
      </c>
      <c r="Z944" s="125">
        <v>274.75099999999998</v>
      </c>
      <c r="AA944" s="127">
        <v>10050</v>
      </c>
      <c r="AB944" s="125">
        <v>275.20699999999999</v>
      </c>
      <c r="AC944" s="127">
        <v>10040</v>
      </c>
      <c r="AD944" s="125">
        <v>212.40600000000001</v>
      </c>
      <c r="AE944" s="127">
        <v>10050</v>
      </c>
      <c r="AF944" s="125">
        <v>211.892</v>
      </c>
      <c r="AG944" s="127">
        <v>10030</v>
      </c>
      <c r="AH944" s="125">
        <v>45.747</v>
      </c>
      <c r="AI944" s="127">
        <v>10030</v>
      </c>
      <c r="AJ944" s="125">
        <v>48.969000000000001</v>
      </c>
    </row>
    <row r="945" spans="1:36" ht="14.25">
      <c r="A945" s="128">
        <v>10060</v>
      </c>
      <c r="B945" s="124">
        <v>102.63500000000001</v>
      </c>
      <c r="C945" s="128">
        <v>10070</v>
      </c>
      <c r="D945" s="125">
        <v>101.503</v>
      </c>
      <c r="E945" s="126">
        <v>10060</v>
      </c>
      <c r="F945" s="125">
        <v>282.495</v>
      </c>
      <c r="G945" s="127">
        <v>10060</v>
      </c>
      <c r="H945" s="125">
        <v>282.47199999999998</v>
      </c>
      <c r="I945" s="127">
        <v>10060</v>
      </c>
      <c r="J945" s="125">
        <v>274.72000000000003</v>
      </c>
      <c r="K945" s="127">
        <v>10060</v>
      </c>
      <c r="L945" s="125">
        <v>273.70499999999998</v>
      </c>
      <c r="M945" s="127">
        <v>10060</v>
      </c>
      <c r="N945" s="125">
        <v>274.52</v>
      </c>
      <c r="O945" s="127">
        <v>10040</v>
      </c>
      <c r="P945" s="125">
        <v>275.54399999999998</v>
      </c>
      <c r="Q945" s="127">
        <v>10060</v>
      </c>
      <c r="R945" s="125">
        <v>275.24</v>
      </c>
      <c r="S945" s="127">
        <v>10060</v>
      </c>
      <c r="T945" s="125">
        <v>275.87299999999999</v>
      </c>
      <c r="U945" s="127">
        <v>10050</v>
      </c>
      <c r="V945" s="125">
        <v>275.82</v>
      </c>
      <c r="W945" s="127">
        <v>10060</v>
      </c>
      <c r="X945" s="125">
        <v>275.11399999999998</v>
      </c>
      <c r="Y945" s="127">
        <v>10060</v>
      </c>
      <c r="Z945" s="125">
        <v>273.54000000000002</v>
      </c>
      <c r="AA945" s="127">
        <v>10060</v>
      </c>
      <c r="AB945" s="125">
        <v>273.99700000000001</v>
      </c>
      <c r="AC945" s="127">
        <v>10050</v>
      </c>
      <c r="AD945" s="125">
        <v>211.35400000000001</v>
      </c>
      <c r="AE945" s="127">
        <v>10060</v>
      </c>
      <c r="AF945" s="125">
        <v>210.82</v>
      </c>
      <c r="AG945" s="127">
        <v>10040</v>
      </c>
      <c r="AH945" s="125">
        <v>45.491999999999997</v>
      </c>
      <c r="AI945" s="127">
        <v>10040</v>
      </c>
      <c r="AJ945" s="125">
        <v>48.7</v>
      </c>
    </row>
    <row r="946" spans="1:36" ht="14.25">
      <c r="A946" s="128">
        <v>10070</v>
      </c>
      <c r="B946" s="124">
        <v>102.048</v>
      </c>
      <c r="C946" s="128">
        <v>10080</v>
      </c>
      <c r="D946" s="125">
        <v>100.922</v>
      </c>
      <c r="E946" s="126">
        <v>10070</v>
      </c>
      <c r="F946" s="125">
        <v>281.08600000000001</v>
      </c>
      <c r="G946" s="127">
        <v>10070</v>
      </c>
      <c r="H946" s="125">
        <v>281.065</v>
      </c>
      <c r="I946" s="127">
        <v>10070</v>
      </c>
      <c r="J946" s="125">
        <v>273.50900000000001</v>
      </c>
      <c r="K946" s="127">
        <v>10070</v>
      </c>
      <c r="L946" s="125">
        <v>272.49200000000002</v>
      </c>
      <c r="M946" s="127">
        <v>10070</v>
      </c>
      <c r="N946" s="125">
        <v>273.30900000000003</v>
      </c>
      <c r="O946" s="127">
        <v>10050</v>
      </c>
      <c r="P946" s="125">
        <v>274.33199999999999</v>
      </c>
      <c r="Q946" s="127">
        <v>10070</v>
      </c>
      <c r="R946" s="125">
        <v>274.02800000000002</v>
      </c>
      <c r="S946" s="127">
        <v>10070</v>
      </c>
      <c r="T946" s="125">
        <v>274.661</v>
      </c>
      <c r="U946" s="127">
        <v>10060</v>
      </c>
      <c r="V946" s="125">
        <v>274.60899999999998</v>
      </c>
      <c r="W946" s="127">
        <v>10070</v>
      </c>
      <c r="X946" s="125">
        <v>273.90300000000002</v>
      </c>
      <c r="Y946" s="127">
        <v>10070</v>
      </c>
      <c r="Z946" s="125">
        <v>272.32900000000001</v>
      </c>
      <c r="AA946" s="127">
        <v>10070</v>
      </c>
      <c r="AB946" s="125">
        <v>272.78699999999998</v>
      </c>
      <c r="AC946" s="127">
        <v>10060</v>
      </c>
      <c r="AD946" s="125">
        <v>210.30099999999999</v>
      </c>
      <c r="AE946" s="127">
        <v>10070</v>
      </c>
      <c r="AF946" s="125">
        <v>209.75</v>
      </c>
      <c r="AG946" s="127">
        <v>10050</v>
      </c>
      <c r="AH946" s="125">
        <v>45.237000000000002</v>
      </c>
      <c r="AI946" s="127">
        <v>10050</v>
      </c>
      <c r="AJ946" s="125">
        <v>48.430999999999997</v>
      </c>
    </row>
    <row r="947" spans="1:36" ht="14.25">
      <c r="A947" s="128">
        <v>10080</v>
      </c>
      <c r="B947" s="124">
        <v>101.46299999999999</v>
      </c>
      <c r="C947" s="128">
        <v>10090</v>
      </c>
      <c r="D947" s="125">
        <v>100.342</v>
      </c>
      <c r="E947" s="126">
        <v>10080</v>
      </c>
      <c r="F947" s="125">
        <v>279.678</v>
      </c>
      <c r="G947" s="127">
        <v>10080</v>
      </c>
      <c r="H947" s="125">
        <v>279.65899999999999</v>
      </c>
      <c r="I947" s="127">
        <v>10080</v>
      </c>
      <c r="J947" s="125">
        <v>272.298</v>
      </c>
      <c r="K947" s="127">
        <v>10080</v>
      </c>
      <c r="L947" s="125">
        <v>271.27800000000002</v>
      </c>
      <c r="M947" s="127">
        <v>10080</v>
      </c>
      <c r="N947" s="125">
        <v>272.09699999999998</v>
      </c>
      <c r="O947" s="127">
        <v>10060</v>
      </c>
      <c r="P947" s="125">
        <v>273.12099999999998</v>
      </c>
      <c r="Q947" s="127">
        <v>10080</v>
      </c>
      <c r="R947" s="125">
        <v>272.81700000000001</v>
      </c>
      <c r="S947" s="127">
        <v>10080</v>
      </c>
      <c r="T947" s="125">
        <v>273.44900000000001</v>
      </c>
      <c r="U947" s="127">
        <v>10070</v>
      </c>
      <c r="V947" s="125">
        <v>273.399</v>
      </c>
      <c r="W947" s="127">
        <v>10080</v>
      </c>
      <c r="X947" s="125">
        <v>272.69200000000001</v>
      </c>
      <c r="Y947" s="127">
        <v>10080</v>
      </c>
      <c r="Z947" s="125">
        <v>271.11900000000003</v>
      </c>
      <c r="AA947" s="127">
        <v>10080</v>
      </c>
      <c r="AB947" s="125">
        <v>271.577</v>
      </c>
      <c r="AC947" s="127">
        <v>10070</v>
      </c>
      <c r="AD947" s="125">
        <v>209.24799999999999</v>
      </c>
      <c r="AE947" s="127">
        <v>10080</v>
      </c>
      <c r="AF947" s="125">
        <v>208.68</v>
      </c>
      <c r="AG947" s="127">
        <v>10060</v>
      </c>
      <c r="AH947" s="125">
        <v>44.982999999999997</v>
      </c>
      <c r="AI947" s="127">
        <v>10060</v>
      </c>
      <c r="AJ947" s="125">
        <v>48.161999999999999</v>
      </c>
    </row>
    <row r="948" spans="1:36" ht="14.25">
      <c r="A948" s="128">
        <v>10090</v>
      </c>
      <c r="B948" s="124">
        <v>100.88</v>
      </c>
      <c r="C948" s="128">
        <v>10100</v>
      </c>
      <c r="D948" s="125">
        <v>99.763000000000005</v>
      </c>
      <c r="E948" s="126">
        <v>10090</v>
      </c>
      <c r="F948" s="125">
        <v>278.27199999999999</v>
      </c>
      <c r="G948" s="127">
        <v>10090</v>
      </c>
      <c r="H948" s="125">
        <v>278.25400000000002</v>
      </c>
      <c r="I948" s="127">
        <v>10090</v>
      </c>
      <c r="J948" s="125">
        <v>271.08600000000001</v>
      </c>
      <c r="K948" s="127">
        <v>10090</v>
      </c>
      <c r="L948" s="125">
        <v>270.065</v>
      </c>
      <c r="M948" s="127">
        <v>10090</v>
      </c>
      <c r="N948" s="125">
        <v>270.88600000000002</v>
      </c>
      <c r="O948" s="127">
        <v>10070</v>
      </c>
      <c r="P948" s="125">
        <v>271.90899999999999</v>
      </c>
      <c r="Q948" s="127">
        <v>10090</v>
      </c>
      <c r="R948" s="125">
        <v>271.60500000000002</v>
      </c>
      <c r="S948" s="127">
        <v>10090</v>
      </c>
      <c r="T948" s="125">
        <v>272.23700000000002</v>
      </c>
      <c r="U948" s="127">
        <v>10080</v>
      </c>
      <c r="V948" s="125">
        <v>272.18799999999999</v>
      </c>
      <c r="W948" s="127">
        <v>10090</v>
      </c>
      <c r="X948" s="125">
        <v>271.48099999999999</v>
      </c>
      <c r="Y948" s="127">
        <v>10090</v>
      </c>
      <c r="Z948" s="125">
        <v>269.90800000000002</v>
      </c>
      <c r="AA948" s="127">
        <v>10090</v>
      </c>
      <c r="AB948" s="125">
        <v>270.36700000000002</v>
      </c>
      <c r="AC948" s="127">
        <v>10080</v>
      </c>
      <c r="AD948" s="125">
        <v>208.196</v>
      </c>
      <c r="AE948" s="127">
        <v>10090</v>
      </c>
      <c r="AF948" s="125">
        <v>207.61099999999999</v>
      </c>
      <c r="AG948" s="127">
        <v>10070</v>
      </c>
      <c r="AH948" s="125">
        <v>44.728999999999999</v>
      </c>
      <c r="AI948" s="127">
        <v>10070</v>
      </c>
      <c r="AJ948" s="125">
        <v>47.895000000000003</v>
      </c>
    </row>
    <row r="949" spans="1:36" ht="14.25">
      <c r="A949" s="128">
        <v>10100</v>
      </c>
      <c r="B949" s="124">
        <v>100.297</v>
      </c>
      <c r="C949" s="128">
        <v>10110</v>
      </c>
      <c r="D949" s="125">
        <v>99.185000000000002</v>
      </c>
      <c r="E949" s="126">
        <v>10100</v>
      </c>
      <c r="F949" s="125">
        <v>276.86599999999999</v>
      </c>
      <c r="G949" s="127">
        <v>10100</v>
      </c>
      <c r="H949" s="125">
        <v>276.84899999999999</v>
      </c>
      <c r="I949" s="127">
        <v>10100</v>
      </c>
      <c r="J949" s="125">
        <v>269.875</v>
      </c>
      <c r="K949" s="127">
        <v>10100</v>
      </c>
      <c r="L949" s="125">
        <v>268.85199999999998</v>
      </c>
      <c r="M949" s="127">
        <v>10100</v>
      </c>
      <c r="N949" s="125">
        <v>269.67399999999998</v>
      </c>
      <c r="O949" s="127">
        <v>10080</v>
      </c>
      <c r="P949" s="125">
        <v>270.697</v>
      </c>
      <c r="Q949" s="127">
        <v>10100</v>
      </c>
      <c r="R949" s="125">
        <v>270.39400000000001</v>
      </c>
      <c r="S949" s="127">
        <v>10100</v>
      </c>
      <c r="T949" s="125">
        <v>271.02499999999998</v>
      </c>
      <c r="U949" s="127">
        <v>10090</v>
      </c>
      <c r="V949" s="125">
        <v>270.97800000000001</v>
      </c>
      <c r="W949" s="127">
        <v>10100</v>
      </c>
      <c r="X949" s="125">
        <v>270.27</v>
      </c>
      <c r="Y949" s="127">
        <v>10100</v>
      </c>
      <c r="Z949" s="125">
        <v>268.69799999999998</v>
      </c>
      <c r="AA949" s="127">
        <v>10100</v>
      </c>
      <c r="AB949" s="125">
        <v>269.15699999999998</v>
      </c>
      <c r="AC949" s="127">
        <v>10090</v>
      </c>
      <c r="AD949" s="125">
        <v>207.143</v>
      </c>
      <c r="AE949" s="127">
        <v>10100</v>
      </c>
      <c r="AF949" s="125">
        <v>206.54300000000001</v>
      </c>
      <c r="AG949" s="127">
        <v>10080</v>
      </c>
      <c r="AH949" s="125">
        <v>44.475999999999999</v>
      </c>
      <c r="AI949" s="127">
        <v>10080</v>
      </c>
      <c r="AJ949" s="125">
        <v>47.627000000000002</v>
      </c>
    </row>
    <row r="950" spans="1:36" ht="14.25">
      <c r="A950" s="128">
        <v>10110</v>
      </c>
      <c r="B950" s="124">
        <v>99.715999999999994</v>
      </c>
      <c r="C950" s="128">
        <v>10120</v>
      </c>
      <c r="D950" s="125">
        <v>98.608999999999995</v>
      </c>
      <c r="E950" s="126">
        <v>10110</v>
      </c>
      <c r="F950" s="125">
        <v>275.46199999999999</v>
      </c>
      <c r="G950" s="127">
        <v>10110</v>
      </c>
      <c r="H950" s="125">
        <v>275.44600000000003</v>
      </c>
      <c r="I950" s="127">
        <v>10110</v>
      </c>
      <c r="J950" s="125">
        <v>268.66399999999999</v>
      </c>
      <c r="K950" s="127">
        <v>10110</v>
      </c>
      <c r="L950" s="125">
        <v>267.63799999999998</v>
      </c>
      <c r="M950" s="127">
        <v>10110</v>
      </c>
      <c r="N950" s="125">
        <v>268.46300000000002</v>
      </c>
      <c r="O950" s="127">
        <v>10090</v>
      </c>
      <c r="P950" s="125">
        <v>269.48500000000001</v>
      </c>
      <c r="Q950" s="127">
        <v>10110</v>
      </c>
      <c r="R950" s="125">
        <v>269.18200000000002</v>
      </c>
      <c r="S950" s="127">
        <v>10110</v>
      </c>
      <c r="T950" s="125">
        <v>269.81299999999999</v>
      </c>
      <c r="U950" s="127">
        <v>10100</v>
      </c>
      <c r="V950" s="125">
        <v>269.767</v>
      </c>
      <c r="W950" s="127">
        <v>10110</v>
      </c>
      <c r="X950" s="125">
        <v>269.05799999999999</v>
      </c>
      <c r="Y950" s="127">
        <v>10110</v>
      </c>
      <c r="Z950" s="125">
        <v>267.48700000000002</v>
      </c>
      <c r="AA950" s="127">
        <v>10110</v>
      </c>
      <c r="AB950" s="125">
        <v>267.947</v>
      </c>
      <c r="AC950" s="127">
        <v>10100</v>
      </c>
      <c r="AD950" s="125">
        <v>206.09</v>
      </c>
      <c r="AE950" s="127">
        <v>10110</v>
      </c>
      <c r="AF950" s="125">
        <v>205.476</v>
      </c>
      <c r="AG950" s="127">
        <v>10090</v>
      </c>
      <c r="AH950" s="125">
        <v>44.222999999999999</v>
      </c>
      <c r="AI950" s="127">
        <v>10090</v>
      </c>
      <c r="AJ950" s="125">
        <v>47.36</v>
      </c>
    </row>
    <row r="951" spans="1:36" ht="14.25">
      <c r="A951" s="128">
        <v>10120</v>
      </c>
      <c r="B951" s="124">
        <v>99.135999999999996</v>
      </c>
      <c r="C951" s="128">
        <v>10130</v>
      </c>
      <c r="D951" s="125">
        <v>98.034000000000006</v>
      </c>
      <c r="E951" s="126">
        <v>10120</v>
      </c>
      <c r="F951" s="125">
        <v>274.05799999999999</v>
      </c>
      <c r="G951" s="127">
        <v>10120</v>
      </c>
      <c r="H951" s="125">
        <v>274.04399999999998</v>
      </c>
      <c r="I951" s="127">
        <v>10120</v>
      </c>
      <c r="J951" s="125">
        <v>267.45299999999997</v>
      </c>
      <c r="K951" s="127">
        <v>10120</v>
      </c>
      <c r="L951" s="125">
        <v>266.42500000000001</v>
      </c>
      <c r="M951" s="127">
        <v>10120</v>
      </c>
      <c r="N951" s="125">
        <v>267.25099999999998</v>
      </c>
      <c r="O951" s="127">
        <v>10100</v>
      </c>
      <c r="P951" s="125">
        <v>268.274</v>
      </c>
      <c r="Q951" s="127">
        <v>10120</v>
      </c>
      <c r="R951" s="125">
        <v>267.971</v>
      </c>
      <c r="S951" s="127">
        <v>10120</v>
      </c>
      <c r="T951" s="125">
        <v>268.601</v>
      </c>
      <c r="U951" s="127">
        <v>10110</v>
      </c>
      <c r="V951" s="125">
        <v>268.55700000000002</v>
      </c>
      <c r="W951" s="127">
        <v>10120</v>
      </c>
      <c r="X951" s="125">
        <v>267.84699999999998</v>
      </c>
      <c r="Y951" s="127">
        <v>10120</v>
      </c>
      <c r="Z951" s="125">
        <v>266.27600000000001</v>
      </c>
      <c r="AA951" s="127">
        <v>10120</v>
      </c>
      <c r="AB951" s="125">
        <v>266.73700000000002</v>
      </c>
      <c r="AC951" s="127">
        <v>10110</v>
      </c>
      <c r="AD951" s="125">
        <v>205.03800000000001</v>
      </c>
      <c r="AE951" s="127">
        <v>10120</v>
      </c>
      <c r="AF951" s="125">
        <v>204.41</v>
      </c>
      <c r="AG951" s="127">
        <v>10100</v>
      </c>
      <c r="AH951" s="125">
        <v>43.970999999999997</v>
      </c>
      <c r="AI951" s="127">
        <v>10100</v>
      </c>
      <c r="AJ951" s="125">
        <v>47.094000000000001</v>
      </c>
    </row>
    <row r="952" spans="1:36" ht="14.25">
      <c r="A952" s="128">
        <v>10130</v>
      </c>
      <c r="B952" s="124">
        <v>98.557000000000002</v>
      </c>
      <c r="C952" s="128">
        <v>10140</v>
      </c>
      <c r="D952" s="125">
        <v>97.460999999999999</v>
      </c>
      <c r="E952" s="126">
        <v>10130</v>
      </c>
      <c r="F952" s="125">
        <v>272.65600000000001</v>
      </c>
      <c r="G952" s="127">
        <v>10130</v>
      </c>
      <c r="H952" s="125">
        <v>272.64299999999997</v>
      </c>
      <c r="I952" s="127">
        <v>10130</v>
      </c>
      <c r="J952" s="125">
        <v>266.24099999999999</v>
      </c>
      <c r="K952" s="127">
        <v>10130</v>
      </c>
      <c r="L952" s="125">
        <v>265.21199999999999</v>
      </c>
      <c r="M952" s="127">
        <v>10130</v>
      </c>
      <c r="N952" s="125">
        <v>266.04000000000002</v>
      </c>
      <c r="O952" s="127">
        <v>10110</v>
      </c>
      <c r="P952" s="125">
        <v>267.06200000000001</v>
      </c>
      <c r="Q952" s="127">
        <v>10130</v>
      </c>
      <c r="R952" s="125">
        <v>266.75900000000001</v>
      </c>
      <c r="S952" s="127">
        <v>10130</v>
      </c>
      <c r="T952" s="125">
        <v>267.38900000000001</v>
      </c>
      <c r="U952" s="127">
        <v>10120</v>
      </c>
      <c r="V952" s="125">
        <v>267.346</v>
      </c>
      <c r="W952" s="127">
        <v>10130</v>
      </c>
      <c r="X952" s="125">
        <v>266.63600000000002</v>
      </c>
      <c r="Y952" s="127">
        <v>10130</v>
      </c>
      <c r="Z952" s="125">
        <v>265.065</v>
      </c>
      <c r="AA952" s="127">
        <v>10130</v>
      </c>
      <c r="AB952" s="125">
        <v>265.52600000000001</v>
      </c>
      <c r="AC952" s="127">
        <v>10120</v>
      </c>
      <c r="AD952" s="125">
        <v>203.98500000000001</v>
      </c>
      <c r="AE952" s="127">
        <v>10130</v>
      </c>
      <c r="AF952" s="125">
        <v>203.345</v>
      </c>
      <c r="AG952" s="127">
        <v>10110</v>
      </c>
      <c r="AH952" s="125">
        <v>43.719000000000001</v>
      </c>
      <c r="AI952" s="127">
        <v>10110</v>
      </c>
      <c r="AJ952" s="125">
        <v>46.828000000000003</v>
      </c>
    </row>
    <row r="953" spans="1:36" ht="14.25">
      <c r="A953" s="128">
        <v>10140</v>
      </c>
      <c r="B953" s="124">
        <v>97.98</v>
      </c>
      <c r="C953" s="128">
        <v>10150</v>
      </c>
      <c r="D953" s="125">
        <v>96.888000000000005</v>
      </c>
      <c r="E953" s="126">
        <v>10140</v>
      </c>
      <c r="F953" s="125">
        <v>271.25400000000002</v>
      </c>
      <c r="G953" s="127">
        <v>10140</v>
      </c>
      <c r="H953" s="125">
        <v>271.24299999999999</v>
      </c>
      <c r="I953" s="127">
        <v>10140</v>
      </c>
      <c r="J953" s="125">
        <v>265.02999999999997</v>
      </c>
      <c r="K953" s="127">
        <v>10140</v>
      </c>
      <c r="L953" s="125">
        <v>263.99799999999999</v>
      </c>
      <c r="M953" s="127">
        <v>10140</v>
      </c>
      <c r="N953" s="125">
        <v>264.82799999999997</v>
      </c>
      <c r="O953" s="127">
        <v>10120</v>
      </c>
      <c r="P953" s="125">
        <v>265.85000000000002</v>
      </c>
      <c r="Q953" s="127">
        <v>10140</v>
      </c>
      <c r="R953" s="125">
        <v>265.548</v>
      </c>
      <c r="S953" s="127">
        <v>10140</v>
      </c>
      <c r="T953" s="125">
        <v>266.17700000000002</v>
      </c>
      <c r="U953" s="127">
        <v>10130</v>
      </c>
      <c r="V953" s="125">
        <v>266.13600000000002</v>
      </c>
      <c r="W953" s="127">
        <v>10140</v>
      </c>
      <c r="X953" s="125">
        <v>265.42500000000001</v>
      </c>
      <c r="Y953" s="127">
        <v>10140</v>
      </c>
      <c r="Z953" s="125">
        <v>263.85500000000002</v>
      </c>
      <c r="AA953" s="127">
        <v>10140</v>
      </c>
      <c r="AB953" s="125">
        <v>264.31599999999997</v>
      </c>
      <c r="AC953" s="127">
        <v>10130</v>
      </c>
      <c r="AD953" s="125">
        <v>202.93199999999999</v>
      </c>
      <c r="AE953" s="127">
        <v>10140</v>
      </c>
      <c r="AF953" s="125">
        <v>202.28200000000001</v>
      </c>
      <c r="AG953" s="127">
        <v>10120</v>
      </c>
      <c r="AH953" s="125">
        <v>43.468000000000004</v>
      </c>
      <c r="AI953" s="127">
        <v>10120</v>
      </c>
      <c r="AJ953" s="125">
        <v>46.563000000000002</v>
      </c>
    </row>
    <row r="954" spans="1:36" ht="14.25">
      <c r="A954" s="128">
        <v>10150</v>
      </c>
      <c r="B954" s="124">
        <v>97.403999999999996</v>
      </c>
      <c r="C954" s="128">
        <v>10160</v>
      </c>
      <c r="D954" s="125">
        <v>96.316999999999993</v>
      </c>
      <c r="E954" s="126">
        <v>10150</v>
      </c>
      <c r="F954" s="125">
        <v>269.85399999999998</v>
      </c>
      <c r="G954" s="127">
        <v>10150</v>
      </c>
      <c r="H954" s="125">
        <v>269.84399999999999</v>
      </c>
      <c r="I954" s="127">
        <v>10150</v>
      </c>
      <c r="J954" s="125">
        <v>263.81900000000002</v>
      </c>
      <c r="K954" s="127">
        <v>10150</v>
      </c>
      <c r="L954" s="125">
        <v>262.78500000000003</v>
      </c>
      <c r="M954" s="127">
        <v>10150</v>
      </c>
      <c r="N954" s="125">
        <v>263.61700000000002</v>
      </c>
      <c r="O954" s="127">
        <v>10130</v>
      </c>
      <c r="P954" s="125">
        <v>264.63799999999998</v>
      </c>
      <c r="Q954" s="127">
        <v>10150</v>
      </c>
      <c r="R954" s="125">
        <v>264.33600000000001</v>
      </c>
      <c r="S954" s="127">
        <v>10150</v>
      </c>
      <c r="T954" s="125">
        <v>264.96499999999997</v>
      </c>
      <c r="U954" s="127">
        <v>10140</v>
      </c>
      <c r="V954" s="125">
        <v>264.92500000000001</v>
      </c>
      <c r="W954" s="127">
        <v>10150</v>
      </c>
      <c r="X954" s="125">
        <v>264.214</v>
      </c>
      <c r="Y954" s="127">
        <v>10150</v>
      </c>
      <c r="Z954" s="125">
        <v>262.64400000000001</v>
      </c>
      <c r="AA954" s="127">
        <v>10150</v>
      </c>
      <c r="AB954" s="125">
        <v>263.10599999999999</v>
      </c>
      <c r="AC954" s="127">
        <v>10140</v>
      </c>
      <c r="AD954" s="125">
        <v>201.88</v>
      </c>
      <c r="AE954" s="127">
        <v>10150</v>
      </c>
      <c r="AF954" s="125">
        <v>201.21899999999999</v>
      </c>
      <c r="AG954" s="127">
        <v>10130</v>
      </c>
      <c r="AH954" s="125">
        <v>43.218000000000004</v>
      </c>
      <c r="AI954" s="127">
        <v>10130</v>
      </c>
      <c r="AJ954" s="125">
        <v>46.298000000000002</v>
      </c>
    </row>
    <row r="955" spans="1:36" ht="14.25">
      <c r="A955" s="128">
        <v>10160</v>
      </c>
      <c r="B955" s="124">
        <v>96.828999999999994</v>
      </c>
      <c r="C955" s="128">
        <v>10170</v>
      </c>
      <c r="D955" s="125">
        <v>95.747</v>
      </c>
      <c r="E955" s="126">
        <v>10160</v>
      </c>
      <c r="F955" s="125">
        <v>268.45499999999998</v>
      </c>
      <c r="G955" s="127">
        <v>10160</v>
      </c>
      <c r="H955" s="125">
        <v>268.44600000000003</v>
      </c>
      <c r="I955" s="127">
        <v>10160</v>
      </c>
      <c r="J955" s="125">
        <v>262.608</v>
      </c>
      <c r="K955" s="127">
        <v>10160</v>
      </c>
      <c r="L955" s="125">
        <v>261.572</v>
      </c>
      <c r="M955" s="127">
        <v>10160</v>
      </c>
      <c r="N955" s="125">
        <v>262.40499999999997</v>
      </c>
      <c r="O955" s="127">
        <v>10140</v>
      </c>
      <c r="P955" s="125">
        <v>263.42599999999999</v>
      </c>
      <c r="Q955" s="127">
        <v>10160</v>
      </c>
      <c r="R955" s="125">
        <v>263.12400000000002</v>
      </c>
      <c r="S955" s="127">
        <v>10160</v>
      </c>
      <c r="T955" s="125">
        <v>263.75299999999999</v>
      </c>
      <c r="U955" s="127">
        <v>10150</v>
      </c>
      <c r="V955" s="125">
        <v>263.71499999999997</v>
      </c>
      <c r="W955" s="127">
        <v>10160</v>
      </c>
      <c r="X955" s="125">
        <v>263.00299999999999</v>
      </c>
      <c r="Y955" s="127">
        <v>10160</v>
      </c>
      <c r="Z955" s="125">
        <v>261.43299999999999</v>
      </c>
      <c r="AA955" s="127">
        <v>10160</v>
      </c>
      <c r="AB955" s="125">
        <v>261.89600000000002</v>
      </c>
      <c r="AC955" s="127">
        <v>10150</v>
      </c>
      <c r="AD955" s="125">
        <v>200.827</v>
      </c>
      <c r="AE955" s="127">
        <v>10160</v>
      </c>
      <c r="AF955" s="125">
        <v>200.15700000000001</v>
      </c>
      <c r="AG955" s="127">
        <v>10140</v>
      </c>
      <c r="AH955" s="125">
        <v>42.968000000000004</v>
      </c>
      <c r="AI955" s="127">
        <v>10140</v>
      </c>
      <c r="AJ955" s="125">
        <v>46.033999999999999</v>
      </c>
    </row>
    <row r="956" spans="1:36" ht="14.25">
      <c r="A956" s="128">
        <v>10170</v>
      </c>
      <c r="B956" s="124">
        <v>96.256</v>
      </c>
      <c r="C956" s="128">
        <v>10180</v>
      </c>
      <c r="D956" s="125">
        <v>95.179000000000002</v>
      </c>
      <c r="E956" s="126">
        <v>10170</v>
      </c>
      <c r="F956" s="125">
        <v>267.05599999999998</v>
      </c>
      <c r="G956" s="127">
        <v>10170</v>
      </c>
      <c r="H956" s="125">
        <v>267.04899999999998</v>
      </c>
      <c r="I956" s="127">
        <v>10170</v>
      </c>
      <c r="J956" s="125">
        <v>261.39699999999999</v>
      </c>
      <c r="K956" s="127">
        <v>10170</v>
      </c>
      <c r="L956" s="125">
        <v>260.358</v>
      </c>
      <c r="M956" s="127">
        <v>10170</v>
      </c>
      <c r="N956" s="125">
        <v>261.19400000000002</v>
      </c>
      <c r="O956" s="127">
        <v>10150</v>
      </c>
      <c r="P956" s="125">
        <v>262.21499999999997</v>
      </c>
      <c r="Q956" s="127">
        <v>10170</v>
      </c>
      <c r="R956" s="125">
        <v>261.91300000000001</v>
      </c>
      <c r="S956" s="127">
        <v>10170</v>
      </c>
      <c r="T956" s="125">
        <v>262.54199999999997</v>
      </c>
      <c r="U956" s="127">
        <v>10160</v>
      </c>
      <c r="V956" s="125">
        <v>262.505</v>
      </c>
      <c r="W956" s="127">
        <v>10170</v>
      </c>
      <c r="X956" s="125">
        <v>261.79199999999997</v>
      </c>
      <c r="Y956" s="127">
        <v>10170</v>
      </c>
      <c r="Z956" s="125">
        <v>260.22300000000001</v>
      </c>
      <c r="AA956" s="127">
        <v>10170</v>
      </c>
      <c r="AB956" s="125">
        <v>260.68599999999998</v>
      </c>
      <c r="AC956" s="127">
        <v>10160</v>
      </c>
      <c r="AD956" s="125">
        <v>199.774</v>
      </c>
      <c r="AE956" s="127">
        <v>10170</v>
      </c>
      <c r="AF956" s="125">
        <v>199.09700000000001</v>
      </c>
      <c r="AG956" s="127">
        <v>10150</v>
      </c>
      <c r="AH956" s="125">
        <v>42.718000000000004</v>
      </c>
      <c r="AI956" s="127">
        <v>10150</v>
      </c>
      <c r="AJ956" s="125">
        <v>45.77</v>
      </c>
    </row>
    <row r="957" spans="1:36" ht="14.25">
      <c r="A957" s="128">
        <v>10180</v>
      </c>
      <c r="B957" s="124">
        <v>95.683000000000007</v>
      </c>
      <c r="C957" s="128">
        <v>10190</v>
      </c>
      <c r="D957" s="125">
        <v>94.611000000000004</v>
      </c>
      <c r="E957" s="126">
        <v>10180</v>
      </c>
      <c r="F957" s="125">
        <v>265.65899999999999</v>
      </c>
      <c r="G957" s="127">
        <v>10180</v>
      </c>
      <c r="H957" s="125">
        <v>265.654</v>
      </c>
      <c r="I957" s="127">
        <v>10180</v>
      </c>
      <c r="J957" s="125">
        <v>260.185</v>
      </c>
      <c r="K957" s="127">
        <v>10180</v>
      </c>
      <c r="L957" s="125">
        <v>259.14499999999998</v>
      </c>
      <c r="M957" s="127">
        <v>10180</v>
      </c>
      <c r="N957" s="125">
        <v>259.98200000000003</v>
      </c>
      <c r="O957" s="127">
        <v>10160</v>
      </c>
      <c r="P957" s="125">
        <v>261.00299999999999</v>
      </c>
      <c r="Q957" s="127">
        <v>10180</v>
      </c>
      <c r="R957" s="125">
        <v>260.70100000000002</v>
      </c>
      <c r="S957" s="127">
        <v>10180</v>
      </c>
      <c r="T957" s="125">
        <v>261.33</v>
      </c>
      <c r="U957" s="127">
        <v>10170</v>
      </c>
      <c r="V957" s="125">
        <v>261.29399999999998</v>
      </c>
      <c r="W957" s="127">
        <v>10180</v>
      </c>
      <c r="X957" s="125">
        <v>260.58</v>
      </c>
      <c r="Y957" s="127">
        <v>10180</v>
      </c>
      <c r="Z957" s="125">
        <v>259.012</v>
      </c>
      <c r="AA957" s="127">
        <v>10180</v>
      </c>
      <c r="AB957" s="125">
        <v>259.476</v>
      </c>
      <c r="AC957" s="127">
        <v>10170</v>
      </c>
      <c r="AD957" s="125">
        <v>198.72200000000001</v>
      </c>
      <c r="AE957" s="127">
        <v>10180</v>
      </c>
      <c r="AF957" s="125">
        <v>198.03700000000001</v>
      </c>
      <c r="AG957" s="127">
        <v>10160</v>
      </c>
      <c r="AH957" s="125">
        <v>42.469000000000001</v>
      </c>
      <c r="AI957" s="127">
        <v>10160</v>
      </c>
      <c r="AJ957" s="125">
        <v>45.506999999999998</v>
      </c>
    </row>
    <row r="958" spans="1:36" ht="14.25">
      <c r="A958" s="128">
        <v>10190</v>
      </c>
      <c r="B958" s="124">
        <v>95.111999999999995</v>
      </c>
      <c r="C958" s="128">
        <v>10200</v>
      </c>
      <c r="D958" s="125">
        <v>94.045000000000002</v>
      </c>
      <c r="E958" s="126">
        <v>10190</v>
      </c>
      <c r="F958" s="125">
        <v>264.26299999999998</v>
      </c>
      <c r="G958" s="127">
        <v>10190</v>
      </c>
      <c r="H958" s="125">
        <v>264.25900000000001</v>
      </c>
      <c r="I958" s="127">
        <v>10190</v>
      </c>
      <c r="J958" s="125">
        <v>258.97399999999999</v>
      </c>
      <c r="K958" s="127">
        <v>10190</v>
      </c>
      <c r="L958" s="125">
        <v>257.93200000000002</v>
      </c>
      <c r="M958" s="127">
        <v>10190</v>
      </c>
      <c r="N958" s="125">
        <v>258.77</v>
      </c>
      <c r="O958" s="127">
        <v>10170</v>
      </c>
      <c r="P958" s="125">
        <v>259.791</v>
      </c>
      <c r="Q958" s="127">
        <v>10190</v>
      </c>
      <c r="R958" s="125">
        <v>259.49</v>
      </c>
      <c r="S958" s="127">
        <v>10190</v>
      </c>
      <c r="T958" s="125">
        <v>260.11799999999999</v>
      </c>
      <c r="U958" s="127">
        <v>10180</v>
      </c>
      <c r="V958" s="125">
        <v>260.084</v>
      </c>
      <c r="W958" s="127">
        <v>10190</v>
      </c>
      <c r="X958" s="125">
        <v>259.36900000000003</v>
      </c>
      <c r="Y958" s="127">
        <v>10190</v>
      </c>
      <c r="Z958" s="125">
        <v>257.80099999999999</v>
      </c>
      <c r="AA958" s="127">
        <v>10190</v>
      </c>
      <c r="AB958" s="125">
        <v>258.26600000000002</v>
      </c>
      <c r="AC958" s="127">
        <v>10180</v>
      </c>
      <c r="AD958" s="125">
        <v>197.66900000000001</v>
      </c>
      <c r="AE958" s="127">
        <v>10190</v>
      </c>
      <c r="AF958" s="125">
        <v>196.97900000000001</v>
      </c>
      <c r="AG958" s="127">
        <v>10170</v>
      </c>
      <c r="AH958" s="125">
        <v>42.220999999999997</v>
      </c>
      <c r="AI958" s="127">
        <v>10170</v>
      </c>
      <c r="AJ958" s="125">
        <v>45.244999999999997</v>
      </c>
    </row>
    <row r="959" spans="1:36" ht="14.25">
      <c r="A959" s="128">
        <v>10200</v>
      </c>
      <c r="B959" s="124">
        <v>94.543000000000006</v>
      </c>
      <c r="C959" s="128">
        <v>10210</v>
      </c>
      <c r="D959" s="125">
        <v>93.48</v>
      </c>
      <c r="E959" s="126">
        <v>10200</v>
      </c>
      <c r="F959" s="125">
        <v>262.86799999999999</v>
      </c>
      <c r="G959" s="127">
        <v>10200</v>
      </c>
      <c r="H959" s="125">
        <v>262.86599999999999</v>
      </c>
      <c r="I959" s="127">
        <v>10200</v>
      </c>
      <c r="J959" s="125">
        <v>257.76299999999998</v>
      </c>
      <c r="K959" s="127">
        <v>10200</v>
      </c>
      <c r="L959" s="125">
        <v>256.71899999999999</v>
      </c>
      <c r="M959" s="127">
        <v>10200</v>
      </c>
      <c r="N959" s="125">
        <v>257.55900000000003</v>
      </c>
      <c r="O959" s="127">
        <v>10180</v>
      </c>
      <c r="P959" s="125">
        <v>258.57900000000001</v>
      </c>
      <c r="Q959" s="127">
        <v>10200</v>
      </c>
      <c r="R959" s="125">
        <v>258.27800000000002</v>
      </c>
      <c r="S959" s="127">
        <v>10200</v>
      </c>
      <c r="T959" s="125">
        <v>258.90600000000001</v>
      </c>
      <c r="U959" s="127">
        <v>10190</v>
      </c>
      <c r="V959" s="125">
        <v>258.87299999999999</v>
      </c>
      <c r="W959" s="127">
        <v>10200</v>
      </c>
      <c r="X959" s="125">
        <v>258.15800000000002</v>
      </c>
      <c r="Y959" s="127">
        <v>10200</v>
      </c>
      <c r="Z959" s="125">
        <v>256.59100000000001</v>
      </c>
      <c r="AA959" s="127">
        <v>10200</v>
      </c>
      <c r="AB959" s="125">
        <v>257.05599999999998</v>
      </c>
      <c r="AC959" s="127">
        <v>10190</v>
      </c>
      <c r="AD959" s="125">
        <v>196.61600000000001</v>
      </c>
      <c r="AE959" s="127">
        <v>10200</v>
      </c>
      <c r="AF959" s="125">
        <v>195.92099999999999</v>
      </c>
      <c r="AG959" s="127">
        <v>10180</v>
      </c>
      <c r="AH959" s="125">
        <v>41.972999999999999</v>
      </c>
      <c r="AI959" s="127">
        <v>10180</v>
      </c>
      <c r="AJ959" s="125">
        <v>44.981999999999999</v>
      </c>
    </row>
    <row r="960" spans="1:36" ht="14.25">
      <c r="A960" s="128">
        <v>10210</v>
      </c>
      <c r="B960" s="124">
        <v>93.974000000000004</v>
      </c>
      <c r="C960" s="128">
        <v>10220</v>
      </c>
      <c r="D960" s="125">
        <v>92.917000000000002</v>
      </c>
      <c r="E960" s="126">
        <v>10210</v>
      </c>
      <c r="F960" s="125">
        <v>261.47500000000002</v>
      </c>
      <c r="G960" s="127">
        <v>10210</v>
      </c>
      <c r="H960" s="125">
        <v>261.47399999999999</v>
      </c>
      <c r="I960" s="127">
        <v>10210</v>
      </c>
      <c r="J960" s="125">
        <v>256.55200000000002</v>
      </c>
      <c r="K960" s="127">
        <v>10210</v>
      </c>
      <c r="L960" s="125">
        <v>255.505</v>
      </c>
      <c r="M960" s="127">
        <v>10210</v>
      </c>
      <c r="N960" s="125">
        <v>256.34699999999998</v>
      </c>
      <c r="O960" s="127">
        <v>10190</v>
      </c>
      <c r="P960" s="125">
        <v>257.36700000000002</v>
      </c>
      <c r="Q960" s="127">
        <v>10210</v>
      </c>
      <c r="R960" s="125">
        <v>257.06700000000001</v>
      </c>
      <c r="S960" s="127">
        <v>10210</v>
      </c>
      <c r="T960" s="125">
        <v>257.69400000000002</v>
      </c>
      <c r="U960" s="127">
        <v>10200</v>
      </c>
      <c r="V960" s="125">
        <v>257.66300000000001</v>
      </c>
      <c r="W960" s="127">
        <v>10210</v>
      </c>
      <c r="X960" s="125">
        <v>256.947</v>
      </c>
      <c r="Y960" s="127">
        <v>10210</v>
      </c>
      <c r="Z960" s="125">
        <v>255.38</v>
      </c>
      <c r="AA960" s="127">
        <v>10210</v>
      </c>
      <c r="AB960" s="125">
        <v>255.846</v>
      </c>
      <c r="AC960" s="127">
        <v>10200</v>
      </c>
      <c r="AD960" s="125">
        <v>195.56399999999999</v>
      </c>
      <c r="AE960" s="127">
        <v>10210</v>
      </c>
      <c r="AF960" s="125">
        <v>194.86500000000001</v>
      </c>
      <c r="AG960" s="127">
        <v>10190</v>
      </c>
      <c r="AH960" s="125">
        <v>41.725000000000001</v>
      </c>
      <c r="AI960" s="127">
        <v>10190</v>
      </c>
      <c r="AJ960" s="125">
        <v>44.720999999999997</v>
      </c>
    </row>
    <row r="961" spans="1:36" ht="14.25">
      <c r="A961" s="128">
        <v>10220</v>
      </c>
      <c r="B961" s="124">
        <v>93.406999999999996</v>
      </c>
      <c r="C961" s="128">
        <v>10230</v>
      </c>
      <c r="D961" s="125">
        <v>92.353999999999999</v>
      </c>
      <c r="E961" s="126">
        <v>10220</v>
      </c>
      <c r="F961" s="125">
        <v>260.08199999999999</v>
      </c>
      <c r="G961" s="127">
        <v>10220</v>
      </c>
      <c r="H961" s="125">
        <v>260.08300000000003</v>
      </c>
      <c r="I961" s="127">
        <v>10220</v>
      </c>
      <c r="J961" s="125">
        <v>255.34100000000001</v>
      </c>
      <c r="K961" s="127">
        <v>10220</v>
      </c>
      <c r="L961" s="125">
        <v>254.292</v>
      </c>
      <c r="M961" s="127">
        <v>10220</v>
      </c>
      <c r="N961" s="125">
        <v>255.136</v>
      </c>
      <c r="O961" s="127">
        <v>10200</v>
      </c>
      <c r="P961" s="125">
        <v>256.15600000000001</v>
      </c>
      <c r="Q961" s="127">
        <v>10220</v>
      </c>
      <c r="R961" s="125">
        <v>255.85499999999999</v>
      </c>
      <c r="S961" s="127">
        <v>10220</v>
      </c>
      <c r="T961" s="125">
        <v>256.48200000000003</v>
      </c>
      <c r="U961" s="127">
        <v>10210</v>
      </c>
      <c r="V961" s="125">
        <v>256.452</v>
      </c>
      <c r="W961" s="127">
        <v>10220</v>
      </c>
      <c r="X961" s="125">
        <v>255.73599999999999</v>
      </c>
      <c r="Y961" s="127">
        <v>10220</v>
      </c>
      <c r="Z961" s="125">
        <v>254.16900000000001</v>
      </c>
      <c r="AA961" s="127">
        <v>10220</v>
      </c>
      <c r="AB961" s="125">
        <v>254.636</v>
      </c>
      <c r="AC961" s="127">
        <v>10210</v>
      </c>
      <c r="AD961" s="125">
        <v>194.511</v>
      </c>
      <c r="AE961" s="127">
        <v>10220</v>
      </c>
      <c r="AF961" s="125">
        <v>193.809</v>
      </c>
      <c r="AG961" s="127">
        <v>10200</v>
      </c>
      <c r="AH961" s="125">
        <v>41.478999999999999</v>
      </c>
      <c r="AI961" s="127">
        <v>10200</v>
      </c>
      <c r="AJ961" s="125">
        <v>44.46</v>
      </c>
    </row>
    <row r="962" spans="1:36" ht="14.25">
      <c r="A962" s="128">
        <v>10230</v>
      </c>
      <c r="B962" s="124">
        <v>92.840999999999994</v>
      </c>
      <c r="C962" s="128">
        <v>10240</v>
      </c>
      <c r="D962" s="125">
        <v>91.793000000000006</v>
      </c>
      <c r="E962" s="126">
        <v>10230</v>
      </c>
      <c r="F962" s="125">
        <v>258.69099999999997</v>
      </c>
      <c r="G962" s="127">
        <v>10230</v>
      </c>
      <c r="H962" s="125">
        <v>258.69299999999998</v>
      </c>
      <c r="I962" s="127">
        <v>10230</v>
      </c>
      <c r="J962" s="125">
        <v>254.12899999999999</v>
      </c>
      <c r="K962" s="127">
        <v>10230</v>
      </c>
      <c r="L962" s="125">
        <v>253.07900000000001</v>
      </c>
      <c r="M962" s="127">
        <v>10230</v>
      </c>
      <c r="N962" s="125">
        <v>253.92400000000001</v>
      </c>
      <c r="O962" s="127">
        <v>10210</v>
      </c>
      <c r="P962" s="125">
        <v>254.94399999999999</v>
      </c>
      <c r="Q962" s="127">
        <v>10230</v>
      </c>
      <c r="R962" s="125">
        <v>254.64400000000001</v>
      </c>
      <c r="S962" s="127">
        <v>10230</v>
      </c>
      <c r="T962" s="125">
        <v>255.27</v>
      </c>
      <c r="U962" s="127">
        <v>10220</v>
      </c>
      <c r="V962" s="125">
        <v>255.24199999999999</v>
      </c>
      <c r="W962" s="127">
        <v>10230</v>
      </c>
      <c r="X962" s="125">
        <v>254.52500000000001</v>
      </c>
      <c r="Y962" s="127">
        <v>10230</v>
      </c>
      <c r="Z962" s="125">
        <v>252.959</v>
      </c>
      <c r="AA962" s="127">
        <v>10230</v>
      </c>
      <c r="AB962" s="125">
        <v>253.42599999999999</v>
      </c>
      <c r="AC962" s="127">
        <v>10220</v>
      </c>
      <c r="AD962" s="125">
        <v>193.458</v>
      </c>
      <c r="AE962" s="127">
        <v>10230</v>
      </c>
      <c r="AF962" s="125">
        <v>192.755</v>
      </c>
      <c r="AG962" s="127">
        <v>10210</v>
      </c>
      <c r="AH962" s="125">
        <v>41.231999999999999</v>
      </c>
      <c r="AI962" s="127">
        <v>10210</v>
      </c>
      <c r="AJ962" s="125">
        <v>44.198999999999998</v>
      </c>
    </row>
    <row r="963" spans="1:36" ht="14.25">
      <c r="A963" s="128">
        <v>10240</v>
      </c>
      <c r="B963" s="124">
        <v>92.275999999999996</v>
      </c>
      <c r="C963" s="128">
        <v>10250</v>
      </c>
      <c r="D963" s="125">
        <v>91.231999999999999</v>
      </c>
      <c r="E963" s="126">
        <v>10240</v>
      </c>
      <c r="F963" s="125">
        <v>257.3</v>
      </c>
      <c r="G963" s="127">
        <v>10240</v>
      </c>
      <c r="H963" s="125">
        <v>257.30399999999997</v>
      </c>
      <c r="I963" s="127">
        <v>10240</v>
      </c>
      <c r="J963" s="125">
        <v>252.91800000000001</v>
      </c>
      <c r="K963" s="127">
        <v>10240</v>
      </c>
      <c r="L963" s="125">
        <v>251.86500000000001</v>
      </c>
      <c r="M963" s="127">
        <v>10240</v>
      </c>
      <c r="N963" s="125">
        <v>252.71299999999999</v>
      </c>
      <c r="O963" s="127">
        <v>10220</v>
      </c>
      <c r="P963" s="125">
        <v>253.732</v>
      </c>
      <c r="Q963" s="127">
        <v>10240</v>
      </c>
      <c r="R963" s="125">
        <v>253.43199999999999</v>
      </c>
      <c r="S963" s="127">
        <v>10240</v>
      </c>
      <c r="T963" s="125">
        <v>254.05799999999999</v>
      </c>
      <c r="U963" s="127">
        <v>10230</v>
      </c>
      <c r="V963" s="125">
        <v>254.03100000000001</v>
      </c>
      <c r="W963" s="127">
        <v>10240</v>
      </c>
      <c r="X963" s="125">
        <v>253.31399999999999</v>
      </c>
      <c r="Y963" s="127">
        <v>10240</v>
      </c>
      <c r="Z963" s="125">
        <v>251.74799999999999</v>
      </c>
      <c r="AA963" s="127">
        <v>10240</v>
      </c>
      <c r="AB963" s="125">
        <v>252.21600000000001</v>
      </c>
      <c r="AC963" s="127">
        <v>10230</v>
      </c>
      <c r="AD963" s="125">
        <v>192.40600000000001</v>
      </c>
      <c r="AE963" s="127">
        <v>10240</v>
      </c>
      <c r="AF963" s="125">
        <v>191.702</v>
      </c>
      <c r="AG963" s="127">
        <v>10220</v>
      </c>
      <c r="AH963" s="125">
        <v>40.985999999999997</v>
      </c>
      <c r="AI963" s="127">
        <v>10220</v>
      </c>
      <c r="AJ963" s="125">
        <v>43.939</v>
      </c>
    </row>
    <row r="964" spans="1:36" ht="14.25">
      <c r="A964" s="128">
        <v>10250</v>
      </c>
      <c r="B964" s="124">
        <v>91.712000000000003</v>
      </c>
      <c r="C964" s="128">
        <v>10260</v>
      </c>
      <c r="D964" s="125">
        <v>90.673000000000002</v>
      </c>
      <c r="E964" s="126">
        <v>10250</v>
      </c>
      <c r="F964" s="125">
        <v>255.911</v>
      </c>
      <c r="G964" s="127">
        <v>10250</v>
      </c>
      <c r="H964" s="125">
        <v>255.917</v>
      </c>
      <c r="I964" s="127">
        <v>10250</v>
      </c>
      <c r="J964" s="125">
        <v>251.70699999999999</v>
      </c>
      <c r="K964" s="127">
        <v>10250</v>
      </c>
      <c r="L964" s="125">
        <v>250.65199999999999</v>
      </c>
      <c r="M964" s="127">
        <v>10250</v>
      </c>
      <c r="N964" s="125">
        <v>251.501</v>
      </c>
      <c r="O964" s="127">
        <v>10230</v>
      </c>
      <c r="P964" s="125">
        <v>252.52</v>
      </c>
      <c r="Q964" s="127">
        <v>10250</v>
      </c>
      <c r="R964" s="125">
        <v>252.221</v>
      </c>
      <c r="S964" s="127">
        <v>10250</v>
      </c>
      <c r="T964" s="125">
        <v>252.846</v>
      </c>
      <c r="U964" s="127">
        <v>10240</v>
      </c>
      <c r="V964" s="125">
        <v>252.821</v>
      </c>
      <c r="W964" s="127">
        <v>10250</v>
      </c>
      <c r="X964" s="125">
        <v>252.102</v>
      </c>
      <c r="Y964" s="127">
        <v>10250</v>
      </c>
      <c r="Z964" s="125">
        <v>250.53800000000001</v>
      </c>
      <c r="AA964" s="127">
        <v>10250</v>
      </c>
      <c r="AB964" s="125">
        <v>251.006</v>
      </c>
      <c r="AC964" s="127">
        <v>10240</v>
      </c>
      <c r="AD964" s="125">
        <v>191.35300000000001</v>
      </c>
      <c r="AE964" s="127">
        <v>10250</v>
      </c>
      <c r="AF964" s="125">
        <v>190.65</v>
      </c>
      <c r="AG964" s="127">
        <v>10230</v>
      </c>
      <c r="AH964" s="125">
        <v>40.741</v>
      </c>
      <c r="AI964" s="127">
        <v>10230</v>
      </c>
      <c r="AJ964" s="125">
        <v>43.68</v>
      </c>
    </row>
    <row r="965" spans="1:36" ht="14.25">
      <c r="A965" s="128">
        <v>10260</v>
      </c>
      <c r="B965" s="124">
        <v>91.15</v>
      </c>
      <c r="C965" s="128">
        <v>10270</v>
      </c>
      <c r="D965" s="125">
        <v>90.114999999999995</v>
      </c>
      <c r="E965" s="126">
        <v>10260</v>
      </c>
      <c r="F965" s="125">
        <v>254.524</v>
      </c>
      <c r="G965" s="127">
        <v>10260</v>
      </c>
      <c r="H965" s="125">
        <v>254.53100000000001</v>
      </c>
      <c r="I965" s="127">
        <v>10260</v>
      </c>
      <c r="J965" s="125">
        <v>250.49600000000001</v>
      </c>
      <c r="K965" s="127">
        <v>10260</v>
      </c>
      <c r="L965" s="125">
        <v>249.43899999999999</v>
      </c>
      <c r="M965" s="127">
        <v>10260</v>
      </c>
      <c r="N965" s="125">
        <v>250.29</v>
      </c>
      <c r="O965" s="127">
        <v>10240</v>
      </c>
      <c r="P965" s="125">
        <v>251.309</v>
      </c>
      <c r="Q965" s="127">
        <v>10260</v>
      </c>
      <c r="R965" s="125">
        <v>251.00899999999999</v>
      </c>
      <c r="S965" s="127">
        <v>10260</v>
      </c>
      <c r="T965" s="125">
        <v>251.63399999999999</v>
      </c>
      <c r="U965" s="127">
        <v>10250</v>
      </c>
      <c r="V965" s="125">
        <v>251.61</v>
      </c>
      <c r="W965" s="127">
        <v>10260</v>
      </c>
      <c r="X965" s="125">
        <v>250.89099999999999</v>
      </c>
      <c r="Y965" s="127">
        <v>10260</v>
      </c>
      <c r="Z965" s="125">
        <v>249.327</v>
      </c>
      <c r="AA965" s="127">
        <v>10260</v>
      </c>
      <c r="AB965" s="125">
        <v>249.79599999999999</v>
      </c>
      <c r="AC965" s="127">
        <v>10250</v>
      </c>
      <c r="AD965" s="125">
        <v>190.3</v>
      </c>
      <c r="AE965" s="127">
        <v>10260</v>
      </c>
      <c r="AF965" s="125">
        <v>189.59800000000001</v>
      </c>
      <c r="AG965" s="127">
        <v>10240</v>
      </c>
      <c r="AH965" s="125">
        <v>40.496000000000002</v>
      </c>
      <c r="AI965" s="127">
        <v>10240</v>
      </c>
      <c r="AJ965" s="125">
        <v>43.420999999999999</v>
      </c>
    </row>
    <row r="966" spans="1:36" ht="14.25">
      <c r="A966" s="128">
        <v>10270</v>
      </c>
      <c r="B966" s="124">
        <v>90.587999999999994</v>
      </c>
      <c r="C966" s="128">
        <v>10280</v>
      </c>
      <c r="D966" s="125">
        <v>89.558999999999997</v>
      </c>
      <c r="E966" s="126">
        <v>10270</v>
      </c>
      <c r="F966" s="125">
        <v>253.137</v>
      </c>
      <c r="G966" s="127">
        <v>10270</v>
      </c>
      <c r="H966" s="125">
        <v>253.14599999999999</v>
      </c>
      <c r="I966" s="127">
        <v>10270</v>
      </c>
      <c r="J966" s="125">
        <v>249.285</v>
      </c>
      <c r="K966" s="127">
        <v>10270</v>
      </c>
      <c r="L966" s="125">
        <v>248.22499999999999</v>
      </c>
      <c r="M966" s="127">
        <v>10270</v>
      </c>
      <c r="N966" s="125">
        <v>249.078</v>
      </c>
      <c r="O966" s="127">
        <v>10250</v>
      </c>
      <c r="P966" s="125">
        <v>250.09700000000001</v>
      </c>
      <c r="Q966" s="127">
        <v>10270</v>
      </c>
      <c r="R966" s="125">
        <v>249.798</v>
      </c>
      <c r="S966" s="127">
        <v>10270</v>
      </c>
      <c r="T966" s="125">
        <v>250.422</v>
      </c>
      <c r="U966" s="127">
        <v>10260</v>
      </c>
      <c r="V966" s="125">
        <v>250.4</v>
      </c>
      <c r="W966" s="127">
        <v>10270</v>
      </c>
      <c r="X966" s="125">
        <v>249.68</v>
      </c>
      <c r="Y966" s="127">
        <v>10270</v>
      </c>
      <c r="Z966" s="125">
        <v>248.11600000000001</v>
      </c>
      <c r="AA966" s="127">
        <v>10270</v>
      </c>
      <c r="AB966" s="125">
        <v>248.58600000000001</v>
      </c>
      <c r="AC966" s="127">
        <v>10260</v>
      </c>
      <c r="AD966" s="125">
        <v>189.24799999999999</v>
      </c>
      <c r="AE966" s="127">
        <v>10270</v>
      </c>
      <c r="AF966" s="125">
        <v>188.54900000000001</v>
      </c>
      <c r="AG966" s="127">
        <v>10250</v>
      </c>
      <c r="AH966" s="125">
        <v>40.252000000000002</v>
      </c>
      <c r="AI966" s="127">
        <v>10250</v>
      </c>
      <c r="AJ966" s="125">
        <v>43.162999999999997</v>
      </c>
    </row>
    <row r="967" spans="1:36" ht="14.25">
      <c r="A967" s="128">
        <v>10280</v>
      </c>
      <c r="B967" s="124">
        <v>90.028000000000006</v>
      </c>
      <c r="C967" s="128">
        <v>10290</v>
      </c>
      <c r="D967" s="125">
        <v>89.003</v>
      </c>
      <c r="E967" s="126">
        <v>10280</v>
      </c>
      <c r="F967" s="125">
        <v>251.75200000000001</v>
      </c>
      <c r="G967" s="127">
        <v>10280</v>
      </c>
      <c r="H967" s="125">
        <v>251.762</v>
      </c>
      <c r="I967" s="127">
        <v>10280</v>
      </c>
      <c r="J967" s="125">
        <v>248.07400000000001</v>
      </c>
      <c r="K967" s="127">
        <v>10280</v>
      </c>
      <c r="L967" s="125">
        <v>247.012</v>
      </c>
      <c r="M967" s="127">
        <v>10280</v>
      </c>
      <c r="N967" s="125">
        <v>247.86699999999999</v>
      </c>
      <c r="O967" s="127">
        <v>10260</v>
      </c>
      <c r="P967" s="125">
        <v>248.88499999999999</v>
      </c>
      <c r="Q967" s="127">
        <v>10280</v>
      </c>
      <c r="R967" s="125">
        <v>248.58600000000001</v>
      </c>
      <c r="S967" s="127">
        <v>10280</v>
      </c>
      <c r="T967" s="125">
        <v>249.21</v>
      </c>
      <c r="U967" s="127">
        <v>10270</v>
      </c>
      <c r="V967" s="125">
        <v>249.18899999999999</v>
      </c>
      <c r="W967" s="127">
        <v>10280</v>
      </c>
      <c r="X967" s="125">
        <v>248.46899999999999</v>
      </c>
      <c r="Y967" s="127">
        <v>10280</v>
      </c>
      <c r="Z967" s="125">
        <v>246.90600000000001</v>
      </c>
      <c r="AA967" s="127">
        <v>10280</v>
      </c>
      <c r="AB967" s="125">
        <v>247.376</v>
      </c>
      <c r="AC967" s="127">
        <v>10270</v>
      </c>
      <c r="AD967" s="125">
        <v>188.19499999999999</v>
      </c>
      <c r="AE967" s="127">
        <v>10280</v>
      </c>
      <c r="AF967" s="125">
        <v>187.5</v>
      </c>
      <c r="AG967" s="127">
        <v>10260</v>
      </c>
      <c r="AH967" s="125">
        <v>40.009</v>
      </c>
      <c r="AI967" s="127">
        <v>10260</v>
      </c>
      <c r="AJ967" s="125">
        <v>42.905000000000001</v>
      </c>
    </row>
    <row r="968" spans="1:36" ht="14.25">
      <c r="A968" s="128">
        <v>10290</v>
      </c>
      <c r="B968" s="124">
        <v>89.468999999999994</v>
      </c>
      <c r="C968" s="128">
        <v>10300</v>
      </c>
      <c r="D968" s="125">
        <v>88.447999999999993</v>
      </c>
      <c r="E968" s="126">
        <v>10290</v>
      </c>
      <c r="F968" s="125">
        <v>250.36799999999999</v>
      </c>
      <c r="G968" s="127">
        <v>10290</v>
      </c>
      <c r="H968" s="125">
        <v>250.37899999999999</v>
      </c>
      <c r="I968" s="127">
        <v>10290</v>
      </c>
      <c r="J968" s="125">
        <v>246.86199999999999</v>
      </c>
      <c r="K968" s="127">
        <v>10290</v>
      </c>
      <c r="L968" s="125">
        <v>245.79900000000001</v>
      </c>
      <c r="M968" s="127">
        <v>10290</v>
      </c>
      <c r="N968" s="125">
        <v>246.655</v>
      </c>
      <c r="O968" s="127">
        <v>10270</v>
      </c>
      <c r="P968" s="125">
        <v>247.673</v>
      </c>
      <c r="Q968" s="127">
        <v>10290</v>
      </c>
      <c r="R968" s="125">
        <v>247.375</v>
      </c>
      <c r="S968" s="127">
        <v>10290</v>
      </c>
      <c r="T968" s="125">
        <v>247.99799999999999</v>
      </c>
      <c r="U968" s="127">
        <v>10280</v>
      </c>
      <c r="V968" s="125">
        <v>247.97900000000001</v>
      </c>
      <c r="W968" s="127">
        <v>10290</v>
      </c>
      <c r="X968" s="125">
        <v>247.25800000000001</v>
      </c>
      <c r="Y968" s="127">
        <v>10290</v>
      </c>
      <c r="Z968" s="125">
        <v>245.69499999999999</v>
      </c>
      <c r="AA968" s="127">
        <v>10290</v>
      </c>
      <c r="AB968" s="125">
        <v>246.166</v>
      </c>
      <c r="AC968" s="127">
        <v>10280</v>
      </c>
      <c r="AD968" s="125">
        <v>187.142</v>
      </c>
      <c r="AE968" s="127">
        <v>10290</v>
      </c>
      <c r="AF968" s="125">
        <v>186.452</v>
      </c>
      <c r="AG968" s="127">
        <v>10270</v>
      </c>
      <c r="AH968" s="125">
        <v>39.765000000000001</v>
      </c>
      <c r="AI968" s="127">
        <v>10270</v>
      </c>
      <c r="AJ968" s="125">
        <v>42.646999999999998</v>
      </c>
    </row>
    <row r="969" spans="1:36" ht="14.25">
      <c r="A969" s="128">
        <v>10300</v>
      </c>
      <c r="B969" s="124">
        <v>88.911000000000001</v>
      </c>
      <c r="C969" s="128">
        <v>10310</v>
      </c>
      <c r="D969" s="125">
        <v>87.894999999999996</v>
      </c>
      <c r="E969" s="126">
        <v>10300</v>
      </c>
      <c r="F969" s="125">
        <v>248.98500000000001</v>
      </c>
      <c r="G969" s="127">
        <v>10300</v>
      </c>
      <c r="H969" s="125">
        <v>248.99799999999999</v>
      </c>
      <c r="I969" s="127">
        <v>10300</v>
      </c>
      <c r="J969" s="125">
        <v>245.65100000000001</v>
      </c>
      <c r="K969" s="127">
        <v>10300</v>
      </c>
      <c r="L969" s="125">
        <v>244.58500000000001</v>
      </c>
      <c r="M969" s="127">
        <v>10300</v>
      </c>
      <c r="N969" s="125">
        <v>245.44399999999999</v>
      </c>
      <c r="O969" s="127">
        <v>10280</v>
      </c>
      <c r="P969" s="125">
        <v>246.46199999999999</v>
      </c>
      <c r="Q969" s="127">
        <v>10300</v>
      </c>
      <c r="R969" s="125">
        <v>246.16300000000001</v>
      </c>
      <c r="S969" s="127">
        <v>10300</v>
      </c>
      <c r="T969" s="125">
        <v>246.786</v>
      </c>
      <c r="U969" s="127">
        <v>10290</v>
      </c>
      <c r="V969" s="125">
        <v>246.768</v>
      </c>
      <c r="W969" s="127">
        <v>10300</v>
      </c>
      <c r="X969" s="125">
        <v>246.047</v>
      </c>
      <c r="Y969" s="127">
        <v>10300</v>
      </c>
      <c r="Z969" s="125">
        <v>244.48400000000001</v>
      </c>
      <c r="AA969" s="127">
        <v>10300</v>
      </c>
      <c r="AB969" s="125">
        <v>244.95599999999999</v>
      </c>
      <c r="AC969" s="127">
        <v>10290</v>
      </c>
      <c r="AD969" s="125">
        <v>186.09</v>
      </c>
      <c r="AE969" s="127">
        <v>10300</v>
      </c>
      <c r="AF969" s="125">
        <v>185.405</v>
      </c>
      <c r="AG969" s="127">
        <v>10280</v>
      </c>
      <c r="AH969" s="125">
        <v>39.523000000000003</v>
      </c>
      <c r="AI969" s="127">
        <v>10280</v>
      </c>
      <c r="AJ969" s="125">
        <v>42.390999999999998</v>
      </c>
    </row>
    <row r="970" spans="1:36" ht="14.25">
      <c r="A970" s="128">
        <v>10310</v>
      </c>
      <c r="B970" s="124">
        <v>88.353999999999999</v>
      </c>
      <c r="C970" s="128">
        <v>10320</v>
      </c>
      <c r="D970" s="125">
        <v>87.343000000000004</v>
      </c>
      <c r="E970" s="126">
        <v>10310</v>
      </c>
      <c r="F970" s="125">
        <v>247.60300000000001</v>
      </c>
      <c r="G970" s="127">
        <v>10310</v>
      </c>
      <c r="H970" s="125">
        <v>247.61799999999999</v>
      </c>
      <c r="I970" s="127">
        <v>10310</v>
      </c>
      <c r="J970" s="125">
        <v>244.44</v>
      </c>
      <c r="K970" s="127">
        <v>10310</v>
      </c>
      <c r="L970" s="125">
        <v>243.37200000000001</v>
      </c>
      <c r="M970" s="127">
        <v>10310</v>
      </c>
      <c r="N970" s="125">
        <v>244.232</v>
      </c>
      <c r="O970" s="127">
        <v>10290</v>
      </c>
      <c r="P970" s="125">
        <v>245.25</v>
      </c>
      <c r="Q970" s="127">
        <v>10310</v>
      </c>
      <c r="R970" s="125">
        <v>244.952</v>
      </c>
      <c r="S970" s="127">
        <v>10310</v>
      </c>
      <c r="T970" s="125">
        <v>245.57400000000001</v>
      </c>
      <c r="U970" s="127">
        <v>10300</v>
      </c>
      <c r="V970" s="125">
        <v>245.55799999999999</v>
      </c>
      <c r="W970" s="127">
        <v>10310</v>
      </c>
      <c r="X970" s="125">
        <v>244.83500000000001</v>
      </c>
      <c r="Y970" s="127">
        <v>10310</v>
      </c>
      <c r="Z970" s="125">
        <v>243.274</v>
      </c>
      <c r="AA970" s="127">
        <v>10310</v>
      </c>
      <c r="AB970" s="125">
        <v>243.74600000000001</v>
      </c>
      <c r="AC970" s="127">
        <v>10300</v>
      </c>
      <c r="AD970" s="125">
        <v>185.03700000000001</v>
      </c>
      <c r="AE970" s="127">
        <v>10310</v>
      </c>
      <c r="AF970" s="125">
        <v>184.36</v>
      </c>
      <c r="AG970" s="127">
        <v>10290</v>
      </c>
      <c r="AH970" s="125">
        <v>39.280999999999999</v>
      </c>
      <c r="AI970" s="127">
        <v>10290</v>
      </c>
      <c r="AJ970" s="125">
        <v>42.134</v>
      </c>
    </row>
    <row r="971" spans="1:36" ht="14.25">
      <c r="A971" s="128">
        <v>10320</v>
      </c>
      <c r="B971" s="124">
        <v>87.799000000000007</v>
      </c>
      <c r="C971" s="128">
        <v>10330</v>
      </c>
      <c r="D971" s="125">
        <v>86.792000000000002</v>
      </c>
      <c r="E971" s="126">
        <v>10320</v>
      </c>
      <c r="F971" s="125">
        <v>246.22300000000001</v>
      </c>
      <c r="G971" s="127">
        <v>10320</v>
      </c>
      <c r="H971" s="125">
        <v>246.24</v>
      </c>
      <c r="I971" s="127">
        <v>10320</v>
      </c>
      <c r="J971" s="125">
        <v>243.22900000000001</v>
      </c>
      <c r="K971" s="127">
        <v>10320</v>
      </c>
      <c r="L971" s="125">
        <v>242.15899999999999</v>
      </c>
      <c r="M971" s="127">
        <v>10320</v>
      </c>
      <c r="N971" s="125">
        <v>243.02099999999999</v>
      </c>
      <c r="O971" s="127">
        <v>10300</v>
      </c>
      <c r="P971" s="125">
        <v>244.03800000000001</v>
      </c>
      <c r="Q971" s="127">
        <v>10320</v>
      </c>
      <c r="R971" s="125">
        <v>243.74</v>
      </c>
      <c r="S971" s="127">
        <v>10320</v>
      </c>
      <c r="T971" s="125">
        <v>244.36199999999999</v>
      </c>
      <c r="U971" s="127">
        <v>10310</v>
      </c>
      <c r="V971" s="125">
        <v>244.34700000000001</v>
      </c>
      <c r="W971" s="127">
        <v>10320</v>
      </c>
      <c r="X971" s="125">
        <v>243.624</v>
      </c>
      <c r="Y971" s="127">
        <v>10320</v>
      </c>
      <c r="Z971" s="125">
        <v>242.06299999999999</v>
      </c>
      <c r="AA971" s="127">
        <v>10320</v>
      </c>
      <c r="AB971" s="125">
        <v>242.536</v>
      </c>
      <c r="AC971" s="127">
        <v>10310</v>
      </c>
      <c r="AD971" s="125">
        <v>183.98400000000001</v>
      </c>
      <c r="AE971" s="127">
        <v>10320</v>
      </c>
      <c r="AF971" s="125">
        <v>183.315</v>
      </c>
      <c r="AG971" s="127">
        <v>10300</v>
      </c>
      <c r="AH971" s="125">
        <v>39.039000000000001</v>
      </c>
      <c r="AI971" s="127">
        <v>10300</v>
      </c>
      <c r="AJ971" s="125">
        <v>41.878999999999998</v>
      </c>
    </row>
    <row r="972" spans="1:36" ht="14.25">
      <c r="A972" s="128">
        <v>10330</v>
      </c>
      <c r="B972" s="124">
        <v>87.244</v>
      </c>
      <c r="C972" s="128">
        <v>10340</v>
      </c>
      <c r="D972" s="125">
        <v>86.242000000000004</v>
      </c>
      <c r="E972" s="126">
        <v>10330</v>
      </c>
      <c r="F972" s="125">
        <v>244.84399999999999</v>
      </c>
      <c r="G972" s="127">
        <v>10330</v>
      </c>
      <c r="H972" s="125">
        <v>244.86199999999999</v>
      </c>
      <c r="I972" s="127">
        <v>10330</v>
      </c>
      <c r="J972" s="125">
        <v>242.018</v>
      </c>
      <c r="K972" s="127">
        <v>10330</v>
      </c>
      <c r="L972" s="125">
        <v>240.94499999999999</v>
      </c>
      <c r="M972" s="127">
        <v>10330</v>
      </c>
      <c r="N972" s="125">
        <v>241.809</v>
      </c>
      <c r="O972" s="127">
        <v>10310</v>
      </c>
      <c r="P972" s="125">
        <v>242.82599999999999</v>
      </c>
      <c r="Q972" s="127">
        <v>10330</v>
      </c>
      <c r="R972" s="125">
        <v>242.529</v>
      </c>
      <c r="S972" s="127">
        <v>10330</v>
      </c>
      <c r="T972" s="125">
        <v>243.15</v>
      </c>
      <c r="U972" s="127">
        <v>10320</v>
      </c>
      <c r="V972" s="125">
        <v>243.137</v>
      </c>
      <c r="W972" s="127">
        <v>10330</v>
      </c>
      <c r="X972" s="125">
        <v>242.41300000000001</v>
      </c>
      <c r="Y972" s="127">
        <v>10330</v>
      </c>
      <c r="Z972" s="125">
        <v>240.852</v>
      </c>
      <c r="AA972" s="127">
        <v>10330</v>
      </c>
      <c r="AB972" s="125">
        <v>241.32599999999999</v>
      </c>
      <c r="AC972" s="127">
        <v>10320</v>
      </c>
      <c r="AD972" s="125">
        <v>182.93199999999999</v>
      </c>
      <c r="AE972" s="127">
        <v>10330</v>
      </c>
      <c r="AF972" s="125">
        <v>182.27199999999999</v>
      </c>
      <c r="AG972" s="127">
        <v>10310</v>
      </c>
      <c r="AH972" s="125">
        <v>38.798000000000002</v>
      </c>
      <c r="AI972" s="127">
        <v>10310</v>
      </c>
      <c r="AJ972" s="125">
        <v>41.622999999999998</v>
      </c>
    </row>
    <row r="973" spans="1:36" ht="14.25">
      <c r="A973" s="128">
        <v>10340</v>
      </c>
      <c r="B973" s="124">
        <v>86.691000000000003</v>
      </c>
      <c r="C973" s="128">
        <v>10350</v>
      </c>
      <c r="D973" s="125">
        <v>85.692999999999998</v>
      </c>
      <c r="E973" s="126">
        <v>10340</v>
      </c>
      <c r="F973" s="125">
        <v>243.46600000000001</v>
      </c>
      <c r="G973" s="127">
        <v>10340</v>
      </c>
      <c r="H973" s="125">
        <v>243.48599999999999</v>
      </c>
      <c r="I973" s="127">
        <v>10340</v>
      </c>
      <c r="J973" s="125">
        <v>240.80600000000001</v>
      </c>
      <c r="K973" s="127">
        <v>10340</v>
      </c>
      <c r="L973" s="125">
        <v>239.732</v>
      </c>
      <c r="M973" s="127">
        <v>10340</v>
      </c>
      <c r="N973" s="125">
        <v>240.59800000000001</v>
      </c>
      <c r="O973" s="127">
        <v>10320</v>
      </c>
      <c r="P973" s="125">
        <v>241.61500000000001</v>
      </c>
      <c r="Q973" s="127">
        <v>10340</v>
      </c>
      <c r="R973" s="125">
        <v>241.31700000000001</v>
      </c>
      <c r="S973" s="127">
        <v>10340</v>
      </c>
      <c r="T973" s="125">
        <v>241.93799999999999</v>
      </c>
      <c r="U973" s="127">
        <v>10330</v>
      </c>
      <c r="V973" s="125">
        <v>241.92599999999999</v>
      </c>
      <c r="W973" s="127">
        <v>10340</v>
      </c>
      <c r="X973" s="125">
        <v>241.202</v>
      </c>
      <c r="Y973" s="127">
        <v>10340</v>
      </c>
      <c r="Z973" s="125">
        <v>239.642</v>
      </c>
      <c r="AA973" s="127">
        <v>10340</v>
      </c>
      <c r="AB973" s="125">
        <v>240.11500000000001</v>
      </c>
      <c r="AC973" s="127">
        <v>10330</v>
      </c>
      <c r="AD973" s="125">
        <v>181.87899999999999</v>
      </c>
      <c r="AE973" s="127">
        <v>10340</v>
      </c>
      <c r="AF973" s="125">
        <v>181.22900000000001</v>
      </c>
      <c r="AG973" s="127">
        <v>10320</v>
      </c>
      <c r="AH973" s="125">
        <v>38.558</v>
      </c>
      <c r="AI973" s="127">
        <v>10320</v>
      </c>
      <c r="AJ973" s="125">
        <v>41.369</v>
      </c>
    </row>
    <row r="974" spans="1:36" ht="14.25">
      <c r="A974" s="128">
        <v>10350</v>
      </c>
      <c r="B974" s="124">
        <v>86.138999999999996</v>
      </c>
      <c r="C974" s="128">
        <v>10360</v>
      </c>
      <c r="D974" s="125">
        <v>85.146000000000001</v>
      </c>
      <c r="E974" s="126">
        <v>10350</v>
      </c>
      <c r="F974" s="125">
        <v>242.09</v>
      </c>
      <c r="G974" s="127">
        <v>10350</v>
      </c>
      <c r="H974" s="125">
        <v>242.11099999999999</v>
      </c>
      <c r="I974" s="127">
        <v>10350</v>
      </c>
      <c r="J974" s="125">
        <v>239.595</v>
      </c>
      <c r="K974" s="127">
        <v>10350</v>
      </c>
      <c r="L974" s="125">
        <v>238.51900000000001</v>
      </c>
      <c r="M974" s="127">
        <v>10350</v>
      </c>
      <c r="N974" s="125">
        <v>239.386</v>
      </c>
      <c r="O974" s="127">
        <v>10330</v>
      </c>
      <c r="P974" s="125">
        <v>240.40299999999999</v>
      </c>
      <c r="Q974" s="127">
        <v>10350</v>
      </c>
      <c r="R974" s="125">
        <v>240.10599999999999</v>
      </c>
      <c r="S974" s="127">
        <v>10350</v>
      </c>
      <c r="T974" s="125">
        <v>240.726</v>
      </c>
      <c r="U974" s="127">
        <v>10340</v>
      </c>
      <c r="V974" s="125">
        <v>240.71600000000001</v>
      </c>
      <c r="W974" s="127">
        <v>10350</v>
      </c>
      <c r="X974" s="125">
        <v>239.99100000000001</v>
      </c>
      <c r="Y974" s="127">
        <v>10350</v>
      </c>
      <c r="Z974" s="125">
        <v>238.43100000000001</v>
      </c>
      <c r="AA974" s="127">
        <v>10350</v>
      </c>
      <c r="AB974" s="125">
        <v>238.905</v>
      </c>
      <c r="AC974" s="127">
        <v>10340</v>
      </c>
      <c r="AD974" s="125">
        <v>180.82599999999999</v>
      </c>
      <c r="AE974" s="127">
        <v>10350</v>
      </c>
      <c r="AF974" s="125">
        <v>180.18799999999999</v>
      </c>
      <c r="AG974" s="127">
        <v>10330</v>
      </c>
      <c r="AH974" s="125">
        <v>38.317999999999998</v>
      </c>
      <c r="AI974" s="127">
        <v>10330</v>
      </c>
      <c r="AJ974" s="125">
        <v>41.115000000000002</v>
      </c>
    </row>
    <row r="975" spans="1:36" ht="14.25">
      <c r="A975" s="128">
        <v>10360</v>
      </c>
      <c r="B975" s="124">
        <v>85.587999999999994</v>
      </c>
      <c r="C975" s="128">
        <v>10370</v>
      </c>
      <c r="D975" s="125">
        <v>84.599000000000004</v>
      </c>
      <c r="E975" s="126">
        <v>10360</v>
      </c>
      <c r="F975" s="125">
        <v>240.715</v>
      </c>
      <c r="G975" s="127">
        <v>10360</v>
      </c>
      <c r="H975" s="125">
        <v>240.738</v>
      </c>
      <c r="I975" s="127">
        <v>10360</v>
      </c>
      <c r="J975" s="125">
        <v>238.38399999999999</v>
      </c>
      <c r="K975" s="127">
        <v>10360</v>
      </c>
      <c r="L975" s="125">
        <v>237.30500000000001</v>
      </c>
      <c r="M975" s="127">
        <v>10360</v>
      </c>
      <c r="N975" s="125">
        <v>238.17500000000001</v>
      </c>
      <c r="O975" s="127">
        <v>10340</v>
      </c>
      <c r="P975" s="125">
        <v>239.191</v>
      </c>
      <c r="Q975" s="127">
        <v>10360</v>
      </c>
      <c r="R975" s="125">
        <v>238.89500000000001</v>
      </c>
      <c r="S975" s="127">
        <v>10360</v>
      </c>
      <c r="T975" s="125">
        <v>239.51400000000001</v>
      </c>
      <c r="U975" s="127">
        <v>10350</v>
      </c>
      <c r="V975" s="125">
        <v>239.505</v>
      </c>
      <c r="W975" s="127">
        <v>10360</v>
      </c>
      <c r="X975" s="125">
        <v>238.78</v>
      </c>
      <c r="Y975" s="127">
        <v>10360</v>
      </c>
      <c r="Z975" s="125">
        <v>237.22</v>
      </c>
      <c r="AA975" s="127">
        <v>10360</v>
      </c>
      <c r="AB975" s="125">
        <v>237.69499999999999</v>
      </c>
      <c r="AC975" s="127">
        <v>10350</v>
      </c>
      <c r="AD975" s="125">
        <v>179.774</v>
      </c>
      <c r="AE975" s="127">
        <v>10360</v>
      </c>
      <c r="AF975" s="125">
        <v>179.148</v>
      </c>
      <c r="AG975" s="127">
        <v>10340</v>
      </c>
      <c r="AH975" s="125">
        <v>38.078000000000003</v>
      </c>
      <c r="AI975" s="127">
        <v>10340</v>
      </c>
      <c r="AJ975" s="125">
        <v>40.860999999999997</v>
      </c>
    </row>
    <row r="976" spans="1:36" ht="14.25">
      <c r="A976" s="128">
        <v>10370</v>
      </c>
      <c r="B976" s="124">
        <v>85.037999999999997</v>
      </c>
      <c r="C976" s="128">
        <v>10380</v>
      </c>
      <c r="D976" s="125">
        <v>84.054000000000002</v>
      </c>
      <c r="E976" s="126">
        <v>10370</v>
      </c>
      <c r="F976" s="125">
        <v>239.34100000000001</v>
      </c>
      <c r="G976" s="127">
        <v>10370</v>
      </c>
      <c r="H976" s="125">
        <v>239.36600000000001</v>
      </c>
      <c r="I976" s="127">
        <v>10370</v>
      </c>
      <c r="J976" s="125">
        <v>237.173</v>
      </c>
      <c r="K976" s="127">
        <v>10370</v>
      </c>
      <c r="L976" s="125">
        <v>236.09200000000001</v>
      </c>
      <c r="M976" s="127">
        <v>10370</v>
      </c>
      <c r="N976" s="125">
        <v>236.96299999999999</v>
      </c>
      <c r="O976" s="127">
        <v>10350</v>
      </c>
      <c r="P976" s="125">
        <v>237.98</v>
      </c>
      <c r="Q976" s="127">
        <v>10370</v>
      </c>
      <c r="R976" s="125">
        <v>237.68299999999999</v>
      </c>
      <c r="S976" s="127">
        <v>10370</v>
      </c>
      <c r="T976" s="125">
        <v>238.30199999999999</v>
      </c>
      <c r="U976" s="127">
        <v>10360</v>
      </c>
      <c r="V976" s="125">
        <v>238.29499999999999</v>
      </c>
      <c r="W976" s="127">
        <v>10370</v>
      </c>
      <c r="X976" s="125">
        <v>237.56800000000001</v>
      </c>
      <c r="Y976" s="127">
        <v>10370</v>
      </c>
      <c r="Z976" s="125">
        <v>236.01</v>
      </c>
      <c r="AA976" s="127">
        <v>10370</v>
      </c>
      <c r="AB976" s="125">
        <v>236.48500000000001</v>
      </c>
      <c r="AC976" s="127">
        <v>10360</v>
      </c>
      <c r="AD976" s="125">
        <v>178.721</v>
      </c>
      <c r="AE976" s="127">
        <v>10370</v>
      </c>
      <c r="AF976" s="125">
        <v>178.10900000000001</v>
      </c>
      <c r="AG976" s="127">
        <v>10350</v>
      </c>
      <c r="AH976" s="125">
        <v>37.838999999999999</v>
      </c>
      <c r="AI976" s="127">
        <v>10350</v>
      </c>
      <c r="AJ976" s="125">
        <v>40.607999999999997</v>
      </c>
    </row>
    <row r="977" spans="1:36" ht="14.25">
      <c r="A977" s="128">
        <v>10380</v>
      </c>
      <c r="B977" s="124">
        <v>84.49</v>
      </c>
      <c r="C977" s="128">
        <v>10390</v>
      </c>
      <c r="D977" s="125">
        <v>83.51</v>
      </c>
      <c r="E977" s="126">
        <v>10380</v>
      </c>
      <c r="F977" s="125">
        <v>237.96899999999999</v>
      </c>
      <c r="G977" s="127">
        <v>10380</v>
      </c>
      <c r="H977" s="125">
        <v>237.995</v>
      </c>
      <c r="I977" s="127">
        <v>10380</v>
      </c>
      <c r="J977" s="125">
        <v>235.96199999999999</v>
      </c>
      <c r="K977" s="127">
        <v>10380</v>
      </c>
      <c r="L977" s="125">
        <v>234.87899999999999</v>
      </c>
      <c r="M977" s="127">
        <v>10380</v>
      </c>
      <c r="N977" s="125">
        <v>235.75200000000001</v>
      </c>
      <c r="O977" s="127">
        <v>10360</v>
      </c>
      <c r="P977" s="125">
        <v>236.768</v>
      </c>
      <c r="Q977" s="127">
        <v>10380</v>
      </c>
      <c r="R977" s="125">
        <v>236.47200000000001</v>
      </c>
      <c r="S977" s="127">
        <v>10380</v>
      </c>
      <c r="T977" s="125">
        <v>237.09</v>
      </c>
      <c r="U977" s="127">
        <v>10370</v>
      </c>
      <c r="V977" s="125">
        <v>237.084</v>
      </c>
      <c r="W977" s="127">
        <v>10380</v>
      </c>
      <c r="X977" s="125">
        <v>236.357</v>
      </c>
      <c r="Y977" s="127">
        <v>10380</v>
      </c>
      <c r="Z977" s="125">
        <v>234.79900000000001</v>
      </c>
      <c r="AA977" s="127">
        <v>10380</v>
      </c>
      <c r="AB977" s="125">
        <v>235.27500000000001</v>
      </c>
      <c r="AC977" s="127">
        <v>10370</v>
      </c>
      <c r="AD977" s="125">
        <v>177.66800000000001</v>
      </c>
      <c r="AE977" s="127">
        <v>10380</v>
      </c>
      <c r="AF977" s="125">
        <v>177.071</v>
      </c>
      <c r="AG977" s="127">
        <v>10360</v>
      </c>
      <c r="AH977" s="125">
        <v>37.600999999999999</v>
      </c>
      <c r="AI977" s="127">
        <v>10360</v>
      </c>
      <c r="AJ977" s="125">
        <v>40.354999999999997</v>
      </c>
    </row>
    <row r="978" spans="1:36" ht="14.25">
      <c r="A978" s="128">
        <v>10390</v>
      </c>
      <c r="B978" s="124">
        <v>83.941999999999993</v>
      </c>
      <c r="C978" s="128">
        <v>10400</v>
      </c>
      <c r="D978" s="125">
        <v>82.966999999999999</v>
      </c>
      <c r="E978" s="126">
        <v>10390</v>
      </c>
      <c r="F978" s="125">
        <v>236.59700000000001</v>
      </c>
      <c r="G978" s="127">
        <v>10390</v>
      </c>
      <c r="H978" s="125">
        <v>236.625</v>
      </c>
      <c r="I978" s="127">
        <v>10390</v>
      </c>
      <c r="J978" s="125">
        <v>234.751</v>
      </c>
      <c r="K978" s="127">
        <v>10390</v>
      </c>
      <c r="L978" s="125">
        <v>233.666</v>
      </c>
      <c r="M978" s="127">
        <v>10390</v>
      </c>
      <c r="N978" s="125">
        <v>234.54</v>
      </c>
      <c r="O978" s="127">
        <v>10370</v>
      </c>
      <c r="P978" s="125">
        <v>235.55600000000001</v>
      </c>
      <c r="Q978" s="127">
        <v>10390</v>
      </c>
      <c r="R978" s="125">
        <v>235.26</v>
      </c>
      <c r="S978" s="127">
        <v>10390</v>
      </c>
      <c r="T978" s="125">
        <v>235.87799999999999</v>
      </c>
      <c r="U978" s="127">
        <v>10380</v>
      </c>
      <c r="V978" s="125">
        <v>235.874</v>
      </c>
      <c r="W978" s="127">
        <v>10390</v>
      </c>
      <c r="X978" s="125">
        <v>235.14599999999999</v>
      </c>
      <c r="Y978" s="127">
        <v>10390</v>
      </c>
      <c r="Z978" s="125">
        <v>233.58799999999999</v>
      </c>
      <c r="AA978" s="127">
        <v>10390</v>
      </c>
      <c r="AB978" s="125">
        <v>234.065</v>
      </c>
      <c r="AC978" s="127">
        <v>10380</v>
      </c>
      <c r="AD978" s="125">
        <v>176.61600000000001</v>
      </c>
      <c r="AE978" s="127">
        <v>10390</v>
      </c>
      <c r="AF978" s="125">
        <v>176.035</v>
      </c>
      <c r="AG978" s="127">
        <v>10370</v>
      </c>
      <c r="AH978" s="125">
        <v>37.363</v>
      </c>
      <c r="AI978" s="127">
        <v>10370</v>
      </c>
      <c r="AJ978" s="125">
        <v>40.103000000000002</v>
      </c>
    </row>
    <row r="979" spans="1:36" ht="14.25">
      <c r="A979" s="128">
        <v>10400</v>
      </c>
      <c r="B979" s="124">
        <v>83.396000000000001</v>
      </c>
      <c r="C979" s="128">
        <v>10410</v>
      </c>
      <c r="D979" s="125">
        <v>82.424999999999997</v>
      </c>
      <c r="E979" s="126">
        <v>10400</v>
      </c>
      <c r="F979" s="125">
        <v>235.22800000000001</v>
      </c>
      <c r="G979" s="127">
        <v>10400</v>
      </c>
      <c r="H979" s="125">
        <v>235.25700000000001</v>
      </c>
      <c r="I979" s="127">
        <v>10400</v>
      </c>
      <c r="J979" s="125">
        <v>233.54</v>
      </c>
      <c r="K979" s="127">
        <v>10400</v>
      </c>
      <c r="L979" s="125">
        <v>232.452</v>
      </c>
      <c r="M979" s="127">
        <v>10400</v>
      </c>
      <c r="N979" s="125">
        <v>233.32900000000001</v>
      </c>
      <c r="O979" s="127">
        <v>10380</v>
      </c>
      <c r="P979" s="125">
        <v>234.34399999999999</v>
      </c>
      <c r="Q979" s="127">
        <v>10400</v>
      </c>
      <c r="R979" s="125">
        <v>234.04900000000001</v>
      </c>
      <c r="S979" s="127">
        <v>10400</v>
      </c>
      <c r="T979" s="125">
        <v>234.667</v>
      </c>
      <c r="U979" s="127">
        <v>10390</v>
      </c>
      <c r="V979" s="125">
        <v>234.66300000000001</v>
      </c>
      <c r="W979" s="127">
        <v>10400</v>
      </c>
      <c r="X979" s="125">
        <v>233.935</v>
      </c>
      <c r="Y979" s="127">
        <v>10400</v>
      </c>
      <c r="Z979" s="125">
        <v>232.37799999999999</v>
      </c>
      <c r="AA979" s="127">
        <v>10400</v>
      </c>
      <c r="AB979" s="125">
        <v>232.85499999999999</v>
      </c>
      <c r="AC979" s="127">
        <v>10390</v>
      </c>
      <c r="AD979" s="125">
        <v>175.56299999999999</v>
      </c>
      <c r="AE979" s="127">
        <v>10400</v>
      </c>
      <c r="AF979" s="125">
        <v>174.999</v>
      </c>
      <c r="AG979" s="127">
        <v>10380</v>
      </c>
      <c r="AH979" s="125">
        <v>37.125</v>
      </c>
      <c r="AI979" s="127">
        <v>10380</v>
      </c>
      <c r="AJ979" s="125">
        <v>39.851999999999997</v>
      </c>
    </row>
    <row r="980" spans="1:36" ht="14.25">
      <c r="A980" s="128">
        <v>10410</v>
      </c>
      <c r="B980" s="124">
        <v>82.850999999999999</v>
      </c>
      <c r="C980" s="128">
        <v>10420</v>
      </c>
      <c r="D980" s="125">
        <v>81.884</v>
      </c>
      <c r="E980" s="126">
        <v>10410</v>
      </c>
      <c r="F980" s="125">
        <v>233.85900000000001</v>
      </c>
      <c r="G980" s="127">
        <v>10410</v>
      </c>
      <c r="H980" s="125">
        <v>233.89</v>
      </c>
      <c r="I980" s="127">
        <v>10410</v>
      </c>
      <c r="J980" s="125">
        <v>232.32900000000001</v>
      </c>
      <c r="K980" s="127">
        <v>10410</v>
      </c>
      <c r="L980" s="125">
        <v>231.239</v>
      </c>
      <c r="M980" s="127">
        <v>10410</v>
      </c>
      <c r="N980" s="125">
        <v>232.11699999999999</v>
      </c>
      <c r="O980" s="127">
        <v>10390</v>
      </c>
      <c r="P980" s="125">
        <v>233.13300000000001</v>
      </c>
      <c r="Q980" s="127">
        <v>10410</v>
      </c>
      <c r="R980" s="125">
        <v>232.83699999999999</v>
      </c>
      <c r="S980" s="127">
        <v>10410</v>
      </c>
      <c r="T980" s="125">
        <v>233.45500000000001</v>
      </c>
      <c r="U980" s="127">
        <v>10400</v>
      </c>
      <c r="V980" s="125">
        <v>233.453</v>
      </c>
      <c r="W980" s="127">
        <v>10410</v>
      </c>
      <c r="X980" s="125">
        <v>232.72399999999999</v>
      </c>
      <c r="Y980" s="127">
        <v>10410</v>
      </c>
      <c r="Z980" s="125">
        <v>231.167</v>
      </c>
      <c r="AA980" s="127">
        <v>10410</v>
      </c>
      <c r="AB980" s="125">
        <v>231.64500000000001</v>
      </c>
      <c r="AC980" s="127">
        <v>10400</v>
      </c>
      <c r="AD980" s="125">
        <v>174.51</v>
      </c>
      <c r="AE980" s="127">
        <v>10410</v>
      </c>
      <c r="AF980" s="125">
        <v>173.965</v>
      </c>
      <c r="AG980" s="127">
        <v>10390</v>
      </c>
      <c r="AH980" s="125">
        <v>36.889000000000003</v>
      </c>
      <c r="AI980" s="127">
        <v>10390</v>
      </c>
      <c r="AJ980" s="125">
        <v>39.600999999999999</v>
      </c>
    </row>
    <row r="981" spans="1:36" ht="14.25">
      <c r="A981" s="128">
        <v>10420</v>
      </c>
      <c r="B981" s="124">
        <v>82.307000000000002</v>
      </c>
      <c r="C981" s="128">
        <v>10430</v>
      </c>
      <c r="D981" s="125">
        <v>81.344999999999999</v>
      </c>
      <c r="E981" s="126">
        <v>10420</v>
      </c>
      <c r="F981" s="125">
        <v>232.49199999999999</v>
      </c>
      <c r="G981" s="127">
        <v>10420</v>
      </c>
      <c r="H981" s="125">
        <v>232.524</v>
      </c>
      <c r="I981" s="127">
        <v>10420</v>
      </c>
      <c r="J981" s="125">
        <v>231.11699999999999</v>
      </c>
      <c r="K981" s="127">
        <v>10420</v>
      </c>
      <c r="L981" s="125">
        <v>230.02600000000001</v>
      </c>
      <c r="M981" s="127">
        <v>10420</v>
      </c>
      <c r="N981" s="125">
        <v>230.90600000000001</v>
      </c>
      <c r="O981" s="127">
        <v>10400</v>
      </c>
      <c r="P981" s="125">
        <v>231.92099999999999</v>
      </c>
      <c r="Q981" s="127">
        <v>10420</v>
      </c>
      <c r="R981" s="125">
        <v>231.626</v>
      </c>
      <c r="S981" s="127">
        <v>10420</v>
      </c>
      <c r="T981" s="125">
        <v>232.24299999999999</v>
      </c>
      <c r="U981" s="127">
        <v>10410</v>
      </c>
      <c r="V981" s="125">
        <v>232.24299999999999</v>
      </c>
      <c r="W981" s="127">
        <v>10420</v>
      </c>
      <c r="X981" s="125">
        <v>231.51300000000001</v>
      </c>
      <c r="Y981" s="127">
        <v>10420</v>
      </c>
      <c r="Z981" s="125">
        <v>229.95599999999999</v>
      </c>
      <c r="AA981" s="127">
        <v>10420</v>
      </c>
      <c r="AB981" s="125">
        <v>230.435</v>
      </c>
      <c r="AC981" s="127">
        <v>10410</v>
      </c>
      <c r="AD981" s="125">
        <v>173.458</v>
      </c>
      <c r="AE981" s="127">
        <v>10420</v>
      </c>
      <c r="AF981" s="125">
        <v>172.93100000000001</v>
      </c>
      <c r="AG981" s="127">
        <v>10400</v>
      </c>
      <c r="AH981" s="125">
        <v>36.652000000000001</v>
      </c>
      <c r="AI981" s="127">
        <v>10400</v>
      </c>
      <c r="AJ981" s="125">
        <v>39.350999999999999</v>
      </c>
    </row>
    <row r="982" spans="1:36" ht="14.25">
      <c r="A982" s="128">
        <v>10430</v>
      </c>
      <c r="B982" s="124">
        <v>81.763999999999996</v>
      </c>
      <c r="C982" s="128">
        <v>10440</v>
      </c>
      <c r="D982" s="125">
        <v>80.805999999999997</v>
      </c>
      <c r="E982" s="126">
        <v>10430</v>
      </c>
      <c r="F982" s="125">
        <v>231.126</v>
      </c>
      <c r="G982" s="127">
        <v>10430</v>
      </c>
      <c r="H982" s="125">
        <v>231.16</v>
      </c>
      <c r="I982" s="127">
        <v>10430</v>
      </c>
      <c r="J982" s="125">
        <v>229.90600000000001</v>
      </c>
      <c r="K982" s="127">
        <v>10430</v>
      </c>
      <c r="L982" s="125">
        <v>228.81200000000001</v>
      </c>
      <c r="M982" s="127">
        <v>10430</v>
      </c>
      <c r="N982" s="125">
        <v>229.69499999999999</v>
      </c>
      <c r="O982" s="127">
        <v>10410</v>
      </c>
      <c r="P982" s="125">
        <v>230.709</v>
      </c>
      <c r="Q982" s="127">
        <v>10430</v>
      </c>
      <c r="R982" s="125">
        <v>230.41399999999999</v>
      </c>
      <c r="S982" s="127">
        <v>10430</v>
      </c>
      <c r="T982" s="125">
        <v>231.03100000000001</v>
      </c>
      <c r="U982" s="127">
        <v>10420</v>
      </c>
      <c r="V982" s="125">
        <v>231.03200000000001</v>
      </c>
      <c r="W982" s="127">
        <v>10430</v>
      </c>
      <c r="X982" s="125">
        <v>230.30099999999999</v>
      </c>
      <c r="Y982" s="127">
        <v>10430</v>
      </c>
      <c r="Z982" s="125">
        <v>228.74600000000001</v>
      </c>
      <c r="AA982" s="127">
        <v>10430</v>
      </c>
      <c r="AB982" s="125">
        <v>229.22499999999999</v>
      </c>
      <c r="AC982" s="127">
        <v>10420</v>
      </c>
      <c r="AD982" s="125">
        <v>172.405</v>
      </c>
      <c r="AE982" s="127">
        <v>10430</v>
      </c>
      <c r="AF982" s="125">
        <v>171.899</v>
      </c>
      <c r="AG982" s="127">
        <v>10410</v>
      </c>
      <c r="AH982" s="125">
        <v>36.417000000000002</v>
      </c>
      <c r="AI982" s="127">
        <v>10410</v>
      </c>
      <c r="AJ982" s="125">
        <v>39.100999999999999</v>
      </c>
    </row>
    <row r="983" spans="1:36" ht="14.25">
      <c r="A983" s="128">
        <v>10440</v>
      </c>
      <c r="B983" s="124">
        <v>81.221999999999994</v>
      </c>
      <c r="C983" s="128">
        <v>10450</v>
      </c>
      <c r="D983" s="125">
        <v>80.269000000000005</v>
      </c>
      <c r="E983" s="126">
        <v>10440</v>
      </c>
      <c r="F983" s="125">
        <v>229.761</v>
      </c>
      <c r="G983" s="127">
        <v>10440</v>
      </c>
      <c r="H983" s="125">
        <v>229.797</v>
      </c>
      <c r="I983" s="127">
        <v>10440</v>
      </c>
      <c r="J983" s="125">
        <v>228.69499999999999</v>
      </c>
      <c r="K983" s="127">
        <v>10440</v>
      </c>
      <c r="L983" s="125">
        <v>227.59899999999999</v>
      </c>
      <c r="M983" s="127">
        <v>10440</v>
      </c>
      <c r="N983" s="125">
        <v>228.483</v>
      </c>
      <c r="O983" s="127">
        <v>10420</v>
      </c>
      <c r="P983" s="125">
        <v>229.49700000000001</v>
      </c>
      <c r="Q983" s="127">
        <v>10440</v>
      </c>
      <c r="R983" s="125">
        <v>229.203</v>
      </c>
      <c r="S983" s="127">
        <v>10440</v>
      </c>
      <c r="T983" s="125">
        <v>229.81899999999999</v>
      </c>
      <c r="U983" s="127">
        <v>10430</v>
      </c>
      <c r="V983" s="125">
        <v>229.821</v>
      </c>
      <c r="W983" s="127">
        <v>10440</v>
      </c>
      <c r="X983" s="125">
        <v>229.09</v>
      </c>
      <c r="Y983" s="127">
        <v>10440</v>
      </c>
      <c r="Z983" s="125">
        <v>227.535</v>
      </c>
      <c r="AA983" s="127">
        <v>10440</v>
      </c>
      <c r="AB983" s="125">
        <v>228.01499999999999</v>
      </c>
      <c r="AC983" s="127">
        <v>10430</v>
      </c>
      <c r="AD983" s="125">
        <v>171.352</v>
      </c>
      <c r="AE983" s="127">
        <v>10440</v>
      </c>
      <c r="AF983" s="125">
        <v>170.86799999999999</v>
      </c>
      <c r="AG983" s="127">
        <v>10420</v>
      </c>
      <c r="AH983" s="125">
        <v>36.180999999999997</v>
      </c>
      <c r="AI983" s="127">
        <v>10420</v>
      </c>
      <c r="AJ983" s="125">
        <v>38.850999999999999</v>
      </c>
    </row>
    <row r="984" spans="1:36" ht="14.25">
      <c r="A984" s="128">
        <v>10450</v>
      </c>
      <c r="B984" s="124">
        <v>80.680999999999997</v>
      </c>
      <c r="C984" s="128">
        <v>10460</v>
      </c>
      <c r="D984" s="125">
        <v>79.733000000000004</v>
      </c>
      <c r="E984" s="126">
        <v>10450</v>
      </c>
      <c r="F984" s="125">
        <v>228.398</v>
      </c>
      <c r="G984" s="127">
        <v>10450</v>
      </c>
      <c r="H984" s="125">
        <v>228.435</v>
      </c>
      <c r="I984" s="127">
        <v>10450</v>
      </c>
      <c r="J984" s="125">
        <v>227.48400000000001</v>
      </c>
      <c r="K984" s="127">
        <v>10450</v>
      </c>
      <c r="L984" s="125">
        <v>226.386</v>
      </c>
      <c r="M984" s="127">
        <v>10450</v>
      </c>
      <c r="N984" s="125">
        <v>227.27199999999999</v>
      </c>
      <c r="O984" s="127">
        <v>10430</v>
      </c>
      <c r="P984" s="125">
        <v>228.286</v>
      </c>
      <c r="Q984" s="127">
        <v>10450</v>
      </c>
      <c r="R984" s="125">
        <v>227.99100000000001</v>
      </c>
      <c r="S984" s="127">
        <v>10450</v>
      </c>
      <c r="T984" s="125">
        <v>228.607</v>
      </c>
      <c r="U984" s="127">
        <v>10440</v>
      </c>
      <c r="V984" s="129">
        <v>228.61099999999999</v>
      </c>
      <c r="W984" s="127">
        <v>10450</v>
      </c>
      <c r="X984" s="125">
        <v>227.87899999999999</v>
      </c>
      <c r="Y984" s="127">
        <v>10450</v>
      </c>
      <c r="Z984" s="125">
        <v>226.32499999999999</v>
      </c>
      <c r="AA984" s="127">
        <v>10450</v>
      </c>
      <c r="AB984" s="125">
        <v>226.80500000000001</v>
      </c>
      <c r="AC984" s="127">
        <v>10440</v>
      </c>
      <c r="AD984" s="125">
        <v>170.3</v>
      </c>
      <c r="AE984" s="127">
        <v>10450</v>
      </c>
      <c r="AF984" s="125">
        <v>169.83799999999999</v>
      </c>
      <c r="AG984" s="127">
        <v>10430</v>
      </c>
      <c r="AH984" s="125">
        <v>35.947000000000003</v>
      </c>
      <c r="AI984" s="127">
        <v>10430</v>
      </c>
      <c r="AJ984" s="125">
        <v>38.601999999999997</v>
      </c>
    </row>
    <row r="985" spans="1:36" ht="14.25">
      <c r="A985" s="128">
        <v>10460</v>
      </c>
      <c r="B985" s="124">
        <v>80.141999999999996</v>
      </c>
      <c r="C985" s="128">
        <v>10470</v>
      </c>
      <c r="D985" s="125">
        <v>79.197999999999993</v>
      </c>
      <c r="E985" s="126">
        <v>10460</v>
      </c>
      <c r="F985" s="125">
        <v>227.036</v>
      </c>
      <c r="G985" s="127">
        <v>10460</v>
      </c>
      <c r="H985" s="125">
        <v>227.07499999999999</v>
      </c>
      <c r="I985" s="127">
        <v>10460</v>
      </c>
      <c r="J985" s="125">
        <v>226.273</v>
      </c>
      <c r="K985" s="127">
        <v>10460</v>
      </c>
      <c r="L985" s="125">
        <v>225.172</v>
      </c>
      <c r="M985" s="127">
        <v>10460</v>
      </c>
      <c r="N985" s="125">
        <v>226.06</v>
      </c>
      <c r="O985" s="127">
        <v>10440</v>
      </c>
      <c r="P985" s="125">
        <v>227.07400000000001</v>
      </c>
      <c r="Q985" s="127">
        <v>10460</v>
      </c>
      <c r="R985" s="125">
        <v>226.78</v>
      </c>
      <c r="S985" s="127">
        <v>10460</v>
      </c>
      <c r="T985" s="125">
        <v>227.39500000000001</v>
      </c>
      <c r="U985" s="127">
        <v>10450</v>
      </c>
      <c r="V985" s="129">
        <v>227.4</v>
      </c>
      <c r="W985" s="127">
        <v>10460</v>
      </c>
      <c r="X985" s="125">
        <v>226.66800000000001</v>
      </c>
      <c r="Y985" s="127">
        <v>10460</v>
      </c>
      <c r="Z985" s="125">
        <v>225.114</v>
      </c>
      <c r="AA985" s="127">
        <v>10460</v>
      </c>
      <c r="AB985" s="125">
        <v>225.595</v>
      </c>
      <c r="AC985" s="127">
        <v>10450</v>
      </c>
      <c r="AD985" s="125">
        <v>169.24700000000001</v>
      </c>
      <c r="AE985" s="127">
        <v>10460</v>
      </c>
      <c r="AF985" s="125">
        <v>168.81</v>
      </c>
      <c r="AG985" s="127">
        <v>10440</v>
      </c>
      <c r="AH985" s="125">
        <v>35.713000000000001</v>
      </c>
      <c r="AI985" s="127">
        <v>10440</v>
      </c>
      <c r="AJ985" s="125">
        <v>38.353999999999999</v>
      </c>
    </row>
    <row r="986" spans="1:36" ht="14.25">
      <c r="A986" s="128">
        <v>10470</v>
      </c>
      <c r="B986" s="124">
        <v>79.603999999999999</v>
      </c>
      <c r="C986" s="128">
        <v>10480</v>
      </c>
      <c r="D986" s="125">
        <v>78.664000000000001</v>
      </c>
      <c r="E986" s="126">
        <v>10470</v>
      </c>
      <c r="F986" s="125">
        <v>225.67599999999999</v>
      </c>
      <c r="G986" s="127">
        <v>10470</v>
      </c>
      <c r="H986" s="125">
        <v>225.71600000000001</v>
      </c>
      <c r="I986" s="127">
        <v>10470</v>
      </c>
      <c r="J986" s="125">
        <v>225.06200000000001</v>
      </c>
      <c r="K986" s="127">
        <v>10470</v>
      </c>
      <c r="L986" s="125">
        <v>223.959</v>
      </c>
      <c r="M986" s="127">
        <v>10470</v>
      </c>
      <c r="N986" s="125">
        <v>224.84899999999999</v>
      </c>
      <c r="O986" s="127">
        <v>10450</v>
      </c>
      <c r="P986" s="125">
        <v>225.86199999999999</v>
      </c>
      <c r="Q986" s="127">
        <v>10470</v>
      </c>
      <c r="R986" s="125">
        <v>225.56800000000001</v>
      </c>
      <c r="S986" s="127">
        <v>10470</v>
      </c>
      <c r="T986" s="125">
        <v>226.18299999999999</v>
      </c>
      <c r="U986" s="127">
        <v>10460</v>
      </c>
      <c r="V986" s="125">
        <v>226.19</v>
      </c>
      <c r="W986" s="127">
        <v>10470</v>
      </c>
      <c r="X986" s="125">
        <v>225.45699999999999</v>
      </c>
      <c r="Y986" s="127">
        <v>10470</v>
      </c>
      <c r="Z986" s="125">
        <v>223.90299999999999</v>
      </c>
      <c r="AA986" s="127">
        <v>10470</v>
      </c>
      <c r="AB986" s="125">
        <v>224.38499999999999</v>
      </c>
      <c r="AC986" s="127">
        <v>10460</v>
      </c>
      <c r="AD986" s="125">
        <v>168.19399999999999</v>
      </c>
      <c r="AE986" s="127">
        <v>10470</v>
      </c>
      <c r="AF986" s="125">
        <v>167.78200000000001</v>
      </c>
      <c r="AG986" s="127">
        <v>10450</v>
      </c>
      <c r="AH986" s="125">
        <v>35.478999999999999</v>
      </c>
      <c r="AI986" s="127">
        <v>10450</v>
      </c>
      <c r="AJ986" s="125">
        <v>38.106000000000002</v>
      </c>
    </row>
    <row r="987" spans="1:36" ht="14.25">
      <c r="A987" s="128">
        <v>10480</v>
      </c>
      <c r="B987" s="124">
        <v>79.066000000000003</v>
      </c>
      <c r="C987" s="128">
        <v>10490</v>
      </c>
      <c r="D987" s="132">
        <v>78.132000000000005</v>
      </c>
      <c r="E987" s="126">
        <v>10480</v>
      </c>
      <c r="F987" s="125">
        <v>224.31700000000001</v>
      </c>
      <c r="G987" s="127">
        <v>10480</v>
      </c>
      <c r="H987" s="125">
        <v>224.358</v>
      </c>
      <c r="I987" s="127">
        <v>10480</v>
      </c>
      <c r="J987" s="125">
        <v>223.851</v>
      </c>
      <c r="K987" s="127">
        <v>10480</v>
      </c>
      <c r="L987" s="125">
        <v>222.74600000000001</v>
      </c>
      <c r="M987" s="127">
        <v>10480</v>
      </c>
      <c r="N987" s="125">
        <v>223.637</v>
      </c>
      <c r="O987" s="127">
        <v>10460</v>
      </c>
      <c r="P987" s="125">
        <v>224.65100000000001</v>
      </c>
      <c r="Q987" s="127">
        <v>10480</v>
      </c>
      <c r="R987" s="125">
        <v>224.357</v>
      </c>
      <c r="S987" s="127">
        <v>10480</v>
      </c>
      <c r="T987" s="125">
        <v>224.971</v>
      </c>
      <c r="U987" s="127">
        <v>10470</v>
      </c>
      <c r="V987" s="125">
        <v>224.97900000000001</v>
      </c>
      <c r="W987" s="127">
        <v>10480</v>
      </c>
      <c r="X987" s="125">
        <v>224.24600000000001</v>
      </c>
      <c r="Y987" s="127">
        <v>10480</v>
      </c>
      <c r="Z987" s="125">
        <v>222.69300000000001</v>
      </c>
      <c r="AA987" s="127">
        <v>10480</v>
      </c>
      <c r="AB987" s="125">
        <v>223.17500000000001</v>
      </c>
      <c r="AC987" s="127">
        <v>10470</v>
      </c>
      <c r="AD987" s="125">
        <v>167.14099999999999</v>
      </c>
      <c r="AE987" s="127">
        <v>10480</v>
      </c>
      <c r="AF987" s="125">
        <v>166.756</v>
      </c>
      <c r="AG987" s="127">
        <v>10460</v>
      </c>
      <c r="AH987" s="125">
        <v>35.246000000000002</v>
      </c>
      <c r="AI987" s="127">
        <v>10460</v>
      </c>
      <c r="AJ987" s="125">
        <v>37.859000000000002</v>
      </c>
    </row>
    <row r="988" spans="1:36" ht="14.25">
      <c r="A988" s="128">
        <v>10490</v>
      </c>
      <c r="B988" s="124">
        <v>78.531000000000006</v>
      </c>
      <c r="C988" s="128">
        <v>10500</v>
      </c>
      <c r="D988" s="125">
        <v>77.599999999999994</v>
      </c>
      <c r="E988" s="126">
        <v>10490</v>
      </c>
      <c r="F988" s="125">
        <v>222.959</v>
      </c>
      <c r="G988" s="127">
        <v>10490</v>
      </c>
      <c r="H988" s="125">
        <v>223.00200000000001</v>
      </c>
      <c r="I988" s="127">
        <v>10490</v>
      </c>
      <c r="J988" s="125">
        <v>222.64</v>
      </c>
      <c r="K988" s="127">
        <v>10490</v>
      </c>
      <c r="L988" s="125">
        <v>221.53200000000001</v>
      </c>
      <c r="M988" s="127">
        <v>10490</v>
      </c>
      <c r="N988" s="125">
        <v>222.42599999999999</v>
      </c>
      <c r="O988" s="127">
        <v>10470</v>
      </c>
      <c r="P988" s="125">
        <v>223.43899999999999</v>
      </c>
      <c r="Q988" s="127">
        <v>10490</v>
      </c>
      <c r="R988" s="125">
        <v>223.14599999999999</v>
      </c>
      <c r="S988" s="127">
        <v>10490</v>
      </c>
      <c r="T988" s="125">
        <v>223.75899999999999</v>
      </c>
      <c r="U988" s="127">
        <v>10480</v>
      </c>
      <c r="V988" s="125">
        <v>223.76900000000001</v>
      </c>
      <c r="W988" s="127">
        <v>10490</v>
      </c>
      <c r="X988" s="125">
        <v>223.03399999999999</v>
      </c>
      <c r="Y988" s="127">
        <v>10490</v>
      </c>
      <c r="Z988" s="125">
        <v>221.482</v>
      </c>
      <c r="AA988" s="127">
        <v>10490</v>
      </c>
      <c r="AB988" s="125">
        <v>221.965</v>
      </c>
      <c r="AC988" s="127">
        <v>10480</v>
      </c>
      <c r="AD988" s="125">
        <v>166.089</v>
      </c>
      <c r="AE988" s="127">
        <v>10490</v>
      </c>
      <c r="AF988" s="125">
        <v>165.73099999999999</v>
      </c>
      <c r="AG988" s="127">
        <v>10470</v>
      </c>
      <c r="AH988" s="125">
        <v>35.012999999999998</v>
      </c>
      <c r="AI988" s="127">
        <v>10470</v>
      </c>
      <c r="AJ988" s="125">
        <v>37.612000000000002</v>
      </c>
    </row>
    <row r="989" spans="1:36" ht="14.25">
      <c r="A989" s="128">
        <v>10500</v>
      </c>
      <c r="B989" s="124">
        <v>77.995999999999995</v>
      </c>
      <c r="C989" s="128">
        <v>10510</v>
      </c>
      <c r="D989" s="125">
        <v>77.069999999999993</v>
      </c>
      <c r="E989" s="126">
        <v>10500</v>
      </c>
      <c r="F989" s="125">
        <v>221.602</v>
      </c>
      <c r="G989" s="127">
        <v>10500</v>
      </c>
      <c r="H989" s="125">
        <v>221.64699999999999</v>
      </c>
      <c r="I989" s="127">
        <v>10500</v>
      </c>
      <c r="J989" s="125">
        <v>221.429</v>
      </c>
      <c r="K989" s="127">
        <v>10500</v>
      </c>
      <c r="L989" s="125">
        <v>220.31899999999999</v>
      </c>
      <c r="M989" s="127">
        <v>10500</v>
      </c>
      <c r="N989" s="125">
        <v>221.214</v>
      </c>
      <c r="O989" s="127">
        <v>10480</v>
      </c>
      <c r="P989" s="125">
        <v>222.227</v>
      </c>
      <c r="Q989" s="127">
        <v>10500</v>
      </c>
      <c r="R989" s="125">
        <v>221.934</v>
      </c>
      <c r="S989" s="127">
        <v>10500</v>
      </c>
      <c r="T989" s="125">
        <v>222.547</v>
      </c>
      <c r="U989" s="127">
        <v>10490</v>
      </c>
      <c r="V989" s="125">
        <v>222.55799999999999</v>
      </c>
      <c r="W989" s="127">
        <v>10500</v>
      </c>
      <c r="X989" s="125">
        <v>221.82300000000001</v>
      </c>
      <c r="Y989" s="127">
        <v>10500</v>
      </c>
      <c r="Z989" s="125">
        <v>220.27099999999999</v>
      </c>
      <c r="AA989" s="127">
        <v>10500</v>
      </c>
      <c r="AB989" s="125">
        <v>220.755</v>
      </c>
      <c r="AC989" s="127">
        <v>10490</v>
      </c>
      <c r="AD989" s="125">
        <v>165.036</v>
      </c>
      <c r="AE989" s="127">
        <v>10500</v>
      </c>
      <c r="AF989" s="125">
        <v>164.70699999999999</v>
      </c>
      <c r="AG989" s="127">
        <v>10480</v>
      </c>
      <c r="AH989" s="125">
        <v>34.780999999999999</v>
      </c>
      <c r="AI989" s="127">
        <v>10480</v>
      </c>
      <c r="AJ989" s="125">
        <v>37.366</v>
      </c>
    </row>
    <row r="990" spans="1:36" ht="14.25">
      <c r="A990" s="128">
        <v>10510</v>
      </c>
      <c r="B990" s="124">
        <v>77.462000000000003</v>
      </c>
      <c r="C990" s="128">
        <v>10520</v>
      </c>
      <c r="D990" s="125">
        <v>76.540000000000006</v>
      </c>
      <c r="E990" s="126">
        <v>10510</v>
      </c>
      <c r="F990" s="125">
        <v>220.24700000000001</v>
      </c>
      <c r="G990" s="127">
        <v>10510</v>
      </c>
      <c r="H990" s="125">
        <v>220.29300000000001</v>
      </c>
      <c r="I990" s="127">
        <v>10510</v>
      </c>
      <c r="J990" s="125">
        <v>220.21700000000001</v>
      </c>
      <c r="K990" s="127">
        <v>10510</v>
      </c>
      <c r="L990" s="125">
        <v>219.10599999999999</v>
      </c>
      <c r="M990" s="127">
        <v>10510</v>
      </c>
      <c r="N990" s="125">
        <v>220.00299999999999</v>
      </c>
      <c r="O990" s="127">
        <v>10490</v>
      </c>
      <c r="P990" s="125">
        <v>221.01499999999999</v>
      </c>
      <c r="Q990" s="127">
        <v>10510</v>
      </c>
      <c r="R990" s="125">
        <v>220.72300000000001</v>
      </c>
      <c r="S990" s="127">
        <v>10510</v>
      </c>
      <c r="T990" s="125">
        <v>221.33500000000001</v>
      </c>
      <c r="U990" s="127">
        <v>10500</v>
      </c>
      <c r="V990" s="125">
        <v>221.34800000000001</v>
      </c>
      <c r="W990" s="127">
        <v>10510</v>
      </c>
      <c r="X990" s="125">
        <v>220.61199999999999</v>
      </c>
      <c r="Y990" s="127">
        <v>10510</v>
      </c>
      <c r="Z990" s="125">
        <v>219.06100000000001</v>
      </c>
      <c r="AA990" s="127">
        <v>10510</v>
      </c>
      <c r="AB990" s="125">
        <v>219.54499999999999</v>
      </c>
      <c r="AC990" s="127">
        <v>10500</v>
      </c>
      <c r="AD990" s="125">
        <v>163.983</v>
      </c>
      <c r="AE990" s="127">
        <v>10510</v>
      </c>
      <c r="AF990" s="125">
        <v>163.684</v>
      </c>
      <c r="AG990" s="127">
        <v>10490</v>
      </c>
      <c r="AH990" s="125">
        <v>34.549999999999997</v>
      </c>
      <c r="AI990" s="127">
        <v>10490</v>
      </c>
      <c r="AJ990" s="125">
        <v>37.121000000000002</v>
      </c>
    </row>
    <row r="991" spans="1:36" ht="14.25">
      <c r="A991" s="128">
        <v>10520</v>
      </c>
      <c r="B991" s="124">
        <v>76.930000000000007</v>
      </c>
      <c r="C991" s="128">
        <v>10530</v>
      </c>
      <c r="D991" s="125">
        <v>76.012</v>
      </c>
      <c r="E991" s="126">
        <v>10520</v>
      </c>
      <c r="F991" s="125">
        <v>218.89400000000001</v>
      </c>
      <c r="G991" s="127">
        <v>10520</v>
      </c>
      <c r="H991" s="125">
        <v>218.941</v>
      </c>
      <c r="I991" s="127">
        <v>10520</v>
      </c>
      <c r="J991" s="125">
        <v>219.006</v>
      </c>
      <c r="K991" s="127">
        <v>10520</v>
      </c>
      <c r="L991" s="125">
        <v>217.893</v>
      </c>
      <c r="M991" s="127">
        <v>10520</v>
      </c>
      <c r="N991" s="125">
        <v>218.791</v>
      </c>
      <c r="O991" s="127">
        <v>10500</v>
      </c>
      <c r="P991" s="125">
        <v>219.804</v>
      </c>
      <c r="Q991" s="127">
        <v>10520</v>
      </c>
      <c r="R991" s="125">
        <v>219.511</v>
      </c>
      <c r="S991" s="127">
        <v>10520</v>
      </c>
      <c r="T991" s="125">
        <v>220.12299999999999</v>
      </c>
      <c r="U991" s="127">
        <v>10510</v>
      </c>
      <c r="V991" s="125">
        <v>220.137</v>
      </c>
      <c r="W991" s="127">
        <v>10520</v>
      </c>
      <c r="X991" s="125">
        <v>219.40100000000001</v>
      </c>
      <c r="Y991" s="127">
        <v>10520</v>
      </c>
      <c r="Z991" s="125">
        <v>217.85</v>
      </c>
      <c r="AA991" s="127">
        <v>10520</v>
      </c>
      <c r="AB991" s="125">
        <v>218.334</v>
      </c>
      <c r="AC991" s="127">
        <v>10510</v>
      </c>
      <c r="AD991" s="125">
        <v>162.93100000000001</v>
      </c>
      <c r="AE991" s="127">
        <v>10520</v>
      </c>
      <c r="AF991" s="125">
        <v>162.66200000000001</v>
      </c>
      <c r="AG991" s="127">
        <v>10500</v>
      </c>
      <c r="AH991" s="125">
        <v>34.319000000000003</v>
      </c>
      <c r="AI991" s="127">
        <v>10500</v>
      </c>
      <c r="AJ991" s="125">
        <v>36.875</v>
      </c>
    </row>
    <row r="992" spans="1:36" ht="14.25">
      <c r="A992" s="128">
        <v>10530</v>
      </c>
      <c r="B992" s="124">
        <v>76.397999999999996</v>
      </c>
      <c r="C992" s="128">
        <v>10540</v>
      </c>
      <c r="D992" s="125">
        <v>75.484999999999999</v>
      </c>
      <c r="E992" s="126">
        <v>10530</v>
      </c>
      <c r="F992" s="125">
        <v>217.541</v>
      </c>
      <c r="G992" s="127">
        <v>10530</v>
      </c>
      <c r="H992" s="125">
        <v>217.59</v>
      </c>
      <c r="I992" s="127">
        <v>10530</v>
      </c>
      <c r="J992" s="125">
        <v>217.79499999999999</v>
      </c>
      <c r="K992" s="127">
        <v>10530</v>
      </c>
      <c r="L992" s="125">
        <v>216.679</v>
      </c>
      <c r="M992" s="127">
        <v>10530</v>
      </c>
      <c r="N992" s="125">
        <v>217.58</v>
      </c>
      <c r="O992" s="127">
        <v>10510</v>
      </c>
      <c r="P992" s="125">
        <v>218.59200000000001</v>
      </c>
      <c r="Q992" s="127">
        <v>10530</v>
      </c>
      <c r="R992" s="125">
        <v>218.3</v>
      </c>
      <c r="S992" s="127">
        <v>10530</v>
      </c>
      <c r="T992" s="125">
        <v>218.911</v>
      </c>
      <c r="U992" s="127">
        <v>10520</v>
      </c>
      <c r="V992" s="125">
        <v>218.92699999999999</v>
      </c>
      <c r="W992" s="127">
        <v>10530</v>
      </c>
      <c r="X992" s="125">
        <v>218.19</v>
      </c>
      <c r="Y992" s="127">
        <v>10530</v>
      </c>
      <c r="Z992" s="125">
        <v>216.64</v>
      </c>
      <c r="AA992" s="127">
        <v>10530</v>
      </c>
      <c r="AB992" s="125">
        <v>217.124</v>
      </c>
      <c r="AC992" s="127">
        <v>10520</v>
      </c>
      <c r="AD992" s="125">
        <v>161.87799999999999</v>
      </c>
      <c r="AE992" s="127">
        <v>10530</v>
      </c>
      <c r="AF992" s="125">
        <v>161.65</v>
      </c>
      <c r="AG992" s="127">
        <v>10510</v>
      </c>
      <c r="AH992" s="125">
        <v>34.088000000000001</v>
      </c>
      <c r="AI992" s="127">
        <v>10510</v>
      </c>
      <c r="AJ992" s="125">
        <v>36.631</v>
      </c>
    </row>
    <row r="993" spans="1:36" ht="14.25">
      <c r="A993" s="128">
        <v>10540</v>
      </c>
      <c r="B993" s="124">
        <v>75.867999999999995</v>
      </c>
      <c r="C993" s="128">
        <v>10550</v>
      </c>
      <c r="D993" s="125">
        <v>74.959999999999994</v>
      </c>
      <c r="E993" s="126">
        <v>10540</v>
      </c>
      <c r="F993" s="125">
        <v>216.191</v>
      </c>
      <c r="G993" s="127">
        <v>10540</v>
      </c>
      <c r="H993" s="125">
        <v>216.24100000000001</v>
      </c>
      <c r="I993" s="127">
        <v>10540</v>
      </c>
      <c r="J993" s="125">
        <v>216.584</v>
      </c>
      <c r="K993" s="127">
        <v>10540</v>
      </c>
      <c r="L993" s="125">
        <v>215.46600000000001</v>
      </c>
      <c r="M993" s="127">
        <v>10540</v>
      </c>
      <c r="N993" s="125">
        <v>216.369</v>
      </c>
      <c r="O993" s="127">
        <v>10520</v>
      </c>
      <c r="P993" s="125">
        <v>217.38</v>
      </c>
      <c r="Q993" s="127">
        <v>10540</v>
      </c>
      <c r="R993" s="125">
        <v>217.08799999999999</v>
      </c>
      <c r="S993" s="127">
        <v>10540</v>
      </c>
      <c r="T993" s="125">
        <v>217.69900000000001</v>
      </c>
      <c r="U993" s="127">
        <v>10530</v>
      </c>
      <c r="V993" s="125">
        <v>217.71600000000001</v>
      </c>
      <c r="W993" s="127">
        <v>10540</v>
      </c>
      <c r="X993" s="125">
        <v>216.97800000000001</v>
      </c>
      <c r="Y993" s="127">
        <v>10540</v>
      </c>
      <c r="Z993" s="125">
        <v>215.429</v>
      </c>
      <c r="AA993" s="127">
        <v>10540</v>
      </c>
      <c r="AB993" s="125">
        <v>215.91399999999999</v>
      </c>
      <c r="AC993" s="127">
        <v>10530</v>
      </c>
      <c r="AD993" s="125">
        <v>160.82499999999999</v>
      </c>
      <c r="AE993" s="127">
        <v>10540</v>
      </c>
      <c r="AF993" s="125">
        <v>160.66</v>
      </c>
      <c r="AG993" s="127">
        <v>10520</v>
      </c>
      <c r="AH993" s="125">
        <v>33.857999999999997</v>
      </c>
      <c r="AI993" s="127">
        <v>10520</v>
      </c>
      <c r="AJ993" s="125">
        <v>36.387</v>
      </c>
    </row>
    <row r="994" spans="1:36" ht="14.25">
      <c r="A994" s="128">
        <v>10550</v>
      </c>
      <c r="B994" s="124">
        <v>75.338999999999999</v>
      </c>
      <c r="C994" s="128">
        <v>10560</v>
      </c>
      <c r="D994" s="125">
        <v>74.435000000000002</v>
      </c>
      <c r="E994" s="126">
        <v>10550</v>
      </c>
      <c r="F994" s="125">
        <v>214.84100000000001</v>
      </c>
      <c r="G994" s="127">
        <v>10550</v>
      </c>
      <c r="H994" s="125">
        <v>214.893</v>
      </c>
      <c r="I994" s="127">
        <v>10550</v>
      </c>
      <c r="J994" s="125">
        <v>215.37299999999999</v>
      </c>
      <c r="K994" s="127">
        <v>10550</v>
      </c>
      <c r="L994" s="125">
        <v>214.25299999999999</v>
      </c>
      <c r="M994" s="127">
        <v>10550</v>
      </c>
      <c r="N994" s="125">
        <v>215.15700000000001</v>
      </c>
      <c r="O994" s="127">
        <v>10530</v>
      </c>
      <c r="P994" s="125">
        <v>216.16900000000001</v>
      </c>
      <c r="Q994" s="127">
        <v>10550</v>
      </c>
      <c r="R994" s="125">
        <v>215.87700000000001</v>
      </c>
      <c r="S994" s="127">
        <v>10550</v>
      </c>
      <c r="T994" s="125">
        <v>216.48699999999999</v>
      </c>
      <c r="U994" s="127">
        <v>10540</v>
      </c>
      <c r="V994" s="125">
        <v>216.506</v>
      </c>
      <c r="W994" s="127">
        <v>10550</v>
      </c>
      <c r="X994" s="125">
        <v>215.767</v>
      </c>
      <c r="Y994" s="127">
        <v>10550</v>
      </c>
      <c r="Z994" s="125">
        <v>214.21799999999999</v>
      </c>
      <c r="AA994" s="127">
        <v>10550</v>
      </c>
      <c r="AB994" s="125">
        <v>214.70400000000001</v>
      </c>
      <c r="AC994" s="127">
        <v>10540</v>
      </c>
      <c r="AD994" s="125">
        <v>159.773</v>
      </c>
      <c r="AE994" s="127">
        <v>10550</v>
      </c>
      <c r="AF994" s="125">
        <v>159.66900000000001</v>
      </c>
      <c r="AG994" s="127">
        <v>10530</v>
      </c>
      <c r="AH994" s="125">
        <v>33.628999999999998</v>
      </c>
      <c r="AI994" s="127">
        <v>10530</v>
      </c>
      <c r="AJ994" s="125">
        <v>36.143000000000001</v>
      </c>
    </row>
    <row r="995" spans="1:36" ht="14.25">
      <c r="A995" s="128">
        <v>10560</v>
      </c>
      <c r="B995" s="124">
        <v>74.811000000000007</v>
      </c>
      <c r="C995" s="128">
        <v>10570</v>
      </c>
      <c r="D995" s="125">
        <v>73.912000000000006</v>
      </c>
      <c r="E995" s="126">
        <v>10560</v>
      </c>
      <c r="F995" s="125">
        <v>213.49299999999999</v>
      </c>
      <c r="G995" s="127">
        <v>10560</v>
      </c>
      <c r="H995" s="125">
        <v>213.54599999999999</v>
      </c>
      <c r="I995" s="127">
        <v>10560</v>
      </c>
      <c r="J995" s="125">
        <v>214.16200000000001</v>
      </c>
      <c r="K995" s="127">
        <v>10560</v>
      </c>
      <c r="L995" s="125">
        <v>213.03899999999999</v>
      </c>
      <c r="M995" s="127">
        <v>10560</v>
      </c>
      <c r="N995" s="125">
        <v>213.946</v>
      </c>
      <c r="O995" s="127">
        <v>10540</v>
      </c>
      <c r="P995" s="125">
        <v>214.95699999999999</v>
      </c>
      <c r="Q995" s="127">
        <v>10560</v>
      </c>
      <c r="R995" s="125">
        <v>214.666</v>
      </c>
      <c r="S995" s="127">
        <v>10560</v>
      </c>
      <c r="T995" s="125">
        <v>215.27500000000001</v>
      </c>
      <c r="U995" s="127">
        <v>10550</v>
      </c>
      <c r="V995" s="125">
        <v>215.29499999999999</v>
      </c>
      <c r="W995" s="127">
        <v>10560</v>
      </c>
      <c r="X995" s="125">
        <v>214.55600000000001</v>
      </c>
      <c r="Y995" s="127">
        <v>10560</v>
      </c>
      <c r="Z995" s="125">
        <v>213.00800000000001</v>
      </c>
      <c r="AA995" s="127">
        <v>10560</v>
      </c>
      <c r="AB995" s="125">
        <v>213.494</v>
      </c>
      <c r="AC995" s="127">
        <v>10550</v>
      </c>
      <c r="AD995" s="125">
        <v>158.72</v>
      </c>
      <c r="AE995" s="127">
        <v>10560</v>
      </c>
      <c r="AF995" s="125">
        <v>158.679</v>
      </c>
      <c r="AG995" s="127">
        <v>10540</v>
      </c>
      <c r="AH995" s="125">
        <v>33.4</v>
      </c>
      <c r="AI995" s="127">
        <v>10540</v>
      </c>
      <c r="AJ995" s="125">
        <v>35.9</v>
      </c>
    </row>
    <row r="996" spans="1:36" ht="14.25">
      <c r="A996" s="128">
        <v>10570</v>
      </c>
      <c r="B996" s="124">
        <v>74.284000000000006</v>
      </c>
      <c r="C996" s="128">
        <v>10580</v>
      </c>
      <c r="D996" s="125">
        <v>73.388999999999996</v>
      </c>
      <c r="E996" s="126">
        <v>10570</v>
      </c>
      <c r="F996" s="125">
        <v>212.14599999999999</v>
      </c>
      <c r="G996" s="127">
        <v>10570</v>
      </c>
      <c r="H996" s="125">
        <v>212.20099999999999</v>
      </c>
      <c r="I996" s="127">
        <v>10570</v>
      </c>
      <c r="J996" s="125">
        <v>212.95099999999999</v>
      </c>
      <c r="K996" s="127">
        <v>10570</v>
      </c>
      <c r="L996" s="125">
        <v>211.82599999999999</v>
      </c>
      <c r="M996" s="127">
        <v>10570</v>
      </c>
      <c r="N996" s="125">
        <v>212.73400000000001</v>
      </c>
      <c r="O996" s="127">
        <v>10550</v>
      </c>
      <c r="P996" s="125">
        <v>213.745</v>
      </c>
      <c r="Q996" s="127">
        <v>10570</v>
      </c>
      <c r="R996" s="125">
        <v>213.45400000000001</v>
      </c>
      <c r="S996" s="127">
        <v>10570</v>
      </c>
      <c r="T996" s="125">
        <v>214.06299999999999</v>
      </c>
      <c r="U996" s="127">
        <v>10560</v>
      </c>
      <c r="V996" s="125">
        <v>214.08500000000001</v>
      </c>
      <c r="W996" s="127">
        <v>10570</v>
      </c>
      <c r="X996" s="125">
        <v>213.345</v>
      </c>
      <c r="Y996" s="127">
        <v>10570</v>
      </c>
      <c r="Z996" s="125">
        <v>211.797</v>
      </c>
      <c r="AA996" s="127">
        <v>10570</v>
      </c>
      <c r="AB996" s="125">
        <v>212.28399999999999</v>
      </c>
      <c r="AC996" s="127">
        <v>10560</v>
      </c>
      <c r="AD996" s="125">
        <v>157.667</v>
      </c>
      <c r="AE996" s="127">
        <v>10570</v>
      </c>
      <c r="AF996" s="125">
        <v>157.68799999999999</v>
      </c>
      <c r="AG996" s="127">
        <v>10550</v>
      </c>
      <c r="AH996" s="125">
        <v>33.170999999999999</v>
      </c>
      <c r="AI996" s="127">
        <v>10550</v>
      </c>
      <c r="AJ996" s="125">
        <v>35.658000000000001</v>
      </c>
    </row>
    <row r="997" spans="1:36" ht="14.25">
      <c r="A997" s="128">
        <v>10580</v>
      </c>
      <c r="B997" s="124">
        <v>73.759</v>
      </c>
      <c r="C997" s="128">
        <v>10590</v>
      </c>
      <c r="D997" s="125">
        <v>72.867999999999995</v>
      </c>
      <c r="E997" s="126">
        <v>10580</v>
      </c>
      <c r="F997" s="125">
        <v>210.80099999999999</v>
      </c>
      <c r="G997" s="127">
        <v>10580</v>
      </c>
      <c r="H997" s="125">
        <v>210.857</v>
      </c>
      <c r="I997" s="127">
        <v>10580</v>
      </c>
      <c r="J997" s="125">
        <v>211.74</v>
      </c>
      <c r="K997" s="127">
        <v>10580</v>
      </c>
      <c r="L997" s="125">
        <v>210.613</v>
      </c>
      <c r="M997" s="127">
        <v>10580</v>
      </c>
      <c r="N997" s="125">
        <v>211.523</v>
      </c>
      <c r="O997" s="127">
        <v>10560</v>
      </c>
      <c r="P997" s="125">
        <v>212.53399999999999</v>
      </c>
      <c r="Q997" s="127">
        <v>10580</v>
      </c>
      <c r="R997" s="125">
        <v>212.24299999999999</v>
      </c>
      <c r="S997" s="127">
        <v>10580</v>
      </c>
      <c r="T997" s="125">
        <v>212.851</v>
      </c>
      <c r="U997" s="127">
        <v>10570</v>
      </c>
      <c r="V997" s="125">
        <v>212.874</v>
      </c>
      <c r="W997" s="127">
        <v>10580</v>
      </c>
      <c r="X997" s="125">
        <v>212.13399999999999</v>
      </c>
      <c r="Y997" s="127">
        <v>10580</v>
      </c>
      <c r="Z997" s="125">
        <v>210.58600000000001</v>
      </c>
      <c r="AA997" s="127">
        <v>10580</v>
      </c>
      <c r="AB997" s="125">
        <v>211.07400000000001</v>
      </c>
      <c r="AC997" s="127">
        <v>10570</v>
      </c>
      <c r="AD997" s="125">
        <v>156.61500000000001</v>
      </c>
      <c r="AE997" s="127">
        <v>10580</v>
      </c>
      <c r="AF997" s="125">
        <v>156.69800000000001</v>
      </c>
      <c r="AG997" s="127">
        <v>10560</v>
      </c>
      <c r="AH997" s="125">
        <v>32.944000000000003</v>
      </c>
      <c r="AI997" s="127">
        <v>10560</v>
      </c>
      <c r="AJ997" s="125">
        <v>35.415999999999997</v>
      </c>
    </row>
    <row r="998" spans="1:36" ht="14.25">
      <c r="A998" s="128">
        <v>10590</v>
      </c>
      <c r="B998" s="124">
        <v>73.233999999999995</v>
      </c>
      <c r="C998" s="128">
        <v>10600</v>
      </c>
      <c r="D998" s="125">
        <v>72.347999999999999</v>
      </c>
      <c r="E998" s="126">
        <v>10590</v>
      </c>
      <c r="F998" s="125">
        <v>209.45699999999999</v>
      </c>
      <c r="G998" s="127">
        <v>10590</v>
      </c>
      <c r="H998" s="125">
        <v>209.51499999999999</v>
      </c>
      <c r="I998" s="127">
        <v>10590</v>
      </c>
      <c r="J998" s="125">
        <v>210.529</v>
      </c>
      <c r="K998" s="127">
        <v>10590</v>
      </c>
      <c r="L998" s="125">
        <v>209.399</v>
      </c>
      <c r="M998" s="127">
        <v>10590</v>
      </c>
      <c r="N998" s="125">
        <v>210.31100000000001</v>
      </c>
      <c r="O998" s="127">
        <v>10570</v>
      </c>
      <c r="P998" s="125">
        <v>211.322</v>
      </c>
      <c r="Q998" s="127">
        <v>10590</v>
      </c>
      <c r="R998" s="125">
        <v>211.03100000000001</v>
      </c>
      <c r="S998" s="127">
        <v>10590</v>
      </c>
      <c r="T998" s="125">
        <v>211.63900000000001</v>
      </c>
      <c r="U998" s="127">
        <v>10580</v>
      </c>
      <c r="V998" s="125">
        <v>211.66399999999999</v>
      </c>
      <c r="W998" s="127">
        <v>10590</v>
      </c>
      <c r="X998" s="125">
        <v>210.923</v>
      </c>
      <c r="Y998" s="127">
        <v>10590</v>
      </c>
      <c r="Z998" s="125">
        <v>209.376</v>
      </c>
      <c r="AA998" s="127">
        <v>10590</v>
      </c>
      <c r="AB998" s="125">
        <v>209.864</v>
      </c>
      <c r="AC998" s="127">
        <v>10580</v>
      </c>
      <c r="AD998" s="125">
        <v>155.56200000000001</v>
      </c>
      <c r="AE998" s="127">
        <v>10590</v>
      </c>
      <c r="AF998" s="125">
        <v>155.708</v>
      </c>
      <c r="AG998" s="127">
        <v>10570</v>
      </c>
      <c r="AH998" s="125">
        <v>32.716000000000001</v>
      </c>
      <c r="AI998" s="127">
        <v>10570</v>
      </c>
      <c r="AJ998" s="125">
        <v>35.173999999999999</v>
      </c>
    </row>
    <row r="999" spans="1:36" ht="14.25">
      <c r="A999" s="128">
        <v>10600</v>
      </c>
      <c r="B999" s="124">
        <v>72.710999999999999</v>
      </c>
      <c r="C999" s="128">
        <v>10610</v>
      </c>
      <c r="D999" s="125">
        <v>71.828999999999994</v>
      </c>
      <c r="E999" s="126">
        <v>10600</v>
      </c>
      <c r="F999" s="125">
        <v>208.11500000000001</v>
      </c>
      <c r="G999" s="127">
        <v>10600</v>
      </c>
      <c r="H999" s="125">
        <v>208.17400000000001</v>
      </c>
      <c r="I999" s="127">
        <v>10600</v>
      </c>
      <c r="J999" s="125">
        <v>209.31800000000001</v>
      </c>
      <c r="K999" s="127">
        <v>10600</v>
      </c>
      <c r="L999" s="125">
        <v>208.18600000000001</v>
      </c>
      <c r="M999" s="127">
        <v>10600</v>
      </c>
      <c r="N999" s="125">
        <v>209.1</v>
      </c>
      <c r="O999" s="127">
        <v>10580</v>
      </c>
      <c r="P999" s="125">
        <v>210.11</v>
      </c>
      <c r="Q999" s="127">
        <v>10600</v>
      </c>
      <c r="R999" s="125">
        <v>209.82</v>
      </c>
      <c r="S999" s="127">
        <v>10600</v>
      </c>
      <c r="T999" s="125">
        <v>210.428</v>
      </c>
      <c r="U999" s="127">
        <v>10590</v>
      </c>
      <c r="V999" s="125">
        <v>210.453</v>
      </c>
      <c r="W999" s="127">
        <v>10600</v>
      </c>
      <c r="X999" s="125">
        <v>209.71100000000001</v>
      </c>
      <c r="Y999" s="127">
        <v>10600</v>
      </c>
      <c r="Z999" s="125">
        <v>208.16499999999999</v>
      </c>
      <c r="AA999" s="127">
        <v>10600</v>
      </c>
      <c r="AB999" s="125">
        <v>208.654</v>
      </c>
      <c r="AC999" s="127">
        <v>10590</v>
      </c>
      <c r="AD999" s="125">
        <v>154.50899999999999</v>
      </c>
      <c r="AE999" s="127">
        <v>10600</v>
      </c>
      <c r="AF999" s="125">
        <v>154.71700000000001</v>
      </c>
      <c r="AG999" s="127">
        <v>10580</v>
      </c>
      <c r="AH999" s="125">
        <v>32.49</v>
      </c>
      <c r="AI999" s="127">
        <v>10580</v>
      </c>
      <c r="AJ999" s="125">
        <v>34.933</v>
      </c>
    </row>
    <row r="1000" spans="1:36" ht="14.25">
      <c r="A1000" s="128">
        <v>10610</v>
      </c>
      <c r="B1000" s="124">
        <v>72.188999999999993</v>
      </c>
      <c r="C1000" s="128">
        <v>10620</v>
      </c>
      <c r="D1000" s="125">
        <v>71.311000000000007</v>
      </c>
      <c r="E1000" s="126">
        <v>10610</v>
      </c>
      <c r="F1000" s="125">
        <v>206.774</v>
      </c>
      <c r="G1000" s="127">
        <v>10610</v>
      </c>
      <c r="H1000" s="125">
        <v>206.834</v>
      </c>
      <c r="I1000" s="127">
        <v>10610</v>
      </c>
      <c r="J1000" s="125">
        <v>208.107</v>
      </c>
      <c r="K1000" s="127">
        <v>10610</v>
      </c>
      <c r="L1000" s="125">
        <v>206.97300000000001</v>
      </c>
      <c r="M1000" s="127">
        <v>10610</v>
      </c>
      <c r="N1000" s="125">
        <v>207.88800000000001</v>
      </c>
      <c r="O1000" s="127">
        <v>10590</v>
      </c>
      <c r="P1000" s="125">
        <v>208.899</v>
      </c>
      <c r="Q1000" s="127">
        <v>10610</v>
      </c>
      <c r="R1000" s="125">
        <v>208.60900000000001</v>
      </c>
      <c r="S1000" s="127">
        <v>10610</v>
      </c>
      <c r="T1000" s="125">
        <v>209.21600000000001</v>
      </c>
      <c r="U1000" s="127">
        <v>10600</v>
      </c>
      <c r="V1000" s="125">
        <v>209.24299999999999</v>
      </c>
      <c r="W1000" s="127">
        <v>10610</v>
      </c>
      <c r="X1000" s="125">
        <v>208.5</v>
      </c>
      <c r="Y1000" s="127">
        <v>10610</v>
      </c>
      <c r="Z1000" s="125">
        <v>206.95500000000001</v>
      </c>
      <c r="AA1000" s="127">
        <v>10610</v>
      </c>
      <c r="AB1000" s="125">
        <v>207.44399999999999</v>
      </c>
      <c r="AC1000" s="127">
        <v>10600</v>
      </c>
      <c r="AD1000" s="125">
        <v>153.45699999999999</v>
      </c>
      <c r="AE1000" s="127">
        <v>10610</v>
      </c>
      <c r="AF1000" s="125">
        <v>153.727</v>
      </c>
      <c r="AG1000" s="127">
        <v>10590</v>
      </c>
      <c r="AH1000" s="125">
        <v>32.262999999999998</v>
      </c>
      <c r="AI1000" s="127">
        <v>10590</v>
      </c>
      <c r="AJ1000" s="125">
        <v>34.692999999999998</v>
      </c>
    </row>
    <row r="1001" spans="1:36" ht="14.25">
      <c r="A1001" s="128">
        <v>10620</v>
      </c>
      <c r="B1001" s="124">
        <v>71.668000000000006</v>
      </c>
      <c r="C1001" s="128">
        <v>10630</v>
      </c>
      <c r="D1001" s="125">
        <v>70.795000000000002</v>
      </c>
      <c r="E1001" s="126">
        <v>10620</v>
      </c>
      <c r="F1001" s="125">
        <v>205.434</v>
      </c>
      <c r="G1001" s="127">
        <v>10620</v>
      </c>
      <c r="H1001" s="125">
        <v>205.49600000000001</v>
      </c>
      <c r="I1001" s="127">
        <v>10620</v>
      </c>
      <c r="J1001" s="125">
        <v>206.89599999999999</v>
      </c>
      <c r="K1001" s="127">
        <v>10620</v>
      </c>
      <c r="L1001" s="125">
        <v>205.76</v>
      </c>
      <c r="M1001" s="127">
        <v>10620</v>
      </c>
      <c r="N1001" s="125">
        <v>206.67699999999999</v>
      </c>
      <c r="O1001" s="127">
        <v>10600</v>
      </c>
      <c r="P1001" s="125">
        <v>207.68700000000001</v>
      </c>
      <c r="Q1001" s="127">
        <v>10620</v>
      </c>
      <c r="R1001" s="125">
        <v>207.39699999999999</v>
      </c>
      <c r="S1001" s="127">
        <v>10620</v>
      </c>
      <c r="T1001" s="125">
        <v>208.00399999999999</v>
      </c>
      <c r="U1001" s="127">
        <v>10610</v>
      </c>
      <c r="V1001" s="125">
        <v>208.03200000000001</v>
      </c>
      <c r="W1001" s="127">
        <v>10620</v>
      </c>
      <c r="X1001" s="125">
        <v>207.28899999999999</v>
      </c>
      <c r="Y1001" s="127">
        <v>10620</v>
      </c>
      <c r="Z1001" s="125">
        <v>205.744</v>
      </c>
      <c r="AA1001" s="127">
        <v>10620</v>
      </c>
      <c r="AB1001" s="125">
        <v>206.23400000000001</v>
      </c>
      <c r="AC1001" s="127">
        <v>10610</v>
      </c>
      <c r="AD1001" s="125">
        <v>152.404</v>
      </c>
      <c r="AE1001" s="127">
        <v>10620</v>
      </c>
      <c r="AF1001" s="125">
        <v>152.73699999999999</v>
      </c>
      <c r="AG1001" s="127">
        <v>10600</v>
      </c>
      <c r="AH1001" s="125">
        <v>32.037999999999997</v>
      </c>
      <c r="AI1001" s="127">
        <v>10600</v>
      </c>
      <c r="AJ1001" s="125">
        <v>34.453000000000003</v>
      </c>
    </row>
    <row r="1002" spans="1:36" ht="14.25">
      <c r="A1002" s="128">
        <v>10630</v>
      </c>
      <c r="B1002" s="124">
        <v>71.147999999999996</v>
      </c>
      <c r="C1002" s="128">
        <v>10640</v>
      </c>
      <c r="D1002" s="125">
        <v>70.278999999999996</v>
      </c>
      <c r="E1002" s="126">
        <v>10630</v>
      </c>
      <c r="F1002" s="125">
        <v>204.096</v>
      </c>
      <c r="G1002" s="127">
        <v>10630</v>
      </c>
      <c r="H1002" s="125">
        <v>204.15899999999999</v>
      </c>
      <c r="I1002" s="127">
        <v>10630</v>
      </c>
      <c r="J1002" s="125">
        <v>205.685</v>
      </c>
      <c r="K1002" s="127">
        <v>10630</v>
      </c>
      <c r="L1002" s="125">
        <v>204.54599999999999</v>
      </c>
      <c r="M1002" s="127">
        <v>10630</v>
      </c>
      <c r="N1002" s="125">
        <v>205.46600000000001</v>
      </c>
      <c r="O1002" s="127">
        <v>10610</v>
      </c>
      <c r="P1002" s="125">
        <v>206.47499999999999</v>
      </c>
      <c r="Q1002" s="127">
        <v>10630</v>
      </c>
      <c r="R1002" s="125">
        <v>206.18600000000001</v>
      </c>
      <c r="S1002" s="127">
        <v>10630</v>
      </c>
      <c r="T1002" s="125">
        <v>206.792</v>
      </c>
      <c r="U1002" s="127">
        <v>10620</v>
      </c>
      <c r="V1002" s="125">
        <v>206.822</v>
      </c>
      <c r="W1002" s="127">
        <v>10630</v>
      </c>
      <c r="X1002" s="125">
        <v>206.078</v>
      </c>
      <c r="Y1002" s="127">
        <v>10630</v>
      </c>
      <c r="Z1002" s="125">
        <v>204.53299999999999</v>
      </c>
      <c r="AA1002" s="127">
        <v>10630</v>
      </c>
      <c r="AB1002" s="125">
        <v>205.024</v>
      </c>
      <c r="AC1002" s="127">
        <v>10620</v>
      </c>
      <c r="AD1002" s="125">
        <v>151.351</v>
      </c>
      <c r="AE1002" s="127">
        <v>10630</v>
      </c>
      <c r="AF1002" s="125">
        <v>151.74600000000001</v>
      </c>
      <c r="AG1002" s="127">
        <v>10610</v>
      </c>
      <c r="AH1002" s="125">
        <v>31.812000000000001</v>
      </c>
      <c r="AI1002" s="127">
        <v>10610</v>
      </c>
      <c r="AJ1002" s="125">
        <v>34.213999999999999</v>
      </c>
    </row>
    <row r="1003" spans="1:36" ht="14.25">
      <c r="A1003" s="128">
        <v>10640</v>
      </c>
      <c r="B1003" s="124">
        <v>70.63</v>
      </c>
      <c r="C1003" s="128">
        <v>10650</v>
      </c>
      <c r="D1003" s="125">
        <v>69.765000000000001</v>
      </c>
      <c r="E1003" s="126">
        <v>10640</v>
      </c>
      <c r="F1003" s="125">
        <v>202.76</v>
      </c>
      <c r="G1003" s="127">
        <v>10640</v>
      </c>
      <c r="H1003" s="125">
        <v>202.82400000000001</v>
      </c>
      <c r="I1003" s="127">
        <v>10640</v>
      </c>
      <c r="J1003" s="125">
        <v>204.47300000000001</v>
      </c>
      <c r="K1003" s="127">
        <v>10640</v>
      </c>
      <c r="L1003" s="125">
        <v>203.333</v>
      </c>
      <c r="M1003" s="127">
        <v>10640</v>
      </c>
      <c r="N1003" s="125">
        <v>204.25399999999999</v>
      </c>
      <c r="O1003" s="127">
        <v>10620</v>
      </c>
      <c r="P1003" s="125">
        <v>205.26400000000001</v>
      </c>
      <c r="Q1003" s="127">
        <v>10640</v>
      </c>
      <c r="R1003" s="125">
        <v>204.97399999999999</v>
      </c>
      <c r="S1003" s="127">
        <v>10640</v>
      </c>
      <c r="T1003" s="125">
        <v>205.58</v>
      </c>
      <c r="U1003" s="127">
        <v>10630</v>
      </c>
      <c r="V1003" s="125">
        <v>205.61099999999999</v>
      </c>
      <c r="W1003" s="127">
        <v>10640</v>
      </c>
      <c r="X1003" s="125">
        <v>204.86699999999999</v>
      </c>
      <c r="Y1003" s="127">
        <v>10640</v>
      </c>
      <c r="Z1003" s="125">
        <v>203.32300000000001</v>
      </c>
      <c r="AA1003" s="127">
        <v>10640</v>
      </c>
      <c r="AB1003" s="125">
        <v>203.81399999999999</v>
      </c>
      <c r="AC1003" s="127">
        <v>10630</v>
      </c>
      <c r="AD1003" s="125">
        <v>150.29900000000001</v>
      </c>
      <c r="AE1003" s="127">
        <v>10640</v>
      </c>
      <c r="AF1003" s="125">
        <v>150.756</v>
      </c>
      <c r="AG1003" s="127">
        <v>10620</v>
      </c>
      <c r="AH1003" s="125">
        <v>31.588000000000001</v>
      </c>
      <c r="AI1003" s="127">
        <v>10620</v>
      </c>
      <c r="AJ1003" s="125">
        <v>33.975000000000001</v>
      </c>
    </row>
    <row r="1004" spans="1:36" ht="14.25">
      <c r="A1004" s="128">
        <v>10650</v>
      </c>
      <c r="B1004" s="124">
        <v>70.111999999999995</v>
      </c>
      <c r="C1004" s="128">
        <v>10660</v>
      </c>
      <c r="D1004" s="125">
        <v>69.251999999999995</v>
      </c>
      <c r="E1004" s="126">
        <v>10650</v>
      </c>
      <c r="F1004" s="125">
        <v>201.42500000000001</v>
      </c>
      <c r="G1004" s="127">
        <v>10650</v>
      </c>
      <c r="H1004" s="125">
        <v>201.49</v>
      </c>
      <c r="I1004" s="127">
        <v>10650</v>
      </c>
      <c r="J1004" s="125">
        <v>203.262</v>
      </c>
      <c r="K1004" s="127">
        <v>10650</v>
      </c>
      <c r="L1004" s="125">
        <v>202.12</v>
      </c>
      <c r="M1004" s="127">
        <v>10650</v>
      </c>
      <c r="N1004" s="125">
        <v>203.04300000000001</v>
      </c>
      <c r="O1004" s="127">
        <v>10630</v>
      </c>
      <c r="P1004" s="125">
        <v>204.05199999999999</v>
      </c>
      <c r="Q1004" s="127">
        <v>10650</v>
      </c>
      <c r="R1004" s="125">
        <v>203.76300000000001</v>
      </c>
      <c r="S1004" s="127">
        <v>10650</v>
      </c>
      <c r="T1004" s="125">
        <v>204.36799999999999</v>
      </c>
      <c r="U1004" s="127">
        <v>10640</v>
      </c>
      <c r="V1004" s="125">
        <v>204.40100000000001</v>
      </c>
      <c r="W1004" s="127">
        <v>10650</v>
      </c>
      <c r="X1004" s="125">
        <v>203.655</v>
      </c>
      <c r="Y1004" s="127">
        <v>10650</v>
      </c>
      <c r="Z1004" s="125">
        <v>202.11199999999999</v>
      </c>
      <c r="AA1004" s="127">
        <v>10650</v>
      </c>
      <c r="AB1004" s="125">
        <v>202.60400000000001</v>
      </c>
      <c r="AC1004" s="127">
        <v>10640</v>
      </c>
      <c r="AD1004" s="125">
        <v>149.24600000000001</v>
      </c>
      <c r="AE1004" s="127">
        <v>10650</v>
      </c>
      <c r="AF1004" s="125">
        <v>149.76499999999999</v>
      </c>
      <c r="AG1004" s="127">
        <v>10630</v>
      </c>
      <c r="AH1004" s="125">
        <v>31.364000000000001</v>
      </c>
      <c r="AI1004" s="127">
        <v>10630</v>
      </c>
      <c r="AJ1004" s="125">
        <v>33.737000000000002</v>
      </c>
    </row>
    <row r="1005" spans="1:36" ht="14.25">
      <c r="A1005" s="128">
        <v>10660</v>
      </c>
      <c r="B1005" s="124">
        <v>69.596000000000004</v>
      </c>
      <c r="C1005" s="128">
        <v>10670</v>
      </c>
      <c r="D1005" s="125">
        <v>68.739999999999995</v>
      </c>
      <c r="E1005" s="126">
        <v>10660</v>
      </c>
      <c r="F1005" s="125">
        <v>200.09100000000001</v>
      </c>
      <c r="G1005" s="127">
        <v>10660</v>
      </c>
      <c r="H1005" s="125">
        <v>200.15799999999999</v>
      </c>
      <c r="I1005" s="127">
        <v>10660</v>
      </c>
      <c r="J1005" s="125">
        <v>202.05099999999999</v>
      </c>
      <c r="K1005" s="127">
        <v>10660</v>
      </c>
      <c r="L1005" s="125">
        <v>200.90600000000001</v>
      </c>
      <c r="M1005" s="127">
        <v>10660</v>
      </c>
      <c r="N1005" s="125">
        <v>201.83099999999999</v>
      </c>
      <c r="O1005" s="127">
        <v>10640</v>
      </c>
      <c r="P1005" s="125">
        <v>202.84</v>
      </c>
      <c r="Q1005" s="127">
        <v>10660</v>
      </c>
      <c r="R1005" s="125">
        <v>202.55199999999999</v>
      </c>
      <c r="S1005" s="127">
        <v>10660</v>
      </c>
      <c r="T1005" s="125">
        <v>203.15600000000001</v>
      </c>
      <c r="U1005" s="127">
        <v>10650</v>
      </c>
      <c r="V1005" s="125">
        <v>203.19</v>
      </c>
      <c r="W1005" s="127">
        <v>10660</v>
      </c>
      <c r="X1005" s="125">
        <v>202.44399999999999</v>
      </c>
      <c r="Y1005" s="127">
        <v>10660</v>
      </c>
      <c r="Z1005" s="125">
        <v>200.90199999999999</v>
      </c>
      <c r="AA1005" s="127">
        <v>10660</v>
      </c>
      <c r="AB1005" s="125">
        <v>201.39400000000001</v>
      </c>
      <c r="AC1005" s="127">
        <v>10650</v>
      </c>
      <c r="AD1005" s="125">
        <v>148.19300000000001</v>
      </c>
      <c r="AE1005" s="127">
        <v>10660</v>
      </c>
      <c r="AF1005" s="125">
        <v>148.77500000000001</v>
      </c>
      <c r="AG1005" s="127">
        <v>10640</v>
      </c>
      <c r="AH1005" s="125">
        <v>31.14</v>
      </c>
      <c r="AI1005" s="127">
        <v>10640</v>
      </c>
      <c r="AJ1005" s="125">
        <v>33.499000000000002</v>
      </c>
    </row>
    <row r="1006" spans="1:36" ht="14.25">
      <c r="A1006" s="128">
        <v>10670</v>
      </c>
      <c r="B1006" s="124">
        <v>69.081000000000003</v>
      </c>
      <c r="C1006" s="128">
        <v>10680</v>
      </c>
      <c r="D1006" s="125">
        <v>68.228999999999999</v>
      </c>
      <c r="E1006" s="126">
        <v>10670</v>
      </c>
      <c r="F1006" s="125">
        <v>198.75899999999999</v>
      </c>
      <c r="G1006" s="127">
        <v>10670</v>
      </c>
      <c r="H1006" s="125">
        <v>198.827</v>
      </c>
      <c r="I1006" s="127">
        <v>10670</v>
      </c>
      <c r="J1006" s="125">
        <v>200.84</v>
      </c>
      <c r="K1006" s="127">
        <v>10670</v>
      </c>
      <c r="L1006" s="125">
        <v>199.69300000000001</v>
      </c>
      <c r="M1006" s="127">
        <v>10670</v>
      </c>
      <c r="N1006" s="125">
        <v>200.62</v>
      </c>
      <c r="O1006" s="127">
        <v>10650</v>
      </c>
      <c r="P1006" s="125">
        <v>201.62899999999999</v>
      </c>
      <c r="Q1006" s="127">
        <v>10670</v>
      </c>
      <c r="R1006" s="125">
        <v>201.34</v>
      </c>
      <c r="S1006" s="127">
        <v>10670</v>
      </c>
      <c r="T1006" s="125">
        <v>201.94399999999999</v>
      </c>
      <c r="U1006" s="127">
        <v>10660</v>
      </c>
      <c r="V1006" s="125">
        <v>201.98</v>
      </c>
      <c r="W1006" s="127">
        <v>10670</v>
      </c>
      <c r="X1006" s="125">
        <v>201.233</v>
      </c>
      <c r="Y1006" s="127">
        <v>10670</v>
      </c>
      <c r="Z1006" s="125">
        <v>199.691</v>
      </c>
      <c r="AA1006" s="127">
        <v>10670</v>
      </c>
      <c r="AB1006" s="125">
        <v>200.184</v>
      </c>
      <c r="AC1006" s="127">
        <v>10660</v>
      </c>
      <c r="AD1006" s="125">
        <v>147.14099999999999</v>
      </c>
      <c r="AE1006" s="127">
        <v>10670</v>
      </c>
      <c r="AF1006" s="125">
        <v>147.785</v>
      </c>
      <c r="AG1006" s="127">
        <v>10650</v>
      </c>
      <c r="AH1006" s="125">
        <v>30.917000000000002</v>
      </c>
      <c r="AI1006" s="127">
        <v>10650</v>
      </c>
      <c r="AJ1006" s="125">
        <v>33.262</v>
      </c>
    </row>
    <row r="1007" spans="1:36" ht="14.25">
      <c r="A1007" s="128">
        <v>10680</v>
      </c>
      <c r="B1007" s="124">
        <v>68.566999999999993</v>
      </c>
      <c r="C1007" s="128">
        <v>10690</v>
      </c>
      <c r="D1007" s="125">
        <v>67.72</v>
      </c>
      <c r="E1007" s="126">
        <v>10680</v>
      </c>
      <c r="F1007" s="125">
        <v>197.428</v>
      </c>
      <c r="G1007" s="127">
        <v>10680</v>
      </c>
      <c r="H1007" s="125">
        <v>197.49799999999999</v>
      </c>
      <c r="I1007" s="127">
        <v>10680</v>
      </c>
      <c r="J1007" s="125">
        <v>199.62899999999999</v>
      </c>
      <c r="K1007" s="127">
        <v>10680</v>
      </c>
      <c r="L1007" s="125">
        <v>198.48</v>
      </c>
      <c r="M1007" s="127">
        <v>10680</v>
      </c>
      <c r="N1007" s="125">
        <v>199.40899999999999</v>
      </c>
      <c r="O1007" s="127">
        <v>10660</v>
      </c>
      <c r="P1007" s="125">
        <v>200.417</v>
      </c>
      <c r="Q1007" s="127">
        <v>10680</v>
      </c>
      <c r="R1007" s="125">
        <v>200.12899999999999</v>
      </c>
      <c r="S1007" s="127">
        <v>10680</v>
      </c>
      <c r="T1007" s="125">
        <v>200.732</v>
      </c>
      <c r="U1007" s="127">
        <v>10670</v>
      </c>
      <c r="V1007" s="125">
        <v>200.76900000000001</v>
      </c>
      <c r="W1007" s="127">
        <v>10680</v>
      </c>
      <c r="X1007" s="125">
        <v>200.02199999999999</v>
      </c>
      <c r="Y1007" s="127">
        <v>10680</v>
      </c>
      <c r="Z1007" s="125">
        <v>198.48</v>
      </c>
      <c r="AA1007" s="127">
        <v>10680</v>
      </c>
      <c r="AB1007" s="125">
        <v>198.97300000000001</v>
      </c>
      <c r="AC1007" s="127">
        <v>10670</v>
      </c>
      <c r="AD1007" s="125">
        <v>146.08799999999999</v>
      </c>
      <c r="AE1007" s="127">
        <v>10680</v>
      </c>
      <c r="AF1007" s="125">
        <v>146.79400000000001</v>
      </c>
      <c r="AG1007" s="127">
        <v>10660</v>
      </c>
      <c r="AH1007" s="125">
        <v>30.693999999999999</v>
      </c>
      <c r="AI1007" s="127">
        <v>10660</v>
      </c>
      <c r="AJ1007" s="125">
        <v>33.024999999999999</v>
      </c>
    </row>
    <row r="1008" spans="1:36" ht="14.25">
      <c r="A1008" s="128">
        <v>10690</v>
      </c>
      <c r="B1008" s="124">
        <v>68.054000000000002</v>
      </c>
      <c r="C1008" s="128">
        <v>10700</v>
      </c>
      <c r="D1008" s="125">
        <v>67.210999999999999</v>
      </c>
      <c r="E1008" s="126">
        <v>10690</v>
      </c>
      <c r="F1008" s="125">
        <v>196.09800000000001</v>
      </c>
      <c r="G1008" s="127">
        <v>10690</v>
      </c>
      <c r="H1008" s="125">
        <v>196.17</v>
      </c>
      <c r="I1008" s="127">
        <v>10690</v>
      </c>
      <c r="J1008" s="125">
        <v>198.41800000000001</v>
      </c>
      <c r="K1008" s="127">
        <v>10690</v>
      </c>
      <c r="L1008" s="125">
        <v>197.267</v>
      </c>
      <c r="M1008" s="127">
        <v>10690</v>
      </c>
      <c r="N1008" s="125">
        <v>198.197</v>
      </c>
      <c r="O1008" s="127">
        <v>10670</v>
      </c>
      <c r="P1008" s="125">
        <v>199.20500000000001</v>
      </c>
      <c r="Q1008" s="127">
        <v>10690</v>
      </c>
      <c r="R1008" s="125">
        <v>198.917</v>
      </c>
      <c r="S1008" s="127">
        <v>10690</v>
      </c>
      <c r="T1008" s="125">
        <v>199.52</v>
      </c>
      <c r="U1008" s="127">
        <v>10680</v>
      </c>
      <c r="V1008" s="125">
        <v>199.55799999999999</v>
      </c>
      <c r="W1008" s="127">
        <v>10690</v>
      </c>
      <c r="X1008" s="125">
        <v>198.81100000000001</v>
      </c>
      <c r="Y1008" s="127">
        <v>10690</v>
      </c>
      <c r="Z1008" s="125">
        <v>197.27</v>
      </c>
      <c r="AA1008" s="127">
        <v>10690</v>
      </c>
      <c r="AB1008" s="125">
        <v>197.76300000000001</v>
      </c>
      <c r="AC1008" s="127">
        <v>10680</v>
      </c>
      <c r="AD1008" s="125">
        <v>145.035</v>
      </c>
      <c r="AE1008" s="127">
        <v>10690</v>
      </c>
      <c r="AF1008" s="125">
        <v>145.804</v>
      </c>
      <c r="AG1008" s="127">
        <v>10670</v>
      </c>
      <c r="AH1008" s="125">
        <v>30.472000000000001</v>
      </c>
      <c r="AI1008" s="127">
        <v>10670</v>
      </c>
      <c r="AJ1008" s="125">
        <v>32.789000000000001</v>
      </c>
    </row>
    <row r="1009" spans="1:36" ht="14.25">
      <c r="A1009" s="128">
        <v>10700</v>
      </c>
      <c r="B1009" s="124">
        <v>67.542000000000002</v>
      </c>
      <c r="C1009" s="128">
        <v>10710</v>
      </c>
      <c r="D1009" s="125">
        <v>66.703999999999994</v>
      </c>
      <c r="E1009" s="126">
        <v>10700</v>
      </c>
      <c r="F1009" s="125">
        <v>194.77099999999999</v>
      </c>
      <c r="G1009" s="127">
        <v>10700</v>
      </c>
      <c r="H1009" s="125">
        <v>194.84299999999999</v>
      </c>
      <c r="I1009" s="127">
        <v>10700</v>
      </c>
      <c r="J1009" s="125">
        <v>197.20699999999999</v>
      </c>
      <c r="K1009" s="127">
        <v>10700</v>
      </c>
      <c r="L1009" s="125">
        <v>196.053</v>
      </c>
      <c r="M1009" s="127">
        <v>10700</v>
      </c>
      <c r="N1009" s="125">
        <v>196.98599999999999</v>
      </c>
      <c r="O1009" s="127">
        <v>10680</v>
      </c>
      <c r="P1009" s="125">
        <v>197.994</v>
      </c>
      <c r="Q1009" s="127">
        <v>10700</v>
      </c>
      <c r="R1009" s="125">
        <v>197.70599999999999</v>
      </c>
      <c r="S1009" s="127">
        <v>10700</v>
      </c>
      <c r="T1009" s="125">
        <v>198.30799999999999</v>
      </c>
      <c r="U1009" s="127">
        <v>10690</v>
      </c>
      <c r="V1009" s="125">
        <v>198.34800000000001</v>
      </c>
      <c r="W1009" s="127">
        <v>10700</v>
      </c>
      <c r="X1009" s="125">
        <v>197.6</v>
      </c>
      <c r="Y1009" s="127">
        <v>10700</v>
      </c>
      <c r="Z1009" s="125">
        <v>196.059</v>
      </c>
      <c r="AA1009" s="127">
        <v>10700</v>
      </c>
      <c r="AB1009" s="125">
        <v>196.553</v>
      </c>
      <c r="AC1009" s="127">
        <v>10690</v>
      </c>
      <c r="AD1009" s="125">
        <v>143.983</v>
      </c>
      <c r="AE1009" s="127">
        <v>10700</v>
      </c>
      <c r="AF1009" s="125">
        <v>144.81399999999999</v>
      </c>
      <c r="AG1009" s="127">
        <v>10680</v>
      </c>
      <c r="AH1009" s="125">
        <v>30.251000000000001</v>
      </c>
      <c r="AI1009" s="127">
        <v>10680</v>
      </c>
      <c r="AJ1009" s="125">
        <v>32.554000000000002</v>
      </c>
    </row>
    <row r="1010" spans="1:36" ht="14.25">
      <c r="A1010" s="128">
        <v>10710</v>
      </c>
      <c r="B1010" s="124">
        <v>67.031000000000006</v>
      </c>
      <c r="C1010" s="128">
        <v>10720</v>
      </c>
      <c r="D1010" s="125">
        <v>66.197000000000003</v>
      </c>
      <c r="E1010" s="126">
        <v>10710</v>
      </c>
      <c r="F1010" s="125">
        <v>193.44399999999999</v>
      </c>
      <c r="G1010" s="127">
        <v>10710</v>
      </c>
      <c r="H1010" s="125">
        <v>193.518</v>
      </c>
      <c r="I1010" s="127">
        <v>10710</v>
      </c>
      <c r="J1010" s="125">
        <v>195.99600000000001</v>
      </c>
      <c r="K1010" s="127">
        <v>10710</v>
      </c>
      <c r="L1010" s="125">
        <v>194.84</v>
      </c>
      <c r="M1010" s="127">
        <v>10710</v>
      </c>
      <c r="N1010" s="125">
        <v>195.774</v>
      </c>
      <c r="O1010" s="127">
        <v>10690</v>
      </c>
      <c r="P1010" s="125">
        <v>196.78200000000001</v>
      </c>
      <c r="Q1010" s="127">
        <v>10710</v>
      </c>
      <c r="R1010" s="125">
        <v>196.495</v>
      </c>
      <c r="S1010" s="127">
        <v>10710</v>
      </c>
      <c r="T1010" s="125">
        <v>197.096</v>
      </c>
      <c r="U1010" s="127">
        <v>10700</v>
      </c>
      <c r="V1010" s="125">
        <v>197.137</v>
      </c>
      <c r="W1010" s="127">
        <v>10710</v>
      </c>
      <c r="X1010" s="125">
        <v>196.38800000000001</v>
      </c>
      <c r="Y1010" s="127">
        <v>10710</v>
      </c>
      <c r="Z1010" s="125">
        <v>194.84899999999999</v>
      </c>
      <c r="AA1010" s="127">
        <v>10710</v>
      </c>
      <c r="AB1010" s="125">
        <v>195.34299999999999</v>
      </c>
      <c r="AC1010" s="127">
        <v>10700</v>
      </c>
      <c r="AD1010" s="125">
        <v>142.93</v>
      </c>
      <c r="AE1010" s="127">
        <v>10710</v>
      </c>
      <c r="AF1010" s="125">
        <v>143.82300000000001</v>
      </c>
      <c r="AG1010" s="127">
        <v>10690</v>
      </c>
      <c r="AH1010" s="125">
        <v>30.03</v>
      </c>
      <c r="AI1010" s="127">
        <v>10690</v>
      </c>
      <c r="AJ1010" s="125">
        <v>32.319000000000003</v>
      </c>
    </row>
    <row r="1011" spans="1:36" ht="14.25">
      <c r="A1011" s="128">
        <v>10720</v>
      </c>
      <c r="B1011" s="124">
        <v>66.522000000000006</v>
      </c>
      <c r="C1011" s="128">
        <v>10730</v>
      </c>
      <c r="D1011" s="125">
        <v>65.691999999999993</v>
      </c>
      <c r="E1011" s="126">
        <v>10720</v>
      </c>
      <c r="F1011" s="125">
        <v>192.119</v>
      </c>
      <c r="G1011" s="127">
        <v>10720</v>
      </c>
      <c r="H1011" s="125">
        <v>192.19499999999999</v>
      </c>
      <c r="I1011" s="127">
        <v>10720</v>
      </c>
      <c r="J1011" s="125">
        <v>194.785</v>
      </c>
      <c r="K1011" s="127">
        <v>10720</v>
      </c>
      <c r="L1011" s="125">
        <v>193.62700000000001</v>
      </c>
      <c r="M1011" s="127">
        <v>10720</v>
      </c>
      <c r="N1011" s="125">
        <v>194.56299999999999</v>
      </c>
      <c r="O1011" s="127">
        <v>10700</v>
      </c>
      <c r="P1011" s="125">
        <v>195.57</v>
      </c>
      <c r="Q1011" s="127">
        <v>10720</v>
      </c>
      <c r="R1011" s="125">
        <v>195.28299999999999</v>
      </c>
      <c r="S1011" s="127">
        <v>10720</v>
      </c>
      <c r="T1011" s="125">
        <v>195.88399999999999</v>
      </c>
      <c r="U1011" s="127">
        <v>10710</v>
      </c>
      <c r="V1011" s="125">
        <v>195.92699999999999</v>
      </c>
      <c r="W1011" s="127">
        <v>10720</v>
      </c>
      <c r="X1011" s="125">
        <v>195.17699999999999</v>
      </c>
      <c r="Y1011" s="127">
        <v>10720</v>
      </c>
      <c r="Z1011" s="125">
        <v>193.63800000000001</v>
      </c>
      <c r="AA1011" s="127">
        <v>10720</v>
      </c>
      <c r="AB1011" s="125">
        <v>194.13300000000001</v>
      </c>
      <c r="AC1011" s="127">
        <v>10710</v>
      </c>
      <c r="AD1011" s="125">
        <v>141.87700000000001</v>
      </c>
      <c r="AE1011" s="127">
        <v>10720</v>
      </c>
      <c r="AF1011" s="125">
        <v>142.833</v>
      </c>
      <c r="AG1011" s="127">
        <v>10700</v>
      </c>
      <c r="AH1011" s="125">
        <v>29.809000000000001</v>
      </c>
      <c r="AI1011" s="127">
        <v>10700</v>
      </c>
      <c r="AJ1011" s="125">
        <v>32.084000000000003</v>
      </c>
    </row>
    <row r="1012" spans="1:36" ht="14.25">
      <c r="A1012" s="128">
        <v>10730</v>
      </c>
      <c r="B1012" s="124">
        <v>66.013999999999996</v>
      </c>
      <c r="C1012" s="128">
        <v>10740</v>
      </c>
      <c r="D1012" s="125">
        <v>65.188000000000002</v>
      </c>
      <c r="E1012" s="126">
        <v>10730</v>
      </c>
      <c r="F1012" s="125">
        <v>190.79599999999999</v>
      </c>
      <c r="G1012" s="127">
        <v>10730</v>
      </c>
      <c r="H1012" s="125">
        <v>190.87299999999999</v>
      </c>
      <c r="I1012" s="127">
        <v>10730</v>
      </c>
      <c r="J1012" s="125">
        <v>193.57400000000001</v>
      </c>
      <c r="K1012" s="127">
        <v>10730</v>
      </c>
      <c r="L1012" s="125">
        <v>192.41300000000001</v>
      </c>
      <c r="M1012" s="127">
        <v>10730</v>
      </c>
      <c r="N1012" s="125">
        <v>193.352</v>
      </c>
      <c r="O1012" s="127">
        <v>10710</v>
      </c>
      <c r="P1012" s="125">
        <v>194.35900000000001</v>
      </c>
      <c r="Q1012" s="127">
        <v>10730</v>
      </c>
      <c r="R1012" s="125">
        <v>194.072</v>
      </c>
      <c r="S1012" s="127">
        <v>10730</v>
      </c>
      <c r="T1012" s="125">
        <v>194.672</v>
      </c>
      <c r="U1012" s="127">
        <v>10720</v>
      </c>
      <c r="V1012" s="125">
        <v>194.71600000000001</v>
      </c>
      <c r="W1012" s="127">
        <v>10730</v>
      </c>
      <c r="X1012" s="125">
        <v>193.96600000000001</v>
      </c>
      <c r="Y1012" s="127">
        <v>10730</v>
      </c>
      <c r="Z1012" s="125">
        <v>192.42699999999999</v>
      </c>
      <c r="AA1012" s="127">
        <v>10730</v>
      </c>
      <c r="AB1012" s="125">
        <v>192.923</v>
      </c>
      <c r="AC1012" s="127">
        <v>10720</v>
      </c>
      <c r="AD1012" s="125">
        <v>140.82499999999999</v>
      </c>
      <c r="AE1012" s="127">
        <v>10730</v>
      </c>
      <c r="AF1012" s="125">
        <v>141.84299999999999</v>
      </c>
      <c r="AG1012" s="127">
        <v>10710</v>
      </c>
      <c r="AH1012" s="125">
        <v>29.59</v>
      </c>
      <c r="AI1012" s="127">
        <v>10710</v>
      </c>
      <c r="AJ1012" s="125">
        <v>31.85</v>
      </c>
    </row>
    <row r="1013" spans="1:36" ht="14.25">
      <c r="A1013" s="128">
        <v>10740</v>
      </c>
      <c r="B1013" s="124">
        <v>65.506</v>
      </c>
      <c r="C1013" s="128">
        <v>10750</v>
      </c>
      <c r="D1013" s="125">
        <v>64.686000000000007</v>
      </c>
      <c r="E1013" s="126">
        <v>10740</v>
      </c>
      <c r="F1013" s="125">
        <v>189.47399999999999</v>
      </c>
      <c r="G1013" s="127">
        <v>10740</v>
      </c>
      <c r="H1013" s="125">
        <v>189.55199999999999</v>
      </c>
      <c r="I1013" s="127">
        <v>10740</v>
      </c>
      <c r="J1013" s="125">
        <v>192.363</v>
      </c>
      <c r="K1013" s="127">
        <v>10740</v>
      </c>
      <c r="L1013" s="125">
        <v>191.2</v>
      </c>
      <c r="M1013" s="127">
        <v>10740</v>
      </c>
      <c r="N1013" s="125">
        <v>192.14</v>
      </c>
      <c r="O1013" s="127">
        <v>10720</v>
      </c>
      <c r="P1013" s="125">
        <v>193.14699999999999</v>
      </c>
      <c r="Q1013" s="127">
        <v>10740</v>
      </c>
      <c r="R1013" s="125">
        <v>192.86</v>
      </c>
      <c r="S1013" s="127">
        <v>10740</v>
      </c>
      <c r="T1013" s="125">
        <v>193.46</v>
      </c>
      <c r="U1013" s="127">
        <v>10730</v>
      </c>
      <c r="V1013" s="125">
        <v>193.506</v>
      </c>
      <c r="W1013" s="127">
        <v>10740</v>
      </c>
      <c r="X1013" s="125">
        <v>192.755</v>
      </c>
      <c r="Y1013" s="127">
        <v>10740</v>
      </c>
      <c r="Z1013" s="125">
        <v>191.21700000000001</v>
      </c>
      <c r="AA1013" s="127">
        <v>10740</v>
      </c>
      <c r="AB1013" s="125">
        <v>191.71299999999999</v>
      </c>
      <c r="AC1013" s="127">
        <v>10730</v>
      </c>
      <c r="AD1013" s="125">
        <v>139.77199999999999</v>
      </c>
      <c r="AE1013" s="127">
        <v>10740</v>
      </c>
      <c r="AF1013" s="125">
        <v>140.852</v>
      </c>
      <c r="AG1013" s="127">
        <v>10720</v>
      </c>
      <c r="AH1013" s="125">
        <v>29.37</v>
      </c>
      <c r="AI1013" s="127">
        <v>10720</v>
      </c>
      <c r="AJ1013" s="125">
        <v>31.617000000000001</v>
      </c>
    </row>
    <row r="1014" spans="1:36" ht="14.25">
      <c r="A1014" s="128">
        <v>10750</v>
      </c>
      <c r="B1014" s="124">
        <v>65.001000000000005</v>
      </c>
      <c r="C1014" s="128">
        <v>10760</v>
      </c>
      <c r="D1014" s="125">
        <v>64.183999999999997</v>
      </c>
      <c r="E1014" s="126">
        <v>10750</v>
      </c>
      <c r="F1014" s="125">
        <v>188.154</v>
      </c>
      <c r="G1014" s="127">
        <v>10750</v>
      </c>
      <c r="H1014" s="125">
        <v>188.233</v>
      </c>
      <c r="I1014" s="127">
        <v>10750</v>
      </c>
      <c r="J1014" s="125">
        <v>191.15199999999999</v>
      </c>
      <c r="K1014" s="127">
        <v>10750</v>
      </c>
      <c r="L1014" s="125">
        <v>189.98699999999999</v>
      </c>
      <c r="M1014" s="127">
        <v>10750</v>
      </c>
      <c r="N1014" s="125">
        <v>190.929</v>
      </c>
      <c r="O1014" s="127">
        <v>10730</v>
      </c>
      <c r="P1014" s="125">
        <v>191.935</v>
      </c>
      <c r="Q1014" s="127">
        <v>10750</v>
      </c>
      <c r="R1014" s="125">
        <v>191.649</v>
      </c>
      <c r="S1014" s="127">
        <v>10750</v>
      </c>
      <c r="T1014" s="125">
        <v>192.24799999999999</v>
      </c>
      <c r="U1014" s="127">
        <v>10740</v>
      </c>
      <c r="V1014" s="125">
        <v>192.29499999999999</v>
      </c>
      <c r="W1014" s="127">
        <v>10750</v>
      </c>
      <c r="X1014" s="125">
        <v>191.54400000000001</v>
      </c>
      <c r="Y1014" s="127">
        <v>10750</v>
      </c>
      <c r="Z1014" s="125">
        <v>190.006</v>
      </c>
      <c r="AA1014" s="127">
        <v>10750</v>
      </c>
      <c r="AB1014" s="125">
        <v>190.50299999999999</v>
      </c>
      <c r="AC1014" s="127">
        <v>10740</v>
      </c>
      <c r="AD1014" s="125">
        <v>138.71899999999999</v>
      </c>
      <c r="AE1014" s="127">
        <v>10750</v>
      </c>
      <c r="AF1014" s="125">
        <v>139.86199999999999</v>
      </c>
      <c r="AG1014" s="127">
        <v>10730</v>
      </c>
      <c r="AH1014" s="125">
        <v>29.151</v>
      </c>
      <c r="AI1014" s="127">
        <v>10730</v>
      </c>
      <c r="AJ1014" s="125">
        <v>31.384</v>
      </c>
    </row>
    <row r="1015" spans="1:36" ht="14.25">
      <c r="A1015" s="128">
        <v>10760</v>
      </c>
      <c r="B1015" s="124">
        <v>64.495999999999995</v>
      </c>
      <c r="C1015" s="128">
        <v>10770</v>
      </c>
      <c r="D1015" s="125">
        <v>63.683999999999997</v>
      </c>
      <c r="E1015" s="126">
        <v>10760</v>
      </c>
      <c r="F1015" s="125">
        <v>186.83500000000001</v>
      </c>
      <c r="G1015" s="127">
        <v>10760</v>
      </c>
      <c r="H1015" s="125">
        <v>186.916</v>
      </c>
      <c r="I1015" s="127">
        <v>10760</v>
      </c>
      <c r="J1015" s="125">
        <v>189.941</v>
      </c>
      <c r="K1015" s="127">
        <v>10760</v>
      </c>
      <c r="L1015" s="125">
        <v>188.773</v>
      </c>
      <c r="M1015" s="127">
        <v>10760</v>
      </c>
      <c r="N1015" s="125">
        <v>189.71700000000001</v>
      </c>
      <c r="O1015" s="127">
        <v>10740</v>
      </c>
      <c r="P1015" s="125">
        <v>190.72399999999999</v>
      </c>
      <c r="Q1015" s="127">
        <v>10760</v>
      </c>
      <c r="R1015" s="125">
        <v>190.43799999999999</v>
      </c>
      <c r="S1015" s="127">
        <v>10760</v>
      </c>
      <c r="T1015" s="125">
        <v>191.03700000000001</v>
      </c>
      <c r="U1015" s="127">
        <v>10750</v>
      </c>
      <c r="V1015" s="125">
        <v>191.08500000000001</v>
      </c>
      <c r="W1015" s="127">
        <v>10760</v>
      </c>
      <c r="X1015" s="125">
        <v>190.33199999999999</v>
      </c>
      <c r="Y1015" s="127">
        <v>10760</v>
      </c>
      <c r="Z1015" s="125">
        <v>188.79599999999999</v>
      </c>
      <c r="AA1015" s="127">
        <v>10760</v>
      </c>
      <c r="AB1015" s="125">
        <v>189.29300000000001</v>
      </c>
      <c r="AC1015" s="127">
        <v>10750</v>
      </c>
      <c r="AD1015" s="125">
        <v>137.667</v>
      </c>
      <c r="AE1015" s="127">
        <v>10760</v>
      </c>
      <c r="AF1015" s="125">
        <v>138.87100000000001</v>
      </c>
      <c r="AG1015" s="127">
        <v>10740</v>
      </c>
      <c r="AH1015" s="125">
        <v>28.933</v>
      </c>
      <c r="AI1015" s="127">
        <v>10740</v>
      </c>
      <c r="AJ1015" s="125">
        <v>31.151</v>
      </c>
    </row>
    <row r="1016" spans="1:36" ht="14.25">
      <c r="A1016" s="128">
        <v>10770</v>
      </c>
      <c r="B1016" s="124">
        <v>63.991999999999997</v>
      </c>
      <c r="C1016" s="128">
        <v>10780</v>
      </c>
      <c r="D1016" s="125">
        <v>63.183999999999997</v>
      </c>
      <c r="E1016" s="126">
        <v>10770</v>
      </c>
      <c r="F1016" s="125">
        <v>185.518</v>
      </c>
      <c r="G1016" s="127">
        <v>10770</v>
      </c>
      <c r="H1016" s="125">
        <v>185.6</v>
      </c>
      <c r="I1016" s="127">
        <v>10770</v>
      </c>
      <c r="J1016" s="125">
        <v>188.73</v>
      </c>
      <c r="K1016" s="127">
        <v>10770</v>
      </c>
      <c r="L1016" s="125">
        <v>187.56</v>
      </c>
      <c r="M1016" s="127">
        <v>10770</v>
      </c>
      <c r="N1016" s="125">
        <v>188.506</v>
      </c>
      <c r="O1016" s="127">
        <v>10750</v>
      </c>
      <c r="P1016" s="125">
        <v>189.512</v>
      </c>
      <c r="Q1016" s="127">
        <v>10770</v>
      </c>
      <c r="R1016" s="125">
        <v>189.226</v>
      </c>
      <c r="S1016" s="127">
        <v>10770</v>
      </c>
      <c r="T1016" s="125">
        <v>189.82499999999999</v>
      </c>
      <c r="U1016" s="127">
        <v>10760</v>
      </c>
      <c r="V1016" s="125">
        <v>189.874</v>
      </c>
      <c r="W1016" s="127">
        <v>10770</v>
      </c>
      <c r="X1016" s="125">
        <v>189.12100000000001</v>
      </c>
      <c r="Y1016" s="127">
        <v>10770</v>
      </c>
      <c r="Z1016" s="125">
        <v>187.58500000000001</v>
      </c>
      <c r="AA1016" s="127">
        <v>10770</v>
      </c>
      <c r="AB1016" s="125">
        <v>188.083</v>
      </c>
      <c r="AC1016" s="127">
        <v>10760</v>
      </c>
      <c r="AD1016" s="125">
        <v>136.614</v>
      </c>
      <c r="AE1016" s="127">
        <v>10770</v>
      </c>
      <c r="AF1016" s="125">
        <v>137.881</v>
      </c>
      <c r="AG1016" s="127">
        <v>10750</v>
      </c>
      <c r="AH1016" s="125">
        <v>28.715</v>
      </c>
      <c r="AI1016" s="127">
        <v>10750</v>
      </c>
      <c r="AJ1016" s="125">
        <v>30.919</v>
      </c>
    </row>
    <row r="1017" spans="1:36" ht="14.25">
      <c r="A1017" s="128">
        <v>10780</v>
      </c>
      <c r="B1017" s="124">
        <v>63.49</v>
      </c>
      <c r="C1017" s="128">
        <v>10790</v>
      </c>
      <c r="D1017" s="125">
        <v>62.686</v>
      </c>
      <c r="E1017" s="126">
        <v>10780</v>
      </c>
      <c r="F1017" s="125">
        <v>184.202</v>
      </c>
      <c r="G1017" s="127">
        <v>10780</v>
      </c>
      <c r="H1017" s="125">
        <v>184.285</v>
      </c>
      <c r="I1017" s="127">
        <v>10780</v>
      </c>
      <c r="J1017" s="125">
        <v>187.51900000000001</v>
      </c>
      <c r="K1017" s="127">
        <v>10780</v>
      </c>
      <c r="L1017" s="125">
        <v>186.34700000000001</v>
      </c>
      <c r="M1017" s="127">
        <v>10780</v>
      </c>
      <c r="N1017" s="125">
        <v>187.29499999999999</v>
      </c>
      <c r="O1017" s="127">
        <v>10760</v>
      </c>
      <c r="P1017" s="125">
        <v>188.30099999999999</v>
      </c>
      <c r="Q1017" s="127">
        <v>10780</v>
      </c>
      <c r="R1017" s="125">
        <v>188.01499999999999</v>
      </c>
      <c r="S1017" s="127">
        <v>10780</v>
      </c>
      <c r="T1017" s="125">
        <v>188.613</v>
      </c>
      <c r="U1017" s="127">
        <v>10770</v>
      </c>
      <c r="V1017" s="125">
        <v>188.66300000000001</v>
      </c>
      <c r="W1017" s="127">
        <v>10780</v>
      </c>
      <c r="X1017" s="125">
        <v>187.91</v>
      </c>
      <c r="Y1017" s="127">
        <v>10780</v>
      </c>
      <c r="Z1017" s="125">
        <v>186.374</v>
      </c>
      <c r="AA1017" s="127">
        <v>10780</v>
      </c>
      <c r="AB1017" s="125">
        <v>186.87299999999999</v>
      </c>
      <c r="AC1017" s="127">
        <v>10770</v>
      </c>
      <c r="AD1017" s="125">
        <v>135.56100000000001</v>
      </c>
      <c r="AE1017" s="127">
        <v>10780</v>
      </c>
      <c r="AF1017" s="125">
        <v>136.89099999999999</v>
      </c>
      <c r="AG1017" s="127">
        <v>10760</v>
      </c>
      <c r="AH1017" s="125">
        <v>28.498000000000001</v>
      </c>
      <c r="AI1017" s="127">
        <v>10760</v>
      </c>
      <c r="AJ1017" s="125">
        <v>30.687999999999999</v>
      </c>
    </row>
    <row r="1018" spans="1:36" ht="14.25">
      <c r="A1018" s="128">
        <v>10790</v>
      </c>
      <c r="B1018" s="124">
        <v>62.988</v>
      </c>
      <c r="C1018" s="128">
        <v>10800</v>
      </c>
      <c r="D1018" s="125">
        <v>62.189</v>
      </c>
      <c r="E1018" s="126">
        <v>10790</v>
      </c>
      <c r="F1018" s="125">
        <v>182.88800000000001</v>
      </c>
      <c r="G1018" s="127">
        <v>10790</v>
      </c>
      <c r="H1018" s="125">
        <v>182.97300000000001</v>
      </c>
      <c r="I1018" s="127">
        <v>10790</v>
      </c>
      <c r="J1018" s="125">
        <v>186.30799999999999</v>
      </c>
      <c r="K1018" s="127">
        <v>10790</v>
      </c>
      <c r="L1018" s="125">
        <v>185.13399999999999</v>
      </c>
      <c r="M1018" s="127">
        <v>10790</v>
      </c>
      <c r="N1018" s="125">
        <v>186.083</v>
      </c>
      <c r="O1018" s="127">
        <v>10770</v>
      </c>
      <c r="P1018" s="125">
        <v>187.089</v>
      </c>
      <c r="Q1018" s="127">
        <v>10790</v>
      </c>
      <c r="R1018" s="125">
        <v>186.804</v>
      </c>
      <c r="S1018" s="127">
        <v>10790</v>
      </c>
      <c r="T1018" s="125">
        <v>187.40100000000001</v>
      </c>
      <c r="U1018" s="127">
        <v>10780</v>
      </c>
      <c r="V1018" s="125">
        <v>187.453</v>
      </c>
      <c r="W1018" s="127">
        <v>10790</v>
      </c>
      <c r="X1018" s="125">
        <v>186.69900000000001</v>
      </c>
      <c r="Y1018" s="127">
        <v>10790</v>
      </c>
      <c r="Z1018" s="125">
        <v>185.16399999999999</v>
      </c>
      <c r="AA1018" s="127">
        <v>10790</v>
      </c>
      <c r="AB1018" s="125">
        <v>185.66300000000001</v>
      </c>
      <c r="AC1018" s="127">
        <v>10780</v>
      </c>
      <c r="AD1018" s="125">
        <v>134.50899999999999</v>
      </c>
      <c r="AE1018" s="127">
        <v>10790</v>
      </c>
      <c r="AF1018" s="125">
        <v>135.9</v>
      </c>
      <c r="AG1018" s="127">
        <v>10770</v>
      </c>
      <c r="AH1018" s="125">
        <v>28.280999999999999</v>
      </c>
      <c r="AI1018" s="127">
        <v>10770</v>
      </c>
      <c r="AJ1018" s="125">
        <v>30.457000000000001</v>
      </c>
    </row>
    <row r="1019" spans="1:36" ht="14.25">
      <c r="A1019" s="128">
        <v>10800</v>
      </c>
      <c r="B1019" s="124">
        <v>62.488</v>
      </c>
      <c r="C1019" s="128">
        <v>10810</v>
      </c>
      <c r="D1019" s="125">
        <v>61.692999999999998</v>
      </c>
      <c r="E1019" s="126">
        <v>10800</v>
      </c>
      <c r="F1019" s="125">
        <v>181.57499999999999</v>
      </c>
      <c r="G1019" s="127">
        <v>10800</v>
      </c>
      <c r="H1019" s="125">
        <v>181.661</v>
      </c>
      <c r="I1019" s="127">
        <v>10800</v>
      </c>
      <c r="J1019" s="125">
        <v>185.09700000000001</v>
      </c>
      <c r="K1019" s="127">
        <v>10800</v>
      </c>
      <c r="L1019" s="125">
        <v>183.92</v>
      </c>
      <c r="M1019" s="127">
        <v>10800</v>
      </c>
      <c r="N1019" s="125">
        <v>184.87200000000001</v>
      </c>
      <c r="O1019" s="127">
        <v>10780</v>
      </c>
      <c r="P1019" s="125">
        <v>185.87700000000001</v>
      </c>
      <c r="Q1019" s="127">
        <v>10800</v>
      </c>
      <c r="R1019" s="125">
        <v>185.59200000000001</v>
      </c>
      <c r="S1019" s="127">
        <v>10800</v>
      </c>
      <c r="T1019" s="125">
        <v>186.18899999999999</v>
      </c>
      <c r="U1019" s="127">
        <v>10790</v>
      </c>
      <c r="V1019" s="125">
        <v>186.24199999999999</v>
      </c>
      <c r="W1019" s="127">
        <v>10800</v>
      </c>
      <c r="X1019" s="125">
        <v>185.488</v>
      </c>
      <c r="Y1019" s="127">
        <v>10800</v>
      </c>
      <c r="Z1019" s="125">
        <v>183.953</v>
      </c>
      <c r="AA1019" s="127">
        <v>10800</v>
      </c>
      <c r="AB1019" s="125">
        <v>184.453</v>
      </c>
      <c r="AC1019" s="127">
        <v>10790</v>
      </c>
      <c r="AD1019" s="125">
        <v>133.45599999999999</v>
      </c>
      <c r="AE1019" s="127">
        <v>10800</v>
      </c>
      <c r="AF1019" s="125">
        <v>134.91</v>
      </c>
      <c r="AG1019" s="127">
        <v>10780</v>
      </c>
      <c r="AH1019" s="125">
        <v>28.065000000000001</v>
      </c>
      <c r="AI1019" s="127">
        <v>10780</v>
      </c>
      <c r="AJ1019" s="125">
        <v>30.227</v>
      </c>
    </row>
    <row r="1020" spans="1:36" ht="14.25">
      <c r="A1020" s="128">
        <v>10810</v>
      </c>
      <c r="B1020" s="124">
        <v>61.988999999999997</v>
      </c>
      <c r="C1020" s="128">
        <v>10820</v>
      </c>
      <c r="D1020" s="125">
        <v>61.198</v>
      </c>
      <c r="E1020" s="126">
        <v>10810</v>
      </c>
      <c r="F1020" s="125">
        <v>180.26400000000001</v>
      </c>
      <c r="G1020" s="127">
        <v>10810</v>
      </c>
      <c r="H1020" s="125">
        <v>180.351</v>
      </c>
      <c r="I1020" s="127">
        <v>10810</v>
      </c>
      <c r="J1020" s="125">
        <v>183.886</v>
      </c>
      <c r="K1020" s="127">
        <v>10810</v>
      </c>
      <c r="L1020" s="125">
        <v>182.70699999999999</v>
      </c>
      <c r="M1020" s="127">
        <v>10810</v>
      </c>
      <c r="N1020" s="125">
        <v>183.66</v>
      </c>
      <c r="O1020" s="127">
        <v>10790</v>
      </c>
      <c r="P1020" s="125">
        <v>184.666</v>
      </c>
      <c r="Q1020" s="127">
        <v>10810</v>
      </c>
      <c r="R1020" s="125">
        <v>184.381</v>
      </c>
      <c r="S1020" s="127">
        <v>10810</v>
      </c>
      <c r="T1020" s="125">
        <v>184.977</v>
      </c>
      <c r="U1020" s="127">
        <v>10800</v>
      </c>
      <c r="V1020" s="125">
        <v>185.03200000000001</v>
      </c>
      <c r="W1020" s="127">
        <v>10810</v>
      </c>
      <c r="X1020" s="125">
        <v>184.27600000000001</v>
      </c>
      <c r="Y1020" s="127">
        <v>10810</v>
      </c>
      <c r="Z1020" s="125">
        <v>182.74299999999999</v>
      </c>
      <c r="AA1020" s="127">
        <v>10810</v>
      </c>
      <c r="AB1020" s="125">
        <v>183.24299999999999</v>
      </c>
      <c r="AC1020" s="127">
        <v>10800</v>
      </c>
      <c r="AD1020" s="125">
        <v>132.40299999999999</v>
      </c>
      <c r="AE1020" s="127">
        <v>10810</v>
      </c>
      <c r="AF1020" s="125">
        <v>133.91999999999999</v>
      </c>
      <c r="AG1020" s="127">
        <v>10790</v>
      </c>
      <c r="AH1020" s="125">
        <v>27.849</v>
      </c>
      <c r="AI1020" s="127">
        <v>10790</v>
      </c>
      <c r="AJ1020" s="125">
        <v>29.997</v>
      </c>
    </row>
    <row r="1021" spans="1:36" ht="14.25">
      <c r="A1021" s="128">
        <v>10820</v>
      </c>
      <c r="B1021" s="124">
        <v>61.491</v>
      </c>
      <c r="C1021" s="128">
        <v>10830</v>
      </c>
      <c r="D1021" s="125">
        <v>60.704999999999998</v>
      </c>
      <c r="E1021" s="126">
        <v>10820</v>
      </c>
      <c r="F1021" s="125">
        <v>178.95400000000001</v>
      </c>
      <c r="G1021" s="127">
        <v>10820</v>
      </c>
      <c r="H1021" s="125">
        <v>179.04300000000001</v>
      </c>
      <c r="I1021" s="127">
        <v>10820</v>
      </c>
      <c r="J1021" s="125">
        <v>182.67500000000001</v>
      </c>
      <c r="K1021" s="127">
        <v>10820</v>
      </c>
      <c r="L1021" s="125">
        <v>181.494</v>
      </c>
      <c r="M1021" s="127">
        <v>10820</v>
      </c>
      <c r="N1021" s="125">
        <v>182.44900000000001</v>
      </c>
      <c r="O1021" s="127">
        <v>10800</v>
      </c>
      <c r="P1021" s="125">
        <v>183.45400000000001</v>
      </c>
      <c r="Q1021" s="127">
        <v>10820</v>
      </c>
      <c r="R1021" s="125">
        <v>183.16900000000001</v>
      </c>
      <c r="S1021" s="127">
        <v>10820</v>
      </c>
      <c r="T1021" s="125">
        <v>183.76499999999999</v>
      </c>
      <c r="U1021" s="127">
        <v>10810</v>
      </c>
      <c r="V1021" s="125">
        <v>183.821</v>
      </c>
      <c r="W1021" s="127">
        <v>10820</v>
      </c>
      <c r="X1021" s="125">
        <v>183.065</v>
      </c>
      <c r="Y1021" s="127">
        <v>10820</v>
      </c>
      <c r="Z1021" s="125">
        <v>181.53200000000001</v>
      </c>
      <c r="AA1021" s="127">
        <v>10820</v>
      </c>
      <c r="AB1021" s="125">
        <v>182.03299999999999</v>
      </c>
      <c r="AC1021" s="127">
        <v>10810</v>
      </c>
      <c r="AD1021" s="125">
        <v>131.351</v>
      </c>
      <c r="AE1021" s="127">
        <v>10820</v>
      </c>
      <c r="AF1021" s="125">
        <v>132.929</v>
      </c>
      <c r="AG1021" s="127">
        <v>10800</v>
      </c>
      <c r="AH1021" s="125">
        <v>27.634</v>
      </c>
      <c r="AI1021" s="127">
        <v>10800</v>
      </c>
      <c r="AJ1021" s="125">
        <v>29.768000000000001</v>
      </c>
    </row>
    <row r="1022" spans="1:36" ht="14.25">
      <c r="A1022" s="128">
        <v>10830</v>
      </c>
      <c r="B1022" s="125">
        <v>60.994</v>
      </c>
      <c r="C1022" s="128">
        <v>10840</v>
      </c>
      <c r="D1022" s="125">
        <v>60.212000000000003</v>
      </c>
      <c r="E1022" s="126">
        <v>10830</v>
      </c>
      <c r="F1022" s="125">
        <v>177.64599999999999</v>
      </c>
      <c r="G1022" s="127">
        <v>10830</v>
      </c>
      <c r="H1022" s="125">
        <v>177.73599999999999</v>
      </c>
      <c r="I1022" s="127">
        <v>10830</v>
      </c>
      <c r="J1022" s="125">
        <v>181.464</v>
      </c>
      <c r="K1022" s="127">
        <v>10830</v>
      </c>
      <c r="L1022" s="125">
        <v>180.28</v>
      </c>
      <c r="M1022" s="127">
        <v>10830</v>
      </c>
      <c r="N1022" s="125">
        <v>181.238</v>
      </c>
      <c r="O1022" s="127">
        <v>10810</v>
      </c>
      <c r="P1022" s="125">
        <v>182.24199999999999</v>
      </c>
      <c r="Q1022" s="127">
        <v>10830</v>
      </c>
      <c r="R1022" s="125">
        <v>181.958</v>
      </c>
      <c r="S1022" s="127">
        <v>10830</v>
      </c>
      <c r="T1022" s="125">
        <v>182.553</v>
      </c>
      <c r="U1022" s="127">
        <v>10820</v>
      </c>
      <c r="V1022" s="125">
        <v>182.61099999999999</v>
      </c>
      <c r="W1022" s="127">
        <v>10830</v>
      </c>
      <c r="X1022" s="125">
        <v>181.85400000000001</v>
      </c>
      <c r="Y1022" s="127">
        <v>10830</v>
      </c>
      <c r="Z1022" s="125">
        <v>180.321</v>
      </c>
      <c r="AA1022" s="127">
        <v>10830</v>
      </c>
      <c r="AB1022" s="125">
        <v>180.822</v>
      </c>
      <c r="AC1022" s="127">
        <v>10820</v>
      </c>
      <c r="AD1022" s="125">
        <v>130.298</v>
      </c>
      <c r="AE1022" s="127">
        <v>10830</v>
      </c>
      <c r="AF1022" s="125">
        <v>131.93899999999999</v>
      </c>
      <c r="AG1022" s="127">
        <v>10810</v>
      </c>
      <c r="AH1022" s="125">
        <v>27.42</v>
      </c>
      <c r="AI1022" s="127">
        <v>10810</v>
      </c>
      <c r="AJ1022" s="125">
        <v>29.539000000000001</v>
      </c>
    </row>
    <row r="1023" spans="1:36" ht="14.25">
      <c r="A1023" s="128">
        <v>10840</v>
      </c>
      <c r="B1023" s="125">
        <v>60.499000000000002</v>
      </c>
      <c r="C1023" s="128">
        <v>10850</v>
      </c>
      <c r="D1023" s="125">
        <v>59.720999999999997</v>
      </c>
      <c r="E1023" s="126">
        <v>10840</v>
      </c>
      <c r="F1023" s="125">
        <v>176.34</v>
      </c>
      <c r="G1023" s="127">
        <v>10840</v>
      </c>
      <c r="H1023" s="125">
        <v>176.43100000000001</v>
      </c>
      <c r="I1023" s="127">
        <v>10840</v>
      </c>
      <c r="J1023" s="125">
        <v>180.25299999999999</v>
      </c>
      <c r="K1023" s="127">
        <v>10840</v>
      </c>
      <c r="L1023" s="125">
        <v>179.06700000000001</v>
      </c>
      <c r="M1023" s="127">
        <v>10840</v>
      </c>
      <c r="N1023" s="125">
        <v>180.02600000000001</v>
      </c>
      <c r="O1023" s="127">
        <v>10820</v>
      </c>
      <c r="P1023" s="125">
        <v>181.03100000000001</v>
      </c>
      <c r="Q1023" s="127">
        <v>10840</v>
      </c>
      <c r="R1023" s="125">
        <v>180.74700000000001</v>
      </c>
      <c r="S1023" s="127">
        <v>10840</v>
      </c>
      <c r="T1023" s="125">
        <v>181.34100000000001</v>
      </c>
      <c r="U1023" s="127">
        <v>10830</v>
      </c>
      <c r="V1023" s="125">
        <v>181.4</v>
      </c>
      <c r="W1023" s="127">
        <v>10840</v>
      </c>
      <c r="X1023" s="125">
        <v>180.643</v>
      </c>
      <c r="Y1023" s="127">
        <v>10840</v>
      </c>
      <c r="Z1023" s="125">
        <v>179.11099999999999</v>
      </c>
      <c r="AA1023" s="127">
        <v>10840</v>
      </c>
      <c r="AB1023" s="125">
        <v>179.61199999999999</v>
      </c>
      <c r="AC1023" s="127">
        <v>10830</v>
      </c>
      <c r="AD1023" s="125">
        <v>129.245</v>
      </c>
      <c r="AE1023" s="127">
        <v>10840</v>
      </c>
      <c r="AF1023" s="125">
        <v>130.94800000000001</v>
      </c>
      <c r="AG1023" s="127">
        <v>10820</v>
      </c>
      <c r="AH1023" s="125">
        <v>27.204999999999998</v>
      </c>
      <c r="AI1023" s="127">
        <v>10820</v>
      </c>
      <c r="AJ1023" s="125">
        <v>29.311</v>
      </c>
    </row>
    <row r="1024" spans="1:36" ht="14.25">
      <c r="A1024" s="128">
        <v>10850</v>
      </c>
      <c r="B1024" s="125">
        <v>60.003999999999998</v>
      </c>
      <c r="C1024" s="128">
        <v>10860</v>
      </c>
      <c r="D1024" s="125">
        <v>59.231000000000002</v>
      </c>
      <c r="E1024" s="126">
        <v>10850</v>
      </c>
      <c r="F1024" s="125">
        <v>175.035</v>
      </c>
      <c r="G1024" s="127">
        <v>10850</v>
      </c>
      <c r="H1024" s="125">
        <v>175.12700000000001</v>
      </c>
      <c r="I1024" s="127">
        <v>10850</v>
      </c>
      <c r="J1024" s="125">
        <v>179.042</v>
      </c>
      <c r="K1024" s="127">
        <v>10850</v>
      </c>
      <c r="L1024" s="125">
        <v>177.85400000000001</v>
      </c>
      <c r="M1024" s="127">
        <v>10850</v>
      </c>
      <c r="N1024" s="125">
        <v>178.815</v>
      </c>
      <c r="O1024" s="127">
        <v>10830</v>
      </c>
      <c r="P1024" s="125">
        <v>179.81899999999999</v>
      </c>
      <c r="Q1024" s="127">
        <v>10850</v>
      </c>
      <c r="R1024" s="125">
        <v>179.535</v>
      </c>
      <c r="S1024" s="127">
        <v>10850</v>
      </c>
      <c r="T1024" s="125">
        <v>180.12899999999999</v>
      </c>
      <c r="U1024" s="127">
        <v>10840</v>
      </c>
      <c r="V1024" s="125">
        <v>180.19</v>
      </c>
      <c r="W1024" s="127">
        <v>10850</v>
      </c>
      <c r="X1024" s="125">
        <v>179.43199999999999</v>
      </c>
      <c r="Y1024" s="127">
        <v>10850</v>
      </c>
      <c r="Z1024" s="125">
        <v>177.9</v>
      </c>
      <c r="AA1024" s="127">
        <v>10850</v>
      </c>
      <c r="AB1024" s="125">
        <v>178.40199999999999</v>
      </c>
      <c r="AC1024" s="127">
        <v>10840</v>
      </c>
      <c r="AD1024" s="125">
        <v>128.19300000000001</v>
      </c>
      <c r="AE1024" s="127">
        <v>10850</v>
      </c>
      <c r="AF1024" s="125">
        <v>129.958</v>
      </c>
      <c r="AG1024" s="127">
        <v>10830</v>
      </c>
      <c r="AH1024" s="125">
        <v>26.992000000000001</v>
      </c>
      <c r="AI1024" s="127">
        <v>10830</v>
      </c>
      <c r="AJ1024" s="125">
        <v>29.084</v>
      </c>
    </row>
    <row r="1025" spans="1:36" ht="14.25">
      <c r="A1025" s="128">
        <v>10860</v>
      </c>
      <c r="B1025" s="125">
        <v>59.511000000000003</v>
      </c>
      <c r="C1025" s="128">
        <v>10870</v>
      </c>
      <c r="D1025" s="125">
        <v>58.741999999999997</v>
      </c>
      <c r="E1025" s="126">
        <v>10860</v>
      </c>
      <c r="F1025" s="125">
        <v>173.73099999999999</v>
      </c>
      <c r="G1025" s="127">
        <v>10860</v>
      </c>
      <c r="H1025" s="125">
        <v>173.82499999999999</v>
      </c>
      <c r="I1025" s="127">
        <v>10860</v>
      </c>
      <c r="J1025" s="125">
        <v>177.83099999999999</v>
      </c>
      <c r="K1025" s="127">
        <v>10860</v>
      </c>
      <c r="L1025" s="125">
        <v>176.64099999999999</v>
      </c>
      <c r="M1025" s="127">
        <v>10860</v>
      </c>
      <c r="N1025" s="125">
        <v>177.60400000000001</v>
      </c>
      <c r="O1025" s="127">
        <v>10840</v>
      </c>
      <c r="P1025" s="125">
        <v>178.608</v>
      </c>
      <c r="Q1025" s="127">
        <v>10860</v>
      </c>
      <c r="R1025" s="125">
        <v>178.32400000000001</v>
      </c>
      <c r="S1025" s="127">
        <v>10860</v>
      </c>
      <c r="T1025" s="125">
        <v>178.917</v>
      </c>
      <c r="U1025" s="127">
        <v>10850</v>
      </c>
      <c r="V1025" s="125">
        <v>178.97900000000001</v>
      </c>
      <c r="W1025" s="127">
        <v>10860</v>
      </c>
      <c r="X1025" s="125">
        <v>178.22</v>
      </c>
      <c r="Y1025" s="127">
        <v>10860</v>
      </c>
      <c r="Z1025" s="125">
        <v>176.69</v>
      </c>
      <c r="AA1025" s="127">
        <v>10860</v>
      </c>
      <c r="AB1025" s="125">
        <v>177.19200000000001</v>
      </c>
      <c r="AC1025" s="127">
        <v>10850</v>
      </c>
      <c r="AD1025" s="125">
        <v>127.199</v>
      </c>
      <c r="AE1025" s="127">
        <v>10860</v>
      </c>
      <c r="AF1025" s="125">
        <v>128.96799999999999</v>
      </c>
      <c r="AG1025" s="127">
        <v>10840</v>
      </c>
      <c r="AH1025" s="125">
        <v>26.779</v>
      </c>
      <c r="AI1025" s="127">
        <v>10840</v>
      </c>
      <c r="AJ1025" s="125">
        <v>28.856000000000002</v>
      </c>
    </row>
    <row r="1026" spans="1:36" ht="14.25">
      <c r="A1026" s="128">
        <v>10870</v>
      </c>
      <c r="B1026" s="125">
        <v>59.018999999999998</v>
      </c>
      <c r="C1026" s="128">
        <v>10880</v>
      </c>
      <c r="D1026" s="125">
        <v>58.253999999999998</v>
      </c>
      <c r="E1026" s="126">
        <v>10870</v>
      </c>
      <c r="F1026" s="125">
        <v>172.429</v>
      </c>
      <c r="G1026" s="127">
        <v>10870</v>
      </c>
      <c r="H1026" s="125">
        <v>172.52500000000001</v>
      </c>
      <c r="I1026" s="127">
        <v>10870</v>
      </c>
      <c r="J1026" s="125">
        <v>176.62</v>
      </c>
      <c r="K1026" s="127">
        <v>10870</v>
      </c>
      <c r="L1026" s="125">
        <v>175.42699999999999</v>
      </c>
      <c r="M1026" s="127">
        <v>10870</v>
      </c>
      <c r="N1026" s="125">
        <v>176.392</v>
      </c>
      <c r="O1026" s="127">
        <v>10850</v>
      </c>
      <c r="P1026" s="125">
        <v>177.39599999999999</v>
      </c>
      <c r="Q1026" s="127">
        <v>10870</v>
      </c>
      <c r="R1026" s="125">
        <v>177.113</v>
      </c>
      <c r="S1026" s="127">
        <v>10870</v>
      </c>
      <c r="T1026" s="125">
        <v>177.70500000000001</v>
      </c>
      <c r="U1026" s="127">
        <v>10860</v>
      </c>
      <c r="V1026" s="125">
        <v>177.768</v>
      </c>
      <c r="W1026" s="127">
        <v>10870</v>
      </c>
      <c r="X1026" s="125">
        <v>177.00899999999999</v>
      </c>
      <c r="Y1026" s="127">
        <v>10870</v>
      </c>
      <c r="Z1026" s="125">
        <v>175.47900000000001</v>
      </c>
      <c r="AA1026" s="127">
        <v>10870</v>
      </c>
      <c r="AB1026" s="125">
        <v>175.982</v>
      </c>
      <c r="AC1026" s="127">
        <v>10860</v>
      </c>
      <c r="AD1026" s="125">
        <v>126.223</v>
      </c>
      <c r="AE1026" s="127">
        <v>10870</v>
      </c>
      <c r="AF1026" s="125">
        <v>127.977</v>
      </c>
      <c r="AG1026" s="127">
        <v>10850</v>
      </c>
      <c r="AH1026" s="125">
        <v>26.565999999999999</v>
      </c>
      <c r="AI1026" s="127">
        <v>10850</v>
      </c>
      <c r="AJ1026" s="125">
        <v>28.63</v>
      </c>
    </row>
    <row r="1027" spans="1:36" ht="14.25">
      <c r="A1027" s="128">
        <v>10880</v>
      </c>
      <c r="B1027" s="125">
        <v>58.527999999999999</v>
      </c>
      <c r="C1027" s="128">
        <v>10890</v>
      </c>
      <c r="D1027" s="125">
        <v>57.767000000000003</v>
      </c>
      <c r="E1027" s="126">
        <v>10880</v>
      </c>
      <c r="F1027" s="125">
        <v>171.12899999999999</v>
      </c>
      <c r="G1027" s="127">
        <v>10880</v>
      </c>
      <c r="H1027" s="125">
        <v>171.226</v>
      </c>
      <c r="I1027" s="127">
        <v>10880</v>
      </c>
      <c r="J1027" s="125">
        <v>175.40899999999999</v>
      </c>
      <c r="K1027" s="127">
        <v>10880</v>
      </c>
      <c r="L1027" s="125">
        <v>174.214</v>
      </c>
      <c r="M1027" s="127">
        <v>10880</v>
      </c>
      <c r="N1027" s="125">
        <v>175.18100000000001</v>
      </c>
      <c r="O1027" s="127">
        <v>10860</v>
      </c>
      <c r="P1027" s="125">
        <v>176.184</v>
      </c>
      <c r="Q1027" s="127">
        <v>10880</v>
      </c>
      <c r="R1027" s="125">
        <v>175.90100000000001</v>
      </c>
      <c r="S1027" s="127">
        <v>10880</v>
      </c>
      <c r="T1027" s="125">
        <v>176.49299999999999</v>
      </c>
      <c r="U1027" s="127">
        <v>10870</v>
      </c>
      <c r="V1027" s="125">
        <v>176.55799999999999</v>
      </c>
      <c r="W1027" s="127">
        <v>10880</v>
      </c>
      <c r="X1027" s="125">
        <v>175.798</v>
      </c>
      <c r="Y1027" s="127">
        <v>10880</v>
      </c>
      <c r="Z1027" s="125">
        <v>174.26900000000001</v>
      </c>
      <c r="AA1027" s="127">
        <v>10880</v>
      </c>
      <c r="AB1027" s="125">
        <v>174.77199999999999</v>
      </c>
      <c r="AC1027" s="127">
        <v>10870</v>
      </c>
      <c r="AD1027" s="125">
        <v>125.248</v>
      </c>
      <c r="AE1027" s="127">
        <v>10880</v>
      </c>
      <c r="AF1027" s="125">
        <v>126.98699999999999</v>
      </c>
      <c r="AG1027" s="127">
        <v>10860</v>
      </c>
      <c r="AH1027" s="125">
        <v>26.353999999999999</v>
      </c>
      <c r="AI1027" s="127">
        <v>10860</v>
      </c>
      <c r="AJ1027" s="125">
        <v>28.404</v>
      </c>
    </row>
    <row r="1028" spans="1:36" ht="14.25">
      <c r="A1028" s="128">
        <v>10890</v>
      </c>
      <c r="B1028" s="125">
        <v>58.037999999999997</v>
      </c>
      <c r="C1028" s="128">
        <v>10900</v>
      </c>
      <c r="D1028" s="125">
        <v>57.281999999999996</v>
      </c>
      <c r="E1028" s="126">
        <v>10890</v>
      </c>
      <c r="F1028" s="125">
        <v>169.83</v>
      </c>
      <c r="G1028" s="127">
        <v>10890</v>
      </c>
      <c r="H1028" s="125">
        <v>169.928</v>
      </c>
      <c r="I1028" s="127">
        <v>10890</v>
      </c>
      <c r="J1028" s="125">
        <v>174.19800000000001</v>
      </c>
      <c r="K1028" s="127">
        <v>10890</v>
      </c>
      <c r="L1028" s="125">
        <v>173.001</v>
      </c>
      <c r="M1028" s="127">
        <v>10890</v>
      </c>
      <c r="N1028" s="125">
        <v>173.96899999999999</v>
      </c>
      <c r="O1028" s="127">
        <v>10870</v>
      </c>
      <c r="P1028" s="125">
        <v>174.97300000000001</v>
      </c>
      <c r="Q1028" s="127">
        <v>10890</v>
      </c>
      <c r="R1028" s="125">
        <v>174.69</v>
      </c>
      <c r="S1028" s="127">
        <v>10890</v>
      </c>
      <c r="T1028" s="125">
        <v>175.28100000000001</v>
      </c>
      <c r="U1028" s="127">
        <v>10880</v>
      </c>
      <c r="V1028" s="125">
        <v>175.34700000000001</v>
      </c>
      <c r="W1028" s="127">
        <v>10890</v>
      </c>
      <c r="X1028" s="125">
        <v>174.58699999999999</v>
      </c>
      <c r="Y1028" s="127">
        <v>10890</v>
      </c>
      <c r="Z1028" s="125">
        <v>173.05799999999999</v>
      </c>
      <c r="AA1028" s="127">
        <v>10890</v>
      </c>
      <c r="AB1028" s="125">
        <v>173.56200000000001</v>
      </c>
      <c r="AC1028" s="127">
        <v>10880</v>
      </c>
      <c r="AD1028" s="125">
        <v>124.274</v>
      </c>
      <c r="AE1028" s="127">
        <v>10890</v>
      </c>
      <c r="AF1028" s="125">
        <v>125.997</v>
      </c>
      <c r="AG1028" s="127">
        <v>10870</v>
      </c>
      <c r="AH1028" s="125">
        <v>26.143000000000001</v>
      </c>
      <c r="AI1028" s="127">
        <v>10870</v>
      </c>
      <c r="AJ1028" s="125">
        <v>28.178000000000001</v>
      </c>
    </row>
    <row r="1029" spans="1:36" ht="14.25">
      <c r="A1029" s="128">
        <v>10900</v>
      </c>
      <c r="B1029" s="125">
        <v>57.55</v>
      </c>
      <c r="C1029" s="128">
        <v>10910</v>
      </c>
      <c r="D1029" s="125">
        <v>56.796999999999997</v>
      </c>
      <c r="E1029" s="126">
        <v>10900</v>
      </c>
      <c r="F1029" s="125">
        <v>168.53299999999999</v>
      </c>
      <c r="G1029" s="127">
        <v>10900</v>
      </c>
      <c r="H1029" s="125">
        <v>168.63300000000001</v>
      </c>
      <c r="I1029" s="127">
        <v>10900</v>
      </c>
      <c r="J1029" s="125">
        <v>172.98699999999999</v>
      </c>
      <c r="K1029" s="127">
        <v>10900</v>
      </c>
      <c r="L1029" s="125">
        <v>171.78700000000001</v>
      </c>
      <c r="M1029" s="127">
        <v>10900</v>
      </c>
      <c r="N1029" s="125">
        <v>172.75800000000001</v>
      </c>
      <c r="O1029" s="127">
        <v>10880</v>
      </c>
      <c r="P1029" s="125">
        <v>173.761</v>
      </c>
      <c r="Q1029" s="127">
        <v>10900</v>
      </c>
      <c r="R1029" s="125">
        <v>173.47900000000001</v>
      </c>
      <c r="S1029" s="127">
        <v>10900</v>
      </c>
      <c r="T1029" s="125">
        <v>174.06899999999999</v>
      </c>
      <c r="U1029" s="127">
        <v>10890</v>
      </c>
      <c r="V1029" s="125">
        <v>174.137</v>
      </c>
      <c r="W1029" s="127">
        <v>10900</v>
      </c>
      <c r="X1029" s="125">
        <v>173.375</v>
      </c>
      <c r="Y1029" s="127">
        <v>10900</v>
      </c>
      <c r="Z1029" s="125">
        <v>171.84700000000001</v>
      </c>
      <c r="AA1029" s="127">
        <v>10900</v>
      </c>
      <c r="AB1029" s="125">
        <v>172.352</v>
      </c>
      <c r="AC1029" s="127">
        <v>10890</v>
      </c>
      <c r="AD1029" s="125">
        <v>123.301</v>
      </c>
      <c r="AE1029" s="127">
        <v>10900</v>
      </c>
      <c r="AF1029" s="125">
        <v>125.006</v>
      </c>
      <c r="AG1029" s="127">
        <v>10880</v>
      </c>
      <c r="AH1029" s="125">
        <v>25.931999999999999</v>
      </c>
      <c r="AI1029" s="127">
        <v>10880</v>
      </c>
      <c r="AJ1029" s="125">
        <v>27.952999999999999</v>
      </c>
    </row>
    <row r="1030" spans="1:36" ht="14.25">
      <c r="A1030" s="128">
        <v>10910</v>
      </c>
      <c r="B1030" s="125">
        <v>57.061999999999998</v>
      </c>
      <c r="C1030" s="128">
        <v>10920</v>
      </c>
      <c r="D1030" s="125">
        <v>56.314</v>
      </c>
      <c r="E1030" s="126">
        <v>10910</v>
      </c>
      <c r="F1030" s="125">
        <v>167.238</v>
      </c>
      <c r="G1030" s="127">
        <v>10910</v>
      </c>
      <c r="H1030" s="125">
        <v>167.33799999999999</v>
      </c>
      <c r="I1030" s="127">
        <v>10910</v>
      </c>
      <c r="J1030" s="125">
        <v>171.77600000000001</v>
      </c>
      <c r="K1030" s="127">
        <v>10910</v>
      </c>
      <c r="L1030" s="125">
        <v>170.57400000000001</v>
      </c>
      <c r="M1030" s="127">
        <v>10910</v>
      </c>
      <c r="N1030" s="125">
        <v>171.547</v>
      </c>
      <c r="O1030" s="127">
        <v>10890</v>
      </c>
      <c r="P1030" s="125">
        <v>172.55</v>
      </c>
      <c r="Q1030" s="127">
        <v>10910</v>
      </c>
      <c r="R1030" s="125">
        <v>172.267</v>
      </c>
      <c r="S1030" s="127">
        <v>10910</v>
      </c>
      <c r="T1030" s="125">
        <v>172.858</v>
      </c>
      <c r="U1030" s="127">
        <v>10900</v>
      </c>
      <c r="V1030" s="125">
        <v>172.92599999999999</v>
      </c>
      <c r="W1030" s="127">
        <v>10910</v>
      </c>
      <c r="X1030" s="125">
        <v>172.16399999999999</v>
      </c>
      <c r="Y1030" s="127">
        <v>10910</v>
      </c>
      <c r="Z1030" s="125">
        <v>170.637</v>
      </c>
      <c r="AA1030" s="127">
        <v>10910</v>
      </c>
      <c r="AB1030" s="125">
        <v>171.142</v>
      </c>
      <c r="AC1030" s="127">
        <v>10900</v>
      </c>
      <c r="AD1030" s="125">
        <v>122.33</v>
      </c>
      <c r="AE1030" s="127">
        <v>10910</v>
      </c>
      <c r="AF1030" s="125">
        <v>124.01600000000001</v>
      </c>
      <c r="AG1030" s="127">
        <v>10890</v>
      </c>
      <c r="AH1030" s="125">
        <v>25.722000000000001</v>
      </c>
      <c r="AI1030" s="127">
        <v>10890</v>
      </c>
      <c r="AJ1030" s="125">
        <v>27.728999999999999</v>
      </c>
    </row>
    <row r="1031" spans="1:36" ht="14.25">
      <c r="A1031" s="128">
        <v>10920</v>
      </c>
      <c r="B1031" s="125">
        <v>56.576000000000001</v>
      </c>
      <c r="C1031" s="128">
        <v>10930</v>
      </c>
      <c r="D1031" s="125">
        <v>55.832000000000001</v>
      </c>
      <c r="E1031" s="126">
        <v>10920</v>
      </c>
      <c r="F1031" s="125">
        <v>165.94399999999999</v>
      </c>
      <c r="G1031" s="127">
        <v>10920</v>
      </c>
      <c r="H1031" s="125">
        <v>166.04599999999999</v>
      </c>
      <c r="I1031" s="127">
        <v>10920</v>
      </c>
      <c r="J1031" s="125">
        <v>170.565</v>
      </c>
      <c r="K1031" s="127">
        <v>10920</v>
      </c>
      <c r="L1031" s="125">
        <v>169.36099999999999</v>
      </c>
      <c r="M1031" s="127">
        <v>10920</v>
      </c>
      <c r="N1031" s="125">
        <v>170.33500000000001</v>
      </c>
      <c r="O1031" s="127">
        <v>10900</v>
      </c>
      <c r="P1031" s="125">
        <v>171.33799999999999</v>
      </c>
      <c r="Q1031" s="127">
        <v>10920</v>
      </c>
      <c r="R1031" s="125">
        <v>171.05600000000001</v>
      </c>
      <c r="S1031" s="127">
        <v>10920</v>
      </c>
      <c r="T1031" s="125">
        <v>171.64599999999999</v>
      </c>
      <c r="U1031" s="127">
        <v>10910</v>
      </c>
      <c r="V1031" s="125">
        <v>171.71600000000001</v>
      </c>
      <c r="W1031" s="127">
        <v>10920</v>
      </c>
      <c r="X1031" s="125">
        <v>170.953</v>
      </c>
      <c r="Y1031" s="127">
        <v>10920</v>
      </c>
      <c r="Z1031" s="125">
        <v>169.42599999999999</v>
      </c>
      <c r="AA1031" s="127">
        <v>10920</v>
      </c>
      <c r="AB1031" s="125">
        <v>169.93199999999999</v>
      </c>
      <c r="AC1031" s="127">
        <v>10910</v>
      </c>
      <c r="AD1031" s="125">
        <v>121.36</v>
      </c>
      <c r="AE1031" s="127">
        <v>10920</v>
      </c>
      <c r="AF1031" s="125">
        <v>123.02500000000001</v>
      </c>
      <c r="AG1031" s="127">
        <v>10900</v>
      </c>
      <c r="AH1031" s="125">
        <v>25.512</v>
      </c>
      <c r="AI1031" s="127">
        <v>10900</v>
      </c>
      <c r="AJ1031" s="125">
        <v>27.504999999999999</v>
      </c>
    </row>
    <row r="1032" spans="1:36" ht="14.25">
      <c r="A1032" s="128">
        <v>10930</v>
      </c>
      <c r="B1032" s="125">
        <v>56.09</v>
      </c>
      <c r="C1032" s="128">
        <v>10940</v>
      </c>
      <c r="D1032" s="125">
        <v>55.350999999999999</v>
      </c>
      <c r="E1032" s="126">
        <v>10930</v>
      </c>
      <c r="F1032" s="125">
        <v>164.65199999999999</v>
      </c>
      <c r="G1032" s="127">
        <v>10930</v>
      </c>
      <c r="H1032" s="125">
        <v>164.755</v>
      </c>
      <c r="I1032" s="127">
        <v>10930</v>
      </c>
      <c r="J1032" s="125">
        <v>169.35400000000001</v>
      </c>
      <c r="K1032" s="127">
        <v>10930</v>
      </c>
      <c r="L1032" s="125">
        <v>168.148</v>
      </c>
      <c r="M1032" s="127">
        <v>10930</v>
      </c>
      <c r="N1032" s="125">
        <v>169.124</v>
      </c>
      <c r="O1032" s="127">
        <v>10910</v>
      </c>
      <c r="P1032" s="125">
        <v>170.126</v>
      </c>
      <c r="Q1032" s="127">
        <v>10930</v>
      </c>
      <c r="R1032" s="125">
        <v>169.845</v>
      </c>
      <c r="S1032" s="127">
        <v>10930</v>
      </c>
      <c r="T1032" s="125">
        <v>170.434</v>
      </c>
      <c r="U1032" s="127">
        <v>10920</v>
      </c>
      <c r="V1032" s="125">
        <v>170.505</v>
      </c>
      <c r="W1032" s="127">
        <v>10930</v>
      </c>
      <c r="X1032" s="125">
        <v>169.74199999999999</v>
      </c>
      <c r="Y1032" s="127">
        <v>10930</v>
      </c>
      <c r="Z1032" s="125">
        <v>168.21600000000001</v>
      </c>
      <c r="AA1032" s="127">
        <v>10930</v>
      </c>
      <c r="AB1032" s="125">
        <v>168.72200000000001</v>
      </c>
      <c r="AC1032" s="127">
        <v>10920</v>
      </c>
      <c r="AD1032" s="125">
        <v>120.392</v>
      </c>
      <c r="AE1032" s="127">
        <v>10930</v>
      </c>
      <c r="AF1032" s="125">
        <v>122.035</v>
      </c>
      <c r="AG1032" s="127">
        <v>10910</v>
      </c>
      <c r="AH1032" s="125">
        <v>25.302</v>
      </c>
      <c r="AI1032" s="127">
        <v>10910</v>
      </c>
      <c r="AJ1032" s="125">
        <v>27.280999999999999</v>
      </c>
    </row>
    <row r="1033" spans="1:36" ht="14.25">
      <c r="A1033" s="128">
        <v>10940</v>
      </c>
      <c r="B1033" s="125">
        <v>55.606000000000002</v>
      </c>
      <c r="C1033" s="128">
        <v>10950</v>
      </c>
      <c r="D1033" s="125">
        <v>54.871000000000002</v>
      </c>
      <c r="E1033" s="126">
        <v>10940</v>
      </c>
      <c r="F1033" s="125">
        <v>163.36099999999999</v>
      </c>
      <c r="G1033" s="127">
        <v>10940</v>
      </c>
      <c r="H1033" s="125">
        <v>163.465</v>
      </c>
      <c r="I1033" s="127">
        <v>10940</v>
      </c>
      <c r="J1033" s="125">
        <v>168.143</v>
      </c>
      <c r="K1033" s="127">
        <v>10940</v>
      </c>
      <c r="L1033" s="125">
        <v>166.934</v>
      </c>
      <c r="M1033" s="127">
        <v>10940</v>
      </c>
      <c r="N1033" s="125">
        <v>167.91300000000001</v>
      </c>
      <c r="O1033" s="127">
        <v>10920</v>
      </c>
      <c r="P1033" s="125">
        <v>168.91499999999999</v>
      </c>
      <c r="Q1033" s="127">
        <v>10940</v>
      </c>
      <c r="R1033" s="125">
        <v>168.63300000000001</v>
      </c>
      <c r="S1033" s="127">
        <v>10940</v>
      </c>
      <c r="T1033" s="125">
        <v>169.22200000000001</v>
      </c>
      <c r="U1033" s="127">
        <v>10930</v>
      </c>
      <c r="V1033" s="125">
        <v>169.29400000000001</v>
      </c>
      <c r="W1033" s="127">
        <v>10940</v>
      </c>
      <c r="X1033" s="125">
        <v>168.53100000000001</v>
      </c>
      <c r="Y1033" s="127">
        <v>10940</v>
      </c>
      <c r="Z1033" s="125">
        <v>167.005</v>
      </c>
      <c r="AA1033" s="127">
        <v>10940</v>
      </c>
      <c r="AB1033" s="125">
        <v>167.512</v>
      </c>
      <c r="AC1033" s="127">
        <v>10930</v>
      </c>
      <c r="AD1033" s="125">
        <v>119.42400000000001</v>
      </c>
      <c r="AE1033" s="127">
        <v>10940</v>
      </c>
      <c r="AF1033" s="125">
        <v>121.045</v>
      </c>
      <c r="AG1033" s="127">
        <v>10920</v>
      </c>
      <c r="AH1033" s="125">
        <v>25.094000000000001</v>
      </c>
      <c r="AI1033" s="127">
        <v>10920</v>
      </c>
      <c r="AJ1033" s="125">
        <v>27.059000000000001</v>
      </c>
    </row>
    <row r="1034" spans="1:36" ht="14.25">
      <c r="A1034" s="128">
        <v>10950</v>
      </c>
      <c r="B1034" s="125">
        <v>55.124000000000002</v>
      </c>
      <c r="C1034" s="128">
        <v>10960</v>
      </c>
      <c r="D1034" s="125">
        <v>54.392000000000003</v>
      </c>
      <c r="E1034" s="126">
        <v>10950</v>
      </c>
      <c r="F1034" s="125">
        <v>162.072</v>
      </c>
      <c r="G1034" s="127">
        <v>10950</v>
      </c>
      <c r="H1034" s="125">
        <v>162.178</v>
      </c>
      <c r="I1034" s="127">
        <v>10950</v>
      </c>
      <c r="J1034" s="125">
        <v>166.93199999999999</v>
      </c>
      <c r="K1034" s="127">
        <v>10950</v>
      </c>
      <c r="L1034" s="125">
        <v>165.721</v>
      </c>
      <c r="M1034" s="127">
        <v>10950</v>
      </c>
      <c r="N1034" s="125">
        <v>166.70099999999999</v>
      </c>
      <c r="O1034" s="127">
        <v>10930</v>
      </c>
      <c r="P1034" s="125">
        <v>167.703</v>
      </c>
      <c r="Q1034" s="127">
        <v>10950</v>
      </c>
      <c r="R1034" s="125">
        <v>167.422</v>
      </c>
      <c r="S1034" s="127">
        <v>10950</v>
      </c>
      <c r="T1034" s="125">
        <v>168.01</v>
      </c>
      <c r="U1034" s="127">
        <v>10940</v>
      </c>
      <c r="V1034" s="125">
        <v>168.084</v>
      </c>
      <c r="W1034" s="127">
        <v>10950</v>
      </c>
      <c r="X1034" s="125">
        <v>167.31899999999999</v>
      </c>
      <c r="Y1034" s="127">
        <v>10950</v>
      </c>
      <c r="Z1034" s="125">
        <v>165.79499999999999</v>
      </c>
      <c r="AA1034" s="127">
        <v>10950</v>
      </c>
      <c r="AB1034" s="125">
        <v>166.30199999999999</v>
      </c>
      <c r="AC1034" s="127">
        <v>10940</v>
      </c>
      <c r="AD1034" s="125">
        <v>118.459</v>
      </c>
      <c r="AE1034" s="127">
        <v>10950</v>
      </c>
      <c r="AF1034" s="125">
        <v>120.054</v>
      </c>
      <c r="AG1034" s="127">
        <v>10930</v>
      </c>
      <c r="AH1034" s="125">
        <v>24.885000000000002</v>
      </c>
      <c r="AI1034" s="127">
        <v>10930</v>
      </c>
      <c r="AJ1034" s="125">
        <v>26.835999999999999</v>
      </c>
    </row>
    <row r="1035" spans="1:36" ht="14.25">
      <c r="A1035" s="128">
        <v>10960</v>
      </c>
      <c r="B1035" s="125">
        <v>54.642000000000003</v>
      </c>
      <c r="C1035" s="128">
        <v>10970</v>
      </c>
      <c r="D1035" s="125">
        <v>53.914999999999999</v>
      </c>
      <c r="E1035" s="126">
        <v>10960</v>
      </c>
      <c r="F1035" s="125">
        <v>160.78399999999999</v>
      </c>
      <c r="G1035" s="127">
        <v>10960</v>
      </c>
      <c r="H1035" s="125">
        <v>160.89099999999999</v>
      </c>
      <c r="I1035" s="127">
        <v>10960</v>
      </c>
      <c r="J1035" s="125">
        <v>165.72200000000001</v>
      </c>
      <c r="K1035" s="127">
        <v>10960</v>
      </c>
      <c r="L1035" s="125">
        <v>164.50800000000001</v>
      </c>
      <c r="M1035" s="127">
        <v>10960</v>
      </c>
      <c r="N1035" s="125">
        <v>165.49</v>
      </c>
      <c r="O1035" s="127">
        <v>10940</v>
      </c>
      <c r="P1035" s="125">
        <v>166.49199999999999</v>
      </c>
      <c r="Q1035" s="127">
        <v>10960</v>
      </c>
      <c r="R1035" s="125">
        <v>166.21100000000001</v>
      </c>
      <c r="S1035" s="127">
        <v>10960</v>
      </c>
      <c r="T1035" s="125">
        <v>166.798</v>
      </c>
      <c r="U1035" s="127">
        <v>10950</v>
      </c>
      <c r="V1035" s="125">
        <v>166.87299999999999</v>
      </c>
      <c r="W1035" s="127">
        <v>10960</v>
      </c>
      <c r="X1035" s="125">
        <v>166.108</v>
      </c>
      <c r="Y1035" s="127">
        <v>10960</v>
      </c>
      <c r="Z1035" s="125">
        <v>164.584</v>
      </c>
      <c r="AA1035" s="127">
        <v>10960</v>
      </c>
      <c r="AB1035" s="125">
        <v>165.09200000000001</v>
      </c>
      <c r="AC1035" s="127">
        <v>10950</v>
      </c>
      <c r="AD1035" s="125">
        <v>117.494</v>
      </c>
      <c r="AE1035" s="127">
        <v>10960</v>
      </c>
      <c r="AF1035" s="125">
        <v>119.06399999999999</v>
      </c>
      <c r="AG1035" s="127">
        <v>10940</v>
      </c>
      <c r="AH1035" s="125">
        <v>24.678000000000001</v>
      </c>
      <c r="AI1035" s="127">
        <v>10940</v>
      </c>
      <c r="AJ1035" s="125">
        <v>26.614000000000001</v>
      </c>
    </row>
    <row r="1036" spans="1:36" ht="14.25">
      <c r="A1036" s="128">
        <v>10970</v>
      </c>
      <c r="B1036" s="125">
        <v>54.161000000000001</v>
      </c>
      <c r="C1036" s="128">
        <v>10980</v>
      </c>
      <c r="D1036" s="125">
        <v>53.439</v>
      </c>
      <c r="E1036" s="126">
        <v>10970</v>
      </c>
      <c r="F1036" s="125">
        <v>159.499</v>
      </c>
      <c r="G1036" s="127">
        <v>10970</v>
      </c>
      <c r="H1036" s="125">
        <v>159.607</v>
      </c>
      <c r="I1036" s="127">
        <v>10970</v>
      </c>
      <c r="J1036" s="125">
        <v>164.511</v>
      </c>
      <c r="K1036" s="127">
        <v>10970</v>
      </c>
      <c r="L1036" s="125">
        <v>163.29400000000001</v>
      </c>
      <c r="M1036" s="127">
        <v>10970</v>
      </c>
      <c r="N1036" s="125">
        <v>164.279</v>
      </c>
      <c r="O1036" s="127">
        <v>10950</v>
      </c>
      <c r="P1036" s="125">
        <v>165.28</v>
      </c>
      <c r="Q1036" s="127">
        <v>10970</v>
      </c>
      <c r="R1036" s="125">
        <v>164.999</v>
      </c>
      <c r="S1036" s="127">
        <v>10970</v>
      </c>
      <c r="T1036" s="125">
        <v>165.58600000000001</v>
      </c>
      <c r="U1036" s="127">
        <v>10960</v>
      </c>
      <c r="V1036" s="125">
        <v>165.66300000000001</v>
      </c>
      <c r="W1036" s="127">
        <v>10970</v>
      </c>
      <c r="X1036" s="125">
        <v>164.89699999999999</v>
      </c>
      <c r="Y1036" s="127">
        <v>10970</v>
      </c>
      <c r="Z1036" s="125">
        <v>163.37299999999999</v>
      </c>
      <c r="AA1036" s="127">
        <v>10970</v>
      </c>
      <c r="AB1036" s="125">
        <v>163.881</v>
      </c>
      <c r="AC1036" s="127">
        <v>10960</v>
      </c>
      <c r="AD1036" s="125">
        <v>116.53100000000001</v>
      </c>
      <c r="AE1036" s="127">
        <v>10970</v>
      </c>
      <c r="AF1036" s="125">
        <v>118.074</v>
      </c>
      <c r="AG1036" s="127">
        <v>10950</v>
      </c>
      <c r="AH1036" s="125">
        <v>24.47</v>
      </c>
      <c r="AI1036" s="127">
        <v>10950</v>
      </c>
      <c r="AJ1036" s="125">
        <v>26.393000000000001</v>
      </c>
    </row>
    <row r="1037" spans="1:36" ht="14.25">
      <c r="A1037" s="128">
        <v>10980</v>
      </c>
      <c r="B1037" s="125">
        <v>53.682000000000002</v>
      </c>
      <c r="C1037" s="128">
        <v>10990</v>
      </c>
      <c r="D1037" s="125">
        <v>52.963000000000001</v>
      </c>
      <c r="E1037" s="126">
        <v>10980</v>
      </c>
      <c r="F1037" s="125">
        <v>158.214</v>
      </c>
      <c r="G1037" s="127">
        <v>10980</v>
      </c>
      <c r="H1037" s="125">
        <v>158.32400000000001</v>
      </c>
      <c r="I1037" s="127">
        <v>10980</v>
      </c>
      <c r="J1037" s="125">
        <v>163.30000000000001</v>
      </c>
      <c r="K1037" s="127">
        <v>10980</v>
      </c>
      <c r="L1037" s="125">
        <v>162.08099999999999</v>
      </c>
      <c r="M1037" s="127">
        <v>10980</v>
      </c>
      <c r="N1037" s="125">
        <v>163.06700000000001</v>
      </c>
      <c r="O1037" s="127">
        <v>10960</v>
      </c>
      <c r="P1037" s="125">
        <v>164.06800000000001</v>
      </c>
      <c r="Q1037" s="127">
        <v>10980</v>
      </c>
      <c r="R1037" s="125">
        <v>163.78800000000001</v>
      </c>
      <c r="S1037" s="127">
        <v>10980</v>
      </c>
      <c r="T1037" s="125">
        <v>164.374</v>
      </c>
      <c r="U1037" s="127">
        <v>10970</v>
      </c>
      <c r="V1037" s="125">
        <v>164.452</v>
      </c>
      <c r="W1037" s="127">
        <v>10980</v>
      </c>
      <c r="X1037" s="125">
        <v>163.68600000000001</v>
      </c>
      <c r="Y1037" s="127">
        <v>10980</v>
      </c>
      <c r="Z1037" s="125">
        <v>162.16300000000001</v>
      </c>
      <c r="AA1037" s="127">
        <v>10980</v>
      </c>
      <c r="AB1037" s="125">
        <v>162.67099999999999</v>
      </c>
      <c r="AC1037" s="127">
        <v>10970</v>
      </c>
      <c r="AD1037" s="125">
        <v>115.569</v>
      </c>
      <c r="AE1037" s="127">
        <v>10980</v>
      </c>
      <c r="AF1037" s="125">
        <v>117.083</v>
      </c>
      <c r="AG1037" s="127">
        <v>10960</v>
      </c>
      <c r="AH1037" s="125">
        <v>24.263999999999999</v>
      </c>
      <c r="AI1037" s="127">
        <v>10960</v>
      </c>
      <c r="AJ1037" s="125">
        <v>26.172000000000001</v>
      </c>
    </row>
    <row r="1038" spans="1:36" ht="14.25">
      <c r="A1038" s="128">
        <v>10990</v>
      </c>
      <c r="B1038" s="125">
        <v>53.204000000000001</v>
      </c>
      <c r="C1038" s="128">
        <v>11000</v>
      </c>
      <c r="D1038" s="125">
        <v>52.488999999999997</v>
      </c>
      <c r="E1038" s="126">
        <v>10990</v>
      </c>
      <c r="F1038" s="125">
        <v>156.93199999999999</v>
      </c>
      <c r="G1038" s="127">
        <v>10990</v>
      </c>
      <c r="H1038" s="125">
        <v>157.04300000000001</v>
      </c>
      <c r="I1038" s="127">
        <v>10990</v>
      </c>
      <c r="J1038" s="125">
        <v>162.089</v>
      </c>
      <c r="K1038" s="127">
        <v>10990</v>
      </c>
      <c r="L1038" s="125">
        <v>160.86799999999999</v>
      </c>
      <c r="M1038" s="127">
        <v>10990</v>
      </c>
      <c r="N1038" s="125">
        <v>161.85599999999999</v>
      </c>
      <c r="O1038" s="127">
        <v>10970</v>
      </c>
      <c r="P1038" s="125">
        <v>162.857</v>
      </c>
      <c r="Q1038" s="127">
        <v>10990</v>
      </c>
      <c r="R1038" s="125">
        <v>162.577</v>
      </c>
      <c r="S1038" s="127">
        <v>10990</v>
      </c>
      <c r="T1038" s="125">
        <v>163.16200000000001</v>
      </c>
      <c r="U1038" s="127">
        <v>10980</v>
      </c>
      <c r="V1038" s="125">
        <v>163.24199999999999</v>
      </c>
      <c r="W1038" s="127">
        <v>10990</v>
      </c>
      <c r="X1038" s="125">
        <v>162.47499999999999</v>
      </c>
      <c r="Y1038" s="127">
        <v>10990</v>
      </c>
      <c r="Z1038" s="125">
        <v>160.952</v>
      </c>
      <c r="AA1038" s="127">
        <v>10990</v>
      </c>
      <c r="AB1038" s="125">
        <v>161.46100000000001</v>
      </c>
      <c r="AC1038" s="127">
        <v>10980</v>
      </c>
      <c r="AD1038" s="125">
        <v>114.60899999999999</v>
      </c>
      <c r="AE1038" s="127">
        <v>10990</v>
      </c>
      <c r="AF1038" s="125">
        <v>116.093</v>
      </c>
      <c r="AG1038" s="127">
        <v>10970</v>
      </c>
      <c r="AH1038" s="125">
        <v>24.056999999999999</v>
      </c>
      <c r="AI1038" s="127">
        <v>10970</v>
      </c>
      <c r="AJ1038" s="125">
        <v>25.952000000000002</v>
      </c>
    </row>
    <row r="1039" spans="1:36" ht="14.25">
      <c r="A1039" s="128">
        <v>11000</v>
      </c>
      <c r="B1039" s="125">
        <v>52.725999999999999</v>
      </c>
      <c r="C1039" s="128">
        <v>11010</v>
      </c>
      <c r="D1039" s="125">
        <v>52.015999999999998</v>
      </c>
      <c r="E1039" s="126">
        <v>11000</v>
      </c>
      <c r="F1039" s="125">
        <v>155.65100000000001</v>
      </c>
      <c r="G1039" s="127">
        <v>11000</v>
      </c>
      <c r="H1039" s="125">
        <v>155.76300000000001</v>
      </c>
      <c r="I1039" s="127">
        <v>11000</v>
      </c>
      <c r="J1039" s="125">
        <v>160.87799999999999</v>
      </c>
      <c r="K1039" s="127">
        <v>11000</v>
      </c>
      <c r="L1039" s="125">
        <v>159.655</v>
      </c>
      <c r="M1039" s="127">
        <v>11000</v>
      </c>
      <c r="N1039" s="125">
        <v>160.64500000000001</v>
      </c>
      <c r="O1039" s="127">
        <v>10980</v>
      </c>
      <c r="P1039" s="125">
        <v>161.64500000000001</v>
      </c>
      <c r="Q1039" s="127">
        <v>11000</v>
      </c>
      <c r="R1039" s="125">
        <v>161.36600000000001</v>
      </c>
      <c r="S1039" s="127">
        <v>11000</v>
      </c>
      <c r="T1039" s="125">
        <v>161.94999999999999</v>
      </c>
      <c r="U1039" s="127">
        <v>10990</v>
      </c>
      <c r="V1039" s="125">
        <v>162.03100000000001</v>
      </c>
      <c r="W1039" s="127">
        <v>11000</v>
      </c>
      <c r="X1039" s="125">
        <v>161.26300000000001</v>
      </c>
      <c r="Y1039" s="127">
        <v>11000</v>
      </c>
      <c r="Z1039" s="125">
        <v>159.74199999999999</v>
      </c>
      <c r="AA1039" s="127">
        <v>11000</v>
      </c>
      <c r="AB1039" s="125">
        <v>160.251</v>
      </c>
      <c r="AC1039" s="127">
        <v>10990</v>
      </c>
      <c r="AD1039" s="125">
        <v>113.65</v>
      </c>
      <c r="AE1039" s="127">
        <v>11000</v>
      </c>
      <c r="AF1039" s="125">
        <v>115.10299999999999</v>
      </c>
      <c r="AG1039" s="127">
        <v>10980</v>
      </c>
      <c r="AH1039" s="125">
        <v>23.852</v>
      </c>
      <c r="AI1039" s="127">
        <v>10980</v>
      </c>
      <c r="AJ1039" s="125">
        <v>25.731999999999999</v>
      </c>
    </row>
    <row r="1040" spans="1:36" ht="14.25">
      <c r="A1040" s="128">
        <v>11010</v>
      </c>
      <c r="B1040" s="125">
        <v>52.25</v>
      </c>
      <c r="C1040" s="128">
        <v>11020</v>
      </c>
      <c r="D1040" s="125">
        <v>51.545000000000002</v>
      </c>
      <c r="E1040" s="126">
        <v>11010</v>
      </c>
      <c r="F1040" s="125">
        <v>154.37200000000001</v>
      </c>
      <c r="G1040" s="127">
        <v>11010</v>
      </c>
      <c r="H1040" s="125">
        <v>154.48500000000001</v>
      </c>
      <c r="I1040" s="127">
        <v>11010</v>
      </c>
      <c r="J1040" s="125">
        <v>159.667</v>
      </c>
      <c r="K1040" s="127">
        <v>11010</v>
      </c>
      <c r="L1040" s="125">
        <v>158.441</v>
      </c>
      <c r="M1040" s="127">
        <v>11010</v>
      </c>
      <c r="N1040" s="125">
        <v>159.43299999999999</v>
      </c>
      <c r="O1040" s="127">
        <v>10990</v>
      </c>
      <c r="P1040" s="125">
        <v>160.434</v>
      </c>
      <c r="Q1040" s="127">
        <v>11010</v>
      </c>
      <c r="R1040" s="125">
        <v>160.154</v>
      </c>
      <c r="S1040" s="127">
        <v>11010</v>
      </c>
      <c r="T1040" s="125">
        <v>160.738</v>
      </c>
      <c r="U1040" s="127">
        <v>11000</v>
      </c>
      <c r="V1040" s="125">
        <v>160.82</v>
      </c>
      <c r="W1040" s="127">
        <v>11010</v>
      </c>
      <c r="X1040" s="125">
        <v>160.05199999999999</v>
      </c>
      <c r="Y1040" s="127">
        <v>11010</v>
      </c>
      <c r="Z1040" s="125">
        <v>158.53100000000001</v>
      </c>
      <c r="AA1040" s="127">
        <v>11010</v>
      </c>
      <c r="AB1040" s="125">
        <v>159.041</v>
      </c>
      <c r="AC1040" s="127">
        <v>11000</v>
      </c>
      <c r="AD1040" s="125">
        <v>112.69199999999999</v>
      </c>
      <c r="AE1040" s="127">
        <v>11010</v>
      </c>
      <c r="AF1040" s="125">
        <v>114.121</v>
      </c>
      <c r="AG1040" s="127">
        <v>10990</v>
      </c>
      <c r="AH1040" s="125">
        <v>23.646000000000001</v>
      </c>
      <c r="AI1040" s="127">
        <v>10990</v>
      </c>
      <c r="AJ1040" s="125">
        <v>25.513000000000002</v>
      </c>
    </row>
    <row r="1041" spans="1:36" ht="14.25">
      <c r="A1041" s="128">
        <v>11020</v>
      </c>
      <c r="B1041" s="125">
        <v>51.776000000000003</v>
      </c>
      <c r="C1041" s="128">
        <v>11030</v>
      </c>
      <c r="D1041" s="125">
        <v>51.073999999999998</v>
      </c>
      <c r="E1041" s="126">
        <v>11020</v>
      </c>
      <c r="F1041" s="125">
        <v>153.09399999999999</v>
      </c>
      <c r="G1041" s="127">
        <v>11020</v>
      </c>
      <c r="H1041" s="125">
        <v>153.209</v>
      </c>
      <c r="I1041" s="127">
        <v>11020</v>
      </c>
      <c r="J1041" s="125">
        <v>158.45599999999999</v>
      </c>
      <c r="K1041" s="127">
        <v>11020</v>
      </c>
      <c r="L1041" s="125">
        <v>157.22800000000001</v>
      </c>
      <c r="M1041" s="127">
        <v>11020</v>
      </c>
      <c r="N1041" s="125">
        <v>158.22200000000001</v>
      </c>
      <c r="O1041" s="127">
        <v>11000</v>
      </c>
      <c r="P1041" s="125">
        <v>159.22200000000001</v>
      </c>
      <c r="Q1041" s="127">
        <v>11020</v>
      </c>
      <c r="R1041" s="125">
        <v>158.94300000000001</v>
      </c>
      <c r="S1041" s="127">
        <v>11020</v>
      </c>
      <c r="T1041" s="125">
        <v>159.52600000000001</v>
      </c>
      <c r="U1041" s="127">
        <v>11010</v>
      </c>
      <c r="V1041" s="125">
        <v>159.61000000000001</v>
      </c>
      <c r="W1041" s="127">
        <v>11020</v>
      </c>
      <c r="X1041" s="125">
        <v>158.84100000000001</v>
      </c>
      <c r="Y1041" s="127">
        <v>11020</v>
      </c>
      <c r="Z1041" s="125">
        <v>157.321</v>
      </c>
      <c r="AA1041" s="127">
        <v>11020</v>
      </c>
      <c r="AB1041" s="125">
        <v>157.83099999999999</v>
      </c>
      <c r="AC1041" s="127">
        <v>11010</v>
      </c>
      <c r="AD1041" s="125">
        <v>111.736</v>
      </c>
      <c r="AE1041" s="127">
        <v>11020</v>
      </c>
      <c r="AF1041" s="125">
        <v>113.164</v>
      </c>
      <c r="AG1041" s="127">
        <v>11000</v>
      </c>
      <c r="AH1041" s="125">
        <v>23.440999999999999</v>
      </c>
      <c r="AI1041" s="127">
        <v>11000</v>
      </c>
      <c r="AJ1041" s="125">
        <v>25.294</v>
      </c>
    </row>
    <row r="1042" spans="1:36" ht="14.25">
      <c r="A1042" s="128">
        <v>11030</v>
      </c>
      <c r="B1042" s="125">
        <v>51.302</v>
      </c>
      <c r="C1042" s="128">
        <v>11040</v>
      </c>
      <c r="D1042" s="125">
        <v>50.603999999999999</v>
      </c>
      <c r="E1042" s="126">
        <v>11030</v>
      </c>
      <c r="F1042" s="125">
        <v>151.81800000000001</v>
      </c>
      <c r="G1042" s="127">
        <v>11030</v>
      </c>
      <c r="H1042" s="125">
        <v>151.934</v>
      </c>
      <c r="I1042" s="127">
        <v>11030</v>
      </c>
      <c r="J1042" s="125">
        <v>157.245</v>
      </c>
      <c r="K1042" s="127">
        <v>11030</v>
      </c>
      <c r="L1042" s="125">
        <v>156.01499999999999</v>
      </c>
      <c r="M1042" s="127">
        <v>11030</v>
      </c>
      <c r="N1042" s="125">
        <v>157.011</v>
      </c>
      <c r="O1042" s="127">
        <v>11010</v>
      </c>
      <c r="P1042" s="125">
        <v>158.01</v>
      </c>
      <c r="Q1042" s="127">
        <v>11030</v>
      </c>
      <c r="R1042" s="125">
        <v>157.732</v>
      </c>
      <c r="S1042" s="127">
        <v>11030</v>
      </c>
      <c r="T1042" s="125">
        <v>158.31399999999999</v>
      </c>
      <c r="U1042" s="127">
        <v>11020</v>
      </c>
      <c r="V1042" s="125">
        <v>158.399</v>
      </c>
      <c r="W1042" s="127">
        <v>11030</v>
      </c>
      <c r="X1042" s="125">
        <v>157.63</v>
      </c>
      <c r="Y1042" s="127">
        <v>11030</v>
      </c>
      <c r="Z1042" s="125">
        <v>156.11000000000001</v>
      </c>
      <c r="AA1042" s="127">
        <v>11030</v>
      </c>
      <c r="AB1042" s="125">
        <v>156.62100000000001</v>
      </c>
      <c r="AC1042" s="127">
        <v>11020</v>
      </c>
      <c r="AD1042" s="125">
        <v>110.78100000000001</v>
      </c>
      <c r="AE1042" s="127">
        <v>11030</v>
      </c>
      <c r="AF1042" s="125">
        <v>112.20699999999999</v>
      </c>
      <c r="AG1042" s="127">
        <v>11010</v>
      </c>
      <c r="AH1042" s="125">
        <v>23.236999999999998</v>
      </c>
      <c r="AI1042" s="127">
        <v>11010</v>
      </c>
      <c r="AJ1042" s="125">
        <v>25.074999999999999</v>
      </c>
    </row>
    <row r="1043" spans="1:36" ht="14.25">
      <c r="A1043" s="128">
        <v>11040</v>
      </c>
      <c r="B1043" s="125">
        <v>50.829000000000001</v>
      </c>
      <c r="C1043" s="128">
        <v>11050</v>
      </c>
      <c r="D1043" s="125">
        <v>50.136000000000003</v>
      </c>
      <c r="E1043" s="126">
        <v>11040</v>
      </c>
      <c r="F1043" s="125">
        <v>150.54400000000001</v>
      </c>
      <c r="G1043" s="127">
        <v>11040</v>
      </c>
      <c r="H1043" s="125">
        <v>150.661</v>
      </c>
      <c r="I1043" s="127">
        <v>11040</v>
      </c>
      <c r="J1043" s="125">
        <v>156.03399999999999</v>
      </c>
      <c r="K1043" s="127">
        <v>11040</v>
      </c>
      <c r="L1043" s="125">
        <v>154.80199999999999</v>
      </c>
      <c r="M1043" s="127">
        <v>11040</v>
      </c>
      <c r="N1043" s="125">
        <v>155.79900000000001</v>
      </c>
      <c r="O1043" s="127">
        <v>11020</v>
      </c>
      <c r="P1043" s="125">
        <v>156.79900000000001</v>
      </c>
      <c r="Q1043" s="127">
        <v>11040</v>
      </c>
      <c r="R1043" s="125">
        <v>156.52000000000001</v>
      </c>
      <c r="S1043" s="127">
        <v>11040</v>
      </c>
      <c r="T1043" s="125">
        <v>157.10300000000001</v>
      </c>
      <c r="U1043" s="127">
        <v>11030</v>
      </c>
      <c r="V1043" s="125">
        <v>157.18899999999999</v>
      </c>
      <c r="W1043" s="127">
        <v>11040</v>
      </c>
      <c r="X1043" s="125">
        <v>156.41800000000001</v>
      </c>
      <c r="Y1043" s="127">
        <v>11040</v>
      </c>
      <c r="Z1043" s="125">
        <v>154.899</v>
      </c>
      <c r="AA1043" s="127">
        <v>11040</v>
      </c>
      <c r="AB1043" s="125">
        <v>155.411</v>
      </c>
      <c r="AC1043" s="127">
        <v>11030</v>
      </c>
      <c r="AD1043" s="125">
        <v>109.828</v>
      </c>
      <c r="AE1043" s="127">
        <v>11040</v>
      </c>
      <c r="AF1043" s="125">
        <v>111.252</v>
      </c>
      <c r="AG1043" s="127">
        <v>11020</v>
      </c>
      <c r="AH1043" s="125">
        <v>23.033000000000001</v>
      </c>
      <c r="AI1043" s="127">
        <v>11020</v>
      </c>
      <c r="AJ1043" s="125">
        <v>24.856999999999999</v>
      </c>
    </row>
    <row r="1044" spans="1:36" ht="14.25">
      <c r="A1044" s="128">
        <v>11050</v>
      </c>
      <c r="B1044" s="125">
        <v>50.357999999999997</v>
      </c>
      <c r="C1044" s="128">
        <v>11060</v>
      </c>
      <c r="D1044" s="125">
        <v>49.668999999999997</v>
      </c>
      <c r="E1044" s="126">
        <v>11050</v>
      </c>
      <c r="F1044" s="125">
        <v>149.27199999999999</v>
      </c>
      <c r="G1044" s="127">
        <v>11050</v>
      </c>
      <c r="H1044" s="125">
        <v>149.38999999999999</v>
      </c>
      <c r="I1044" s="127">
        <v>11050</v>
      </c>
      <c r="J1044" s="125">
        <v>154.82300000000001</v>
      </c>
      <c r="K1044" s="127">
        <v>11050</v>
      </c>
      <c r="L1044" s="125">
        <v>153.58799999999999</v>
      </c>
      <c r="M1044" s="127">
        <v>11050</v>
      </c>
      <c r="N1044" s="125">
        <v>154.58799999999999</v>
      </c>
      <c r="O1044" s="127">
        <v>11030</v>
      </c>
      <c r="P1044" s="125">
        <v>155.58699999999999</v>
      </c>
      <c r="Q1044" s="127">
        <v>11050</v>
      </c>
      <c r="R1044" s="125">
        <v>155.309</v>
      </c>
      <c r="S1044" s="127">
        <v>11050</v>
      </c>
      <c r="T1044" s="125">
        <v>155.89099999999999</v>
      </c>
      <c r="U1044" s="127">
        <v>11040</v>
      </c>
      <c r="V1044" s="125">
        <v>155.97800000000001</v>
      </c>
      <c r="W1044" s="127">
        <v>11050</v>
      </c>
      <c r="X1044" s="125">
        <v>155.20699999999999</v>
      </c>
      <c r="Y1044" s="127">
        <v>11050</v>
      </c>
      <c r="Z1044" s="125">
        <v>153.68899999999999</v>
      </c>
      <c r="AA1044" s="127">
        <v>11050</v>
      </c>
      <c r="AB1044" s="125">
        <v>154.20099999999999</v>
      </c>
      <c r="AC1044" s="127">
        <v>11040</v>
      </c>
      <c r="AD1044" s="125">
        <v>108.876</v>
      </c>
      <c r="AE1044" s="127">
        <v>11050</v>
      </c>
      <c r="AF1044" s="125">
        <v>110.29900000000001</v>
      </c>
      <c r="AG1044" s="127">
        <v>11030</v>
      </c>
      <c r="AH1044" s="125">
        <v>22.829000000000001</v>
      </c>
      <c r="AI1044" s="127">
        <v>11030</v>
      </c>
      <c r="AJ1044" s="125">
        <v>24.638999999999999</v>
      </c>
    </row>
    <row r="1045" spans="1:36" ht="14.25">
      <c r="A1045" s="128">
        <v>11060</v>
      </c>
      <c r="B1045" s="125">
        <v>49.887999999999998</v>
      </c>
      <c r="C1045" s="128">
        <v>11070</v>
      </c>
      <c r="D1045" s="125">
        <v>49.203000000000003</v>
      </c>
      <c r="E1045" s="126">
        <v>11060</v>
      </c>
      <c r="F1045" s="125">
        <v>148.001</v>
      </c>
      <c r="G1045" s="127">
        <v>11060</v>
      </c>
      <c r="H1045" s="125">
        <v>148.12</v>
      </c>
      <c r="I1045" s="127">
        <v>11060</v>
      </c>
      <c r="J1045" s="125">
        <v>153.61199999999999</v>
      </c>
      <c r="K1045" s="127">
        <v>11060</v>
      </c>
      <c r="L1045" s="125">
        <v>152.375</v>
      </c>
      <c r="M1045" s="127">
        <v>11060</v>
      </c>
      <c r="N1045" s="125">
        <v>153.37700000000001</v>
      </c>
      <c r="O1045" s="127">
        <v>11040</v>
      </c>
      <c r="P1045" s="125">
        <v>154.376</v>
      </c>
      <c r="Q1045" s="127">
        <v>11060</v>
      </c>
      <c r="R1045" s="125">
        <v>154.09800000000001</v>
      </c>
      <c r="S1045" s="127">
        <v>11060</v>
      </c>
      <c r="T1045" s="125">
        <v>154.679</v>
      </c>
      <c r="U1045" s="127">
        <v>11050</v>
      </c>
      <c r="V1045" s="125">
        <v>154.767</v>
      </c>
      <c r="W1045" s="127">
        <v>11060</v>
      </c>
      <c r="X1045" s="125">
        <v>153.99600000000001</v>
      </c>
      <c r="Y1045" s="127">
        <v>11060</v>
      </c>
      <c r="Z1045" s="125">
        <v>152.47800000000001</v>
      </c>
      <c r="AA1045" s="127">
        <v>11060</v>
      </c>
      <c r="AB1045" s="125">
        <v>152.99100000000001</v>
      </c>
      <c r="AC1045" s="127">
        <v>11050</v>
      </c>
      <c r="AD1045" s="125">
        <v>107.926</v>
      </c>
      <c r="AE1045" s="127">
        <v>11060</v>
      </c>
      <c r="AF1045" s="125">
        <v>109.34699999999999</v>
      </c>
      <c r="AG1045" s="127">
        <v>11040</v>
      </c>
      <c r="AH1045" s="125">
        <v>22.626000000000001</v>
      </c>
      <c r="AI1045" s="127">
        <v>11040</v>
      </c>
      <c r="AJ1045" s="125">
        <v>24.420999999999999</v>
      </c>
    </row>
    <row r="1046" spans="1:36" ht="14.25">
      <c r="A1046" s="128">
        <v>11070</v>
      </c>
      <c r="B1046" s="125">
        <v>49.418999999999997</v>
      </c>
      <c r="C1046" s="128">
        <v>11080</v>
      </c>
      <c r="D1046" s="125">
        <v>48.738</v>
      </c>
      <c r="E1046" s="126">
        <v>11070</v>
      </c>
      <c r="F1046" s="125">
        <v>146.73099999999999</v>
      </c>
      <c r="G1046" s="127">
        <v>11070</v>
      </c>
      <c r="H1046" s="125">
        <v>146.852</v>
      </c>
      <c r="I1046" s="127">
        <v>11070</v>
      </c>
      <c r="J1046" s="125">
        <v>152.40100000000001</v>
      </c>
      <c r="K1046" s="127">
        <v>11070</v>
      </c>
      <c r="L1046" s="125">
        <v>151.16200000000001</v>
      </c>
      <c r="M1046" s="127">
        <v>11070</v>
      </c>
      <c r="N1046" s="125">
        <v>152.16499999999999</v>
      </c>
      <c r="O1046" s="127">
        <v>11050</v>
      </c>
      <c r="P1046" s="125">
        <v>153.16399999999999</v>
      </c>
      <c r="Q1046" s="127">
        <v>11070</v>
      </c>
      <c r="R1046" s="125">
        <v>152.886</v>
      </c>
      <c r="S1046" s="127">
        <v>11070</v>
      </c>
      <c r="T1046" s="125">
        <v>153.46700000000001</v>
      </c>
      <c r="U1046" s="127">
        <v>11060</v>
      </c>
      <c r="V1046" s="125">
        <v>153.55699999999999</v>
      </c>
      <c r="W1046" s="127">
        <v>11070</v>
      </c>
      <c r="X1046" s="125">
        <v>152.785</v>
      </c>
      <c r="Y1046" s="127">
        <v>11070</v>
      </c>
      <c r="Z1046" s="125">
        <v>151.268</v>
      </c>
      <c r="AA1046" s="127">
        <v>11070</v>
      </c>
      <c r="AB1046" s="125">
        <v>151.78100000000001</v>
      </c>
      <c r="AC1046" s="127">
        <v>11060</v>
      </c>
      <c r="AD1046" s="125">
        <v>106.977</v>
      </c>
      <c r="AE1046" s="127">
        <v>11070</v>
      </c>
      <c r="AF1046" s="125">
        <v>108.396</v>
      </c>
      <c r="AG1046" s="127">
        <v>11050</v>
      </c>
      <c r="AH1046" s="125">
        <v>22.422999999999998</v>
      </c>
      <c r="AI1046" s="127">
        <v>11050</v>
      </c>
      <c r="AJ1046" s="125">
        <v>24.204000000000001</v>
      </c>
    </row>
    <row r="1047" spans="1:36" ht="14.25">
      <c r="A1047" s="128">
        <v>11080</v>
      </c>
      <c r="B1047" s="125">
        <v>48.951000000000001</v>
      </c>
      <c r="C1047" s="128">
        <v>11090</v>
      </c>
      <c r="D1047" s="125">
        <v>48.274000000000001</v>
      </c>
      <c r="E1047" s="126">
        <v>11080</v>
      </c>
      <c r="F1047" s="125">
        <v>145.464</v>
      </c>
      <c r="G1047" s="127">
        <v>11080</v>
      </c>
      <c r="H1047" s="125">
        <v>145.58600000000001</v>
      </c>
      <c r="I1047" s="127">
        <v>11080</v>
      </c>
      <c r="J1047" s="125">
        <v>151.19</v>
      </c>
      <c r="K1047" s="127">
        <v>11080</v>
      </c>
      <c r="L1047" s="125">
        <v>149.94800000000001</v>
      </c>
      <c r="M1047" s="127">
        <v>11080</v>
      </c>
      <c r="N1047" s="125">
        <v>150.95400000000001</v>
      </c>
      <c r="O1047" s="127">
        <v>11060</v>
      </c>
      <c r="P1047" s="125">
        <v>151.953</v>
      </c>
      <c r="Q1047" s="127">
        <v>11080</v>
      </c>
      <c r="R1047" s="125">
        <v>151.67500000000001</v>
      </c>
      <c r="S1047" s="127">
        <v>11080</v>
      </c>
      <c r="T1047" s="125">
        <v>152.255</v>
      </c>
      <c r="U1047" s="127">
        <v>11070</v>
      </c>
      <c r="V1047" s="125">
        <v>152.346</v>
      </c>
      <c r="W1047" s="127">
        <v>11080</v>
      </c>
      <c r="X1047" s="125">
        <v>151.57400000000001</v>
      </c>
      <c r="Y1047" s="127">
        <v>11080</v>
      </c>
      <c r="Z1047" s="125">
        <v>150.05699999999999</v>
      </c>
      <c r="AA1047" s="127">
        <v>11080</v>
      </c>
      <c r="AB1047" s="125">
        <v>150.571</v>
      </c>
      <c r="AC1047" s="127">
        <v>11070</v>
      </c>
      <c r="AD1047" s="125">
        <v>106.03</v>
      </c>
      <c r="AE1047" s="127">
        <v>11080</v>
      </c>
      <c r="AF1047" s="125">
        <v>107.447</v>
      </c>
      <c r="AG1047" s="127">
        <v>11060</v>
      </c>
      <c r="AH1047" s="125">
        <v>22.221</v>
      </c>
      <c r="AI1047" s="127">
        <v>11060</v>
      </c>
      <c r="AJ1047" s="125">
        <v>23.988</v>
      </c>
    </row>
    <row r="1048" spans="1:36" ht="14.25">
      <c r="A1048" s="128">
        <v>11090</v>
      </c>
      <c r="B1048" s="125">
        <v>48.484000000000002</v>
      </c>
      <c r="C1048" s="128">
        <v>11100</v>
      </c>
      <c r="D1048" s="125">
        <v>47.811999999999998</v>
      </c>
      <c r="E1048" s="126">
        <v>11090</v>
      </c>
      <c r="F1048" s="125">
        <v>144.19800000000001</v>
      </c>
      <c r="G1048" s="127">
        <v>11090</v>
      </c>
      <c r="H1048" s="125">
        <v>144.321</v>
      </c>
      <c r="I1048" s="127">
        <v>11090</v>
      </c>
      <c r="J1048" s="125">
        <v>149.97999999999999</v>
      </c>
      <c r="K1048" s="127">
        <v>11090</v>
      </c>
      <c r="L1048" s="125">
        <v>148.73500000000001</v>
      </c>
      <c r="M1048" s="127">
        <v>11090</v>
      </c>
      <c r="N1048" s="125">
        <v>149.74299999999999</v>
      </c>
      <c r="O1048" s="127">
        <v>11070</v>
      </c>
      <c r="P1048" s="125">
        <v>150.74100000000001</v>
      </c>
      <c r="Q1048" s="127">
        <v>11090</v>
      </c>
      <c r="R1048" s="125">
        <v>150.464</v>
      </c>
      <c r="S1048" s="127">
        <v>11090</v>
      </c>
      <c r="T1048" s="125">
        <v>151.04300000000001</v>
      </c>
      <c r="U1048" s="127">
        <v>11080</v>
      </c>
      <c r="V1048" s="125">
        <v>151.136</v>
      </c>
      <c r="W1048" s="127">
        <v>11090</v>
      </c>
      <c r="X1048" s="125">
        <v>150.36199999999999</v>
      </c>
      <c r="Y1048" s="127">
        <v>11090</v>
      </c>
      <c r="Z1048" s="125">
        <v>148.84700000000001</v>
      </c>
      <c r="AA1048" s="127">
        <v>11090</v>
      </c>
      <c r="AB1048" s="125">
        <v>149.36099999999999</v>
      </c>
      <c r="AC1048" s="127">
        <v>11080</v>
      </c>
      <c r="AD1048" s="125">
        <v>105.084</v>
      </c>
      <c r="AE1048" s="127">
        <v>11090</v>
      </c>
      <c r="AF1048" s="125">
        <v>106.5</v>
      </c>
      <c r="AG1048" s="127">
        <v>11070</v>
      </c>
      <c r="AH1048" s="125">
        <v>22.018999999999998</v>
      </c>
      <c r="AI1048" s="127">
        <v>11070</v>
      </c>
      <c r="AJ1048" s="125">
        <v>23.771000000000001</v>
      </c>
    </row>
    <row r="1049" spans="1:36" ht="14.25">
      <c r="A1049" s="128">
        <v>11100</v>
      </c>
      <c r="B1049" s="125">
        <v>48.018999999999998</v>
      </c>
      <c r="C1049" s="128">
        <v>11110</v>
      </c>
      <c r="D1049" s="125">
        <v>47.35</v>
      </c>
      <c r="E1049" s="126">
        <v>11100</v>
      </c>
      <c r="F1049" s="125">
        <v>142.934</v>
      </c>
      <c r="G1049" s="127">
        <v>11100</v>
      </c>
      <c r="H1049" s="125">
        <v>143.05799999999999</v>
      </c>
      <c r="I1049" s="127">
        <v>11100</v>
      </c>
      <c r="J1049" s="125">
        <v>148.76900000000001</v>
      </c>
      <c r="K1049" s="127">
        <v>11100</v>
      </c>
      <c r="L1049" s="125">
        <v>147.52199999999999</v>
      </c>
      <c r="M1049" s="127">
        <v>11100</v>
      </c>
      <c r="N1049" s="125">
        <v>148.53100000000001</v>
      </c>
      <c r="O1049" s="127">
        <v>11080</v>
      </c>
      <c r="P1049" s="125">
        <v>149.529</v>
      </c>
      <c r="Q1049" s="127">
        <v>11100</v>
      </c>
      <c r="R1049" s="125">
        <v>149.25299999999999</v>
      </c>
      <c r="S1049" s="127">
        <v>11100</v>
      </c>
      <c r="T1049" s="125">
        <v>149.83099999999999</v>
      </c>
      <c r="U1049" s="127">
        <v>11090</v>
      </c>
      <c r="V1049" s="125">
        <v>149.92500000000001</v>
      </c>
      <c r="W1049" s="127">
        <v>11100</v>
      </c>
      <c r="X1049" s="125">
        <v>149.15100000000001</v>
      </c>
      <c r="Y1049" s="127">
        <v>11100</v>
      </c>
      <c r="Z1049" s="125">
        <v>147.636</v>
      </c>
      <c r="AA1049" s="127">
        <v>11100</v>
      </c>
      <c r="AB1049" s="125">
        <v>148.15</v>
      </c>
      <c r="AC1049" s="127">
        <v>11090</v>
      </c>
      <c r="AD1049" s="125">
        <v>104.14</v>
      </c>
      <c r="AE1049" s="127">
        <v>11100</v>
      </c>
      <c r="AF1049" s="125">
        <v>105.554</v>
      </c>
      <c r="AG1049" s="127">
        <v>11080</v>
      </c>
      <c r="AH1049" s="125">
        <v>21.817</v>
      </c>
      <c r="AI1049" s="127">
        <v>11080</v>
      </c>
      <c r="AJ1049" s="125">
        <v>23.555</v>
      </c>
    </row>
    <row r="1050" spans="1:36" ht="14.25">
      <c r="A1050" s="128">
        <v>11110</v>
      </c>
      <c r="B1050" s="125">
        <v>47.554000000000002</v>
      </c>
      <c r="C1050" s="128">
        <v>11120</v>
      </c>
      <c r="D1050" s="125">
        <v>46.89</v>
      </c>
      <c r="E1050" s="126">
        <v>11110</v>
      </c>
      <c r="F1050" s="125">
        <v>141.67099999999999</v>
      </c>
      <c r="G1050" s="127">
        <v>11110</v>
      </c>
      <c r="H1050" s="125">
        <v>141.797</v>
      </c>
      <c r="I1050" s="127">
        <v>11110</v>
      </c>
      <c r="J1050" s="125">
        <v>147.55799999999999</v>
      </c>
      <c r="K1050" s="127">
        <v>11110</v>
      </c>
      <c r="L1050" s="125">
        <v>146.309</v>
      </c>
      <c r="M1050" s="127">
        <v>11110</v>
      </c>
      <c r="N1050" s="125">
        <v>147.32</v>
      </c>
      <c r="O1050" s="127">
        <v>11090</v>
      </c>
      <c r="P1050" s="125">
        <v>148.31800000000001</v>
      </c>
      <c r="Q1050" s="127">
        <v>11110</v>
      </c>
      <c r="R1050" s="125">
        <v>148.041</v>
      </c>
      <c r="S1050" s="127">
        <v>11110</v>
      </c>
      <c r="T1050" s="125">
        <v>148.619</v>
      </c>
      <c r="U1050" s="127">
        <v>11100</v>
      </c>
      <c r="V1050" s="125">
        <v>148.714</v>
      </c>
      <c r="W1050" s="127">
        <v>11110</v>
      </c>
      <c r="X1050" s="125">
        <v>147.94</v>
      </c>
      <c r="Y1050" s="127">
        <v>11110</v>
      </c>
      <c r="Z1050" s="125">
        <v>146.42599999999999</v>
      </c>
      <c r="AA1050" s="127">
        <v>11110</v>
      </c>
      <c r="AB1050" s="125">
        <v>146.94</v>
      </c>
      <c r="AC1050" s="127">
        <v>11100</v>
      </c>
      <c r="AD1050" s="125">
        <v>103.197</v>
      </c>
      <c r="AE1050" s="127">
        <v>11110</v>
      </c>
      <c r="AF1050" s="125">
        <v>104.61</v>
      </c>
      <c r="AG1050" s="127">
        <v>11090</v>
      </c>
      <c r="AH1050" s="125">
        <v>21.616</v>
      </c>
      <c r="AI1050" s="127">
        <v>11090</v>
      </c>
      <c r="AJ1050" s="125">
        <v>23.34</v>
      </c>
    </row>
    <row r="1051" spans="1:36" ht="14.25">
      <c r="A1051" s="128">
        <v>11120</v>
      </c>
      <c r="B1051" s="125">
        <v>47.091000000000001</v>
      </c>
      <c r="C1051" s="128">
        <v>11130</v>
      </c>
      <c r="D1051" s="125">
        <v>46.430999999999997</v>
      </c>
      <c r="E1051" s="126">
        <v>11120</v>
      </c>
      <c r="F1051" s="125">
        <v>140.411</v>
      </c>
      <c r="G1051" s="127">
        <v>11120</v>
      </c>
      <c r="H1051" s="125">
        <v>140.53700000000001</v>
      </c>
      <c r="I1051" s="127">
        <v>11120</v>
      </c>
      <c r="J1051" s="125">
        <v>146.34700000000001</v>
      </c>
      <c r="K1051" s="127">
        <v>11120</v>
      </c>
      <c r="L1051" s="125">
        <v>145.095</v>
      </c>
      <c r="M1051" s="127">
        <v>11120</v>
      </c>
      <c r="N1051" s="125">
        <v>146.10900000000001</v>
      </c>
      <c r="O1051" s="127">
        <v>11100</v>
      </c>
      <c r="P1051" s="125">
        <v>147.10599999999999</v>
      </c>
      <c r="Q1051" s="127">
        <v>11120</v>
      </c>
      <c r="R1051" s="125">
        <v>146.83000000000001</v>
      </c>
      <c r="S1051" s="127">
        <v>11120</v>
      </c>
      <c r="T1051" s="125">
        <v>147.40700000000001</v>
      </c>
      <c r="U1051" s="127">
        <v>11110</v>
      </c>
      <c r="V1051" s="125">
        <v>147.50399999999999</v>
      </c>
      <c r="W1051" s="127">
        <v>11120</v>
      </c>
      <c r="X1051" s="125">
        <v>146.72900000000001</v>
      </c>
      <c r="Y1051" s="127">
        <v>11120</v>
      </c>
      <c r="Z1051" s="125">
        <v>145.215</v>
      </c>
      <c r="AA1051" s="127">
        <v>11120</v>
      </c>
      <c r="AB1051" s="125">
        <v>145.72999999999999</v>
      </c>
      <c r="AC1051" s="127">
        <v>11110</v>
      </c>
      <c r="AD1051" s="125">
        <v>102.256</v>
      </c>
      <c r="AE1051" s="127">
        <v>11120</v>
      </c>
      <c r="AF1051" s="125">
        <v>103.667</v>
      </c>
      <c r="AG1051" s="127">
        <v>11100</v>
      </c>
      <c r="AH1051" s="125">
        <v>21.414999999999999</v>
      </c>
      <c r="AI1051" s="127">
        <v>11100</v>
      </c>
      <c r="AJ1051" s="125">
        <v>23.125</v>
      </c>
    </row>
    <row r="1052" spans="1:36" ht="14.25">
      <c r="A1052" s="128">
        <v>11130</v>
      </c>
      <c r="B1052" s="125">
        <v>46.628999999999998</v>
      </c>
      <c r="C1052" s="128">
        <v>11140</v>
      </c>
      <c r="D1052" s="125">
        <v>45.972999999999999</v>
      </c>
      <c r="E1052" s="126">
        <v>11130</v>
      </c>
      <c r="F1052" s="125">
        <v>139.15199999999999</v>
      </c>
      <c r="G1052" s="127">
        <v>11130</v>
      </c>
      <c r="H1052" s="125">
        <v>139.28</v>
      </c>
      <c r="I1052" s="127">
        <v>11130</v>
      </c>
      <c r="J1052" s="125">
        <v>145.136</v>
      </c>
      <c r="K1052" s="127">
        <v>11130</v>
      </c>
      <c r="L1052" s="125">
        <v>143.88200000000001</v>
      </c>
      <c r="M1052" s="127">
        <v>11130</v>
      </c>
      <c r="N1052" s="125">
        <v>144.89699999999999</v>
      </c>
      <c r="O1052" s="127">
        <v>11110</v>
      </c>
      <c r="P1052" s="125">
        <v>145.89500000000001</v>
      </c>
      <c r="Q1052" s="127">
        <v>11130</v>
      </c>
      <c r="R1052" s="125">
        <v>145.619</v>
      </c>
      <c r="S1052" s="127">
        <v>11130</v>
      </c>
      <c r="T1052" s="125">
        <v>146.19499999999999</v>
      </c>
      <c r="U1052" s="127">
        <v>11120</v>
      </c>
      <c r="V1052" s="125">
        <v>146.29300000000001</v>
      </c>
      <c r="W1052" s="127">
        <v>11130</v>
      </c>
      <c r="X1052" s="125">
        <v>145.517</v>
      </c>
      <c r="Y1052" s="127">
        <v>11130</v>
      </c>
      <c r="Z1052" s="125">
        <v>144.005</v>
      </c>
      <c r="AA1052" s="127">
        <v>11130</v>
      </c>
      <c r="AB1052" s="125">
        <v>144.52000000000001</v>
      </c>
      <c r="AC1052" s="127">
        <v>11120</v>
      </c>
      <c r="AD1052" s="125">
        <v>101.316</v>
      </c>
      <c r="AE1052" s="127">
        <v>11130</v>
      </c>
      <c r="AF1052" s="125">
        <v>102.726</v>
      </c>
      <c r="AG1052" s="127">
        <v>11110</v>
      </c>
      <c r="AH1052" s="125">
        <v>21.213999999999999</v>
      </c>
      <c r="AI1052" s="127">
        <v>11110</v>
      </c>
      <c r="AJ1052" s="125">
        <v>22.91</v>
      </c>
    </row>
    <row r="1053" spans="1:36" ht="14.25">
      <c r="A1053" s="128">
        <v>11140</v>
      </c>
      <c r="B1053" s="125">
        <v>46.167999999999999</v>
      </c>
      <c r="C1053" s="128">
        <v>11150</v>
      </c>
      <c r="D1053" s="125">
        <v>45.515999999999998</v>
      </c>
      <c r="E1053" s="126">
        <v>11140</v>
      </c>
      <c r="F1053" s="125">
        <v>137.89400000000001</v>
      </c>
      <c r="G1053" s="127">
        <v>11140</v>
      </c>
      <c r="H1053" s="125">
        <v>138.023</v>
      </c>
      <c r="I1053" s="127">
        <v>11140</v>
      </c>
      <c r="J1053" s="125">
        <v>143.92500000000001</v>
      </c>
      <c r="K1053" s="127">
        <v>11140</v>
      </c>
      <c r="L1053" s="125">
        <v>142.66900000000001</v>
      </c>
      <c r="M1053" s="127">
        <v>11140</v>
      </c>
      <c r="N1053" s="125">
        <v>143.68600000000001</v>
      </c>
      <c r="O1053" s="127">
        <v>11120</v>
      </c>
      <c r="P1053" s="125">
        <v>144.68299999999999</v>
      </c>
      <c r="Q1053" s="127">
        <v>11140</v>
      </c>
      <c r="R1053" s="125">
        <v>144.40700000000001</v>
      </c>
      <c r="S1053" s="127">
        <v>11140</v>
      </c>
      <c r="T1053" s="125">
        <v>144.983</v>
      </c>
      <c r="U1053" s="127">
        <v>11130</v>
      </c>
      <c r="V1053" s="125">
        <v>145.083</v>
      </c>
      <c r="W1053" s="127">
        <v>11140</v>
      </c>
      <c r="X1053" s="125">
        <v>144.30600000000001</v>
      </c>
      <c r="Y1053" s="127">
        <v>11140</v>
      </c>
      <c r="Z1053" s="125">
        <v>142.79400000000001</v>
      </c>
      <c r="AA1053" s="127">
        <v>11140</v>
      </c>
      <c r="AB1053" s="125">
        <v>143.31</v>
      </c>
      <c r="AC1053" s="127">
        <v>11130</v>
      </c>
      <c r="AD1053" s="125">
        <v>100.378</v>
      </c>
      <c r="AE1053" s="127">
        <v>11140</v>
      </c>
      <c r="AF1053" s="125">
        <v>101.786</v>
      </c>
      <c r="AG1053" s="127">
        <v>11120</v>
      </c>
      <c r="AH1053" s="125">
        <v>21.013999999999999</v>
      </c>
      <c r="AI1053" s="127">
        <v>11120</v>
      </c>
      <c r="AJ1053" s="125">
        <v>22.696000000000002</v>
      </c>
    </row>
    <row r="1054" spans="1:36" ht="14.25">
      <c r="A1054" s="128">
        <v>11150</v>
      </c>
      <c r="B1054" s="125">
        <v>45.707999999999998</v>
      </c>
      <c r="C1054" s="128">
        <v>11160</v>
      </c>
      <c r="D1054" s="125">
        <v>45.06</v>
      </c>
      <c r="E1054" s="126">
        <v>11150</v>
      </c>
      <c r="F1054" s="125">
        <v>136.63900000000001</v>
      </c>
      <c r="G1054" s="127">
        <v>11150</v>
      </c>
      <c r="H1054" s="125">
        <v>136.76900000000001</v>
      </c>
      <c r="I1054" s="127">
        <v>11150</v>
      </c>
      <c r="J1054" s="125">
        <v>142.714</v>
      </c>
      <c r="K1054" s="127">
        <v>11150</v>
      </c>
      <c r="L1054" s="125">
        <v>141.45500000000001</v>
      </c>
      <c r="M1054" s="127">
        <v>11150</v>
      </c>
      <c r="N1054" s="125">
        <v>142.47499999999999</v>
      </c>
      <c r="O1054" s="127">
        <v>11130</v>
      </c>
      <c r="P1054" s="125">
        <v>143.47200000000001</v>
      </c>
      <c r="Q1054" s="127">
        <v>11150</v>
      </c>
      <c r="R1054" s="125">
        <v>143.196</v>
      </c>
      <c r="S1054" s="127">
        <v>11150</v>
      </c>
      <c r="T1054" s="125">
        <v>143.77099999999999</v>
      </c>
      <c r="U1054" s="127">
        <v>11140</v>
      </c>
      <c r="V1054" s="125">
        <v>143.87200000000001</v>
      </c>
      <c r="W1054" s="127">
        <v>11150</v>
      </c>
      <c r="X1054" s="125">
        <v>143.095</v>
      </c>
      <c r="Y1054" s="127">
        <v>11150</v>
      </c>
      <c r="Z1054" s="125">
        <v>141.583</v>
      </c>
      <c r="AA1054" s="127">
        <v>11150</v>
      </c>
      <c r="AB1054" s="125">
        <v>142.1</v>
      </c>
      <c r="AC1054" s="127">
        <v>11140</v>
      </c>
      <c r="AD1054" s="125">
        <v>99.441999999999993</v>
      </c>
      <c r="AE1054" s="127">
        <v>11150</v>
      </c>
      <c r="AF1054" s="125">
        <v>100.848</v>
      </c>
      <c r="AG1054" s="127">
        <v>11130</v>
      </c>
      <c r="AH1054" s="125">
        <v>20.814</v>
      </c>
      <c r="AI1054" s="127">
        <v>11130</v>
      </c>
      <c r="AJ1054" s="125">
        <v>22.481999999999999</v>
      </c>
    </row>
    <row r="1055" spans="1:36" ht="14.25">
      <c r="A1055" s="128">
        <v>11160</v>
      </c>
      <c r="B1055" s="125">
        <v>45.249000000000002</v>
      </c>
      <c r="C1055" s="128">
        <v>11170</v>
      </c>
      <c r="D1055" s="125">
        <v>44.606000000000002</v>
      </c>
      <c r="E1055" s="126">
        <v>11160</v>
      </c>
      <c r="F1055" s="125">
        <v>135.38499999999999</v>
      </c>
      <c r="G1055" s="127">
        <v>11160</v>
      </c>
      <c r="H1055" s="125">
        <v>135.51599999999999</v>
      </c>
      <c r="I1055" s="127">
        <v>11160</v>
      </c>
      <c r="J1055" s="125">
        <v>141.50299999999999</v>
      </c>
      <c r="K1055" s="127">
        <v>11160</v>
      </c>
      <c r="L1055" s="125">
        <v>140.24199999999999</v>
      </c>
      <c r="M1055" s="127">
        <v>11160</v>
      </c>
      <c r="N1055" s="125">
        <v>141.26300000000001</v>
      </c>
      <c r="O1055" s="127">
        <v>11140</v>
      </c>
      <c r="P1055" s="125">
        <v>142.26</v>
      </c>
      <c r="Q1055" s="127">
        <v>11160</v>
      </c>
      <c r="R1055" s="125">
        <v>141.98500000000001</v>
      </c>
      <c r="S1055" s="127">
        <v>11160</v>
      </c>
      <c r="T1055" s="125">
        <v>142.559</v>
      </c>
      <c r="U1055" s="127">
        <v>11150</v>
      </c>
      <c r="V1055" s="125">
        <v>142.661</v>
      </c>
      <c r="W1055" s="127">
        <v>11160</v>
      </c>
      <c r="X1055" s="125">
        <v>141.88399999999999</v>
      </c>
      <c r="Y1055" s="127">
        <v>11160</v>
      </c>
      <c r="Z1055" s="125">
        <v>140.37299999999999</v>
      </c>
      <c r="AA1055" s="127">
        <v>11160</v>
      </c>
      <c r="AB1055" s="125">
        <v>140.88999999999999</v>
      </c>
      <c r="AC1055" s="127">
        <v>11150</v>
      </c>
      <c r="AD1055" s="125">
        <v>98.507000000000005</v>
      </c>
      <c r="AE1055" s="127">
        <v>11160</v>
      </c>
      <c r="AF1055" s="125">
        <v>99.911000000000001</v>
      </c>
      <c r="AG1055" s="127">
        <v>11140</v>
      </c>
      <c r="AH1055" s="125">
        <v>20.614999999999998</v>
      </c>
      <c r="AI1055" s="127">
        <v>11140</v>
      </c>
      <c r="AJ1055" s="125">
        <v>22.268999999999998</v>
      </c>
    </row>
    <row r="1056" spans="1:36" ht="14.25">
      <c r="A1056" s="128">
        <v>11170</v>
      </c>
      <c r="B1056" s="125">
        <v>44.792000000000002</v>
      </c>
      <c r="C1056" s="128">
        <v>11180</v>
      </c>
      <c r="D1056" s="125">
        <v>44.152000000000001</v>
      </c>
      <c r="E1056" s="126">
        <v>11170</v>
      </c>
      <c r="F1056" s="125">
        <v>134.13300000000001</v>
      </c>
      <c r="G1056" s="127">
        <v>11170</v>
      </c>
      <c r="H1056" s="125">
        <v>134.26599999999999</v>
      </c>
      <c r="I1056" s="127">
        <v>11170</v>
      </c>
      <c r="J1056" s="125">
        <v>140.292</v>
      </c>
      <c r="K1056" s="127">
        <v>11170</v>
      </c>
      <c r="L1056" s="125">
        <v>139.029</v>
      </c>
      <c r="M1056" s="127">
        <v>11170</v>
      </c>
      <c r="N1056" s="125">
        <v>140.05199999999999</v>
      </c>
      <c r="O1056" s="127">
        <v>11150</v>
      </c>
      <c r="P1056" s="125">
        <v>141.04900000000001</v>
      </c>
      <c r="Q1056" s="127">
        <v>11170</v>
      </c>
      <c r="R1056" s="125">
        <v>140.774</v>
      </c>
      <c r="S1056" s="127">
        <v>11170</v>
      </c>
      <c r="T1056" s="125">
        <v>141.34800000000001</v>
      </c>
      <c r="U1056" s="127">
        <v>11160</v>
      </c>
      <c r="V1056" s="125">
        <v>141.45099999999999</v>
      </c>
      <c r="W1056" s="127">
        <v>11170</v>
      </c>
      <c r="X1056" s="125">
        <v>140.672</v>
      </c>
      <c r="Y1056" s="127">
        <v>11170</v>
      </c>
      <c r="Z1056" s="125">
        <v>139.16200000000001</v>
      </c>
      <c r="AA1056" s="127">
        <v>11170</v>
      </c>
      <c r="AB1056" s="125">
        <v>139.68</v>
      </c>
      <c r="AC1056" s="127">
        <v>11160</v>
      </c>
      <c r="AD1056" s="125">
        <v>97.572999999999993</v>
      </c>
      <c r="AE1056" s="127">
        <v>11170</v>
      </c>
      <c r="AF1056" s="125">
        <v>98.975999999999999</v>
      </c>
      <c r="AG1056" s="127">
        <v>11150</v>
      </c>
      <c r="AH1056" s="125">
        <v>20.416</v>
      </c>
      <c r="AI1056" s="127">
        <v>11150</v>
      </c>
      <c r="AJ1056" s="125">
        <v>22.056000000000001</v>
      </c>
    </row>
    <row r="1057" spans="1:36" ht="14.25">
      <c r="A1057" s="128">
        <v>11180</v>
      </c>
      <c r="B1057" s="125">
        <v>44.335999999999999</v>
      </c>
      <c r="C1057" s="128">
        <v>11190</v>
      </c>
      <c r="D1057" s="125">
        <v>43.7</v>
      </c>
      <c r="E1057" s="126">
        <v>11180</v>
      </c>
      <c r="F1057" s="125">
        <v>132.88300000000001</v>
      </c>
      <c r="G1057" s="127">
        <v>11180</v>
      </c>
      <c r="H1057" s="125">
        <v>133.01599999999999</v>
      </c>
      <c r="I1057" s="127">
        <v>11180</v>
      </c>
      <c r="J1057" s="125">
        <v>139.08199999999999</v>
      </c>
      <c r="K1057" s="127">
        <v>11180</v>
      </c>
      <c r="L1057" s="125">
        <v>137.816</v>
      </c>
      <c r="M1057" s="127">
        <v>11180</v>
      </c>
      <c r="N1057" s="125">
        <v>138.84100000000001</v>
      </c>
      <c r="O1057" s="127">
        <v>11160</v>
      </c>
      <c r="P1057" s="125">
        <v>139.83699999999999</v>
      </c>
      <c r="Q1057" s="127">
        <v>11180</v>
      </c>
      <c r="R1057" s="125">
        <v>139.56200000000001</v>
      </c>
      <c r="S1057" s="127">
        <v>11180</v>
      </c>
      <c r="T1057" s="125">
        <v>140.136</v>
      </c>
      <c r="U1057" s="127">
        <v>11170</v>
      </c>
      <c r="V1057" s="125">
        <v>140.24</v>
      </c>
      <c r="W1057" s="127">
        <v>11180</v>
      </c>
      <c r="X1057" s="125">
        <v>139.46100000000001</v>
      </c>
      <c r="Y1057" s="127">
        <v>11180</v>
      </c>
      <c r="Z1057" s="125">
        <v>137.952</v>
      </c>
      <c r="AA1057" s="127">
        <v>11180</v>
      </c>
      <c r="AB1057" s="125">
        <v>138.47</v>
      </c>
      <c r="AC1057" s="127">
        <v>11170</v>
      </c>
      <c r="AD1057" s="125">
        <v>96.641999999999996</v>
      </c>
      <c r="AE1057" s="127">
        <v>11180</v>
      </c>
      <c r="AF1057" s="125">
        <v>98.043000000000006</v>
      </c>
      <c r="AG1057" s="127">
        <v>11160</v>
      </c>
      <c r="AH1057" s="125">
        <v>20.218</v>
      </c>
      <c r="AI1057" s="127">
        <v>11160</v>
      </c>
      <c r="AJ1057" s="125">
        <v>21.843</v>
      </c>
    </row>
    <row r="1058" spans="1:36" ht="14.25">
      <c r="A1058" s="128">
        <v>11190</v>
      </c>
      <c r="B1058" s="125">
        <v>43.88</v>
      </c>
      <c r="C1058" s="128">
        <v>11200</v>
      </c>
      <c r="D1058" s="125">
        <v>43.249000000000002</v>
      </c>
      <c r="E1058" s="126">
        <v>11190</v>
      </c>
      <c r="F1058" s="125">
        <v>131.63399999999999</v>
      </c>
      <c r="G1058" s="127">
        <v>11190</v>
      </c>
      <c r="H1058" s="125">
        <v>131.76900000000001</v>
      </c>
      <c r="I1058" s="127">
        <v>11190</v>
      </c>
      <c r="J1058" s="125">
        <v>137.87100000000001</v>
      </c>
      <c r="K1058" s="127">
        <v>11190</v>
      </c>
      <c r="L1058" s="125">
        <v>136.602</v>
      </c>
      <c r="M1058" s="127">
        <v>11190</v>
      </c>
      <c r="N1058" s="125">
        <v>137.62899999999999</v>
      </c>
      <c r="O1058" s="127">
        <v>11170</v>
      </c>
      <c r="P1058" s="125">
        <v>138.626</v>
      </c>
      <c r="Q1058" s="127">
        <v>11190</v>
      </c>
      <c r="R1058" s="125">
        <v>138.351</v>
      </c>
      <c r="S1058" s="127">
        <v>11190</v>
      </c>
      <c r="T1058" s="125">
        <v>138.92400000000001</v>
      </c>
      <c r="U1058" s="127">
        <v>11180</v>
      </c>
      <c r="V1058" s="125">
        <v>139.029</v>
      </c>
      <c r="W1058" s="127">
        <v>11190</v>
      </c>
      <c r="X1058" s="125">
        <v>138.25</v>
      </c>
      <c r="Y1058" s="127">
        <v>11190</v>
      </c>
      <c r="Z1058" s="125">
        <v>136.74100000000001</v>
      </c>
      <c r="AA1058" s="127">
        <v>11190</v>
      </c>
      <c r="AB1058" s="125">
        <v>137.26</v>
      </c>
      <c r="AC1058" s="127">
        <v>11180</v>
      </c>
      <c r="AD1058" s="125">
        <v>95.710999999999999</v>
      </c>
      <c r="AE1058" s="127">
        <v>11190</v>
      </c>
      <c r="AF1058" s="125">
        <v>97.11</v>
      </c>
      <c r="AG1058" s="127">
        <v>11170</v>
      </c>
      <c r="AH1058" s="125">
        <v>20.02</v>
      </c>
      <c r="AI1058" s="127">
        <v>11170</v>
      </c>
      <c r="AJ1058" s="125">
        <v>21.631</v>
      </c>
    </row>
    <row r="1059" spans="1:36" ht="14.25">
      <c r="A1059" s="128">
        <v>11200</v>
      </c>
      <c r="B1059" s="125">
        <v>43.426000000000002</v>
      </c>
      <c r="C1059" s="128">
        <v>11210</v>
      </c>
      <c r="D1059" s="125">
        <v>42.798999999999999</v>
      </c>
      <c r="E1059" s="126">
        <v>11200</v>
      </c>
      <c r="F1059" s="125">
        <v>130.387</v>
      </c>
      <c r="G1059" s="127">
        <v>11200</v>
      </c>
      <c r="H1059" s="125">
        <v>130.523</v>
      </c>
      <c r="I1059" s="127">
        <v>11200</v>
      </c>
      <c r="J1059" s="125">
        <v>136.66</v>
      </c>
      <c r="K1059" s="127">
        <v>11200</v>
      </c>
      <c r="L1059" s="125">
        <v>135.38900000000001</v>
      </c>
      <c r="M1059" s="127">
        <v>11200</v>
      </c>
      <c r="N1059" s="125">
        <v>136.41800000000001</v>
      </c>
      <c r="O1059" s="127">
        <v>11180</v>
      </c>
      <c r="P1059" s="125">
        <v>137.41399999999999</v>
      </c>
      <c r="Q1059" s="127">
        <v>11200</v>
      </c>
      <c r="R1059" s="125">
        <v>137.13999999999999</v>
      </c>
      <c r="S1059" s="127">
        <v>11200</v>
      </c>
      <c r="T1059" s="125">
        <v>137.71199999999999</v>
      </c>
      <c r="U1059" s="127">
        <v>11190</v>
      </c>
      <c r="V1059" s="125">
        <v>137.81899999999999</v>
      </c>
      <c r="W1059" s="127">
        <v>11200</v>
      </c>
      <c r="X1059" s="125">
        <v>137.03899999999999</v>
      </c>
      <c r="Y1059" s="127">
        <v>11200</v>
      </c>
      <c r="Z1059" s="125">
        <v>135.53100000000001</v>
      </c>
      <c r="AA1059" s="127">
        <v>11200</v>
      </c>
      <c r="AB1059" s="125">
        <v>136.05000000000001</v>
      </c>
      <c r="AC1059" s="127">
        <v>11190</v>
      </c>
      <c r="AD1059" s="125">
        <v>94.783000000000001</v>
      </c>
      <c r="AE1059" s="127">
        <v>11200</v>
      </c>
      <c r="AF1059" s="125">
        <v>96.18</v>
      </c>
      <c r="AG1059" s="127">
        <v>11180</v>
      </c>
      <c r="AH1059" s="125">
        <v>19.821999999999999</v>
      </c>
      <c r="AI1059" s="127">
        <v>11180</v>
      </c>
      <c r="AJ1059" s="125">
        <v>21.419</v>
      </c>
    </row>
    <row r="1060" spans="1:36" ht="14.25">
      <c r="A1060" s="128">
        <v>11210</v>
      </c>
      <c r="B1060" s="125">
        <v>42.972999999999999</v>
      </c>
      <c r="C1060" s="128">
        <v>11220</v>
      </c>
      <c r="D1060" s="125">
        <v>42.35</v>
      </c>
      <c r="E1060" s="126">
        <v>11210</v>
      </c>
      <c r="F1060" s="125">
        <v>129.142</v>
      </c>
      <c r="G1060" s="127">
        <v>11210</v>
      </c>
      <c r="H1060" s="125">
        <v>129.279</v>
      </c>
      <c r="I1060" s="127">
        <v>11210</v>
      </c>
      <c r="J1060" s="125">
        <v>135.44900000000001</v>
      </c>
      <c r="K1060" s="127">
        <v>11210</v>
      </c>
      <c r="L1060" s="125">
        <v>134.17599999999999</v>
      </c>
      <c r="M1060" s="127">
        <v>11210</v>
      </c>
      <c r="N1060" s="125">
        <v>135.20699999999999</v>
      </c>
      <c r="O1060" s="127">
        <v>11190</v>
      </c>
      <c r="P1060" s="125">
        <v>136.203</v>
      </c>
      <c r="Q1060" s="127">
        <v>11210</v>
      </c>
      <c r="R1060" s="125">
        <v>135.928</v>
      </c>
      <c r="S1060" s="127">
        <v>11210</v>
      </c>
      <c r="T1060" s="125">
        <v>136.5</v>
      </c>
      <c r="U1060" s="127">
        <v>11200</v>
      </c>
      <c r="V1060" s="125">
        <v>136.608</v>
      </c>
      <c r="W1060" s="127">
        <v>11210</v>
      </c>
      <c r="X1060" s="125">
        <v>135.827</v>
      </c>
      <c r="Y1060" s="127">
        <v>11210</v>
      </c>
      <c r="Z1060" s="125">
        <v>134.32</v>
      </c>
      <c r="AA1060" s="127">
        <v>11210</v>
      </c>
      <c r="AB1060" s="125">
        <v>134.84</v>
      </c>
      <c r="AC1060" s="127">
        <v>11200</v>
      </c>
      <c r="AD1060" s="125">
        <v>93.855000000000004</v>
      </c>
      <c r="AE1060" s="127">
        <v>11210</v>
      </c>
      <c r="AF1060" s="125">
        <v>95.251000000000005</v>
      </c>
      <c r="AG1060" s="127">
        <v>11190</v>
      </c>
      <c r="AH1060" s="125">
        <v>19.625</v>
      </c>
      <c r="AI1060" s="127">
        <v>11190</v>
      </c>
      <c r="AJ1060" s="125">
        <v>21.207000000000001</v>
      </c>
    </row>
    <row r="1061" spans="1:36" ht="14.25">
      <c r="A1061" s="128">
        <v>11220</v>
      </c>
      <c r="B1061" s="125">
        <v>42.521999999999998</v>
      </c>
      <c r="C1061" s="128">
        <v>11230</v>
      </c>
      <c r="D1061" s="125">
        <v>41.902999999999999</v>
      </c>
      <c r="E1061" s="126">
        <v>11220</v>
      </c>
      <c r="F1061" s="125">
        <v>127.899</v>
      </c>
      <c r="G1061" s="127">
        <v>11220</v>
      </c>
      <c r="H1061" s="125">
        <v>128.03700000000001</v>
      </c>
      <c r="I1061" s="127">
        <v>11220</v>
      </c>
      <c r="J1061" s="125">
        <v>134.238</v>
      </c>
      <c r="K1061" s="127">
        <v>11220</v>
      </c>
      <c r="L1061" s="125">
        <v>132.96299999999999</v>
      </c>
      <c r="M1061" s="127">
        <v>11220</v>
      </c>
      <c r="N1061" s="125">
        <v>133.99600000000001</v>
      </c>
      <c r="O1061" s="127">
        <v>11200</v>
      </c>
      <c r="P1061" s="125">
        <v>134.99100000000001</v>
      </c>
      <c r="Q1061" s="127">
        <v>11220</v>
      </c>
      <c r="R1061" s="125">
        <v>134.71700000000001</v>
      </c>
      <c r="S1061" s="127">
        <v>11220</v>
      </c>
      <c r="T1061" s="125">
        <v>135.28800000000001</v>
      </c>
      <c r="U1061" s="127">
        <v>11210</v>
      </c>
      <c r="V1061" s="125">
        <v>135.398</v>
      </c>
      <c r="W1061" s="127">
        <v>11220</v>
      </c>
      <c r="X1061" s="125">
        <v>134.61600000000001</v>
      </c>
      <c r="Y1061" s="127">
        <v>11220</v>
      </c>
      <c r="Z1061" s="125">
        <v>133.11000000000001</v>
      </c>
      <c r="AA1061" s="127">
        <v>11220</v>
      </c>
      <c r="AB1061" s="125">
        <v>133.63</v>
      </c>
      <c r="AC1061" s="127">
        <v>11210</v>
      </c>
      <c r="AD1061" s="125">
        <v>92.93</v>
      </c>
      <c r="AE1061" s="127">
        <v>11220</v>
      </c>
      <c r="AF1061" s="125">
        <v>94.322999999999993</v>
      </c>
      <c r="AG1061" s="127">
        <v>11200</v>
      </c>
      <c r="AH1061" s="125">
        <v>19.428000000000001</v>
      </c>
      <c r="AI1061" s="127">
        <v>11200</v>
      </c>
      <c r="AJ1061" s="125">
        <v>20.995999999999999</v>
      </c>
    </row>
    <row r="1062" spans="1:36" ht="14.25">
      <c r="A1062" s="128">
        <v>11230</v>
      </c>
      <c r="B1062" s="125">
        <v>42.070999999999998</v>
      </c>
      <c r="C1062" s="128">
        <v>11240</v>
      </c>
      <c r="D1062" s="125">
        <v>41.456000000000003</v>
      </c>
      <c r="E1062" s="126">
        <v>11230</v>
      </c>
      <c r="F1062" s="125">
        <v>126.657</v>
      </c>
      <c r="G1062" s="127">
        <v>11230</v>
      </c>
      <c r="H1062" s="125">
        <v>126.797</v>
      </c>
      <c r="I1062" s="127">
        <v>11230</v>
      </c>
      <c r="J1062" s="125">
        <v>133.02699999999999</v>
      </c>
      <c r="K1062" s="127">
        <v>11230</v>
      </c>
      <c r="L1062" s="125">
        <v>131.749</v>
      </c>
      <c r="M1062" s="127">
        <v>11230</v>
      </c>
      <c r="N1062" s="125">
        <v>132.78399999999999</v>
      </c>
      <c r="O1062" s="127">
        <v>11210</v>
      </c>
      <c r="P1062" s="125">
        <v>133.779</v>
      </c>
      <c r="Q1062" s="127">
        <v>11230</v>
      </c>
      <c r="R1062" s="125">
        <v>133.506</v>
      </c>
      <c r="S1062" s="127">
        <v>11230</v>
      </c>
      <c r="T1062" s="125">
        <v>134.07599999999999</v>
      </c>
      <c r="U1062" s="127">
        <v>11220</v>
      </c>
      <c r="V1062" s="125">
        <v>134.18700000000001</v>
      </c>
      <c r="W1062" s="127">
        <v>11230</v>
      </c>
      <c r="X1062" s="125">
        <v>133.405</v>
      </c>
      <c r="Y1062" s="127">
        <v>11230</v>
      </c>
      <c r="Z1062" s="125">
        <v>131.899</v>
      </c>
      <c r="AA1062" s="127">
        <v>11230</v>
      </c>
      <c r="AB1062" s="125">
        <v>132.41999999999999</v>
      </c>
      <c r="AC1062" s="127">
        <v>11220</v>
      </c>
      <c r="AD1062" s="125">
        <v>92.004999999999995</v>
      </c>
      <c r="AE1062" s="127">
        <v>11230</v>
      </c>
      <c r="AF1062" s="125">
        <v>93.397999999999996</v>
      </c>
      <c r="AG1062" s="127">
        <v>11210</v>
      </c>
      <c r="AH1062" s="125">
        <v>19.231000000000002</v>
      </c>
      <c r="AI1062" s="127">
        <v>11210</v>
      </c>
      <c r="AJ1062" s="125">
        <v>20.786000000000001</v>
      </c>
    </row>
    <row r="1063" spans="1:36" ht="14.25">
      <c r="A1063" s="128">
        <v>11240</v>
      </c>
      <c r="B1063" s="125">
        <v>41.622</v>
      </c>
      <c r="C1063" s="128">
        <v>11250</v>
      </c>
      <c r="D1063" s="125">
        <v>41.011000000000003</v>
      </c>
      <c r="E1063" s="126">
        <v>11240</v>
      </c>
      <c r="F1063" s="125">
        <v>125.417</v>
      </c>
      <c r="G1063" s="127">
        <v>11240</v>
      </c>
      <c r="H1063" s="125">
        <v>125.55800000000001</v>
      </c>
      <c r="I1063" s="127">
        <v>11240</v>
      </c>
      <c r="J1063" s="125">
        <v>131.816</v>
      </c>
      <c r="K1063" s="127">
        <v>11240</v>
      </c>
      <c r="L1063" s="125">
        <v>130.536</v>
      </c>
      <c r="M1063" s="127">
        <v>11240</v>
      </c>
      <c r="N1063" s="125">
        <v>131.57300000000001</v>
      </c>
      <c r="O1063" s="127">
        <v>11220</v>
      </c>
      <c r="P1063" s="125">
        <v>132.56800000000001</v>
      </c>
      <c r="Q1063" s="127">
        <v>11240</v>
      </c>
      <c r="R1063" s="125">
        <v>132.29499999999999</v>
      </c>
      <c r="S1063" s="127">
        <v>11240</v>
      </c>
      <c r="T1063" s="125">
        <v>132.864</v>
      </c>
      <c r="U1063" s="127">
        <v>11230</v>
      </c>
      <c r="V1063" s="125">
        <v>132.976</v>
      </c>
      <c r="W1063" s="127">
        <v>11240</v>
      </c>
      <c r="X1063" s="125">
        <v>132.19399999999999</v>
      </c>
      <c r="Y1063" s="127">
        <v>11240</v>
      </c>
      <c r="Z1063" s="125">
        <v>130.68899999999999</v>
      </c>
      <c r="AA1063" s="127">
        <v>11240</v>
      </c>
      <c r="AB1063" s="125">
        <v>131.21</v>
      </c>
      <c r="AC1063" s="127">
        <v>11230</v>
      </c>
      <c r="AD1063" s="125">
        <v>91.082999999999998</v>
      </c>
      <c r="AE1063" s="127">
        <v>11240</v>
      </c>
      <c r="AF1063" s="125">
        <v>92.472999999999999</v>
      </c>
      <c r="AG1063" s="127">
        <v>11220</v>
      </c>
      <c r="AH1063" s="125">
        <v>19.035</v>
      </c>
      <c r="AI1063" s="127">
        <v>11220</v>
      </c>
      <c r="AJ1063" s="125">
        <v>20.574999999999999</v>
      </c>
    </row>
    <row r="1064" spans="1:36" ht="14.25">
      <c r="A1064" s="128">
        <v>11250</v>
      </c>
      <c r="B1064" s="125">
        <v>41.173000000000002</v>
      </c>
      <c r="C1064" s="128">
        <v>11260</v>
      </c>
      <c r="D1064" s="125">
        <v>40.567</v>
      </c>
      <c r="E1064" s="126">
        <v>11250</v>
      </c>
      <c r="F1064" s="125">
        <v>124.179</v>
      </c>
      <c r="G1064" s="127">
        <v>11250</v>
      </c>
      <c r="H1064" s="125">
        <v>124.321</v>
      </c>
      <c r="I1064" s="127">
        <v>11250</v>
      </c>
      <c r="J1064" s="125">
        <v>130.60599999999999</v>
      </c>
      <c r="K1064" s="127">
        <v>11250</v>
      </c>
      <c r="L1064" s="125">
        <v>129.32300000000001</v>
      </c>
      <c r="M1064" s="127">
        <v>11250</v>
      </c>
      <c r="N1064" s="125">
        <v>130.36199999999999</v>
      </c>
      <c r="O1064" s="127">
        <v>11230</v>
      </c>
      <c r="P1064" s="125">
        <v>131.35599999999999</v>
      </c>
      <c r="Q1064" s="127">
        <v>11250</v>
      </c>
      <c r="R1064" s="125">
        <v>131.083</v>
      </c>
      <c r="S1064" s="127">
        <v>11250</v>
      </c>
      <c r="T1064" s="125">
        <v>131.65199999999999</v>
      </c>
      <c r="U1064" s="127">
        <v>11240</v>
      </c>
      <c r="V1064" s="125">
        <v>131.76599999999999</v>
      </c>
      <c r="W1064" s="127">
        <v>11250</v>
      </c>
      <c r="X1064" s="125">
        <v>130.982</v>
      </c>
      <c r="Y1064" s="127">
        <v>11250</v>
      </c>
      <c r="Z1064" s="125">
        <v>129.47800000000001</v>
      </c>
      <c r="AA1064" s="127">
        <v>11250</v>
      </c>
      <c r="AB1064" s="125">
        <v>130</v>
      </c>
      <c r="AC1064" s="127">
        <v>11240</v>
      </c>
      <c r="AD1064" s="125">
        <v>90.162000000000006</v>
      </c>
      <c r="AE1064" s="127">
        <v>11250</v>
      </c>
      <c r="AF1064" s="125">
        <v>91.55</v>
      </c>
      <c r="AG1064" s="127">
        <v>11230</v>
      </c>
      <c r="AH1064" s="125">
        <v>18.84</v>
      </c>
      <c r="AI1064" s="127">
        <v>11230</v>
      </c>
      <c r="AJ1064" s="125">
        <v>20.364999999999998</v>
      </c>
    </row>
    <row r="1065" spans="1:36" ht="14.25">
      <c r="A1065" s="128">
        <v>11260</v>
      </c>
      <c r="B1065" s="125">
        <v>40.725999999999999</v>
      </c>
      <c r="C1065" s="128">
        <v>11270</v>
      </c>
      <c r="D1065" s="125">
        <v>40.124000000000002</v>
      </c>
      <c r="E1065" s="126">
        <v>11260</v>
      </c>
      <c r="F1065" s="125">
        <v>122.943</v>
      </c>
      <c r="G1065" s="127">
        <v>11260</v>
      </c>
      <c r="H1065" s="125">
        <v>123.086</v>
      </c>
      <c r="I1065" s="127">
        <v>11260</v>
      </c>
      <c r="J1065" s="125">
        <v>129.39500000000001</v>
      </c>
      <c r="K1065" s="127">
        <v>11260</v>
      </c>
      <c r="L1065" s="125">
        <v>128.11000000000001</v>
      </c>
      <c r="M1065" s="127">
        <v>11260</v>
      </c>
      <c r="N1065" s="125">
        <v>129.15</v>
      </c>
      <c r="O1065" s="127">
        <v>11240</v>
      </c>
      <c r="P1065" s="125">
        <v>130.14500000000001</v>
      </c>
      <c r="Q1065" s="127">
        <v>11260</v>
      </c>
      <c r="R1065" s="125">
        <v>129.87200000000001</v>
      </c>
      <c r="S1065" s="127">
        <v>11260</v>
      </c>
      <c r="T1065" s="125">
        <v>130.44</v>
      </c>
      <c r="U1065" s="127">
        <v>11250</v>
      </c>
      <c r="V1065" s="125">
        <v>130.55500000000001</v>
      </c>
      <c r="W1065" s="127">
        <v>11260</v>
      </c>
      <c r="X1065" s="125">
        <v>129.77099999999999</v>
      </c>
      <c r="Y1065" s="127">
        <v>11260</v>
      </c>
      <c r="Z1065" s="125">
        <v>128.268</v>
      </c>
      <c r="AA1065" s="127">
        <v>11260</v>
      </c>
      <c r="AB1065" s="125">
        <v>128.79</v>
      </c>
      <c r="AC1065" s="127">
        <v>11250</v>
      </c>
      <c r="AD1065" s="125">
        <v>89.242000000000004</v>
      </c>
      <c r="AE1065" s="127">
        <v>11260</v>
      </c>
      <c r="AF1065" s="125">
        <v>90.629000000000005</v>
      </c>
      <c r="AG1065" s="127">
        <v>11240</v>
      </c>
      <c r="AH1065" s="125">
        <v>18.643999999999998</v>
      </c>
      <c r="AI1065" s="127">
        <v>11240</v>
      </c>
      <c r="AJ1065" s="125">
        <v>20.155999999999999</v>
      </c>
    </row>
    <row r="1066" spans="1:36" ht="14.25">
      <c r="A1066" s="128">
        <v>11270</v>
      </c>
      <c r="B1066" s="125">
        <v>40.28</v>
      </c>
      <c r="C1066" s="128">
        <v>11280</v>
      </c>
      <c r="D1066" s="125">
        <v>39.682000000000002</v>
      </c>
      <c r="E1066" s="126">
        <v>11270</v>
      </c>
      <c r="F1066" s="125">
        <v>121.708</v>
      </c>
      <c r="G1066" s="127">
        <v>11270</v>
      </c>
      <c r="H1066" s="125">
        <v>121.852</v>
      </c>
      <c r="I1066" s="127">
        <v>11270</v>
      </c>
      <c r="J1066" s="125">
        <v>128.184</v>
      </c>
      <c r="K1066" s="127">
        <v>11270</v>
      </c>
      <c r="L1066" s="125">
        <v>126.89700000000001</v>
      </c>
      <c r="M1066" s="127">
        <v>11270</v>
      </c>
      <c r="N1066" s="125">
        <v>127.93899999999999</v>
      </c>
      <c r="O1066" s="127">
        <v>11250</v>
      </c>
      <c r="P1066" s="125">
        <v>128.93299999999999</v>
      </c>
      <c r="Q1066" s="127">
        <v>11270</v>
      </c>
      <c r="R1066" s="125">
        <v>128.661</v>
      </c>
      <c r="S1066" s="127">
        <v>11270</v>
      </c>
      <c r="T1066" s="125">
        <v>129.22800000000001</v>
      </c>
      <c r="U1066" s="127">
        <v>11260</v>
      </c>
      <c r="V1066" s="125">
        <v>129.345</v>
      </c>
      <c r="W1066" s="127">
        <v>11270</v>
      </c>
      <c r="X1066" s="125">
        <v>128.56</v>
      </c>
      <c r="Y1066" s="127">
        <v>11270</v>
      </c>
      <c r="Z1066" s="125">
        <v>127.05800000000001</v>
      </c>
      <c r="AA1066" s="127">
        <v>11270</v>
      </c>
      <c r="AB1066" s="125">
        <v>127.58</v>
      </c>
      <c r="AC1066" s="127">
        <v>11260</v>
      </c>
      <c r="AD1066" s="125">
        <v>88.323999999999998</v>
      </c>
      <c r="AE1066" s="127">
        <v>11270</v>
      </c>
      <c r="AF1066" s="125">
        <v>89.709000000000003</v>
      </c>
      <c r="AG1066" s="127">
        <v>11250</v>
      </c>
      <c r="AH1066" s="125">
        <v>18.449000000000002</v>
      </c>
      <c r="AI1066" s="127">
        <v>11250</v>
      </c>
      <c r="AJ1066" s="125">
        <v>19.946999999999999</v>
      </c>
    </row>
    <row r="1067" spans="1:36" ht="14.25">
      <c r="A1067" s="128">
        <v>11280</v>
      </c>
      <c r="B1067" s="125">
        <v>39.835999999999999</v>
      </c>
      <c r="C1067" s="128">
        <v>11290</v>
      </c>
      <c r="D1067" s="125">
        <v>39.241</v>
      </c>
      <c r="E1067" s="126">
        <v>11280</v>
      </c>
      <c r="F1067" s="125">
        <v>120.476</v>
      </c>
      <c r="G1067" s="127">
        <v>11280</v>
      </c>
      <c r="H1067" s="125">
        <v>120.62</v>
      </c>
      <c r="I1067" s="127">
        <v>11280</v>
      </c>
      <c r="J1067" s="125">
        <v>126.973</v>
      </c>
      <c r="K1067" s="127">
        <v>11280</v>
      </c>
      <c r="L1067" s="125">
        <v>125.684</v>
      </c>
      <c r="M1067" s="127">
        <v>11280</v>
      </c>
      <c r="N1067" s="125">
        <v>126.72799999999999</v>
      </c>
      <c r="O1067" s="127">
        <v>11260</v>
      </c>
      <c r="P1067" s="125">
        <v>127.72199999999999</v>
      </c>
      <c r="Q1067" s="127">
        <v>11280</v>
      </c>
      <c r="R1067" s="125">
        <v>127.45</v>
      </c>
      <c r="S1067" s="127">
        <v>11280</v>
      </c>
      <c r="T1067" s="125">
        <v>128.01599999999999</v>
      </c>
      <c r="U1067" s="127">
        <v>11270</v>
      </c>
      <c r="V1067" s="125">
        <v>128.13399999999999</v>
      </c>
      <c r="W1067" s="127">
        <v>11280</v>
      </c>
      <c r="X1067" s="125">
        <v>127.349</v>
      </c>
      <c r="Y1067" s="127">
        <v>11280</v>
      </c>
      <c r="Z1067" s="125">
        <v>125.84699999999999</v>
      </c>
      <c r="AA1067" s="127">
        <v>11280</v>
      </c>
      <c r="AB1067" s="125">
        <v>126.371</v>
      </c>
      <c r="AC1067" s="127">
        <v>11270</v>
      </c>
      <c r="AD1067" s="125">
        <v>87.408000000000001</v>
      </c>
      <c r="AE1067" s="127">
        <v>11280</v>
      </c>
      <c r="AF1067" s="125">
        <v>88.790999999999997</v>
      </c>
      <c r="AG1067" s="127">
        <v>11260</v>
      </c>
      <c r="AH1067" s="125">
        <v>18.254999999999999</v>
      </c>
      <c r="AI1067" s="127">
        <v>11260</v>
      </c>
      <c r="AJ1067" s="125">
        <v>19.738</v>
      </c>
    </row>
    <row r="1068" spans="1:36" ht="14.25">
      <c r="A1068" s="128">
        <v>11290</v>
      </c>
      <c r="B1068" s="125">
        <v>39.392000000000003</v>
      </c>
      <c r="C1068" s="128">
        <v>11300</v>
      </c>
      <c r="D1068" s="125">
        <v>38.802</v>
      </c>
      <c r="E1068" s="126">
        <v>11290</v>
      </c>
      <c r="F1068" s="125">
        <v>119.245</v>
      </c>
      <c r="G1068" s="127">
        <v>11290</v>
      </c>
      <c r="H1068" s="125">
        <v>119.39</v>
      </c>
      <c r="I1068" s="127">
        <v>11290</v>
      </c>
      <c r="J1068" s="125">
        <v>125.762</v>
      </c>
      <c r="K1068" s="127">
        <v>11290</v>
      </c>
      <c r="L1068" s="125">
        <v>124.471</v>
      </c>
      <c r="M1068" s="127">
        <v>11290</v>
      </c>
      <c r="N1068" s="125">
        <v>125.517</v>
      </c>
      <c r="O1068" s="127">
        <v>11270</v>
      </c>
      <c r="P1068" s="125">
        <v>126.51</v>
      </c>
      <c r="Q1068" s="127">
        <v>11290</v>
      </c>
      <c r="R1068" s="125">
        <v>126.239</v>
      </c>
      <c r="S1068" s="127">
        <v>11290</v>
      </c>
      <c r="T1068" s="125">
        <v>126.80500000000001</v>
      </c>
      <c r="U1068" s="127">
        <v>11280</v>
      </c>
      <c r="V1068" s="125">
        <v>126.923</v>
      </c>
      <c r="W1068" s="127">
        <v>11290</v>
      </c>
      <c r="X1068" s="125">
        <v>126.137</v>
      </c>
      <c r="Y1068" s="127">
        <v>11290</v>
      </c>
      <c r="Z1068" s="125">
        <v>124.637</v>
      </c>
      <c r="AA1068" s="127">
        <v>11290</v>
      </c>
      <c r="AB1068" s="125">
        <v>125.161</v>
      </c>
      <c r="AC1068" s="127">
        <v>11280</v>
      </c>
      <c r="AD1068" s="125">
        <v>86.492999999999995</v>
      </c>
      <c r="AE1068" s="127">
        <v>11290</v>
      </c>
      <c r="AF1068" s="125">
        <v>87.873999999999995</v>
      </c>
      <c r="AG1068" s="127">
        <v>11270</v>
      </c>
      <c r="AH1068" s="125">
        <v>18.061</v>
      </c>
      <c r="AI1068" s="127">
        <v>11270</v>
      </c>
      <c r="AJ1068" s="125">
        <v>19.53</v>
      </c>
    </row>
    <row r="1069" spans="1:36" ht="14.25">
      <c r="A1069" s="128">
        <v>11300</v>
      </c>
      <c r="B1069" s="125">
        <v>38.950000000000003</v>
      </c>
      <c r="C1069" s="128">
        <v>11310</v>
      </c>
      <c r="D1069" s="125">
        <v>38.363</v>
      </c>
      <c r="E1069" s="126">
        <v>11300</v>
      </c>
      <c r="F1069" s="125">
        <v>118.015</v>
      </c>
      <c r="G1069" s="127">
        <v>11300</v>
      </c>
      <c r="H1069" s="125">
        <v>118.16200000000001</v>
      </c>
      <c r="I1069" s="127">
        <v>11300</v>
      </c>
      <c r="J1069" s="125">
        <v>124.55200000000001</v>
      </c>
      <c r="K1069" s="127">
        <v>11300</v>
      </c>
      <c r="L1069" s="125">
        <v>123.258</v>
      </c>
      <c r="M1069" s="127">
        <v>11300</v>
      </c>
      <c r="N1069" s="125">
        <v>124.30500000000001</v>
      </c>
      <c r="O1069" s="127">
        <v>11280</v>
      </c>
      <c r="P1069" s="125">
        <v>125.29900000000001</v>
      </c>
      <c r="Q1069" s="127">
        <v>11300</v>
      </c>
      <c r="R1069" s="125">
        <v>125.027</v>
      </c>
      <c r="S1069" s="127">
        <v>11300</v>
      </c>
      <c r="T1069" s="125">
        <v>125.593</v>
      </c>
      <c r="U1069" s="127">
        <v>11290</v>
      </c>
      <c r="V1069" s="125">
        <v>125.71299999999999</v>
      </c>
      <c r="W1069" s="127">
        <v>11300</v>
      </c>
      <c r="X1069" s="125">
        <v>124.926</v>
      </c>
      <c r="Y1069" s="127">
        <v>11300</v>
      </c>
      <c r="Z1069" s="125">
        <v>123.42700000000001</v>
      </c>
      <c r="AA1069" s="127">
        <v>11300</v>
      </c>
      <c r="AB1069" s="125">
        <v>123.95099999999999</v>
      </c>
      <c r="AC1069" s="127">
        <v>11290</v>
      </c>
      <c r="AD1069" s="125">
        <v>85.58</v>
      </c>
      <c r="AE1069" s="127">
        <v>11300</v>
      </c>
      <c r="AF1069" s="125">
        <v>86.959000000000003</v>
      </c>
      <c r="AG1069" s="127">
        <v>11280</v>
      </c>
      <c r="AH1069" s="125">
        <v>17.867000000000001</v>
      </c>
      <c r="AI1069" s="127">
        <v>11280</v>
      </c>
      <c r="AJ1069" s="125">
        <v>19.321999999999999</v>
      </c>
    </row>
    <row r="1070" spans="1:36" ht="14.25">
      <c r="A1070" s="128">
        <v>11310</v>
      </c>
      <c r="B1070" s="125">
        <v>38.508000000000003</v>
      </c>
      <c r="C1070" s="128">
        <v>11320</v>
      </c>
      <c r="D1070" s="125">
        <v>37.926000000000002</v>
      </c>
      <c r="E1070" s="126">
        <v>11310</v>
      </c>
      <c r="F1070" s="125">
        <v>116.788</v>
      </c>
      <c r="G1070" s="127">
        <v>11310</v>
      </c>
      <c r="H1070" s="125">
        <v>116.935</v>
      </c>
      <c r="I1070" s="127">
        <v>11310</v>
      </c>
      <c r="J1070" s="125">
        <v>123.34099999999999</v>
      </c>
      <c r="K1070" s="127">
        <v>11310</v>
      </c>
      <c r="L1070" s="125">
        <v>122.045</v>
      </c>
      <c r="M1070" s="127">
        <v>11310</v>
      </c>
      <c r="N1070" s="125">
        <v>123.09399999999999</v>
      </c>
      <c r="O1070" s="127">
        <v>11290</v>
      </c>
      <c r="P1070" s="125">
        <v>124.087</v>
      </c>
      <c r="Q1070" s="127">
        <v>11310</v>
      </c>
      <c r="R1070" s="125">
        <v>123.816</v>
      </c>
      <c r="S1070" s="127">
        <v>11310</v>
      </c>
      <c r="T1070" s="125">
        <v>124.381</v>
      </c>
      <c r="U1070" s="127">
        <v>11300</v>
      </c>
      <c r="V1070" s="125">
        <v>124.502</v>
      </c>
      <c r="W1070" s="127">
        <v>11310</v>
      </c>
      <c r="X1070" s="125">
        <v>123.715</v>
      </c>
      <c r="Y1070" s="127">
        <v>11310</v>
      </c>
      <c r="Z1070" s="125">
        <v>122.217</v>
      </c>
      <c r="AA1070" s="127">
        <v>11310</v>
      </c>
      <c r="AB1070" s="125">
        <v>122.742</v>
      </c>
      <c r="AC1070" s="127">
        <v>11300</v>
      </c>
      <c r="AD1070" s="125">
        <v>84.668000000000006</v>
      </c>
      <c r="AE1070" s="127">
        <v>11310</v>
      </c>
      <c r="AF1070" s="125">
        <v>86.045000000000002</v>
      </c>
      <c r="AG1070" s="127">
        <v>11290</v>
      </c>
      <c r="AH1070" s="125">
        <v>17.673999999999999</v>
      </c>
      <c r="AI1070" s="127">
        <v>11290</v>
      </c>
      <c r="AJ1070" s="125">
        <v>19.114999999999998</v>
      </c>
    </row>
    <row r="1071" spans="1:36" ht="14.25">
      <c r="A1071" s="128">
        <v>11320</v>
      </c>
      <c r="B1071" s="125">
        <v>38.067999999999998</v>
      </c>
      <c r="C1071" s="128">
        <v>11330</v>
      </c>
      <c r="D1071" s="125">
        <v>37.49</v>
      </c>
      <c r="E1071" s="126">
        <v>11320</v>
      </c>
      <c r="F1071" s="125">
        <v>115.562</v>
      </c>
      <c r="G1071" s="127">
        <v>11320</v>
      </c>
      <c r="H1071" s="125">
        <v>115.71</v>
      </c>
      <c r="I1071" s="127">
        <v>11320</v>
      </c>
      <c r="J1071" s="125">
        <v>122.13</v>
      </c>
      <c r="K1071" s="127">
        <v>11320</v>
      </c>
      <c r="L1071" s="125">
        <v>120.83199999999999</v>
      </c>
      <c r="M1071" s="127">
        <v>11320</v>
      </c>
      <c r="N1071" s="125">
        <v>121.883</v>
      </c>
      <c r="O1071" s="127">
        <v>11300</v>
      </c>
      <c r="P1071" s="125">
        <v>122.876</v>
      </c>
      <c r="Q1071" s="127">
        <v>11320</v>
      </c>
      <c r="R1071" s="125">
        <v>122.605</v>
      </c>
      <c r="S1071" s="127">
        <v>11320</v>
      </c>
      <c r="T1071" s="125">
        <v>123.169</v>
      </c>
      <c r="U1071" s="127">
        <v>11310</v>
      </c>
      <c r="V1071" s="125">
        <v>123.291</v>
      </c>
      <c r="W1071" s="127">
        <v>11320</v>
      </c>
      <c r="X1071" s="125">
        <v>122.504</v>
      </c>
      <c r="Y1071" s="127">
        <v>11320</v>
      </c>
      <c r="Z1071" s="125">
        <v>121.006</v>
      </c>
      <c r="AA1071" s="127">
        <v>11320</v>
      </c>
      <c r="AB1071" s="125">
        <v>121.532</v>
      </c>
      <c r="AC1071" s="127">
        <v>11310</v>
      </c>
      <c r="AD1071" s="125">
        <v>83.757999999999996</v>
      </c>
      <c r="AE1071" s="127">
        <v>11320</v>
      </c>
      <c r="AF1071" s="125">
        <v>85.132999999999996</v>
      </c>
      <c r="AG1071" s="127">
        <v>11300</v>
      </c>
      <c r="AH1071" s="125">
        <v>17.481000000000002</v>
      </c>
      <c r="AI1071" s="127">
        <v>11300</v>
      </c>
      <c r="AJ1071" s="125">
        <v>18.908000000000001</v>
      </c>
    </row>
    <row r="1072" spans="1:36" ht="14.25">
      <c r="A1072" s="128">
        <v>11330</v>
      </c>
      <c r="B1072" s="125">
        <v>37.628999999999998</v>
      </c>
      <c r="C1072" s="128">
        <v>11340</v>
      </c>
      <c r="D1072" s="125">
        <v>37.055999999999997</v>
      </c>
      <c r="E1072" s="126">
        <v>11330</v>
      </c>
      <c r="F1072" s="125">
        <v>114.33799999999999</v>
      </c>
      <c r="G1072" s="127">
        <v>11330</v>
      </c>
      <c r="H1072" s="125">
        <v>114.48699999999999</v>
      </c>
      <c r="I1072" s="127">
        <v>11330</v>
      </c>
      <c r="J1072" s="125">
        <v>120.92</v>
      </c>
      <c r="K1072" s="127">
        <v>11330</v>
      </c>
      <c r="L1072" s="125">
        <v>119.619</v>
      </c>
      <c r="M1072" s="127">
        <v>11330</v>
      </c>
      <c r="N1072" s="125">
        <v>120.672</v>
      </c>
      <c r="O1072" s="127">
        <v>11310</v>
      </c>
      <c r="P1072" s="125">
        <v>121.664</v>
      </c>
      <c r="Q1072" s="127">
        <v>11330</v>
      </c>
      <c r="R1072" s="125">
        <v>121.39400000000001</v>
      </c>
      <c r="S1072" s="127">
        <v>11330</v>
      </c>
      <c r="T1072" s="125">
        <v>121.95699999999999</v>
      </c>
      <c r="U1072" s="127">
        <v>11320</v>
      </c>
      <c r="V1072" s="125">
        <v>122.081</v>
      </c>
      <c r="W1072" s="127">
        <v>11330</v>
      </c>
      <c r="X1072" s="125">
        <v>121.29300000000001</v>
      </c>
      <c r="Y1072" s="127">
        <v>11330</v>
      </c>
      <c r="Z1072" s="125">
        <v>119.79600000000001</v>
      </c>
      <c r="AA1072" s="127">
        <v>11330</v>
      </c>
      <c r="AB1072" s="125">
        <v>120.32299999999999</v>
      </c>
      <c r="AC1072" s="127">
        <v>11320</v>
      </c>
      <c r="AD1072" s="125">
        <v>82.849000000000004</v>
      </c>
      <c r="AE1072" s="127">
        <v>11330</v>
      </c>
      <c r="AF1072" s="125">
        <v>84.222999999999999</v>
      </c>
      <c r="AG1072" s="127">
        <v>11310</v>
      </c>
      <c r="AH1072" s="125">
        <v>17.288</v>
      </c>
      <c r="AI1072" s="127">
        <v>11310</v>
      </c>
      <c r="AJ1072" s="125">
        <v>18.701000000000001</v>
      </c>
    </row>
    <row r="1073" spans="1:36" ht="14.25">
      <c r="A1073" s="128">
        <v>11340</v>
      </c>
      <c r="B1073" s="125">
        <v>37.192</v>
      </c>
      <c r="C1073" s="128">
        <v>11350</v>
      </c>
      <c r="D1073" s="125">
        <v>36.622</v>
      </c>
      <c r="E1073" s="126">
        <v>11340</v>
      </c>
      <c r="F1073" s="125">
        <v>113.116</v>
      </c>
      <c r="G1073" s="127">
        <v>11340</v>
      </c>
      <c r="H1073" s="125">
        <v>113.26600000000001</v>
      </c>
      <c r="I1073" s="127">
        <v>11340</v>
      </c>
      <c r="J1073" s="125">
        <v>119.709</v>
      </c>
      <c r="K1073" s="127">
        <v>11340</v>
      </c>
      <c r="L1073" s="125">
        <v>118.407</v>
      </c>
      <c r="M1073" s="127">
        <v>11340</v>
      </c>
      <c r="N1073" s="125">
        <v>119.46</v>
      </c>
      <c r="O1073" s="127">
        <v>11320</v>
      </c>
      <c r="P1073" s="125">
        <v>120.453</v>
      </c>
      <c r="Q1073" s="127">
        <v>11340</v>
      </c>
      <c r="R1073" s="125">
        <v>120.182</v>
      </c>
      <c r="S1073" s="127">
        <v>11340</v>
      </c>
      <c r="T1073" s="125">
        <v>120.745</v>
      </c>
      <c r="U1073" s="127">
        <v>11330</v>
      </c>
      <c r="V1073" s="125">
        <v>120.87</v>
      </c>
      <c r="W1073" s="127">
        <v>11340</v>
      </c>
      <c r="X1073" s="125">
        <v>120.081</v>
      </c>
      <c r="Y1073" s="127">
        <v>11340</v>
      </c>
      <c r="Z1073" s="125">
        <v>118.586</v>
      </c>
      <c r="AA1073" s="127">
        <v>11340</v>
      </c>
      <c r="AB1073" s="125">
        <v>119.114</v>
      </c>
      <c r="AC1073" s="127">
        <v>11330</v>
      </c>
      <c r="AD1073" s="125">
        <v>81.941999999999993</v>
      </c>
      <c r="AE1073" s="127">
        <v>11340</v>
      </c>
      <c r="AF1073" s="125">
        <v>83.313999999999993</v>
      </c>
      <c r="AG1073" s="127">
        <v>11320</v>
      </c>
      <c r="AH1073" s="125">
        <v>17.096</v>
      </c>
      <c r="AI1073" s="127">
        <v>11320</v>
      </c>
      <c r="AJ1073" s="125">
        <v>18.495000000000001</v>
      </c>
    </row>
    <row r="1074" spans="1:36" ht="14.25">
      <c r="A1074" s="128">
        <v>11350</v>
      </c>
      <c r="B1074" s="125">
        <v>36.755000000000003</v>
      </c>
      <c r="C1074" s="128">
        <v>11360</v>
      </c>
      <c r="D1074" s="125">
        <v>36.189</v>
      </c>
      <c r="E1074" s="126">
        <v>11350</v>
      </c>
      <c r="F1074" s="125">
        <v>111.895</v>
      </c>
      <c r="G1074" s="127">
        <v>11350</v>
      </c>
      <c r="H1074" s="125">
        <v>112.04600000000001</v>
      </c>
      <c r="I1074" s="127">
        <v>11350</v>
      </c>
      <c r="J1074" s="125">
        <v>118.498</v>
      </c>
      <c r="K1074" s="127">
        <v>11350</v>
      </c>
      <c r="L1074" s="125">
        <v>117.194</v>
      </c>
      <c r="M1074" s="127">
        <v>11350</v>
      </c>
      <c r="N1074" s="125">
        <v>118.249</v>
      </c>
      <c r="O1074" s="127">
        <v>11330</v>
      </c>
      <c r="P1074" s="125">
        <v>119.241</v>
      </c>
      <c r="Q1074" s="127">
        <v>11350</v>
      </c>
      <c r="R1074" s="125">
        <v>118.971</v>
      </c>
      <c r="S1074" s="127">
        <v>11350</v>
      </c>
      <c r="T1074" s="125">
        <v>119.533</v>
      </c>
      <c r="U1074" s="127">
        <v>11340</v>
      </c>
      <c r="V1074" s="125">
        <v>119.65900000000001</v>
      </c>
      <c r="W1074" s="127">
        <v>11350</v>
      </c>
      <c r="X1074" s="125">
        <v>118.87</v>
      </c>
      <c r="Y1074" s="127">
        <v>11350</v>
      </c>
      <c r="Z1074" s="125">
        <v>117.376</v>
      </c>
      <c r="AA1074" s="127">
        <v>11350</v>
      </c>
      <c r="AB1074" s="125">
        <v>117.904</v>
      </c>
      <c r="AC1074" s="127">
        <v>11340</v>
      </c>
      <c r="AD1074" s="125">
        <v>81.036000000000001</v>
      </c>
      <c r="AE1074" s="127">
        <v>11350</v>
      </c>
      <c r="AF1074" s="125">
        <v>82.406000000000006</v>
      </c>
      <c r="AG1074" s="127">
        <v>11330</v>
      </c>
      <c r="AH1074" s="125">
        <v>16.904</v>
      </c>
      <c r="AI1074" s="127">
        <v>11330</v>
      </c>
      <c r="AJ1074" s="125">
        <v>18.289000000000001</v>
      </c>
    </row>
    <row r="1075" spans="1:36" ht="14.25">
      <c r="A1075" s="128">
        <v>11360</v>
      </c>
      <c r="B1075" s="125">
        <v>36.32</v>
      </c>
      <c r="C1075" s="128">
        <v>11370</v>
      </c>
      <c r="D1075" s="125">
        <v>35.758000000000003</v>
      </c>
      <c r="E1075" s="126">
        <v>11360</v>
      </c>
      <c r="F1075" s="125">
        <v>110.676</v>
      </c>
      <c r="G1075" s="127">
        <v>11360</v>
      </c>
      <c r="H1075" s="125">
        <v>110.828</v>
      </c>
      <c r="I1075" s="127">
        <v>11360</v>
      </c>
      <c r="J1075" s="125">
        <v>117.288</v>
      </c>
      <c r="K1075" s="127">
        <v>11360</v>
      </c>
      <c r="L1075" s="125">
        <v>115.98099999999999</v>
      </c>
      <c r="M1075" s="127">
        <v>11360</v>
      </c>
      <c r="N1075" s="125">
        <v>117.038</v>
      </c>
      <c r="O1075" s="127">
        <v>11340</v>
      </c>
      <c r="P1075" s="125">
        <v>118.03</v>
      </c>
      <c r="Q1075" s="127">
        <v>11360</v>
      </c>
      <c r="R1075" s="125">
        <v>117.76</v>
      </c>
      <c r="S1075" s="127">
        <v>11360</v>
      </c>
      <c r="T1075" s="125">
        <v>118.321</v>
      </c>
      <c r="U1075" s="127">
        <v>11350</v>
      </c>
      <c r="V1075" s="125">
        <v>118.449</v>
      </c>
      <c r="W1075" s="127">
        <v>11360</v>
      </c>
      <c r="X1075" s="125">
        <v>117.65900000000001</v>
      </c>
      <c r="Y1075" s="127">
        <v>11360</v>
      </c>
      <c r="Z1075" s="125">
        <v>116.167</v>
      </c>
      <c r="AA1075" s="127">
        <v>11360</v>
      </c>
      <c r="AB1075" s="125">
        <v>116.69499999999999</v>
      </c>
      <c r="AC1075" s="127">
        <v>11350</v>
      </c>
      <c r="AD1075" s="125">
        <v>80.132000000000005</v>
      </c>
      <c r="AE1075" s="127">
        <v>11360</v>
      </c>
      <c r="AF1075" s="125">
        <v>81.5</v>
      </c>
      <c r="AG1075" s="127">
        <v>11340</v>
      </c>
      <c r="AH1075" s="125">
        <v>16.713000000000001</v>
      </c>
      <c r="AI1075" s="127">
        <v>11340</v>
      </c>
      <c r="AJ1075" s="125">
        <v>18.082999999999998</v>
      </c>
    </row>
    <row r="1076" spans="1:36" ht="14.25">
      <c r="A1076" s="128">
        <v>11370</v>
      </c>
      <c r="B1076" s="125">
        <v>35.886000000000003</v>
      </c>
      <c r="C1076" s="128">
        <v>11380</v>
      </c>
      <c r="D1076" s="125">
        <v>35.328000000000003</v>
      </c>
      <c r="E1076" s="126">
        <v>11370</v>
      </c>
      <c r="F1076" s="125">
        <v>109.459</v>
      </c>
      <c r="G1076" s="127">
        <v>11370</v>
      </c>
      <c r="H1076" s="125">
        <v>109.611</v>
      </c>
      <c r="I1076" s="127">
        <v>11370</v>
      </c>
      <c r="J1076" s="125">
        <v>116.078</v>
      </c>
      <c r="K1076" s="127">
        <v>11370</v>
      </c>
      <c r="L1076" s="125">
        <v>114.76900000000001</v>
      </c>
      <c r="M1076" s="127">
        <v>11370</v>
      </c>
      <c r="N1076" s="125">
        <v>115.827</v>
      </c>
      <c r="O1076" s="127">
        <v>11350</v>
      </c>
      <c r="P1076" s="125">
        <v>116.818</v>
      </c>
      <c r="Q1076" s="127">
        <v>11370</v>
      </c>
      <c r="R1076" s="125">
        <v>116.54900000000001</v>
      </c>
      <c r="S1076" s="127">
        <v>11370</v>
      </c>
      <c r="T1076" s="125">
        <v>117.10899999999999</v>
      </c>
      <c r="U1076" s="127">
        <v>11360</v>
      </c>
      <c r="V1076" s="125">
        <v>117.238</v>
      </c>
      <c r="W1076" s="127">
        <v>11370</v>
      </c>
      <c r="X1076" s="125">
        <v>116.447</v>
      </c>
      <c r="Y1076" s="127">
        <v>11370</v>
      </c>
      <c r="Z1076" s="125">
        <v>114.95699999999999</v>
      </c>
      <c r="AA1076" s="127">
        <v>11370</v>
      </c>
      <c r="AB1076" s="125">
        <v>115.486</v>
      </c>
      <c r="AC1076" s="127">
        <v>11360</v>
      </c>
      <c r="AD1076" s="125">
        <v>79.228999999999999</v>
      </c>
      <c r="AE1076" s="127">
        <v>11370</v>
      </c>
      <c r="AF1076" s="125">
        <v>80.596000000000004</v>
      </c>
      <c r="AG1076" s="127">
        <v>11350</v>
      </c>
      <c r="AH1076" s="125">
        <v>16.521999999999998</v>
      </c>
      <c r="AI1076" s="127">
        <v>11350</v>
      </c>
      <c r="AJ1076" s="125">
        <v>17.878</v>
      </c>
    </row>
    <row r="1077" spans="1:36" ht="14.25">
      <c r="A1077" s="128">
        <v>11380</v>
      </c>
      <c r="B1077" s="125">
        <v>35.453000000000003</v>
      </c>
      <c r="C1077" s="128">
        <v>11390</v>
      </c>
      <c r="D1077" s="125">
        <v>34.899000000000001</v>
      </c>
      <c r="E1077" s="126">
        <v>11380</v>
      </c>
      <c r="F1077" s="125">
        <v>108.244</v>
      </c>
      <c r="G1077" s="127">
        <v>11380</v>
      </c>
      <c r="H1077" s="125">
        <v>108.39700000000001</v>
      </c>
      <c r="I1077" s="127">
        <v>11380</v>
      </c>
      <c r="J1077" s="125">
        <v>114.867</v>
      </c>
      <c r="K1077" s="127">
        <v>11380</v>
      </c>
      <c r="L1077" s="125">
        <v>113.557</v>
      </c>
      <c r="M1077" s="127">
        <v>11380</v>
      </c>
      <c r="N1077" s="125">
        <v>114.61499999999999</v>
      </c>
      <c r="O1077" s="127">
        <v>11360</v>
      </c>
      <c r="P1077" s="125">
        <v>115.607</v>
      </c>
      <c r="Q1077" s="127">
        <v>11380</v>
      </c>
      <c r="R1077" s="125">
        <v>115.337</v>
      </c>
      <c r="S1077" s="127">
        <v>11380</v>
      </c>
      <c r="T1077" s="125">
        <v>115.89700000000001</v>
      </c>
      <c r="U1077" s="127">
        <v>11370</v>
      </c>
      <c r="V1077" s="125">
        <v>116.02800000000001</v>
      </c>
      <c r="W1077" s="127">
        <v>11380</v>
      </c>
      <c r="X1077" s="125">
        <v>115.236</v>
      </c>
      <c r="Y1077" s="127">
        <v>11380</v>
      </c>
      <c r="Z1077" s="125">
        <v>113.747</v>
      </c>
      <c r="AA1077" s="127">
        <v>11380</v>
      </c>
      <c r="AB1077" s="125">
        <v>114.277</v>
      </c>
      <c r="AC1077" s="127">
        <v>11370</v>
      </c>
      <c r="AD1077" s="125">
        <v>78.328000000000003</v>
      </c>
      <c r="AE1077" s="127">
        <v>11380</v>
      </c>
      <c r="AF1077" s="125">
        <v>79.692999999999998</v>
      </c>
      <c r="AG1077" s="127">
        <v>11360</v>
      </c>
      <c r="AH1077" s="125">
        <v>16.332000000000001</v>
      </c>
      <c r="AI1077" s="127">
        <v>11360</v>
      </c>
      <c r="AJ1077" s="125">
        <v>17.673999999999999</v>
      </c>
    </row>
    <row r="1078" spans="1:36" ht="14.25">
      <c r="A1078" s="128">
        <v>11390</v>
      </c>
      <c r="B1078" s="125">
        <v>35.021000000000001</v>
      </c>
      <c r="C1078" s="128">
        <v>11400</v>
      </c>
      <c r="D1078" s="125">
        <v>34.472000000000001</v>
      </c>
      <c r="E1078" s="126">
        <v>11390</v>
      </c>
      <c r="F1078" s="125">
        <v>107.03</v>
      </c>
      <c r="G1078" s="127">
        <v>11390</v>
      </c>
      <c r="H1078" s="125">
        <v>107.184</v>
      </c>
      <c r="I1078" s="127">
        <v>11390</v>
      </c>
      <c r="J1078" s="125">
        <v>113.657</v>
      </c>
      <c r="K1078" s="127">
        <v>11390</v>
      </c>
      <c r="L1078" s="125">
        <v>112.34399999999999</v>
      </c>
      <c r="M1078" s="127">
        <v>11390</v>
      </c>
      <c r="N1078" s="125">
        <v>113.404</v>
      </c>
      <c r="O1078" s="127">
        <v>11370</v>
      </c>
      <c r="P1078" s="125">
        <v>114.395</v>
      </c>
      <c r="Q1078" s="127">
        <v>11390</v>
      </c>
      <c r="R1078" s="125">
        <v>114.126</v>
      </c>
      <c r="S1078" s="127">
        <v>11390</v>
      </c>
      <c r="T1078" s="125">
        <v>114.685</v>
      </c>
      <c r="U1078" s="127">
        <v>11380</v>
      </c>
      <c r="V1078" s="125">
        <v>114.81699999999999</v>
      </c>
      <c r="W1078" s="127">
        <v>11390</v>
      </c>
      <c r="X1078" s="125">
        <v>114.02500000000001</v>
      </c>
      <c r="Y1078" s="127">
        <v>11390</v>
      </c>
      <c r="Z1078" s="125">
        <v>112.53700000000001</v>
      </c>
      <c r="AA1078" s="127">
        <v>11390</v>
      </c>
      <c r="AB1078" s="125">
        <v>113.068</v>
      </c>
      <c r="AC1078" s="127">
        <v>11380</v>
      </c>
      <c r="AD1078" s="125">
        <v>77.429000000000002</v>
      </c>
      <c r="AE1078" s="127">
        <v>11390</v>
      </c>
      <c r="AF1078" s="125">
        <v>78.790999999999997</v>
      </c>
      <c r="AG1078" s="127">
        <v>11370</v>
      </c>
      <c r="AH1078" s="125">
        <v>16.141999999999999</v>
      </c>
      <c r="AI1078" s="127">
        <v>11370</v>
      </c>
      <c r="AJ1078" s="125">
        <v>17.469000000000001</v>
      </c>
    </row>
    <row r="1079" spans="1:36" ht="14.25">
      <c r="A1079" s="128">
        <v>11400</v>
      </c>
      <c r="B1079" s="125">
        <v>34.590000000000003</v>
      </c>
      <c r="C1079" s="128">
        <v>11410</v>
      </c>
      <c r="D1079" s="125">
        <v>34.045000000000002</v>
      </c>
      <c r="E1079" s="126">
        <v>11400</v>
      </c>
      <c r="F1079" s="125">
        <v>105.818</v>
      </c>
      <c r="G1079" s="127">
        <v>11400</v>
      </c>
      <c r="H1079" s="125">
        <v>105.973</v>
      </c>
      <c r="I1079" s="127">
        <v>11400</v>
      </c>
      <c r="J1079" s="125">
        <v>112.447</v>
      </c>
      <c r="K1079" s="127">
        <v>11400</v>
      </c>
      <c r="L1079" s="125">
        <v>111.13200000000001</v>
      </c>
      <c r="M1079" s="127">
        <v>11400</v>
      </c>
      <c r="N1079" s="125">
        <v>112.193</v>
      </c>
      <c r="O1079" s="127">
        <v>11380</v>
      </c>
      <c r="P1079" s="125">
        <v>113.184</v>
      </c>
      <c r="Q1079" s="127">
        <v>11400</v>
      </c>
      <c r="R1079" s="125">
        <v>112.91500000000001</v>
      </c>
      <c r="S1079" s="127">
        <v>11400</v>
      </c>
      <c r="T1079" s="134">
        <v>113.474</v>
      </c>
      <c r="U1079" s="127">
        <v>11390</v>
      </c>
      <c r="V1079" s="125">
        <v>113.60599999999999</v>
      </c>
      <c r="W1079" s="127">
        <v>11400</v>
      </c>
      <c r="X1079" s="125">
        <v>112.81399999999999</v>
      </c>
      <c r="Y1079" s="127">
        <v>11400</v>
      </c>
      <c r="Z1079" s="125">
        <v>111.328</v>
      </c>
      <c r="AA1079" s="127">
        <v>11400</v>
      </c>
      <c r="AB1079" s="125">
        <v>111.85899999999999</v>
      </c>
      <c r="AC1079" s="127">
        <v>11390</v>
      </c>
      <c r="AD1079" s="125">
        <v>76.531000000000006</v>
      </c>
      <c r="AE1079" s="127">
        <v>11400</v>
      </c>
      <c r="AF1079" s="125">
        <v>77.891999999999996</v>
      </c>
      <c r="AG1079" s="127">
        <v>11380</v>
      </c>
      <c r="AH1079" s="125">
        <v>15.952</v>
      </c>
      <c r="AI1079" s="127">
        <v>11380</v>
      </c>
      <c r="AJ1079" s="125">
        <v>17.265000000000001</v>
      </c>
    </row>
    <row r="1080" spans="1:36" ht="14.25">
      <c r="A1080" s="128">
        <v>11410</v>
      </c>
      <c r="B1080" s="125">
        <v>34.161000000000001</v>
      </c>
      <c r="C1080" s="128">
        <v>11420</v>
      </c>
      <c r="D1080" s="125">
        <v>33.619999999999997</v>
      </c>
      <c r="E1080" s="126">
        <v>11410</v>
      </c>
      <c r="F1080" s="125">
        <v>104.608</v>
      </c>
      <c r="G1080" s="127">
        <v>11410</v>
      </c>
      <c r="H1080" s="125">
        <v>104.76300000000001</v>
      </c>
      <c r="I1080" s="127">
        <v>11410</v>
      </c>
      <c r="J1080" s="125">
        <v>111.23699999999999</v>
      </c>
      <c r="K1080" s="127">
        <v>11410</v>
      </c>
      <c r="L1080" s="125">
        <v>109.92</v>
      </c>
      <c r="M1080" s="127">
        <v>11410</v>
      </c>
      <c r="N1080" s="125">
        <v>110.982</v>
      </c>
      <c r="O1080" s="127">
        <v>11390</v>
      </c>
      <c r="P1080" s="125">
        <v>111.97199999999999</v>
      </c>
      <c r="Q1080" s="127">
        <v>11410</v>
      </c>
      <c r="R1080" s="125">
        <v>111.70399999999999</v>
      </c>
      <c r="S1080" s="127">
        <v>11410</v>
      </c>
      <c r="T1080" s="125">
        <v>112.262</v>
      </c>
      <c r="U1080" s="127">
        <v>11400</v>
      </c>
      <c r="V1080" s="125">
        <v>112.396</v>
      </c>
      <c r="W1080" s="127">
        <v>11410</v>
      </c>
      <c r="X1080" s="125">
        <v>111.602</v>
      </c>
      <c r="Y1080" s="127">
        <v>11410</v>
      </c>
      <c r="Z1080" s="125">
        <v>110.11799999999999</v>
      </c>
      <c r="AA1080" s="127">
        <v>11410</v>
      </c>
      <c r="AB1080" s="125">
        <v>110.651</v>
      </c>
      <c r="AC1080" s="127">
        <v>11400</v>
      </c>
      <c r="AD1080" s="125">
        <v>75.635000000000005</v>
      </c>
      <c r="AE1080" s="127">
        <v>11410</v>
      </c>
      <c r="AF1080" s="125">
        <v>76.992999999999995</v>
      </c>
      <c r="AG1080" s="127">
        <v>11390</v>
      </c>
      <c r="AH1080" s="125">
        <v>15.763</v>
      </c>
      <c r="AI1080" s="127">
        <v>11390</v>
      </c>
      <c r="AJ1080" s="125">
        <v>17.062000000000001</v>
      </c>
    </row>
    <row r="1081" spans="1:36" ht="14.25">
      <c r="A1081" s="128">
        <v>11420</v>
      </c>
      <c r="B1081" s="125">
        <v>33.732999999999997</v>
      </c>
      <c r="C1081" s="128">
        <v>11430</v>
      </c>
      <c r="D1081" s="125">
        <v>33.195999999999998</v>
      </c>
      <c r="E1081" s="126">
        <v>11420</v>
      </c>
      <c r="F1081" s="125">
        <v>103.4</v>
      </c>
      <c r="G1081" s="127">
        <v>11420</v>
      </c>
      <c r="H1081" s="125">
        <v>103.55500000000001</v>
      </c>
      <c r="I1081" s="127">
        <v>11420</v>
      </c>
      <c r="J1081" s="125">
        <v>110.027</v>
      </c>
      <c r="K1081" s="127">
        <v>11420</v>
      </c>
      <c r="L1081" s="125">
        <v>108.708</v>
      </c>
      <c r="M1081" s="127">
        <v>11420</v>
      </c>
      <c r="N1081" s="125">
        <v>109.77</v>
      </c>
      <c r="O1081" s="127">
        <v>11400</v>
      </c>
      <c r="P1081" s="125">
        <v>110.761</v>
      </c>
      <c r="Q1081" s="127">
        <v>11420</v>
      </c>
      <c r="R1081" s="125">
        <v>110.49299999999999</v>
      </c>
      <c r="S1081" s="127">
        <v>11420</v>
      </c>
      <c r="T1081" s="125">
        <v>111.05</v>
      </c>
      <c r="U1081" s="127">
        <v>11410</v>
      </c>
      <c r="V1081" s="125">
        <v>111.185</v>
      </c>
      <c r="W1081" s="127">
        <v>11420</v>
      </c>
      <c r="X1081" s="125">
        <v>110.39100000000001</v>
      </c>
      <c r="Y1081" s="127">
        <v>11420</v>
      </c>
      <c r="Z1081" s="125">
        <v>108.90900000000001</v>
      </c>
      <c r="AA1081" s="127">
        <v>11420</v>
      </c>
      <c r="AB1081" s="125">
        <v>109.44199999999999</v>
      </c>
      <c r="AC1081" s="127">
        <v>11410</v>
      </c>
      <c r="AD1081" s="125">
        <v>74.739999999999995</v>
      </c>
      <c r="AE1081" s="127">
        <v>11420</v>
      </c>
      <c r="AF1081" s="125">
        <v>76.096000000000004</v>
      </c>
      <c r="AG1081" s="127">
        <v>11400</v>
      </c>
      <c r="AH1081" s="125">
        <v>15.574</v>
      </c>
      <c r="AI1081" s="127">
        <v>11400</v>
      </c>
      <c r="AJ1081" s="125">
        <v>16.859000000000002</v>
      </c>
    </row>
    <row r="1082" spans="1:36" ht="14.25">
      <c r="A1082" s="128">
        <v>11430</v>
      </c>
      <c r="B1082" s="125">
        <v>33.305999999999997</v>
      </c>
      <c r="C1082" s="128">
        <v>11440</v>
      </c>
      <c r="D1082" s="125">
        <v>32.773000000000003</v>
      </c>
      <c r="E1082" s="126">
        <v>11430</v>
      </c>
      <c r="F1082" s="125">
        <v>102.193</v>
      </c>
      <c r="G1082" s="127">
        <v>11430</v>
      </c>
      <c r="H1082" s="125">
        <v>102.349</v>
      </c>
      <c r="I1082" s="127">
        <v>11430</v>
      </c>
      <c r="J1082" s="125">
        <v>108.81699999999999</v>
      </c>
      <c r="K1082" s="127">
        <v>11430</v>
      </c>
      <c r="L1082" s="125">
        <v>107.497</v>
      </c>
      <c r="M1082" s="127">
        <v>11430</v>
      </c>
      <c r="N1082" s="125">
        <v>108.559</v>
      </c>
      <c r="O1082" s="127">
        <v>11410</v>
      </c>
      <c r="P1082" s="125">
        <v>109.54900000000001</v>
      </c>
      <c r="Q1082" s="127">
        <v>11430</v>
      </c>
      <c r="R1082" s="125">
        <v>109.28100000000001</v>
      </c>
      <c r="S1082" s="127">
        <v>11430</v>
      </c>
      <c r="T1082" s="125">
        <v>109.83799999999999</v>
      </c>
      <c r="U1082" s="127">
        <v>11420</v>
      </c>
      <c r="V1082" s="125">
        <v>109.974</v>
      </c>
      <c r="W1082" s="127">
        <v>11430</v>
      </c>
      <c r="X1082" s="125">
        <v>109.18</v>
      </c>
      <c r="Y1082" s="127">
        <v>11430</v>
      </c>
      <c r="Z1082" s="125">
        <v>107.7</v>
      </c>
      <c r="AA1082" s="127">
        <v>11430</v>
      </c>
      <c r="AB1082" s="125">
        <v>108.233</v>
      </c>
      <c r="AC1082" s="127">
        <v>11420</v>
      </c>
      <c r="AD1082" s="125">
        <v>73.846999999999994</v>
      </c>
      <c r="AE1082" s="127">
        <v>11430</v>
      </c>
      <c r="AF1082" s="125">
        <v>75.200999999999993</v>
      </c>
      <c r="AG1082" s="127">
        <v>11410</v>
      </c>
      <c r="AH1082" s="125">
        <v>15.385</v>
      </c>
      <c r="AI1082" s="127">
        <v>11410</v>
      </c>
      <c r="AJ1082" s="125">
        <v>16.655999999999999</v>
      </c>
    </row>
    <row r="1083" spans="1:36" ht="14.25">
      <c r="A1083" s="128">
        <v>11440</v>
      </c>
      <c r="B1083" s="125">
        <v>32.880000000000003</v>
      </c>
      <c r="C1083" s="128">
        <v>11450</v>
      </c>
      <c r="D1083" s="125">
        <v>32.350999999999999</v>
      </c>
      <c r="E1083" s="126">
        <v>11440</v>
      </c>
      <c r="F1083" s="125">
        <v>100.988</v>
      </c>
      <c r="G1083" s="127">
        <v>11440</v>
      </c>
      <c r="H1083" s="125">
        <v>101.145</v>
      </c>
      <c r="I1083" s="127">
        <v>11440</v>
      </c>
      <c r="J1083" s="125">
        <v>107.607</v>
      </c>
      <c r="K1083" s="127">
        <v>11440</v>
      </c>
      <c r="L1083" s="125">
        <v>106.285</v>
      </c>
      <c r="M1083" s="127">
        <v>11440</v>
      </c>
      <c r="N1083" s="125">
        <v>107.348</v>
      </c>
      <c r="O1083" s="127">
        <v>11420</v>
      </c>
      <c r="P1083" s="125">
        <v>108.33799999999999</v>
      </c>
      <c r="Q1083" s="127">
        <v>11440</v>
      </c>
      <c r="R1083" s="125">
        <v>108.07</v>
      </c>
      <c r="S1083" s="127">
        <v>11440</v>
      </c>
      <c r="T1083" s="125">
        <v>108.626</v>
      </c>
      <c r="U1083" s="127">
        <v>11430</v>
      </c>
      <c r="V1083" s="125">
        <v>108.764</v>
      </c>
      <c r="W1083" s="127">
        <v>11440</v>
      </c>
      <c r="X1083" s="125">
        <v>107.96899999999999</v>
      </c>
      <c r="Y1083" s="127">
        <v>11440</v>
      </c>
      <c r="Z1083" s="125">
        <v>106.491</v>
      </c>
      <c r="AA1083" s="127">
        <v>11440</v>
      </c>
      <c r="AB1083" s="125">
        <v>107.02500000000001</v>
      </c>
      <c r="AC1083" s="127">
        <v>11430</v>
      </c>
      <c r="AD1083" s="125">
        <v>72.954999999999998</v>
      </c>
      <c r="AE1083" s="127">
        <v>11440</v>
      </c>
      <c r="AF1083" s="125">
        <v>74.308000000000007</v>
      </c>
      <c r="AG1083" s="127">
        <v>11420</v>
      </c>
      <c r="AH1083" s="125">
        <v>15.196999999999999</v>
      </c>
      <c r="AI1083" s="127">
        <v>11420</v>
      </c>
      <c r="AJ1083" s="125">
        <v>16.454000000000001</v>
      </c>
    </row>
    <row r="1084" spans="1:36" ht="14.25">
      <c r="A1084" s="128">
        <v>11450</v>
      </c>
      <c r="B1084" s="125">
        <v>32.454999999999998</v>
      </c>
      <c r="C1084" s="128">
        <v>11460</v>
      </c>
      <c r="D1084" s="125">
        <v>31.93</v>
      </c>
      <c r="E1084" s="126">
        <v>11450</v>
      </c>
      <c r="F1084" s="125">
        <v>99.784999999999997</v>
      </c>
      <c r="G1084" s="127">
        <v>11450</v>
      </c>
      <c r="H1084" s="125">
        <v>99.941999999999993</v>
      </c>
      <c r="I1084" s="127">
        <v>11450</v>
      </c>
      <c r="J1084" s="125">
        <v>106.398</v>
      </c>
      <c r="K1084" s="127">
        <v>11450</v>
      </c>
      <c r="L1084" s="125">
        <v>105.07299999999999</v>
      </c>
      <c r="M1084" s="127">
        <v>11450</v>
      </c>
      <c r="N1084" s="125">
        <v>106.137</v>
      </c>
      <c r="O1084" s="127">
        <v>11430</v>
      </c>
      <c r="P1084" s="125">
        <v>107.126</v>
      </c>
      <c r="Q1084" s="127">
        <v>11450</v>
      </c>
      <c r="R1084" s="125">
        <v>106.85899999999999</v>
      </c>
      <c r="S1084" s="127">
        <v>11450</v>
      </c>
      <c r="T1084" s="125">
        <v>107.414</v>
      </c>
      <c r="U1084" s="127">
        <v>11440</v>
      </c>
      <c r="V1084" s="125">
        <v>107.553</v>
      </c>
      <c r="W1084" s="127">
        <v>11450</v>
      </c>
      <c r="X1084" s="125">
        <v>106.75700000000001</v>
      </c>
      <c r="Y1084" s="127">
        <v>11450</v>
      </c>
      <c r="Z1084" s="125">
        <v>105.282</v>
      </c>
      <c r="AA1084" s="127">
        <v>11450</v>
      </c>
      <c r="AB1084" s="125">
        <v>105.81699999999999</v>
      </c>
      <c r="AC1084" s="127">
        <v>11440</v>
      </c>
      <c r="AD1084" s="125">
        <v>72.064999999999998</v>
      </c>
      <c r="AE1084" s="127">
        <v>11450</v>
      </c>
      <c r="AF1084" s="125">
        <v>73.415000000000006</v>
      </c>
      <c r="AG1084" s="127">
        <v>11430</v>
      </c>
      <c r="AH1084" s="125">
        <v>15.009</v>
      </c>
      <c r="AI1084" s="127">
        <v>11430</v>
      </c>
      <c r="AJ1084" s="125">
        <v>16.251999999999999</v>
      </c>
    </row>
    <row r="1085" spans="1:36" ht="14.25">
      <c r="A1085" s="128">
        <v>11460</v>
      </c>
      <c r="B1085" s="125">
        <v>32.031999999999996</v>
      </c>
      <c r="C1085" s="128">
        <v>11470</v>
      </c>
      <c r="D1085" s="125">
        <v>31.510999999999999</v>
      </c>
      <c r="E1085" s="126">
        <v>11460</v>
      </c>
      <c r="F1085" s="125">
        <v>98.582999999999998</v>
      </c>
      <c r="G1085" s="127">
        <v>11460</v>
      </c>
      <c r="H1085" s="125">
        <v>98.741</v>
      </c>
      <c r="I1085" s="127">
        <v>11460</v>
      </c>
      <c r="J1085" s="125">
        <v>105.188</v>
      </c>
      <c r="K1085" s="127">
        <v>11460</v>
      </c>
      <c r="L1085" s="125">
        <v>103.86199999999999</v>
      </c>
      <c r="M1085" s="127">
        <v>11460</v>
      </c>
      <c r="N1085" s="125">
        <v>104.925</v>
      </c>
      <c r="O1085" s="127">
        <v>11440</v>
      </c>
      <c r="P1085" s="125">
        <v>105.91500000000001</v>
      </c>
      <c r="Q1085" s="127">
        <v>11460</v>
      </c>
      <c r="R1085" s="125">
        <v>105.648</v>
      </c>
      <c r="S1085" s="127">
        <v>11460</v>
      </c>
      <c r="T1085" s="125">
        <v>106.202</v>
      </c>
      <c r="U1085" s="127">
        <v>11450</v>
      </c>
      <c r="V1085" s="125">
        <v>106.342</v>
      </c>
      <c r="W1085" s="127">
        <v>11460</v>
      </c>
      <c r="X1085" s="125">
        <v>105.54600000000001</v>
      </c>
      <c r="Y1085" s="127">
        <v>11460</v>
      </c>
      <c r="Z1085" s="125">
        <v>104.07299999999999</v>
      </c>
      <c r="AA1085" s="127">
        <v>11460</v>
      </c>
      <c r="AB1085" s="125">
        <v>104.60899999999999</v>
      </c>
      <c r="AC1085" s="127">
        <v>11450</v>
      </c>
      <c r="AD1085" s="125">
        <v>71.376000000000005</v>
      </c>
      <c r="AE1085" s="127">
        <v>11460</v>
      </c>
      <c r="AF1085" s="125">
        <v>72.525000000000006</v>
      </c>
      <c r="AG1085" s="127">
        <v>11440</v>
      </c>
      <c r="AH1085" s="125">
        <v>14.821999999999999</v>
      </c>
      <c r="AI1085" s="127">
        <v>11440</v>
      </c>
      <c r="AJ1085" s="125">
        <v>16.050999999999998</v>
      </c>
    </row>
    <row r="1086" spans="1:36" ht="14.25">
      <c r="A1086" s="128">
        <v>11470</v>
      </c>
      <c r="B1086" s="125">
        <v>31.61</v>
      </c>
      <c r="C1086" s="128">
        <v>11480</v>
      </c>
      <c r="D1086" s="125">
        <v>31.093</v>
      </c>
      <c r="E1086" s="126">
        <v>11470</v>
      </c>
      <c r="F1086" s="125">
        <v>97.382999999999996</v>
      </c>
      <c r="G1086" s="127">
        <v>11470</v>
      </c>
      <c r="H1086" s="125">
        <v>97.542000000000002</v>
      </c>
      <c r="I1086" s="127">
        <v>11470</v>
      </c>
      <c r="J1086" s="125">
        <v>103.979</v>
      </c>
      <c r="K1086" s="127">
        <v>11470</v>
      </c>
      <c r="L1086" s="125">
        <v>102.651</v>
      </c>
      <c r="M1086" s="127">
        <v>11470</v>
      </c>
      <c r="N1086" s="125">
        <v>103.714</v>
      </c>
      <c r="O1086" s="127">
        <v>11450</v>
      </c>
      <c r="P1086" s="125">
        <v>104.703</v>
      </c>
      <c r="Q1086" s="127">
        <v>11470</v>
      </c>
      <c r="R1086" s="125">
        <v>104.437</v>
      </c>
      <c r="S1086" s="127">
        <v>11470</v>
      </c>
      <c r="T1086" s="125">
        <v>104.99</v>
      </c>
      <c r="U1086" s="127">
        <v>11460</v>
      </c>
      <c r="V1086" s="125">
        <v>105.13200000000001</v>
      </c>
      <c r="W1086" s="127">
        <v>11470</v>
      </c>
      <c r="X1086" s="125">
        <v>104.33499999999999</v>
      </c>
      <c r="Y1086" s="127">
        <v>11470</v>
      </c>
      <c r="Z1086" s="125">
        <v>102.864</v>
      </c>
      <c r="AA1086" s="127">
        <v>11470</v>
      </c>
      <c r="AB1086" s="125">
        <v>103.401</v>
      </c>
      <c r="AC1086" s="127">
        <v>11460</v>
      </c>
      <c r="AD1086" s="125">
        <v>70.289000000000001</v>
      </c>
      <c r="AE1086" s="127">
        <v>11470</v>
      </c>
      <c r="AF1086" s="125">
        <v>71.635999999999996</v>
      </c>
      <c r="AG1086" s="127">
        <v>11450</v>
      </c>
      <c r="AH1086" s="125">
        <v>14.635</v>
      </c>
      <c r="AI1086" s="127">
        <v>11450</v>
      </c>
      <c r="AJ1086" s="125">
        <v>15.849</v>
      </c>
    </row>
    <row r="1087" spans="1:36" ht="14.25">
      <c r="A1087" s="128">
        <v>11480</v>
      </c>
      <c r="B1087" s="125">
        <v>31.189</v>
      </c>
      <c r="C1087" s="128">
        <v>11490</v>
      </c>
      <c r="D1087" s="125">
        <v>30.675999999999998</v>
      </c>
      <c r="E1087" s="126">
        <v>11480</v>
      </c>
      <c r="F1087" s="125">
        <v>96.185000000000002</v>
      </c>
      <c r="G1087" s="127">
        <v>11480</v>
      </c>
      <c r="H1087" s="125">
        <v>96.343999999999994</v>
      </c>
      <c r="I1087" s="127">
        <v>11480</v>
      </c>
      <c r="J1087" s="125">
        <v>102.76900000000001</v>
      </c>
      <c r="K1087" s="127">
        <v>11480</v>
      </c>
      <c r="L1087" s="125">
        <v>101.44</v>
      </c>
      <c r="M1087" s="127">
        <v>11480</v>
      </c>
      <c r="N1087" s="125">
        <v>102.503</v>
      </c>
      <c r="O1087" s="127">
        <v>11460</v>
      </c>
      <c r="P1087" s="125">
        <v>103.492</v>
      </c>
      <c r="Q1087" s="127">
        <v>11480</v>
      </c>
      <c r="R1087" s="125">
        <v>103.22499999999999</v>
      </c>
      <c r="S1087" s="127">
        <v>11480</v>
      </c>
      <c r="T1087" s="125">
        <v>103.77800000000001</v>
      </c>
      <c r="U1087" s="127">
        <v>11470</v>
      </c>
      <c r="V1087" s="125">
        <v>103.92100000000001</v>
      </c>
      <c r="W1087" s="127">
        <v>11480</v>
      </c>
      <c r="X1087" s="125">
        <v>103.124</v>
      </c>
      <c r="Y1087" s="127">
        <v>11480</v>
      </c>
      <c r="Z1087" s="125">
        <v>101.655</v>
      </c>
      <c r="AA1087" s="127">
        <v>11480</v>
      </c>
      <c r="AB1087" s="125">
        <v>102.193</v>
      </c>
      <c r="AC1087" s="127">
        <v>11470</v>
      </c>
      <c r="AD1087" s="125">
        <v>69.403000000000006</v>
      </c>
      <c r="AE1087" s="127">
        <v>11480</v>
      </c>
      <c r="AF1087" s="125">
        <v>70.748000000000005</v>
      </c>
      <c r="AG1087" s="127">
        <v>11460</v>
      </c>
      <c r="AH1087" s="125">
        <v>14.449</v>
      </c>
      <c r="AI1087" s="127">
        <v>11460</v>
      </c>
      <c r="AJ1087" s="125">
        <v>15.648999999999999</v>
      </c>
    </row>
    <row r="1088" spans="1:36" ht="14.25">
      <c r="A1088" s="128">
        <v>11490</v>
      </c>
      <c r="B1088" s="125">
        <v>30.768999999999998</v>
      </c>
      <c r="C1088" s="128">
        <v>11500</v>
      </c>
      <c r="D1088" s="125">
        <v>30.26</v>
      </c>
      <c r="E1088" s="126">
        <v>11490</v>
      </c>
      <c r="F1088" s="125">
        <v>94.989000000000004</v>
      </c>
      <c r="G1088" s="127">
        <v>11490</v>
      </c>
      <c r="H1088" s="125">
        <v>95.147999999999996</v>
      </c>
      <c r="I1088" s="127">
        <v>11490</v>
      </c>
      <c r="J1088" s="125">
        <v>101.56</v>
      </c>
      <c r="K1088" s="127">
        <v>11490</v>
      </c>
      <c r="L1088" s="125">
        <v>100.229</v>
      </c>
      <c r="M1088" s="127">
        <v>11490</v>
      </c>
      <c r="N1088" s="125">
        <v>101.292</v>
      </c>
      <c r="O1088" s="127">
        <v>11470</v>
      </c>
      <c r="P1088" s="125">
        <v>102.28</v>
      </c>
      <c r="Q1088" s="127">
        <v>11490</v>
      </c>
      <c r="R1088" s="125">
        <v>102.014</v>
      </c>
      <c r="S1088" s="127">
        <v>11490</v>
      </c>
      <c r="T1088" s="125">
        <v>102.566</v>
      </c>
      <c r="U1088" s="127">
        <v>11480</v>
      </c>
      <c r="V1088" s="125">
        <v>102.71</v>
      </c>
      <c r="W1088" s="127">
        <v>11490</v>
      </c>
      <c r="X1088" s="125">
        <v>101.91200000000001</v>
      </c>
      <c r="Y1088" s="127">
        <v>11490</v>
      </c>
      <c r="Z1088" s="125">
        <v>100.447</v>
      </c>
      <c r="AA1088" s="127">
        <v>11490</v>
      </c>
      <c r="AB1088" s="125">
        <v>100.985</v>
      </c>
      <c r="AC1088" s="127">
        <v>11480</v>
      </c>
      <c r="AD1088" s="125">
        <v>68.519000000000005</v>
      </c>
      <c r="AE1088" s="127">
        <v>11490</v>
      </c>
      <c r="AF1088" s="125">
        <v>69.861999999999995</v>
      </c>
      <c r="AG1088" s="127">
        <v>11470</v>
      </c>
      <c r="AH1088" s="125">
        <v>14.262</v>
      </c>
      <c r="AI1088" s="127">
        <v>11470</v>
      </c>
      <c r="AJ1088" s="125">
        <v>15.449</v>
      </c>
    </row>
    <row r="1089" spans="1:36" ht="14.25">
      <c r="A1089" s="128">
        <v>11500</v>
      </c>
      <c r="B1089" s="125">
        <v>30.350999999999999</v>
      </c>
      <c r="C1089" s="128">
        <v>11510</v>
      </c>
      <c r="D1089" s="125">
        <v>29.846</v>
      </c>
      <c r="E1089" s="126">
        <v>11500</v>
      </c>
      <c r="F1089" s="125">
        <v>93.793999999999997</v>
      </c>
      <c r="G1089" s="127">
        <v>11500</v>
      </c>
      <c r="H1089" s="125">
        <v>93.953999999999994</v>
      </c>
      <c r="I1089" s="127">
        <v>11500</v>
      </c>
      <c r="J1089" s="125">
        <v>100.351</v>
      </c>
      <c r="K1089" s="127">
        <v>11500</v>
      </c>
      <c r="L1089" s="125">
        <v>99.018000000000001</v>
      </c>
      <c r="M1089" s="127">
        <v>11500</v>
      </c>
      <c r="N1089" s="125">
        <v>100.08</v>
      </c>
      <c r="O1089" s="127">
        <v>11480</v>
      </c>
      <c r="P1089" s="125">
        <v>101.069</v>
      </c>
      <c r="Q1089" s="127">
        <v>11500</v>
      </c>
      <c r="R1089" s="125">
        <v>100.803</v>
      </c>
      <c r="S1089" s="127">
        <v>11500</v>
      </c>
      <c r="T1089" s="125">
        <v>101.354</v>
      </c>
      <c r="U1089" s="127">
        <v>11490</v>
      </c>
      <c r="V1089" s="125">
        <v>101.5</v>
      </c>
      <c r="W1089" s="127">
        <v>11500</v>
      </c>
      <c r="X1089" s="125">
        <v>100.70099999999999</v>
      </c>
      <c r="Y1089" s="127">
        <v>11500</v>
      </c>
      <c r="Z1089" s="125">
        <v>99.238</v>
      </c>
      <c r="AA1089" s="127">
        <v>11500</v>
      </c>
      <c r="AB1089" s="125">
        <v>99.778000000000006</v>
      </c>
      <c r="AC1089" s="127">
        <v>11490</v>
      </c>
      <c r="AD1089" s="125">
        <v>67.637</v>
      </c>
      <c r="AE1089" s="127">
        <v>11500</v>
      </c>
      <c r="AF1089" s="125">
        <v>68.977000000000004</v>
      </c>
      <c r="AG1089" s="127">
        <v>11480</v>
      </c>
      <c r="AH1089" s="125">
        <v>14.077</v>
      </c>
      <c r="AI1089" s="127">
        <v>11480</v>
      </c>
      <c r="AJ1089" s="125">
        <v>15.249000000000001</v>
      </c>
    </row>
    <row r="1090" spans="1:36" ht="14.25">
      <c r="A1090" s="128">
        <v>11510</v>
      </c>
      <c r="B1090" s="125">
        <v>29.933</v>
      </c>
      <c r="C1090" s="128">
        <v>11520</v>
      </c>
      <c r="D1090" s="125">
        <v>29.433</v>
      </c>
      <c r="E1090" s="126">
        <v>11510</v>
      </c>
      <c r="F1090" s="125">
        <v>92.600999999999999</v>
      </c>
      <c r="G1090" s="127">
        <v>11510</v>
      </c>
      <c r="H1090" s="125">
        <v>92.760999999999996</v>
      </c>
      <c r="I1090" s="127">
        <v>11510</v>
      </c>
      <c r="J1090" s="125">
        <v>99.141999999999996</v>
      </c>
      <c r="K1090" s="127">
        <v>11510</v>
      </c>
      <c r="L1090" s="125">
        <v>97.807000000000002</v>
      </c>
      <c r="M1090" s="127">
        <v>11510</v>
      </c>
      <c r="N1090" s="125">
        <v>98.869</v>
      </c>
      <c r="O1090" s="127">
        <v>11490</v>
      </c>
      <c r="P1090" s="125">
        <v>99.858000000000004</v>
      </c>
      <c r="Q1090" s="127">
        <v>11510</v>
      </c>
      <c r="R1090" s="125">
        <v>99.591999999999999</v>
      </c>
      <c r="S1090" s="127">
        <v>11510</v>
      </c>
      <c r="T1090" s="125">
        <v>100.143</v>
      </c>
      <c r="U1090" s="127">
        <v>11500</v>
      </c>
      <c r="V1090" s="125">
        <v>100.289</v>
      </c>
      <c r="W1090" s="127">
        <v>11510</v>
      </c>
      <c r="X1090" s="125">
        <v>99.49</v>
      </c>
      <c r="Y1090" s="127">
        <v>11510</v>
      </c>
      <c r="Z1090" s="125">
        <v>98.03</v>
      </c>
      <c r="AA1090" s="127">
        <v>11510</v>
      </c>
      <c r="AB1090" s="125">
        <v>98.57</v>
      </c>
      <c r="AC1090" s="127">
        <v>11500</v>
      </c>
      <c r="AD1090" s="125">
        <v>66.756</v>
      </c>
      <c r="AE1090" s="127">
        <v>11510</v>
      </c>
      <c r="AF1090" s="125">
        <v>68.094999999999999</v>
      </c>
      <c r="AG1090" s="127">
        <v>11490</v>
      </c>
      <c r="AH1090" s="125">
        <v>13.891</v>
      </c>
      <c r="AI1090" s="127">
        <v>11490</v>
      </c>
      <c r="AJ1090" s="125">
        <v>15.048999999999999</v>
      </c>
    </row>
    <row r="1091" spans="1:36" ht="14.25">
      <c r="A1091" s="128">
        <v>11520</v>
      </c>
      <c r="B1091" s="125">
        <v>29.516999999999999</v>
      </c>
      <c r="C1091" s="128">
        <v>11530</v>
      </c>
      <c r="D1091" s="125">
        <v>29.021000000000001</v>
      </c>
      <c r="E1091" s="126">
        <v>11520</v>
      </c>
      <c r="F1091" s="125">
        <v>91.41</v>
      </c>
      <c r="G1091" s="127">
        <v>11520</v>
      </c>
      <c r="H1091" s="125">
        <v>91.57</v>
      </c>
      <c r="I1091" s="127">
        <v>11520</v>
      </c>
      <c r="J1091" s="125">
        <v>97.933000000000007</v>
      </c>
      <c r="K1091" s="127">
        <v>11520</v>
      </c>
      <c r="L1091" s="125">
        <v>96.596999999999994</v>
      </c>
      <c r="M1091" s="127">
        <v>11520</v>
      </c>
      <c r="N1091" s="125">
        <v>97.658000000000001</v>
      </c>
      <c r="O1091" s="127">
        <v>11500</v>
      </c>
      <c r="P1091" s="125">
        <v>98.646000000000001</v>
      </c>
      <c r="Q1091" s="127">
        <v>11520</v>
      </c>
      <c r="R1091" s="125">
        <v>98.381</v>
      </c>
      <c r="S1091" s="127">
        <v>11520</v>
      </c>
      <c r="T1091" s="125">
        <v>98.930999999999997</v>
      </c>
      <c r="U1091" s="127">
        <v>11510</v>
      </c>
      <c r="V1091" s="125">
        <v>99.078000000000003</v>
      </c>
      <c r="W1091" s="127">
        <v>11520</v>
      </c>
      <c r="X1091" s="125">
        <v>98.278999999999996</v>
      </c>
      <c r="Y1091" s="127">
        <v>11520</v>
      </c>
      <c r="Z1091" s="125">
        <v>96.822000000000003</v>
      </c>
      <c r="AA1091" s="127">
        <v>11520</v>
      </c>
      <c r="AB1091" s="125">
        <v>97.363</v>
      </c>
      <c r="AC1091" s="127">
        <v>11510</v>
      </c>
      <c r="AD1091" s="125">
        <v>65.876999999999995</v>
      </c>
      <c r="AE1091" s="127">
        <v>11520</v>
      </c>
      <c r="AF1091" s="125">
        <v>67.212999999999994</v>
      </c>
      <c r="AG1091" s="127">
        <v>11500</v>
      </c>
      <c r="AH1091" s="125">
        <v>13.706</v>
      </c>
      <c r="AI1091" s="127">
        <v>11500</v>
      </c>
      <c r="AJ1091" s="125">
        <v>14.85</v>
      </c>
    </row>
    <row r="1092" spans="1:36" ht="14.25">
      <c r="A1092" s="128">
        <v>11530</v>
      </c>
      <c r="B1092" s="125">
        <v>29.102</v>
      </c>
      <c r="C1092" s="128">
        <v>11540</v>
      </c>
      <c r="D1092" s="125">
        <v>28.61</v>
      </c>
      <c r="E1092" s="126">
        <v>11530</v>
      </c>
      <c r="F1092" s="125">
        <v>90.22</v>
      </c>
      <c r="G1092" s="127">
        <v>11530</v>
      </c>
      <c r="H1092" s="125">
        <v>90.381</v>
      </c>
      <c r="I1092" s="127">
        <v>11530</v>
      </c>
      <c r="J1092" s="125">
        <v>96.724999999999994</v>
      </c>
      <c r="K1092" s="127">
        <v>11530</v>
      </c>
      <c r="L1092" s="125">
        <v>95.387</v>
      </c>
      <c r="M1092" s="127">
        <v>11530</v>
      </c>
      <c r="N1092" s="125">
        <v>96.447000000000003</v>
      </c>
      <c r="O1092" s="127">
        <v>11510</v>
      </c>
      <c r="P1092" s="125">
        <v>97.435000000000002</v>
      </c>
      <c r="Q1092" s="127">
        <v>11530</v>
      </c>
      <c r="R1092" s="125">
        <v>97.17</v>
      </c>
      <c r="S1092" s="127">
        <v>11530</v>
      </c>
      <c r="T1092" s="125">
        <v>97.718999999999994</v>
      </c>
      <c r="U1092" s="127">
        <v>11520</v>
      </c>
      <c r="V1092" s="125">
        <v>97.867999999999995</v>
      </c>
      <c r="W1092" s="127">
        <v>11530</v>
      </c>
      <c r="X1092" s="125">
        <v>97.066999999999993</v>
      </c>
      <c r="Y1092" s="127">
        <v>11530</v>
      </c>
      <c r="Z1092" s="125">
        <v>95.614000000000004</v>
      </c>
      <c r="AA1092" s="127">
        <v>11530</v>
      </c>
      <c r="AB1092" s="125">
        <v>96.156000000000006</v>
      </c>
      <c r="AC1092" s="127">
        <v>11520</v>
      </c>
      <c r="AD1092" s="125">
        <v>64.998999999999995</v>
      </c>
      <c r="AE1092" s="127">
        <v>11530</v>
      </c>
      <c r="AF1092" s="125">
        <v>66.332999999999998</v>
      </c>
      <c r="AG1092" s="127">
        <v>11510</v>
      </c>
      <c r="AH1092" s="125">
        <v>13.522</v>
      </c>
      <c r="AI1092" s="127">
        <v>11510</v>
      </c>
      <c r="AJ1092" s="125">
        <v>14.651</v>
      </c>
    </row>
    <row r="1093" spans="1:36" ht="14.25">
      <c r="A1093" s="128">
        <v>11540</v>
      </c>
      <c r="B1093" s="125">
        <v>28.689</v>
      </c>
      <c r="C1093" s="128">
        <v>11550</v>
      </c>
      <c r="D1093" s="125">
        <v>28.2</v>
      </c>
      <c r="E1093" s="126">
        <v>11540</v>
      </c>
      <c r="F1093" s="125">
        <v>89.031999999999996</v>
      </c>
      <c r="G1093" s="127">
        <v>11540</v>
      </c>
      <c r="H1093" s="125">
        <v>89.192999999999998</v>
      </c>
      <c r="I1093" s="127">
        <v>11540</v>
      </c>
      <c r="J1093" s="125">
        <v>95.516000000000005</v>
      </c>
      <c r="K1093" s="127">
        <v>11540</v>
      </c>
      <c r="L1093" s="125">
        <v>94.177000000000007</v>
      </c>
      <c r="M1093" s="127">
        <v>11540</v>
      </c>
      <c r="N1093" s="125">
        <v>95.234999999999999</v>
      </c>
      <c r="O1093" s="127">
        <v>11520</v>
      </c>
      <c r="P1093" s="125">
        <v>96.222999999999999</v>
      </c>
      <c r="Q1093" s="127">
        <v>11540</v>
      </c>
      <c r="R1093" s="125">
        <v>95.957999999999998</v>
      </c>
      <c r="S1093" s="127">
        <v>11540</v>
      </c>
      <c r="T1093" s="125">
        <v>96.507000000000005</v>
      </c>
      <c r="U1093" s="127">
        <v>11530</v>
      </c>
      <c r="V1093" s="125">
        <v>96.656999999999996</v>
      </c>
      <c r="W1093" s="127">
        <v>11540</v>
      </c>
      <c r="X1093" s="125">
        <v>95.855999999999995</v>
      </c>
      <c r="Y1093" s="127">
        <v>11540</v>
      </c>
      <c r="Z1093" s="125">
        <v>94.406000000000006</v>
      </c>
      <c r="AA1093" s="127">
        <v>11540</v>
      </c>
      <c r="AB1093" s="125">
        <v>94.95</v>
      </c>
      <c r="AC1093" s="127">
        <v>11530</v>
      </c>
      <c r="AD1093" s="125">
        <v>64.122</v>
      </c>
      <c r="AE1093" s="127">
        <v>11540</v>
      </c>
      <c r="AF1093" s="125">
        <v>65.454999999999998</v>
      </c>
      <c r="AG1093" s="127">
        <v>11520</v>
      </c>
      <c r="AH1093" s="125">
        <v>13.337999999999999</v>
      </c>
      <c r="AI1093" s="127">
        <v>11520</v>
      </c>
      <c r="AJ1093" s="125">
        <v>14.452999999999999</v>
      </c>
    </row>
    <row r="1094" spans="1:36" ht="14.25">
      <c r="A1094" s="128">
        <v>11550</v>
      </c>
      <c r="B1094" s="125">
        <v>28.276</v>
      </c>
      <c r="C1094" s="128">
        <v>11560</v>
      </c>
      <c r="D1094" s="125">
        <v>27.792000000000002</v>
      </c>
      <c r="E1094" s="126">
        <v>11550</v>
      </c>
      <c r="F1094" s="125">
        <v>87.846000000000004</v>
      </c>
      <c r="G1094" s="127">
        <v>11550</v>
      </c>
      <c r="H1094" s="125">
        <v>88.007000000000005</v>
      </c>
      <c r="I1094" s="127">
        <v>11550</v>
      </c>
      <c r="J1094" s="125">
        <v>94.308000000000007</v>
      </c>
      <c r="K1094" s="127">
        <v>11550</v>
      </c>
      <c r="L1094" s="125">
        <v>92.966999999999999</v>
      </c>
      <c r="M1094" s="127">
        <v>11550</v>
      </c>
      <c r="N1094" s="125">
        <v>94.024000000000001</v>
      </c>
      <c r="O1094" s="127">
        <v>11530</v>
      </c>
      <c r="P1094" s="125">
        <v>95.012</v>
      </c>
      <c r="Q1094" s="127">
        <v>11550</v>
      </c>
      <c r="R1094" s="125">
        <v>94.747</v>
      </c>
      <c r="S1094" s="127">
        <v>11550</v>
      </c>
      <c r="T1094" s="125">
        <v>95.295000000000002</v>
      </c>
      <c r="U1094" s="127">
        <v>11540</v>
      </c>
      <c r="V1094" s="125">
        <v>95.445999999999998</v>
      </c>
      <c r="W1094" s="127">
        <v>11550</v>
      </c>
      <c r="X1094" s="125">
        <v>94.644999999999996</v>
      </c>
      <c r="Y1094" s="127">
        <v>11550</v>
      </c>
      <c r="Z1094" s="125">
        <v>93.198999999999998</v>
      </c>
      <c r="AA1094" s="127">
        <v>11550</v>
      </c>
      <c r="AB1094" s="125">
        <v>93.742999999999995</v>
      </c>
      <c r="AC1094" s="127">
        <v>11540</v>
      </c>
      <c r="AD1094" s="125">
        <v>63.247999999999998</v>
      </c>
      <c r="AE1094" s="127">
        <v>11550</v>
      </c>
      <c r="AF1094" s="125">
        <v>64.578000000000003</v>
      </c>
      <c r="AG1094" s="127">
        <v>11530</v>
      </c>
      <c r="AH1094" s="125">
        <v>13.154</v>
      </c>
      <c r="AI1094" s="127">
        <v>11530</v>
      </c>
      <c r="AJ1094" s="125">
        <v>14.255000000000001</v>
      </c>
    </row>
    <row r="1095" spans="1:36" ht="14.25">
      <c r="A1095" s="128">
        <v>11560</v>
      </c>
      <c r="B1095" s="125">
        <v>27.864999999999998</v>
      </c>
      <c r="C1095" s="128">
        <v>11570</v>
      </c>
      <c r="D1095" s="125">
        <v>27.385000000000002</v>
      </c>
      <c r="E1095" s="126">
        <v>11560</v>
      </c>
      <c r="F1095" s="125">
        <v>86.662000000000006</v>
      </c>
      <c r="G1095" s="127">
        <v>11560</v>
      </c>
      <c r="H1095" s="125">
        <v>86.822999999999993</v>
      </c>
      <c r="I1095" s="127">
        <v>11560</v>
      </c>
      <c r="J1095" s="125">
        <v>93.1</v>
      </c>
      <c r="K1095" s="127">
        <v>11560</v>
      </c>
      <c r="L1095" s="125">
        <v>91.757000000000005</v>
      </c>
      <c r="M1095" s="127">
        <v>11560</v>
      </c>
      <c r="N1095" s="125">
        <v>92.813000000000002</v>
      </c>
      <c r="O1095" s="127">
        <v>11540</v>
      </c>
      <c r="P1095" s="125">
        <v>93.8</v>
      </c>
      <c r="Q1095" s="127">
        <v>11560</v>
      </c>
      <c r="R1095" s="125">
        <v>93.536000000000001</v>
      </c>
      <c r="S1095" s="127">
        <v>11560</v>
      </c>
      <c r="T1095" s="125">
        <v>94.082999999999998</v>
      </c>
      <c r="U1095" s="127">
        <v>11550</v>
      </c>
      <c r="V1095" s="125">
        <v>94.236000000000004</v>
      </c>
      <c r="W1095" s="127">
        <v>11560</v>
      </c>
      <c r="X1095" s="125">
        <v>93.433000000000007</v>
      </c>
      <c r="Y1095" s="127">
        <v>11560</v>
      </c>
      <c r="Z1095" s="125">
        <v>91.991</v>
      </c>
      <c r="AA1095" s="127">
        <v>11560</v>
      </c>
      <c r="AB1095" s="125">
        <v>92.537000000000006</v>
      </c>
      <c r="AC1095" s="127">
        <v>11550</v>
      </c>
      <c r="AD1095" s="125">
        <v>62.374000000000002</v>
      </c>
      <c r="AE1095" s="127">
        <v>11560</v>
      </c>
      <c r="AF1095" s="125">
        <v>63.703000000000003</v>
      </c>
      <c r="AG1095" s="127">
        <v>11540</v>
      </c>
      <c r="AH1095" s="125">
        <v>12.971</v>
      </c>
      <c r="AI1095" s="127">
        <v>11540</v>
      </c>
      <c r="AJ1095" s="125">
        <v>14.058</v>
      </c>
    </row>
    <row r="1096" spans="1:36" ht="14.25">
      <c r="A1096" s="128">
        <v>11570</v>
      </c>
      <c r="B1096" s="125">
        <v>27.454999999999998</v>
      </c>
      <c r="C1096" s="128">
        <v>11580</v>
      </c>
      <c r="D1096" s="125">
        <v>26.978999999999999</v>
      </c>
      <c r="E1096" s="126">
        <v>11570</v>
      </c>
      <c r="F1096" s="125">
        <v>85.478999999999999</v>
      </c>
      <c r="G1096" s="127">
        <v>11570</v>
      </c>
      <c r="H1096" s="125">
        <v>85.64</v>
      </c>
      <c r="I1096" s="127">
        <v>11570</v>
      </c>
      <c r="J1096" s="125">
        <v>91.891999999999996</v>
      </c>
      <c r="K1096" s="127">
        <v>11570</v>
      </c>
      <c r="L1096" s="125">
        <v>90.546999999999997</v>
      </c>
      <c r="M1096" s="127">
        <v>11570</v>
      </c>
      <c r="N1096" s="125">
        <v>91.602000000000004</v>
      </c>
      <c r="O1096" s="127">
        <v>11550</v>
      </c>
      <c r="P1096" s="125">
        <v>92.588999999999999</v>
      </c>
      <c r="Q1096" s="127">
        <v>11570</v>
      </c>
      <c r="R1096" s="125">
        <v>92.325000000000003</v>
      </c>
      <c r="S1096" s="127">
        <v>11570</v>
      </c>
      <c r="T1096" s="125">
        <v>92.870999999999995</v>
      </c>
      <c r="U1096" s="127">
        <v>11560</v>
      </c>
      <c r="V1096" s="125">
        <v>93.025000000000006</v>
      </c>
      <c r="W1096" s="127">
        <v>11570</v>
      </c>
      <c r="X1096" s="125">
        <v>92.221999999999994</v>
      </c>
      <c r="Y1096" s="127">
        <v>11570</v>
      </c>
      <c r="Z1096" s="125">
        <v>90.784000000000006</v>
      </c>
      <c r="AA1096" s="127">
        <v>11570</v>
      </c>
      <c r="AB1096" s="125">
        <v>91.33</v>
      </c>
      <c r="AC1096" s="127">
        <v>11560</v>
      </c>
      <c r="AD1096" s="125">
        <v>61.503</v>
      </c>
      <c r="AE1096" s="127">
        <v>11570</v>
      </c>
      <c r="AF1096" s="125">
        <v>62.829000000000001</v>
      </c>
      <c r="AG1096" s="127">
        <v>11550</v>
      </c>
      <c r="AH1096" s="125">
        <v>12.788</v>
      </c>
      <c r="AI1096" s="127">
        <v>11550</v>
      </c>
      <c r="AJ1096" s="125">
        <v>13.861000000000001</v>
      </c>
    </row>
    <row r="1097" spans="1:36" ht="14.25">
      <c r="A1097" s="128">
        <v>11580</v>
      </c>
      <c r="B1097" s="125">
        <v>27.045999999999999</v>
      </c>
      <c r="C1097" s="128">
        <v>11590</v>
      </c>
      <c r="D1097" s="125">
        <v>26.574000000000002</v>
      </c>
      <c r="E1097" s="126">
        <v>11580</v>
      </c>
      <c r="F1097" s="125">
        <v>84.298000000000002</v>
      </c>
      <c r="G1097" s="127">
        <v>11580</v>
      </c>
      <c r="H1097" s="125">
        <v>84.459000000000003</v>
      </c>
      <c r="I1097" s="127">
        <v>11580</v>
      </c>
      <c r="J1097" s="125">
        <v>90.683999999999997</v>
      </c>
      <c r="K1097" s="127">
        <v>11580</v>
      </c>
      <c r="L1097" s="125">
        <v>89.337999999999994</v>
      </c>
      <c r="M1097" s="127">
        <v>11580</v>
      </c>
      <c r="N1097" s="125">
        <v>90.391000000000005</v>
      </c>
      <c r="O1097" s="127">
        <v>11560</v>
      </c>
      <c r="P1097" s="125">
        <v>91.376999999999995</v>
      </c>
      <c r="Q1097" s="127">
        <v>11580</v>
      </c>
      <c r="R1097" s="125">
        <v>91.114000000000004</v>
      </c>
      <c r="S1097" s="127">
        <v>11580</v>
      </c>
      <c r="T1097" s="125">
        <v>91.659000000000006</v>
      </c>
      <c r="U1097" s="127">
        <v>11570</v>
      </c>
      <c r="V1097" s="125">
        <v>91.813999999999993</v>
      </c>
      <c r="W1097" s="127">
        <v>11580</v>
      </c>
      <c r="X1097" s="125">
        <v>91.010999999999996</v>
      </c>
      <c r="Y1097" s="127">
        <v>11580</v>
      </c>
      <c r="Z1097" s="125">
        <v>89.576999999999998</v>
      </c>
      <c r="AA1097" s="127">
        <v>11580</v>
      </c>
      <c r="AB1097" s="125">
        <v>90.123999999999995</v>
      </c>
      <c r="AC1097" s="127">
        <v>11570</v>
      </c>
      <c r="AD1097" s="125">
        <v>60.633000000000003</v>
      </c>
      <c r="AE1097" s="127">
        <v>11580</v>
      </c>
      <c r="AF1097" s="125">
        <v>61.957000000000001</v>
      </c>
      <c r="AG1097" s="127">
        <v>11560</v>
      </c>
      <c r="AH1097" s="125">
        <v>12.605</v>
      </c>
      <c r="AI1097" s="127">
        <v>11560</v>
      </c>
      <c r="AJ1097" s="125">
        <v>13.664</v>
      </c>
    </row>
    <row r="1098" spans="1:36" ht="14.25">
      <c r="A1098" s="128">
        <v>11590</v>
      </c>
      <c r="B1098" s="125">
        <v>26.638999999999999</v>
      </c>
      <c r="C1098" s="128">
        <v>11600</v>
      </c>
      <c r="D1098" s="125">
        <v>26.170999999999999</v>
      </c>
      <c r="E1098" s="126">
        <v>11590</v>
      </c>
      <c r="F1098" s="125">
        <v>83.117999999999995</v>
      </c>
      <c r="G1098" s="127">
        <v>11590</v>
      </c>
      <c r="H1098" s="125">
        <v>83.28</v>
      </c>
      <c r="I1098" s="127">
        <v>11590</v>
      </c>
      <c r="J1098" s="125">
        <v>89.477000000000004</v>
      </c>
      <c r="K1098" s="127">
        <v>11590</v>
      </c>
      <c r="L1098" s="125">
        <v>88.129000000000005</v>
      </c>
      <c r="M1098" s="127">
        <v>11590</v>
      </c>
      <c r="N1098" s="125">
        <v>89.179000000000002</v>
      </c>
      <c r="O1098" s="127">
        <v>11570</v>
      </c>
      <c r="P1098" s="125">
        <v>90.165999999999997</v>
      </c>
      <c r="Q1098" s="127">
        <v>11590</v>
      </c>
      <c r="R1098" s="125">
        <v>89.902000000000001</v>
      </c>
      <c r="S1098" s="127">
        <v>11590</v>
      </c>
      <c r="T1098" s="125">
        <v>90.447000000000003</v>
      </c>
      <c r="U1098" s="127">
        <v>11580</v>
      </c>
      <c r="V1098" s="125">
        <v>90.603999999999999</v>
      </c>
      <c r="W1098" s="127">
        <v>11590</v>
      </c>
      <c r="X1098" s="125">
        <v>89.8</v>
      </c>
      <c r="Y1098" s="127">
        <v>11590</v>
      </c>
      <c r="Z1098" s="125">
        <v>88.370999999999995</v>
      </c>
      <c r="AA1098" s="127">
        <v>11590</v>
      </c>
      <c r="AB1098" s="125">
        <v>88.918999999999997</v>
      </c>
      <c r="AC1098" s="127">
        <v>11580</v>
      </c>
      <c r="AD1098" s="125">
        <v>59.764000000000003</v>
      </c>
      <c r="AE1098" s="127">
        <v>11590</v>
      </c>
      <c r="AF1098" s="125">
        <v>61.085999999999999</v>
      </c>
      <c r="AG1098" s="127">
        <v>11570</v>
      </c>
      <c r="AH1098" s="125">
        <v>12.423</v>
      </c>
      <c r="AI1098" s="127">
        <v>11570</v>
      </c>
      <c r="AJ1098" s="125">
        <v>13.468</v>
      </c>
    </row>
    <row r="1099" spans="1:36" ht="14.25">
      <c r="A1099" s="128">
        <v>11600</v>
      </c>
      <c r="B1099" s="125">
        <v>26.233000000000001</v>
      </c>
      <c r="C1099" s="128">
        <v>11610</v>
      </c>
      <c r="D1099" s="125">
        <v>25.768000000000001</v>
      </c>
      <c r="E1099" s="126">
        <v>11600</v>
      </c>
      <c r="F1099" s="125">
        <v>81.941000000000003</v>
      </c>
      <c r="G1099" s="127">
        <v>11600</v>
      </c>
      <c r="H1099" s="125">
        <v>82.102999999999994</v>
      </c>
      <c r="I1099" s="127">
        <v>11600</v>
      </c>
      <c r="J1099" s="125">
        <v>88.269000000000005</v>
      </c>
      <c r="K1099" s="127">
        <v>11600</v>
      </c>
      <c r="L1099" s="125">
        <v>86.92</v>
      </c>
      <c r="M1099" s="127">
        <v>11600</v>
      </c>
      <c r="N1099" s="125">
        <v>87.968000000000004</v>
      </c>
      <c r="O1099" s="127">
        <v>11580</v>
      </c>
      <c r="P1099" s="125">
        <v>88.953999999999994</v>
      </c>
      <c r="Q1099" s="127">
        <v>11600</v>
      </c>
      <c r="R1099" s="125">
        <v>88.691000000000003</v>
      </c>
      <c r="S1099" s="127">
        <v>11600</v>
      </c>
      <c r="T1099" s="125">
        <v>89.234999999999999</v>
      </c>
      <c r="U1099" s="127">
        <v>11590</v>
      </c>
      <c r="V1099" s="125">
        <v>89.393000000000001</v>
      </c>
      <c r="W1099" s="127">
        <v>11600</v>
      </c>
      <c r="X1099" s="125">
        <v>88.587999999999994</v>
      </c>
      <c r="Y1099" s="127">
        <v>11600</v>
      </c>
      <c r="Z1099" s="125">
        <v>87.164000000000001</v>
      </c>
      <c r="AA1099" s="127">
        <v>11600</v>
      </c>
      <c r="AB1099" s="125">
        <v>87.712999999999994</v>
      </c>
      <c r="AC1099" s="127">
        <v>11590</v>
      </c>
      <c r="AD1099" s="125">
        <v>58.896999999999998</v>
      </c>
      <c r="AE1099" s="127">
        <v>11600</v>
      </c>
      <c r="AF1099" s="125">
        <v>60.216999999999999</v>
      </c>
      <c r="AG1099" s="127">
        <v>11580</v>
      </c>
      <c r="AH1099" s="125">
        <v>12.241</v>
      </c>
      <c r="AI1099" s="127">
        <v>11580</v>
      </c>
      <c r="AJ1099" s="125">
        <v>13.272</v>
      </c>
    </row>
    <row r="1100" spans="1:36" ht="14.25">
      <c r="A1100" s="128">
        <v>11610</v>
      </c>
      <c r="B1100" s="125">
        <v>25.827999999999999</v>
      </c>
      <c r="C1100" s="128">
        <v>11620</v>
      </c>
      <c r="D1100" s="125">
        <v>25.367000000000001</v>
      </c>
      <c r="E1100" s="126">
        <v>11610</v>
      </c>
      <c r="F1100" s="125">
        <v>80.765000000000001</v>
      </c>
      <c r="G1100" s="127">
        <v>11610</v>
      </c>
      <c r="H1100" s="125">
        <v>80.927000000000007</v>
      </c>
      <c r="I1100" s="127">
        <v>11610</v>
      </c>
      <c r="J1100" s="125">
        <v>87.061999999999998</v>
      </c>
      <c r="K1100" s="127">
        <v>11610</v>
      </c>
      <c r="L1100" s="125">
        <v>85.712000000000003</v>
      </c>
      <c r="M1100" s="127">
        <v>11610</v>
      </c>
      <c r="N1100" s="125">
        <v>86.757000000000005</v>
      </c>
      <c r="O1100" s="127">
        <v>11590</v>
      </c>
      <c r="P1100" s="125">
        <v>87.742999999999995</v>
      </c>
      <c r="Q1100" s="127">
        <v>11610</v>
      </c>
      <c r="R1100" s="125">
        <v>87.48</v>
      </c>
      <c r="S1100" s="127">
        <v>11610</v>
      </c>
      <c r="T1100" s="125">
        <v>88.024000000000001</v>
      </c>
      <c r="U1100" s="127">
        <v>11600</v>
      </c>
      <c r="V1100" s="125">
        <v>88.182000000000002</v>
      </c>
      <c r="W1100" s="127">
        <v>11610</v>
      </c>
      <c r="X1100" s="125">
        <v>87.376999999999995</v>
      </c>
      <c r="Y1100" s="127">
        <v>11610</v>
      </c>
      <c r="Z1100" s="125">
        <v>85.957999999999998</v>
      </c>
      <c r="AA1100" s="127">
        <v>11610</v>
      </c>
      <c r="AB1100" s="125">
        <v>86.507999999999996</v>
      </c>
      <c r="AC1100" s="127">
        <v>11600</v>
      </c>
      <c r="AD1100" s="125">
        <v>58.031999999999996</v>
      </c>
      <c r="AE1100" s="127">
        <v>11610</v>
      </c>
      <c r="AF1100" s="125">
        <v>59.348999999999997</v>
      </c>
      <c r="AG1100" s="127">
        <v>11590</v>
      </c>
      <c r="AH1100" s="125">
        <v>12.06</v>
      </c>
      <c r="AI1100" s="127">
        <v>11590</v>
      </c>
      <c r="AJ1100" s="125">
        <v>13.076000000000001</v>
      </c>
    </row>
    <row r="1101" spans="1:36" ht="14.25">
      <c r="A1101" s="128">
        <v>11620</v>
      </c>
      <c r="B1101" s="125">
        <v>25.423999999999999</v>
      </c>
      <c r="C1101" s="128">
        <v>11630</v>
      </c>
      <c r="D1101" s="125">
        <v>24.968</v>
      </c>
      <c r="E1101" s="126">
        <v>11620</v>
      </c>
      <c r="F1101" s="125">
        <v>79.59</v>
      </c>
      <c r="G1101" s="127">
        <v>11620</v>
      </c>
      <c r="H1101" s="125">
        <v>79.751999999999995</v>
      </c>
      <c r="I1101" s="127">
        <v>11620</v>
      </c>
      <c r="J1101" s="125">
        <v>85.855000000000004</v>
      </c>
      <c r="K1101" s="127">
        <v>11620</v>
      </c>
      <c r="L1101" s="125">
        <v>84.503</v>
      </c>
      <c r="M1101" s="127">
        <v>11620</v>
      </c>
      <c r="N1101" s="125">
        <v>85.546000000000006</v>
      </c>
      <c r="O1101" s="127">
        <v>11600</v>
      </c>
      <c r="P1101" s="125">
        <v>86.531999999999996</v>
      </c>
      <c r="Q1101" s="127">
        <v>11620</v>
      </c>
      <c r="R1101" s="125">
        <v>86.269000000000005</v>
      </c>
      <c r="S1101" s="127">
        <v>11620</v>
      </c>
      <c r="T1101" s="125">
        <v>86.811999999999998</v>
      </c>
      <c r="U1101" s="127">
        <v>11610</v>
      </c>
      <c r="V1101" s="125">
        <v>86.971999999999994</v>
      </c>
      <c r="W1101" s="127">
        <v>11620</v>
      </c>
      <c r="X1101" s="125">
        <v>86.165999999999997</v>
      </c>
      <c r="Y1101" s="127">
        <v>11620</v>
      </c>
      <c r="Z1101" s="125">
        <v>84.751999999999995</v>
      </c>
      <c r="AA1101" s="127">
        <v>11620</v>
      </c>
      <c r="AB1101" s="125">
        <v>85.302999999999997</v>
      </c>
      <c r="AC1101" s="127">
        <v>11610</v>
      </c>
      <c r="AD1101" s="125">
        <v>57.167999999999999</v>
      </c>
      <c r="AE1101" s="127">
        <v>11620</v>
      </c>
      <c r="AF1101" s="125">
        <v>58.482999999999997</v>
      </c>
      <c r="AG1101" s="127">
        <v>11600</v>
      </c>
      <c r="AH1101" s="125">
        <v>11.879</v>
      </c>
      <c r="AI1101" s="127">
        <v>11600</v>
      </c>
      <c r="AJ1101" s="125">
        <v>12.881</v>
      </c>
    </row>
    <row r="1102" spans="1:36" ht="14.25">
      <c r="A1102" s="128">
        <v>11630</v>
      </c>
      <c r="B1102" s="125">
        <v>25.021000000000001</v>
      </c>
      <c r="C1102" s="128">
        <v>11640</v>
      </c>
      <c r="D1102" s="125">
        <v>24.568999999999999</v>
      </c>
      <c r="E1102" s="126">
        <v>11630</v>
      </c>
      <c r="F1102" s="125">
        <v>78.418000000000006</v>
      </c>
      <c r="G1102" s="127">
        <v>11630</v>
      </c>
      <c r="H1102" s="125">
        <v>78.58</v>
      </c>
      <c r="I1102" s="127">
        <v>11630</v>
      </c>
      <c r="J1102" s="125">
        <v>84.649000000000001</v>
      </c>
      <c r="K1102" s="127">
        <v>11630</v>
      </c>
      <c r="L1102" s="125">
        <v>83.295000000000002</v>
      </c>
      <c r="M1102" s="127">
        <v>11630</v>
      </c>
      <c r="N1102" s="125">
        <v>84.334999999999994</v>
      </c>
      <c r="O1102" s="127">
        <v>11610</v>
      </c>
      <c r="P1102" s="125">
        <v>85.32</v>
      </c>
      <c r="Q1102" s="127">
        <v>11630</v>
      </c>
      <c r="R1102" s="125">
        <v>85.058000000000007</v>
      </c>
      <c r="S1102" s="127">
        <v>11630</v>
      </c>
      <c r="T1102" s="125">
        <v>85.6</v>
      </c>
      <c r="U1102" s="127">
        <v>11620</v>
      </c>
      <c r="V1102" s="125">
        <v>85.760999999999996</v>
      </c>
      <c r="W1102" s="127">
        <v>11630</v>
      </c>
      <c r="X1102" s="125">
        <v>84.953999999999994</v>
      </c>
      <c r="Y1102" s="127">
        <v>11630</v>
      </c>
      <c r="Z1102" s="125">
        <v>83.546000000000006</v>
      </c>
      <c r="AA1102" s="127">
        <v>11630</v>
      </c>
      <c r="AB1102" s="125">
        <v>84.097999999999999</v>
      </c>
      <c r="AC1102" s="127">
        <v>11620</v>
      </c>
      <c r="AD1102" s="125">
        <v>56.305</v>
      </c>
      <c r="AE1102" s="127">
        <v>11630</v>
      </c>
      <c r="AF1102" s="125">
        <v>57.619</v>
      </c>
      <c r="AG1102" s="127">
        <v>11610</v>
      </c>
      <c r="AH1102" s="125">
        <v>11.699</v>
      </c>
      <c r="AI1102" s="127">
        <v>11610</v>
      </c>
      <c r="AJ1102" s="125">
        <v>12.686999999999999</v>
      </c>
    </row>
    <row r="1103" spans="1:36" ht="14.25">
      <c r="A1103" s="128">
        <v>11640</v>
      </c>
      <c r="B1103" s="125">
        <v>24.62</v>
      </c>
      <c r="C1103" s="128">
        <v>11650</v>
      </c>
      <c r="D1103" s="125">
        <v>24.172000000000001</v>
      </c>
      <c r="E1103" s="126">
        <v>11640</v>
      </c>
      <c r="F1103" s="125">
        <v>77.247</v>
      </c>
      <c r="G1103" s="127">
        <v>11640</v>
      </c>
      <c r="H1103" s="125">
        <v>77.409000000000006</v>
      </c>
      <c r="I1103" s="127">
        <v>11640</v>
      </c>
      <c r="J1103" s="125">
        <v>83.441999999999993</v>
      </c>
      <c r="K1103" s="127">
        <v>11640</v>
      </c>
      <c r="L1103" s="125">
        <v>82.087000000000003</v>
      </c>
      <c r="M1103" s="127">
        <v>11640</v>
      </c>
      <c r="N1103" s="125">
        <v>83.123000000000005</v>
      </c>
      <c r="O1103" s="127">
        <v>11620</v>
      </c>
      <c r="P1103" s="125">
        <v>84.108999999999995</v>
      </c>
      <c r="Q1103" s="127">
        <v>11640</v>
      </c>
      <c r="R1103" s="125">
        <v>83.846999999999994</v>
      </c>
      <c r="S1103" s="127">
        <v>11640</v>
      </c>
      <c r="T1103" s="125">
        <v>84.388000000000005</v>
      </c>
      <c r="U1103" s="127">
        <v>11630</v>
      </c>
      <c r="V1103" s="125">
        <v>84.55</v>
      </c>
      <c r="W1103" s="127">
        <v>11640</v>
      </c>
      <c r="X1103" s="125">
        <v>83.742999999999995</v>
      </c>
      <c r="Y1103" s="127">
        <v>11640</v>
      </c>
      <c r="Z1103" s="125">
        <v>82.34</v>
      </c>
      <c r="AA1103" s="127">
        <v>11640</v>
      </c>
      <c r="AB1103" s="125">
        <v>82.894000000000005</v>
      </c>
      <c r="AC1103" s="127">
        <v>11630</v>
      </c>
      <c r="AD1103" s="125">
        <v>55.444000000000003</v>
      </c>
      <c r="AE1103" s="127">
        <v>11640</v>
      </c>
      <c r="AF1103" s="125">
        <v>56.756</v>
      </c>
      <c r="AG1103" s="127">
        <v>11620</v>
      </c>
      <c r="AH1103" s="125">
        <v>11.518000000000001</v>
      </c>
      <c r="AI1103" s="127">
        <v>11620</v>
      </c>
      <c r="AJ1103" s="125">
        <v>12.492000000000001</v>
      </c>
    </row>
    <row r="1104" spans="1:36" ht="14.25">
      <c r="A1104" s="128">
        <v>11650</v>
      </c>
      <c r="B1104" s="125">
        <v>24.22</v>
      </c>
      <c r="C1104" s="128">
        <v>11660</v>
      </c>
      <c r="D1104" s="125">
        <v>23.776</v>
      </c>
      <c r="E1104" s="126">
        <v>11650</v>
      </c>
      <c r="F1104" s="125">
        <v>76.076999999999998</v>
      </c>
      <c r="G1104" s="127">
        <v>11650</v>
      </c>
      <c r="H1104" s="125">
        <v>76.239000000000004</v>
      </c>
      <c r="I1104" s="127">
        <v>11650</v>
      </c>
      <c r="J1104" s="125">
        <v>82.236000000000004</v>
      </c>
      <c r="K1104" s="127">
        <v>11650</v>
      </c>
      <c r="L1104" s="125">
        <v>80.879000000000005</v>
      </c>
      <c r="M1104" s="127">
        <v>11650</v>
      </c>
      <c r="N1104" s="125">
        <v>81.912000000000006</v>
      </c>
      <c r="O1104" s="127">
        <v>11630</v>
      </c>
      <c r="P1104" s="125">
        <v>82.897000000000006</v>
      </c>
      <c r="Q1104" s="127">
        <v>11650</v>
      </c>
      <c r="R1104" s="125">
        <v>82.635999999999996</v>
      </c>
      <c r="S1104" s="127">
        <v>11650</v>
      </c>
      <c r="T1104" s="125">
        <v>83.176000000000002</v>
      </c>
      <c r="U1104" s="127">
        <v>11640</v>
      </c>
      <c r="V1104" s="125">
        <v>83.34</v>
      </c>
      <c r="W1104" s="127">
        <v>11650</v>
      </c>
      <c r="X1104" s="125">
        <v>82.531999999999996</v>
      </c>
      <c r="Y1104" s="127">
        <v>11650</v>
      </c>
      <c r="Z1104" s="125">
        <v>81.135000000000005</v>
      </c>
      <c r="AA1104" s="127">
        <v>11650</v>
      </c>
      <c r="AB1104" s="125">
        <v>81.69</v>
      </c>
      <c r="AC1104" s="127">
        <v>11640</v>
      </c>
      <c r="AD1104" s="125">
        <v>54.585000000000001</v>
      </c>
      <c r="AE1104" s="127">
        <v>11650</v>
      </c>
      <c r="AF1104" s="125">
        <v>55.893999999999998</v>
      </c>
      <c r="AG1104" s="127">
        <v>11630</v>
      </c>
      <c r="AH1104" s="125">
        <v>11.339</v>
      </c>
      <c r="AI1104" s="127">
        <v>11630</v>
      </c>
      <c r="AJ1104" s="125">
        <v>12.298</v>
      </c>
    </row>
    <row r="1105" spans="1:36" ht="14.25">
      <c r="A1105" s="128">
        <v>11660</v>
      </c>
      <c r="B1105" s="125">
        <v>23.821000000000002</v>
      </c>
      <c r="C1105" s="128">
        <v>11670</v>
      </c>
      <c r="D1105" s="125">
        <v>23.381</v>
      </c>
      <c r="E1105" s="126">
        <v>11660</v>
      </c>
      <c r="F1105" s="125">
        <v>74.91</v>
      </c>
      <c r="G1105" s="127">
        <v>11660</v>
      </c>
      <c r="H1105" s="125">
        <v>75.072000000000003</v>
      </c>
      <c r="I1105" s="127">
        <v>11660</v>
      </c>
      <c r="J1105" s="125">
        <v>81.03</v>
      </c>
      <c r="K1105" s="127">
        <v>11660</v>
      </c>
      <c r="L1105" s="125">
        <v>79.671999999999997</v>
      </c>
      <c r="M1105" s="127">
        <v>11660</v>
      </c>
      <c r="N1105" s="125">
        <v>80.700999999999993</v>
      </c>
      <c r="O1105" s="127">
        <v>11640</v>
      </c>
      <c r="P1105" s="125">
        <v>81.686000000000007</v>
      </c>
      <c r="Q1105" s="127">
        <v>11660</v>
      </c>
      <c r="R1105" s="125">
        <v>81.424000000000007</v>
      </c>
      <c r="S1105" s="127">
        <v>11660</v>
      </c>
      <c r="T1105" s="125">
        <v>81.963999999999999</v>
      </c>
      <c r="U1105" s="127">
        <v>11650</v>
      </c>
      <c r="V1105" s="125">
        <v>82.129000000000005</v>
      </c>
      <c r="W1105" s="127">
        <v>11660</v>
      </c>
      <c r="X1105" s="125">
        <v>81.320999999999998</v>
      </c>
      <c r="Y1105" s="127">
        <v>11660</v>
      </c>
      <c r="Z1105" s="125">
        <v>79.930000000000007</v>
      </c>
      <c r="AA1105" s="127">
        <v>11660</v>
      </c>
      <c r="AB1105" s="125">
        <v>80.486000000000004</v>
      </c>
      <c r="AC1105" s="127">
        <v>11650</v>
      </c>
      <c r="AD1105" s="125">
        <v>53.726999999999997</v>
      </c>
      <c r="AE1105" s="127">
        <v>11660</v>
      </c>
      <c r="AF1105" s="125">
        <v>55.033999999999999</v>
      </c>
      <c r="AG1105" s="127">
        <v>11640</v>
      </c>
      <c r="AH1105" s="125">
        <v>11.159000000000001</v>
      </c>
      <c r="AI1105" s="127">
        <v>11640</v>
      </c>
      <c r="AJ1105" s="125">
        <v>12.105</v>
      </c>
    </row>
    <row r="1106" spans="1:36" ht="14.25">
      <c r="A1106" s="128">
        <v>11670</v>
      </c>
      <c r="B1106" s="125">
        <v>23.423999999999999</v>
      </c>
      <c r="C1106" s="128">
        <v>11680</v>
      </c>
      <c r="D1106" s="125">
        <v>22.986999999999998</v>
      </c>
      <c r="E1106" s="126">
        <v>11670</v>
      </c>
      <c r="F1106" s="125">
        <v>73.744</v>
      </c>
      <c r="G1106" s="127">
        <v>11670</v>
      </c>
      <c r="H1106" s="125">
        <v>73.906000000000006</v>
      </c>
      <c r="I1106" s="127">
        <v>11670</v>
      </c>
      <c r="J1106" s="125">
        <v>79.823999999999998</v>
      </c>
      <c r="K1106" s="127">
        <v>11670</v>
      </c>
      <c r="L1106" s="125">
        <v>78.463999999999999</v>
      </c>
      <c r="M1106" s="127">
        <v>11670</v>
      </c>
      <c r="N1106" s="125">
        <v>79.489999999999995</v>
      </c>
      <c r="O1106" s="127">
        <v>11650</v>
      </c>
      <c r="P1106" s="125">
        <v>80.474000000000004</v>
      </c>
      <c r="Q1106" s="127">
        <v>11670</v>
      </c>
      <c r="R1106" s="125">
        <v>80.212999999999994</v>
      </c>
      <c r="S1106" s="127">
        <v>11670</v>
      </c>
      <c r="T1106" s="125">
        <v>80.751999999999995</v>
      </c>
      <c r="U1106" s="127">
        <v>11660</v>
      </c>
      <c r="V1106" s="125">
        <v>80.918000000000006</v>
      </c>
      <c r="W1106" s="127">
        <v>11670</v>
      </c>
      <c r="X1106" s="125">
        <v>80.108999999999995</v>
      </c>
      <c r="Y1106" s="127">
        <v>11670</v>
      </c>
      <c r="Z1106" s="125">
        <v>78.724999999999994</v>
      </c>
      <c r="AA1106" s="127">
        <v>11670</v>
      </c>
      <c r="AB1106" s="125">
        <v>79.281999999999996</v>
      </c>
      <c r="AC1106" s="127">
        <v>11660</v>
      </c>
      <c r="AD1106" s="125">
        <v>52.871000000000002</v>
      </c>
      <c r="AE1106" s="127">
        <v>11670</v>
      </c>
      <c r="AF1106" s="125">
        <v>54.176000000000002</v>
      </c>
      <c r="AG1106" s="127">
        <v>11650</v>
      </c>
      <c r="AH1106" s="125">
        <v>10.98</v>
      </c>
      <c r="AI1106" s="127">
        <v>11650</v>
      </c>
      <c r="AJ1106" s="125">
        <v>11.912000000000001</v>
      </c>
    </row>
    <row r="1107" spans="1:36" ht="14.25">
      <c r="A1107" s="128">
        <v>11680</v>
      </c>
      <c r="B1107" s="125">
        <v>23.027000000000001</v>
      </c>
      <c r="C1107" s="128">
        <v>11690</v>
      </c>
      <c r="D1107" s="125">
        <v>22.594999999999999</v>
      </c>
      <c r="E1107" s="126">
        <v>11680</v>
      </c>
      <c r="F1107" s="125">
        <v>72.578999999999994</v>
      </c>
      <c r="G1107" s="127">
        <v>11680</v>
      </c>
      <c r="H1107" s="125">
        <v>72.741</v>
      </c>
      <c r="I1107" s="127">
        <v>11680</v>
      </c>
      <c r="J1107" s="125">
        <v>78.617999999999995</v>
      </c>
      <c r="K1107" s="127">
        <v>11680</v>
      </c>
      <c r="L1107" s="125">
        <v>77.257000000000005</v>
      </c>
      <c r="M1107" s="127">
        <v>11680</v>
      </c>
      <c r="N1107" s="125">
        <v>78.278999999999996</v>
      </c>
      <c r="O1107" s="127">
        <v>11660</v>
      </c>
      <c r="P1107" s="125">
        <v>79.263000000000005</v>
      </c>
      <c r="Q1107" s="127">
        <v>11680</v>
      </c>
      <c r="R1107" s="125">
        <v>79.001999999999995</v>
      </c>
      <c r="S1107" s="127">
        <v>11680</v>
      </c>
      <c r="T1107" s="125">
        <v>79.540000000000006</v>
      </c>
      <c r="U1107" s="127">
        <v>11670</v>
      </c>
      <c r="V1107" s="125">
        <v>79.707999999999998</v>
      </c>
      <c r="W1107" s="127">
        <v>11680</v>
      </c>
      <c r="X1107" s="125">
        <v>78.897999999999996</v>
      </c>
      <c r="Y1107" s="127">
        <v>11680</v>
      </c>
      <c r="Z1107" s="125">
        <v>77.52</v>
      </c>
      <c r="AA1107" s="127">
        <v>11680</v>
      </c>
      <c r="AB1107" s="125">
        <v>78.078999999999994</v>
      </c>
      <c r="AC1107" s="127">
        <v>11670</v>
      </c>
      <c r="AD1107" s="125">
        <v>52.015999999999998</v>
      </c>
      <c r="AE1107" s="127">
        <v>11680</v>
      </c>
      <c r="AF1107" s="125">
        <v>53.319000000000003</v>
      </c>
      <c r="AG1107" s="127">
        <v>11660</v>
      </c>
      <c r="AH1107" s="125">
        <v>10.802</v>
      </c>
      <c r="AI1107" s="127">
        <v>11660</v>
      </c>
      <c r="AJ1107" s="125">
        <v>11.718999999999999</v>
      </c>
    </row>
    <row r="1108" spans="1:36" ht="14.25">
      <c r="A1108" s="128">
        <v>11690</v>
      </c>
      <c r="B1108" s="125">
        <v>22.632000000000001</v>
      </c>
      <c r="C1108" s="128">
        <v>11700</v>
      </c>
      <c r="D1108" s="125">
        <v>22.204000000000001</v>
      </c>
      <c r="E1108" s="126">
        <v>11690</v>
      </c>
      <c r="F1108" s="125">
        <v>71.417000000000002</v>
      </c>
      <c r="G1108" s="127">
        <v>11690</v>
      </c>
      <c r="H1108" s="125">
        <v>71.578999999999994</v>
      </c>
      <c r="I1108" s="127">
        <v>11690</v>
      </c>
      <c r="J1108" s="125">
        <v>77.412999999999997</v>
      </c>
      <c r="K1108" s="127">
        <v>11690</v>
      </c>
      <c r="L1108" s="125">
        <v>76.051000000000002</v>
      </c>
      <c r="M1108" s="127">
        <v>11690</v>
      </c>
      <c r="N1108" s="125">
        <v>77.067999999999998</v>
      </c>
      <c r="O1108" s="127">
        <v>11670</v>
      </c>
      <c r="P1108" s="125">
        <v>78.052000000000007</v>
      </c>
      <c r="Q1108" s="127">
        <v>11690</v>
      </c>
      <c r="R1108" s="125">
        <v>77.790999999999997</v>
      </c>
      <c r="S1108" s="127">
        <v>11690</v>
      </c>
      <c r="T1108" s="125">
        <v>78.328000000000003</v>
      </c>
      <c r="U1108" s="127">
        <v>11680</v>
      </c>
      <c r="V1108" s="125">
        <v>78.497</v>
      </c>
      <c r="W1108" s="127">
        <v>11690</v>
      </c>
      <c r="X1108" s="125">
        <v>77.686999999999998</v>
      </c>
      <c r="Y1108" s="127">
        <v>11690</v>
      </c>
      <c r="Z1108" s="125">
        <v>76.316000000000003</v>
      </c>
      <c r="AA1108" s="127">
        <v>11690</v>
      </c>
      <c r="AB1108" s="125">
        <v>76.876000000000005</v>
      </c>
      <c r="AC1108" s="127">
        <v>11680</v>
      </c>
      <c r="AD1108" s="125">
        <v>51.162999999999997</v>
      </c>
      <c r="AE1108" s="127">
        <v>11690</v>
      </c>
      <c r="AF1108" s="125">
        <v>52.463000000000001</v>
      </c>
      <c r="AG1108" s="127">
        <v>11670</v>
      </c>
      <c r="AH1108" s="125">
        <v>10.624000000000001</v>
      </c>
      <c r="AI1108" s="127">
        <v>11670</v>
      </c>
      <c r="AJ1108" s="125">
        <v>11.526999999999999</v>
      </c>
    </row>
    <row r="1109" spans="1:36" ht="14.25">
      <c r="A1109" s="128">
        <v>11700</v>
      </c>
      <c r="B1109" s="125">
        <v>22.239000000000001</v>
      </c>
      <c r="C1109" s="128">
        <v>11710</v>
      </c>
      <c r="D1109" s="125">
        <v>21.814</v>
      </c>
      <c r="E1109" s="126">
        <v>11700</v>
      </c>
      <c r="F1109" s="125">
        <v>70.256</v>
      </c>
      <c r="G1109" s="127">
        <v>11700</v>
      </c>
      <c r="H1109" s="125">
        <v>70.418000000000006</v>
      </c>
      <c r="I1109" s="127">
        <v>11700</v>
      </c>
      <c r="J1109" s="125">
        <v>76.206999999999994</v>
      </c>
      <c r="K1109" s="127">
        <v>11700</v>
      </c>
      <c r="L1109" s="125">
        <v>74.843999999999994</v>
      </c>
      <c r="M1109" s="127">
        <v>11700</v>
      </c>
      <c r="N1109" s="125">
        <v>75.855999999999995</v>
      </c>
      <c r="O1109" s="127">
        <v>11680</v>
      </c>
      <c r="P1109" s="125">
        <v>76.84</v>
      </c>
      <c r="Q1109" s="127">
        <v>11700</v>
      </c>
      <c r="R1109" s="125">
        <v>76.58</v>
      </c>
      <c r="S1109" s="127">
        <v>11700</v>
      </c>
      <c r="T1109" s="125">
        <v>77.117000000000004</v>
      </c>
      <c r="U1109" s="127">
        <v>11690</v>
      </c>
      <c r="V1109" s="125">
        <v>77.286000000000001</v>
      </c>
      <c r="W1109" s="127">
        <v>11700</v>
      </c>
      <c r="X1109" s="125">
        <v>76.475999999999999</v>
      </c>
      <c r="Y1109" s="127">
        <v>11700</v>
      </c>
      <c r="Z1109" s="125">
        <v>75.111999999999995</v>
      </c>
      <c r="AA1109" s="127">
        <v>11700</v>
      </c>
      <c r="AB1109" s="125">
        <v>75.673000000000002</v>
      </c>
      <c r="AC1109" s="127">
        <v>11690</v>
      </c>
      <c r="AD1109" s="125">
        <v>50.311999999999998</v>
      </c>
      <c r="AE1109" s="127">
        <v>11700</v>
      </c>
      <c r="AF1109" s="125">
        <v>51.61</v>
      </c>
      <c r="AG1109" s="127">
        <v>11680</v>
      </c>
      <c r="AH1109" s="125">
        <v>10.446</v>
      </c>
      <c r="AI1109" s="127">
        <v>11680</v>
      </c>
      <c r="AJ1109" s="125">
        <v>11.335000000000001</v>
      </c>
    </row>
    <row r="1110" spans="1:36" ht="14.25">
      <c r="A1110" s="128">
        <v>11710</v>
      </c>
      <c r="B1110" s="125">
        <v>21.846</v>
      </c>
      <c r="C1110" s="128">
        <v>11720</v>
      </c>
      <c r="D1110" s="125">
        <v>21.425999999999998</v>
      </c>
      <c r="E1110" s="126">
        <v>11710</v>
      </c>
      <c r="F1110" s="125">
        <v>69.096000000000004</v>
      </c>
      <c r="G1110" s="127">
        <v>11710</v>
      </c>
      <c r="H1110" s="125">
        <v>69.257999999999996</v>
      </c>
      <c r="I1110" s="127">
        <v>11710</v>
      </c>
      <c r="J1110" s="125">
        <v>75.003</v>
      </c>
      <c r="K1110" s="127">
        <v>11710</v>
      </c>
      <c r="L1110" s="125">
        <v>73.638000000000005</v>
      </c>
      <c r="M1110" s="127">
        <v>11710</v>
      </c>
      <c r="N1110" s="125">
        <v>74.644999999999996</v>
      </c>
      <c r="O1110" s="127">
        <v>11690</v>
      </c>
      <c r="P1110" s="125">
        <v>75.629000000000005</v>
      </c>
      <c r="Q1110" s="127">
        <v>11710</v>
      </c>
      <c r="R1110" s="125">
        <v>75.369</v>
      </c>
      <c r="S1110" s="127">
        <v>11710</v>
      </c>
      <c r="T1110" s="125">
        <v>75.905000000000001</v>
      </c>
      <c r="U1110" s="127">
        <v>11700</v>
      </c>
      <c r="V1110" s="125">
        <v>76.075000000000003</v>
      </c>
      <c r="W1110" s="127">
        <v>11710</v>
      </c>
      <c r="X1110" s="125">
        <v>75.263999999999996</v>
      </c>
      <c r="Y1110" s="127">
        <v>11710</v>
      </c>
      <c r="Z1110" s="125">
        <v>73.908000000000001</v>
      </c>
      <c r="AA1110" s="127">
        <v>11710</v>
      </c>
      <c r="AB1110" s="125">
        <v>74.471000000000004</v>
      </c>
      <c r="AC1110" s="127">
        <v>11700</v>
      </c>
      <c r="AD1110" s="125">
        <v>49.460999999999999</v>
      </c>
      <c r="AE1110" s="127">
        <v>11710</v>
      </c>
      <c r="AF1110" s="125">
        <v>50.756999999999998</v>
      </c>
      <c r="AG1110" s="127">
        <v>11690</v>
      </c>
      <c r="AH1110" s="125">
        <v>10.269</v>
      </c>
      <c r="AI1110" s="127">
        <v>11690</v>
      </c>
      <c r="AJ1110" s="125">
        <v>11.144</v>
      </c>
    </row>
    <row r="1111" spans="1:36" ht="14.25">
      <c r="A1111" s="128">
        <v>11720</v>
      </c>
      <c r="B1111" s="125">
        <v>21.454999999999998</v>
      </c>
      <c r="C1111" s="128">
        <v>11730</v>
      </c>
      <c r="D1111" s="125">
        <v>21.038</v>
      </c>
      <c r="E1111" s="126">
        <v>11720</v>
      </c>
      <c r="F1111" s="125">
        <v>67.938999999999993</v>
      </c>
      <c r="G1111" s="127">
        <v>11720</v>
      </c>
      <c r="H1111" s="125">
        <v>68.099999999999994</v>
      </c>
      <c r="I1111" s="127">
        <v>11720</v>
      </c>
      <c r="J1111" s="125">
        <v>73.798000000000002</v>
      </c>
      <c r="K1111" s="127">
        <v>11720</v>
      </c>
      <c r="L1111" s="125">
        <v>72.432000000000002</v>
      </c>
      <c r="M1111" s="127">
        <v>11720</v>
      </c>
      <c r="N1111" s="125">
        <v>73.433999999999997</v>
      </c>
      <c r="O1111" s="127">
        <v>11700</v>
      </c>
      <c r="P1111" s="125">
        <v>74.417000000000002</v>
      </c>
      <c r="Q1111" s="127">
        <v>11720</v>
      </c>
      <c r="R1111" s="125">
        <v>74.158000000000001</v>
      </c>
      <c r="S1111" s="127">
        <v>11720</v>
      </c>
      <c r="T1111" s="125">
        <v>74.692999999999998</v>
      </c>
      <c r="U1111" s="127">
        <v>11710</v>
      </c>
      <c r="V1111" s="125">
        <v>74.864999999999995</v>
      </c>
      <c r="W1111" s="127">
        <v>11720</v>
      </c>
      <c r="X1111" s="125">
        <v>74.052999999999997</v>
      </c>
      <c r="Y1111" s="127">
        <v>11720</v>
      </c>
      <c r="Z1111" s="125">
        <v>72.704999999999998</v>
      </c>
      <c r="AA1111" s="127">
        <v>11720</v>
      </c>
      <c r="AB1111" s="125">
        <v>73.268000000000001</v>
      </c>
      <c r="AC1111" s="127">
        <v>11710</v>
      </c>
      <c r="AD1111" s="125">
        <v>48.613</v>
      </c>
      <c r="AE1111" s="127">
        <v>11720</v>
      </c>
      <c r="AF1111" s="125">
        <v>49.906999999999996</v>
      </c>
      <c r="AG1111" s="127">
        <v>11700</v>
      </c>
      <c r="AH1111" s="125">
        <v>10.092000000000001</v>
      </c>
      <c r="AI1111" s="127">
        <v>11700</v>
      </c>
      <c r="AJ1111" s="125">
        <v>10.952999999999999</v>
      </c>
    </row>
    <row r="1112" spans="1:36" ht="14.25">
      <c r="A1112" s="128">
        <v>11730</v>
      </c>
      <c r="B1112" s="125">
        <v>21.065000000000001</v>
      </c>
      <c r="C1112" s="128">
        <v>11740</v>
      </c>
      <c r="D1112" s="125">
        <v>20.652000000000001</v>
      </c>
      <c r="E1112" s="126">
        <v>11730</v>
      </c>
      <c r="F1112" s="125">
        <v>66.783000000000001</v>
      </c>
      <c r="G1112" s="127">
        <v>11730</v>
      </c>
      <c r="H1112" s="125">
        <v>66.944000000000003</v>
      </c>
      <c r="I1112" s="127">
        <v>11730</v>
      </c>
      <c r="J1112" s="125">
        <v>72.593000000000004</v>
      </c>
      <c r="K1112" s="127">
        <v>11730</v>
      </c>
      <c r="L1112" s="125">
        <v>71.225999999999999</v>
      </c>
      <c r="M1112" s="127">
        <v>11730</v>
      </c>
      <c r="N1112" s="125">
        <v>72.222999999999999</v>
      </c>
      <c r="O1112" s="127">
        <v>11710</v>
      </c>
      <c r="P1112" s="125">
        <v>73.206000000000003</v>
      </c>
      <c r="Q1112" s="127">
        <v>11730</v>
      </c>
      <c r="R1112" s="125">
        <v>72.945999999999998</v>
      </c>
      <c r="S1112" s="127">
        <v>11730</v>
      </c>
      <c r="T1112" s="125">
        <v>73.480999999999995</v>
      </c>
      <c r="U1112" s="127">
        <v>11720</v>
      </c>
      <c r="V1112" s="125">
        <v>73.653999999999996</v>
      </c>
      <c r="W1112" s="127">
        <v>11730</v>
      </c>
      <c r="X1112" s="125">
        <v>72.841999999999999</v>
      </c>
      <c r="Y1112" s="127">
        <v>11730</v>
      </c>
      <c r="Z1112" s="125">
        <v>71.501999999999995</v>
      </c>
      <c r="AA1112" s="127">
        <v>11730</v>
      </c>
      <c r="AB1112" s="125">
        <v>72.066999999999993</v>
      </c>
      <c r="AC1112" s="127">
        <v>11720</v>
      </c>
      <c r="AD1112" s="125">
        <v>47.765999999999998</v>
      </c>
      <c r="AE1112" s="127">
        <v>11730</v>
      </c>
      <c r="AF1112" s="125">
        <v>49.057000000000002</v>
      </c>
      <c r="AG1112" s="127">
        <v>11710</v>
      </c>
      <c r="AH1112" s="125">
        <v>9.9149999999999991</v>
      </c>
      <c r="AI1112" s="127">
        <v>11710</v>
      </c>
      <c r="AJ1112" s="125">
        <v>10.762</v>
      </c>
    </row>
    <row r="1113" spans="1:36" ht="14.25">
      <c r="A1113" s="128">
        <v>11740</v>
      </c>
      <c r="B1113" s="125">
        <v>20.675999999999998</v>
      </c>
      <c r="C1113" s="128">
        <v>11750</v>
      </c>
      <c r="D1113" s="125">
        <v>20.268000000000001</v>
      </c>
      <c r="E1113" s="126">
        <v>11740</v>
      </c>
      <c r="F1113" s="125">
        <v>65.629000000000005</v>
      </c>
      <c r="G1113" s="127">
        <v>11740</v>
      </c>
      <c r="H1113" s="125">
        <v>65.790000000000006</v>
      </c>
      <c r="I1113" s="127">
        <v>11740</v>
      </c>
      <c r="J1113" s="125">
        <v>71.388999999999996</v>
      </c>
      <c r="K1113" s="127">
        <v>11740</v>
      </c>
      <c r="L1113" s="125">
        <v>70.021000000000001</v>
      </c>
      <c r="M1113" s="127">
        <v>11740</v>
      </c>
      <c r="N1113" s="125">
        <v>71.012</v>
      </c>
      <c r="O1113" s="127">
        <v>11720</v>
      </c>
      <c r="P1113" s="125">
        <v>71.995000000000005</v>
      </c>
      <c r="Q1113" s="127">
        <v>11740</v>
      </c>
      <c r="R1113" s="125">
        <v>71.734999999999999</v>
      </c>
      <c r="S1113" s="127">
        <v>11740</v>
      </c>
      <c r="T1113" s="125">
        <v>72.269000000000005</v>
      </c>
      <c r="U1113" s="127">
        <v>11730</v>
      </c>
      <c r="V1113" s="125">
        <v>72.442999999999998</v>
      </c>
      <c r="W1113" s="127">
        <v>11740</v>
      </c>
      <c r="X1113" s="125">
        <v>71.63</v>
      </c>
      <c r="Y1113" s="127">
        <v>11740</v>
      </c>
      <c r="Z1113" s="125">
        <v>70.299000000000007</v>
      </c>
      <c r="AA1113" s="127">
        <v>11740</v>
      </c>
      <c r="AB1113" s="125">
        <v>70.864999999999995</v>
      </c>
      <c r="AC1113" s="127">
        <v>11730</v>
      </c>
      <c r="AD1113" s="125">
        <v>46.920999999999999</v>
      </c>
      <c r="AE1113" s="127">
        <v>11740</v>
      </c>
      <c r="AF1113" s="125">
        <v>48.21</v>
      </c>
      <c r="AG1113" s="127">
        <v>11720</v>
      </c>
      <c r="AH1113" s="125">
        <v>9.7390000000000008</v>
      </c>
      <c r="AI1113" s="127">
        <v>11720</v>
      </c>
      <c r="AJ1113" s="125">
        <v>10.571999999999999</v>
      </c>
    </row>
    <row r="1114" spans="1:36" ht="14.25">
      <c r="A1114" s="128">
        <v>11750</v>
      </c>
      <c r="B1114" s="125">
        <v>20.289000000000001</v>
      </c>
      <c r="C1114" s="128">
        <v>11760</v>
      </c>
      <c r="D1114" s="125">
        <v>19.884</v>
      </c>
      <c r="E1114" s="126">
        <v>11750</v>
      </c>
      <c r="F1114" s="125">
        <v>64.475999999999999</v>
      </c>
      <c r="G1114" s="127">
        <v>11750</v>
      </c>
      <c r="H1114" s="125">
        <v>64.637</v>
      </c>
      <c r="I1114" s="127">
        <v>11750</v>
      </c>
      <c r="J1114" s="125">
        <v>70.185000000000002</v>
      </c>
      <c r="K1114" s="127">
        <v>11750</v>
      </c>
      <c r="L1114" s="125">
        <v>68.816000000000003</v>
      </c>
      <c r="M1114" s="127">
        <v>11750</v>
      </c>
      <c r="N1114" s="125">
        <v>69.8</v>
      </c>
      <c r="O1114" s="127">
        <v>11730</v>
      </c>
      <c r="P1114" s="125">
        <v>70.783000000000001</v>
      </c>
      <c r="Q1114" s="127">
        <v>11750</v>
      </c>
      <c r="R1114" s="125">
        <v>70.524000000000001</v>
      </c>
      <c r="S1114" s="127">
        <v>11750</v>
      </c>
      <c r="T1114" s="125">
        <v>71.057000000000002</v>
      </c>
      <c r="U1114" s="127">
        <v>11740</v>
      </c>
      <c r="V1114" s="125">
        <v>71.233000000000004</v>
      </c>
      <c r="W1114" s="127">
        <v>11750</v>
      </c>
      <c r="X1114" s="125">
        <v>70.418999999999997</v>
      </c>
      <c r="Y1114" s="127">
        <v>11750</v>
      </c>
      <c r="Z1114" s="125">
        <v>69.096999999999994</v>
      </c>
      <c r="AA1114" s="127">
        <v>11750</v>
      </c>
      <c r="AB1114" s="125">
        <v>69.664000000000001</v>
      </c>
      <c r="AC1114" s="127">
        <v>11740</v>
      </c>
      <c r="AD1114" s="125">
        <v>46.076999999999998</v>
      </c>
      <c r="AE1114" s="127">
        <v>11750</v>
      </c>
      <c r="AF1114" s="125">
        <v>47.363999999999997</v>
      </c>
      <c r="AG1114" s="127">
        <v>11730</v>
      </c>
      <c r="AH1114" s="125">
        <v>9.5630000000000006</v>
      </c>
      <c r="AI1114" s="127">
        <v>11730</v>
      </c>
      <c r="AJ1114" s="125">
        <v>10.382</v>
      </c>
    </row>
    <row r="1115" spans="1:36" ht="14.25">
      <c r="A1115" s="128">
        <v>11760</v>
      </c>
      <c r="B1115" s="125">
        <v>19.902000000000001</v>
      </c>
      <c r="C1115" s="128">
        <v>11770</v>
      </c>
      <c r="D1115" s="125">
        <v>19.501999999999999</v>
      </c>
      <c r="E1115" s="126">
        <v>11760</v>
      </c>
      <c r="F1115" s="125">
        <v>63.325000000000003</v>
      </c>
      <c r="G1115" s="127">
        <v>11760</v>
      </c>
      <c r="H1115" s="125">
        <v>63.484999999999999</v>
      </c>
      <c r="I1115" s="127">
        <v>11760</v>
      </c>
      <c r="J1115" s="125">
        <v>68.981999999999999</v>
      </c>
      <c r="K1115" s="127">
        <v>11760</v>
      </c>
      <c r="L1115" s="125">
        <v>67.611000000000004</v>
      </c>
      <c r="M1115" s="127">
        <v>11760</v>
      </c>
      <c r="N1115" s="125">
        <v>68.588999999999999</v>
      </c>
      <c r="O1115" s="127">
        <v>11740</v>
      </c>
      <c r="P1115" s="125">
        <v>69.572000000000003</v>
      </c>
      <c r="Q1115" s="127">
        <v>11760</v>
      </c>
      <c r="R1115" s="125">
        <v>69.313000000000002</v>
      </c>
      <c r="S1115" s="127">
        <v>11760</v>
      </c>
      <c r="T1115" s="125">
        <v>69.844999999999999</v>
      </c>
      <c r="U1115" s="127">
        <v>11750</v>
      </c>
      <c r="V1115" s="125">
        <v>70.022000000000006</v>
      </c>
      <c r="W1115" s="127">
        <v>11760</v>
      </c>
      <c r="X1115" s="125">
        <v>69.207999999999998</v>
      </c>
      <c r="Y1115" s="127">
        <v>11760</v>
      </c>
      <c r="Z1115" s="125">
        <v>67.894999999999996</v>
      </c>
      <c r="AA1115" s="127">
        <v>11760</v>
      </c>
      <c r="AB1115" s="125">
        <v>68.462999999999994</v>
      </c>
      <c r="AC1115" s="127">
        <v>11750</v>
      </c>
      <c r="AD1115" s="125">
        <v>45.234000000000002</v>
      </c>
      <c r="AE1115" s="127">
        <v>11760</v>
      </c>
      <c r="AF1115" s="125">
        <v>46.518999999999998</v>
      </c>
      <c r="AG1115" s="127">
        <v>11740</v>
      </c>
      <c r="AH1115" s="125">
        <v>9.3879999999999999</v>
      </c>
      <c r="AI1115" s="127">
        <v>11740</v>
      </c>
      <c r="AJ1115" s="125">
        <v>10.192</v>
      </c>
    </row>
    <row r="1116" spans="1:36" ht="14.25">
      <c r="A1116" s="128">
        <v>11770</v>
      </c>
      <c r="B1116" s="125">
        <v>19.518000000000001</v>
      </c>
      <c r="C1116" s="128">
        <v>11780</v>
      </c>
      <c r="D1116" s="125">
        <v>19.120999999999999</v>
      </c>
      <c r="E1116" s="126">
        <v>11770</v>
      </c>
      <c r="F1116" s="125">
        <v>62.176000000000002</v>
      </c>
      <c r="G1116" s="127">
        <v>11770</v>
      </c>
      <c r="H1116" s="125">
        <v>62.335999999999999</v>
      </c>
      <c r="I1116" s="127">
        <v>11770</v>
      </c>
      <c r="J1116" s="125">
        <v>67.778999999999996</v>
      </c>
      <c r="K1116" s="127">
        <v>11770</v>
      </c>
      <c r="L1116" s="125">
        <v>66.406000000000006</v>
      </c>
      <c r="M1116" s="127">
        <v>11770</v>
      </c>
      <c r="N1116" s="125">
        <v>67.378</v>
      </c>
      <c r="O1116" s="127">
        <v>11750</v>
      </c>
      <c r="P1116" s="125">
        <v>68.36</v>
      </c>
      <c r="Q1116" s="127">
        <v>11770</v>
      </c>
      <c r="R1116" s="125">
        <v>68.102000000000004</v>
      </c>
      <c r="S1116" s="127">
        <v>11770</v>
      </c>
      <c r="T1116" s="125">
        <v>68.632999999999996</v>
      </c>
      <c r="U1116" s="127">
        <v>11760</v>
      </c>
      <c r="V1116" s="125">
        <v>68.811000000000007</v>
      </c>
      <c r="W1116" s="127">
        <v>11770</v>
      </c>
      <c r="X1116" s="125">
        <v>67.995999999999995</v>
      </c>
      <c r="Y1116" s="127">
        <v>11770</v>
      </c>
      <c r="Z1116" s="125">
        <v>66.692999999999998</v>
      </c>
      <c r="AA1116" s="127">
        <v>11770</v>
      </c>
      <c r="AB1116" s="125">
        <v>67.263000000000005</v>
      </c>
      <c r="AC1116" s="127">
        <v>11760</v>
      </c>
      <c r="AD1116" s="125">
        <v>44.393999999999998</v>
      </c>
      <c r="AE1116" s="127">
        <v>11770</v>
      </c>
      <c r="AF1116" s="125">
        <v>45.676000000000002</v>
      </c>
      <c r="AG1116" s="127">
        <v>11750</v>
      </c>
      <c r="AH1116" s="125">
        <v>9.2129999999999992</v>
      </c>
      <c r="AI1116" s="127">
        <v>11750</v>
      </c>
      <c r="AJ1116" s="125">
        <v>10.003</v>
      </c>
    </row>
    <row r="1117" spans="1:36" ht="14.25">
      <c r="A1117" s="128">
        <v>11780</v>
      </c>
      <c r="B1117" s="125">
        <v>19.134</v>
      </c>
      <c r="C1117" s="128">
        <v>11790</v>
      </c>
      <c r="D1117" s="125">
        <v>18.741</v>
      </c>
      <c r="E1117" s="126">
        <v>11780</v>
      </c>
      <c r="F1117" s="125">
        <v>61.027999999999999</v>
      </c>
      <c r="G1117" s="127">
        <v>11780</v>
      </c>
      <c r="H1117" s="125">
        <v>61.188000000000002</v>
      </c>
      <c r="I1117" s="127">
        <v>11780</v>
      </c>
      <c r="J1117" s="125">
        <v>66.575999999999993</v>
      </c>
      <c r="K1117" s="127">
        <v>11780</v>
      </c>
      <c r="L1117" s="125">
        <v>65.201999999999998</v>
      </c>
      <c r="M1117" s="127">
        <v>11780</v>
      </c>
      <c r="N1117" s="125">
        <v>66.167000000000002</v>
      </c>
      <c r="O1117" s="127">
        <v>11760</v>
      </c>
      <c r="P1117" s="125">
        <v>67.149000000000001</v>
      </c>
      <c r="Q1117" s="127">
        <v>11780</v>
      </c>
      <c r="R1117" s="125">
        <v>66.891000000000005</v>
      </c>
      <c r="S1117" s="127">
        <v>11780</v>
      </c>
      <c r="T1117" s="125">
        <v>67.421000000000006</v>
      </c>
      <c r="U1117" s="127">
        <v>11770</v>
      </c>
      <c r="V1117" s="125">
        <v>67.600999999999999</v>
      </c>
      <c r="W1117" s="127">
        <v>11780</v>
      </c>
      <c r="X1117" s="125">
        <v>66.784999999999997</v>
      </c>
      <c r="Y1117" s="127">
        <v>11780</v>
      </c>
      <c r="Z1117" s="125">
        <v>65.491</v>
      </c>
      <c r="AA1117" s="127">
        <v>11780</v>
      </c>
      <c r="AB1117" s="125">
        <v>66.063000000000002</v>
      </c>
      <c r="AC1117" s="127">
        <v>11770</v>
      </c>
      <c r="AD1117" s="125">
        <v>43.554000000000002</v>
      </c>
      <c r="AE1117" s="127">
        <v>11780</v>
      </c>
      <c r="AF1117" s="125">
        <v>44.834000000000003</v>
      </c>
      <c r="AG1117" s="127">
        <v>11760</v>
      </c>
      <c r="AH1117" s="125">
        <v>9.0380000000000003</v>
      </c>
      <c r="AI1117" s="127">
        <v>11760</v>
      </c>
      <c r="AJ1117" s="125">
        <v>9.8140000000000001</v>
      </c>
    </row>
    <row r="1118" spans="1:36" ht="14.25">
      <c r="A1118" s="128">
        <v>11790</v>
      </c>
      <c r="B1118" s="125">
        <v>18.751999999999999</v>
      </c>
      <c r="C1118" s="128">
        <v>11800</v>
      </c>
      <c r="D1118" s="125">
        <v>18.363</v>
      </c>
      <c r="E1118" s="126">
        <v>11790</v>
      </c>
      <c r="F1118" s="125">
        <v>59.881999999999998</v>
      </c>
      <c r="G1118" s="127">
        <v>11790</v>
      </c>
      <c r="H1118" s="125">
        <v>60.040999999999997</v>
      </c>
      <c r="I1118" s="127">
        <v>11790</v>
      </c>
      <c r="J1118" s="125">
        <v>65.373000000000005</v>
      </c>
      <c r="K1118" s="127">
        <v>11790</v>
      </c>
      <c r="L1118" s="125">
        <v>63.997999999999998</v>
      </c>
      <c r="M1118" s="127">
        <v>11790</v>
      </c>
      <c r="N1118" s="125">
        <v>64.956000000000003</v>
      </c>
      <c r="O1118" s="127">
        <v>11770</v>
      </c>
      <c r="P1118" s="125">
        <v>65.938000000000002</v>
      </c>
      <c r="Q1118" s="127">
        <v>11790</v>
      </c>
      <c r="R1118" s="125">
        <v>65.680000000000007</v>
      </c>
      <c r="S1118" s="127">
        <v>11790</v>
      </c>
      <c r="T1118" s="125">
        <v>66.209000000000003</v>
      </c>
      <c r="U1118" s="127">
        <v>11780</v>
      </c>
      <c r="V1118" s="125">
        <v>66.39</v>
      </c>
      <c r="W1118" s="127">
        <v>11790</v>
      </c>
      <c r="X1118" s="125">
        <v>65.573999999999998</v>
      </c>
      <c r="Y1118" s="127">
        <v>11790</v>
      </c>
      <c r="Z1118" s="125">
        <v>64.290000000000006</v>
      </c>
      <c r="AA1118" s="127">
        <v>11790</v>
      </c>
      <c r="AB1118" s="125">
        <v>64.863</v>
      </c>
      <c r="AC1118" s="127">
        <v>11780</v>
      </c>
      <c r="AD1118" s="125">
        <v>42.716999999999999</v>
      </c>
      <c r="AE1118" s="127">
        <v>11790</v>
      </c>
      <c r="AF1118" s="125">
        <v>43.994</v>
      </c>
      <c r="AG1118" s="127">
        <v>11770</v>
      </c>
      <c r="AH1118" s="125">
        <v>8.8640000000000008</v>
      </c>
      <c r="AI1118" s="127">
        <v>11770</v>
      </c>
      <c r="AJ1118" s="125">
        <v>9.6259999999999994</v>
      </c>
    </row>
    <row r="1119" spans="1:36" ht="14.25">
      <c r="A1119" s="128">
        <v>11800</v>
      </c>
      <c r="B1119" s="125">
        <v>18.37</v>
      </c>
      <c r="C1119" s="128">
        <v>11810</v>
      </c>
      <c r="D1119" s="125">
        <v>17.986000000000001</v>
      </c>
      <c r="E1119" s="126">
        <v>11800</v>
      </c>
      <c r="F1119" s="125">
        <v>58.737000000000002</v>
      </c>
      <c r="G1119" s="127">
        <v>11800</v>
      </c>
      <c r="H1119" s="125">
        <v>58.896999999999998</v>
      </c>
      <c r="I1119" s="127">
        <v>11800</v>
      </c>
      <c r="J1119" s="125">
        <v>64.17</v>
      </c>
      <c r="K1119" s="127">
        <v>11800</v>
      </c>
      <c r="L1119" s="125">
        <v>62.795000000000002</v>
      </c>
      <c r="M1119" s="127">
        <v>11800</v>
      </c>
      <c r="N1119" s="125">
        <v>63.744999999999997</v>
      </c>
      <c r="O1119" s="127">
        <v>11780</v>
      </c>
      <c r="P1119" s="125">
        <v>64.725999999999999</v>
      </c>
      <c r="Q1119" s="127">
        <v>11800</v>
      </c>
      <c r="R1119" s="125">
        <v>64.468999999999994</v>
      </c>
      <c r="S1119" s="127">
        <v>11800</v>
      </c>
      <c r="T1119" s="125">
        <v>64.998000000000005</v>
      </c>
      <c r="U1119" s="127">
        <v>11790</v>
      </c>
      <c r="V1119" s="125">
        <v>65.179000000000002</v>
      </c>
      <c r="W1119" s="127">
        <v>11800</v>
      </c>
      <c r="X1119" s="125">
        <v>64.363</v>
      </c>
      <c r="Y1119" s="127">
        <v>11800</v>
      </c>
      <c r="Z1119" s="125">
        <v>63.088999999999999</v>
      </c>
      <c r="AA1119" s="127">
        <v>11800</v>
      </c>
      <c r="AB1119" s="125">
        <v>63.664000000000001</v>
      </c>
      <c r="AC1119" s="127">
        <v>11790</v>
      </c>
      <c r="AD1119" s="125">
        <v>41.88</v>
      </c>
      <c r="AE1119" s="127">
        <v>11800</v>
      </c>
      <c r="AF1119" s="125">
        <v>43.155999999999999</v>
      </c>
      <c r="AG1119" s="127">
        <v>11780</v>
      </c>
      <c r="AH1119" s="125">
        <v>8.69</v>
      </c>
      <c r="AI1119" s="127">
        <v>11780</v>
      </c>
      <c r="AJ1119" s="125">
        <v>9.4380000000000006</v>
      </c>
    </row>
    <row r="1120" spans="1:36" ht="14.25">
      <c r="A1120" s="128">
        <v>11810</v>
      </c>
      <c r="B1120" s="125">
        <v>17.991</v>
      </c>
      <c r="C1120" s="128">
        <v>11820</v>
      </c>
      <c r="D1120" s="125">
        <v>17.61</v>
      </c>
      <c r="E1120" s="126">
        <v>11810</v>
      </c>
      <c r="F1120" s="125">
        <v>57.594999999999999</v>
      </c>
      <c r="G1120" s="127">
        <v>11810</v>
      </c>
      <c r="H1120" s="125">
        <v>57.753</v>
      </c>
      <c r="I1120" s="127">
        <v>11810</v>
      </c>
      <c r="J1120" s="125">
        <v>62.968000000000004</v>
      </c>
      <c r="K1120" s="127">
        <v>11810</v>
      </c>
      <c r="L1120" s="125">
        <v>61.591999999999999</v>
      </c>
      <c r="M1120" s="127">
        <v>11810</v>
      </c>
      <c r="N1120" s="125">
        <v>62.533000000000001</v>
      </c>
      <c r="O1120" s="127">
        <v>11790</v>
      </c>
      <c r="P1120" s="125">
        <v>63.515000000000001</v>
      </c>
      <c r="Q1120" s="127">
        <v>11810</v>
      </c>
      <c r="R1120" s="125">
        <v>63.256999999999998</v>
      </c>
      <c r="S1120" s="127">
        <v>11810</v>
      </c>
      <c r="T1120" s="125">
        <v>63.786000000000001</v>
      </c>
      <c r="U1120" s="127">
        <v>11800</v>
      </c>
      <c r="V1120" s="125">
        <v>63.968000000000004</v>
      </c>
      <c r="W1120" s="127">
        <v>11810</v>
      </c>
      <c r="X1120" s="125">
        <v>63.151000000000003</v>
      </c>
      <c r="Y1120" s="127">
        <v>11810</v>
      </c>
      <c r="Z1120" s="125">
        <v>61.889000000000003</v>
      </c>
      <c r="AA1120" s="127">
        <v>11810</v>
      </c>
      <c r="AB1120" s="125">
        <v>62.465000000000003</v>
      </c>
      <c r="AC1120" s="127">
        <v>11800</v>
      </c>
      <c r="AD1120" s="125">
        <v>41.045999999999999</v>
      </c>
      <c r="AE1120" s="127">
        <v>11810</v>
      </c>
      <c r="AF1120" s="125">
        <v>42.319000000000003</v>
      </c>
      <c r="AG1120" s="127">
        <v>11790</v>
      </c>
      <c r="AH1120" s="125">
        <v>8.5169999999999995</v>
      </c>
      <c r="AI1120" s="127">
        <v>11790</v>
      </c>
      <c r="AJ1120" s="125">
        <v>9.2509999999999994</v>
      </c>
    </row>
    <row r="1121" spans="1:36" ht="14.25">
      <c r="A1121" s="128">
        <v>11820</v>
      </c>
      <c r="B1121" s="125">
        <v>17.611999999999998</v>
      </c>
      <c r="C1121" s="128">
        <v>11830</v>
      </c>
      <c r="D1121" s="125">
        <v>17.234999999999999</v>
      </c>
      <c r="E1121" s="126">
        <v>11820</v>
      </c>
      <c r="F1121" s="125">
        <v>56.453000000000003</v>
      </c>
      <c r="G1121" s="127">
        <v>11820</v>
      </c>
      <c r="H1121" s="125">
        <v>56.612000000000002</v>
      </c>
      <c r="I1121" s="127">
        <v>11820</v>
      </c>
      <c r="J1121" s="125">
        <v>61.765999999999998</v>
      </c>
      <c r="K1121" s="127">
        <v>11820</v>
      </c>
      <c r="L1121" s="125">
        <v>60.389000000000003</v>
      </c>
      <c r="M1121" s="127">
        <v>11820</v>
      </c>
      <c r="N1121" s="125">
        <v>61.322000000000003</v>
      </c>
      <c r="O1121" s="127">
        <v>11800</v>
      </c>
      <c r="P1121" s="125">
        <v>62.302999999999997</v>
      </c>
      <c r="Q1121" s="127">
        <v>11820</v>
      </c>
      <c r="R1121" s="125">
        <v>62.045999999999999</v>
      </c>
      <c r="S1121" s="127">
        <v>11820</v>
      </c>
      <c r="T1121" s="125">
        <v>62.573999999999998</v>
      </c>
      <c r="U1121" s="127">
        <v>11810</v>
      </c>
      <c r="V1121" s="125">
        <v>62.758000000000003</v>
      </c>
      <c r="W1121" s="127">
        <v>11820</v>
      </c>
      <c r="X1121" s="125">
        <v>61.94</v>
      </c>
      <c r="Y1121" s="127">
        <v>11820</v>
      </c>
      <c r="Z1121" s="125">
        <v>60.689</v>
      </c>
      <c r="AA1121" s="127">
        <v>11820</v>
      </c>
      <c r="AB1121" s="125">
        <v>61.267000000000003</v>
      </c>
      <c r="AC1121" s="127">
        <v>11810</v>
      </c>
      <c r="AD1121" s="125">
        <v>40.213000000000001</v>
      </c>
      <c r="AE1121" s="127">
        <v>11820</v>
      </c>
      <c r="AF1121" s="125">
        <v>41.482999999999997</v>
      </c>
      <c r="AG1121" s="127">
        <v>11800</v>
      </c>
      <c r="AH1121" s="125">
        <v>8.3439999999999994</v>
      </c>
      <c r="AI1121" s="127">
        <v>11800</v>
      </c>
      <c r="AJ1121" s="125">
        <v>9.0640000000000001</v>
      </c>
    </row>
    <row r="1122" spans="1:36" ht="14.25">
      <c r="A1122" s="128">
        <v>11830</v>
      </c>
      <c r="B1122" s="125">
        <v>17.234999999999999</v>
      </c>
      <c r="C1122" s="128">
        <v>11840</v>
      </c>
      <c r="D1122" s="125">
        <v>16.861999999999998</v>
      </c>
      <c r="E1122" s="126">
        <v>11830</v>
      </c>
      <c r="F1122" s="125">
        <v>55.314</v>
      </c>
      <c r="G1122" s="127">
        <v>11830</v>
      </c>
      <c r="H1122" s="125">
        <v>55.472000000000001</v>
      </c>
      <c r="I1122" s="127">
        <v>11830</v>
      </c>
      <c r="J1122" s="125">
        <v>60.564999999999998</v>
      </c>
      <c r="K1122" s="127">
        <v>11830</v>
      </c>
      <c r="L1122" s="125">
        <v>59.186</v>
      </c>
      <c r="M1122" s="127">
        <v>11830</v>
      </c>
      <c r="N1122" s="125">
        <v>60.110999999999997</v>
      </c>
      <c r="O1122" s="127">
        <v>11810</v>
      </c>
      <c r="P1122" s="125">
        <v>61.091999999999999</v>
      </c>
      <c r="Q1122" s="127">
        <v>11830</v>
      </c>
      <c r="R1122" s="125">
        <v>60.835000000000001</v>
      </c>
      <c r="S1122" s="127">
        <v>11830</v>
      </c>
      <c r="T1122" s="125">
        <v>61.362000000000002</v>
      </c>
      <c r="U1122" s="127">
        <v>11820</v>
      </c>
      <c r="V1122" s="125">
        <v>61.546999999999997</v>
      </c>
      <c r="W1122" s="127">
        <v>11830</v>
      </c>
      <c r="X1122" s="125">
        <v>60.728999999999999</v>
      </c>
      <c r="Y1122" s="127">
        <v>11830</v>
      </c>
      <c r="Z1122" s="125">
        <v>59.488999999999997</v>
      </c>
      <c r="AA1122" s="127">
        <v>11830</v>
      </c>
      <c r="AB1122" s="125">
        <v>60.067999999999998</v>
      </c>
      <c r="AC1122" s="127">
        <v>11820</v>
      </c>
      <c r="AD1122" s="125">
        <v>39.381</v>
      </c>
      <c r="AE1122" s="127">
        <v>11830</v>
      </c>
      <c r="AF1122" s="125">
        <v>40.65</v>
      </c>
      <c r="AG1122" s="127">
        <v>11810</v>
      </c>
      <c r="AH1122" s="125">
        <v>8.1709999999999994</v>
      </c>
      <c r="AI1122" s="127">
        <v>11810</v>
      </c>
      <c r="AJ1122" s="125">
        <v>8.8770000000000007</v>
      </c>
    </row>
    <row r="1123" spans="1:36" ht="14.25">
      <c r="A1123" s="128">
        <v>11840</v>
      </c>
      <c r="B1123" s="125">
        <v>16.859000000000002</v>
      </c>
      <c r="C1123" s="128">
        <v>11850</v>
      </c>
      <c r="D1123" s="125">
        <v>16.489999999999998</v>
      </c>
      <c r="E1123" s="126">
        <v>11840</v>
      </c>
      <c r="F1123" s="125">
        <v>54.176000000000002</v>
      </c>
      <c r="G1123" s="127">
        <v>11840</v>
      </c>
      <c r="H1123" s="125">
        <v>54.334000000000003</v>
      </c>
      <c r="I1123" s="127">
        <v>11840</v>
      </c>
      <c r="J1123" s="125">
        <v>59.363999999999997</v>
      </c>
      <c r="K1123" s="127">
        <v>11840</v>
      </c>
      <c r="L1123" s="125">
        <v>57.984000000000002</v>
      </c>
      <c r="M1123" s="127">
        <v>11840</v>
      </c>
      <c r="N1123" s="125">
        <v>58.9</v>
      </c>
      <c r="O1123" s="127">
        <v>11820</v>
      </c>
      <c r="P1123" s="125">
        <v>59.881</v>
      </c>
      <c r="Q1123" s="127">
        <v>11840</v>
      </c>
      <c r="R1123" s="125">
        <v>59.624000000000002</v>
      </c>
      <c r="S1123" s="127">
        <v>11840</v>
      </c>
      <c r="T1123" s="125">
        <v>60.15</v>
      </c>
      <c r="U1123" s="127">
        <v>11830</v>
      </c>
      <c r="V1123" s="125">
        <v>60.335999999999999</v>
      </c>
      <c r="W1123" s="127">
        <v>11840</v>
      </c>
      <c r="X1123" s="125">
        <v>59.517000000000003</v>
      </c>
      <c r="Y1123" s="127">
        <v>11840</v>
      </c>
      <c r="Z1123" s="125">
        <v>58.29</v>
      </c>
      <c r="AA1123" s="127">
        <v>11840</v>
      </c>
      <c r="AB1123" s="125">
        <v>58.871000000000002</v>
      </c>
      <c r="AC1123" s="127">
        <v>11830</v>
      </c>
      <c r="AD1123" s="125">
        <v>38.551000000000002</v>
      </c>
      <c r="AE1123" s="127">
        <v>11840</v>
      </c>
      <c r="AF1123" s="125">
        <v>39.817</v>
      </c>
      <c r="AG1123" s="127">
        <v>11820</v>
      </c>
      <c r="AH1123" s="125">
        <v>7.9989999999999997</v>
      </c>
      <c r="AI1123" s="127">
        <v>11820</v>
      </c>
      <c r="AJ1123" s="125">
        <v>8.6910000000000007</v>
      </c>
    </row>
    <row r="1124" spans="1:36" ht="14.25">
      <c r="A1124" s="128">
        <v>11850</v>
      </c>
      <c r="B1124" s="125">
        <v>16.484000000000002</v>
      </c>
      <c r="C1124" s="128">
        <v>11860</v>
      </c>
      <c r="D1124" s="125">
        <v>16.119</v>
      </c>
      <c r="E1124" s="126">
        <v>11850</v>
      </c>
      <c r="F1124" s="125">
        <v>53.04</v>
      </c>
      <c r="G1124" s="127">
        <v>11850</v>
      </c>
      <c r="H1124" s="125">
        <v>53.197000000000003</v>
      </c>
      <c r="I1124" s="127">
        <v>11850</v>
      </c>
      <c r="J1124" s="125">
        <v>58.162999999999997</v>
      </c>
      <c r="K1124" s="127">
        <v>11850</v>
      </c>
      <c r="L1124" s="125">
        <v>56.781999999999996</v>
      </c>
      <c r="M1124" s="127">
        <v>11850</v>
      </c>
      <c r="N1124" s="125">
        <v>57.689</v>
      </c>
      <c r="O1124" s="127">
        <v>11830</v>
      </c>
      <c r="P1124" s="125">
        <v>58.668999999999997</v>
      </c>
      <c r="Q1124" s="127">
        <v>11850</v>
      </c>
      <c r="R1124" s="125">
        <v>58.412999999999997</v>
      </c>
      <c r="S1124" s="127">
        <v>11850</v>
      </c>
      <c r="T1124" s="125">
        <v>58.938000000000002</v>
      </c>
      <c r="U1124" s="127">
        <v>11840</v>
      </c>
      <c r="V1124" s="125">
        <v>59.125999999999998</v>
      </c>
      <c r="W1124" s="127">
        <v>11850</v>
      </c>
      <c r="X1124" s="125">
        <v>58.305999999999997</v>
      </c>
      <c r="Y1124" s="127">
        <v>11850</v>
      </c>
      <c r="Z1124" s="125">
        <v>57.091000000000001</v>
      </c>
      <c r="AA1124" s="127">
        <v>11850</v>
      </c>
      <c r="AB1124" s="125">
        <v>57.673000000000002</v>
      </c>
      <c r="AC1124" s="127">
        <v>11840</v>
      </c>
      <c r="AD1124" s="125">
        <v>37.722000000000001</v>
      </c>
      <c r="AE1124" s="127">
        <v>11850</v>
      </c>
      <c r="AF1124" s="125">
        <v>38.985999999999997</v>
      </c>
      <c r="AG1124" s="127">
        <v>11830</v>
      </c>
      <c r="AH1124" s="125">
        <v>7.827</v>
      </c>
      <c r="AI1124" s="127">
        <v>11830</v>
      </c>
      <c r="AJ1124" s="125">
        <v>8.5050000000000008</v>
      </c>
    </row>
    <row r="1125" spans="1:36" ht="14.25">
      <c r="A1125" s="128">
        <v>11860</v>
      </c>
      <c r="B1125" s="125">
        <v>16.111000000000001</v>
      </c>
      <c r="C1125" s="128">
        <v>11870</v>
      </c>
      <c r="D1125" s="125">
        <v>15.749000000000001</v>
      </c>
      <c r="E1125" s="126">
        <v>11860</v>
      </c>
      <c r="F1125" s="125">
        <v>51.905999999999999</v>
      </c>
      <c r="G1125" s="127">
        <v>11860</v>
      </c>
      <c r="H1125" s="125">
        <v>52.061999999999998</v>
      </c>
      <c r="I1125" s="127">
        <v>11860</v>
      </c>
      <c r="J1125" s="125">
        <v>56.962000000000003</v>
      </c>
      <c r="K1125" s="127">
        <v>11860</v>
      </c>
      <c r="L1125" s="125">
        <v>55.58</v>
      </c>
      <c r="M1125" s="127">
        <v>11860</v>
      </c>
      <c r="N1125" s="125">
        <v>56.478000000000002</v>
      </c>
      <c r="O1125" s="127">
        <v>11840</v>
      </c>
      <c r="P1125" s="125">
        <v>57.457999999999998</v>
      </c>
      <c r="Q1125" s="127">
        <v>11860</v>
      </c>
      <c r="R1125" s="125">
        <v>57.201999999999998</v>
      </c>
      <c r="S1125" s="127">
        <v>11860</v>
      </c>
      <c r="T1125" s="125">
        <v>57.725999999999999</v>
      </c>
      <c r="U1125" s="127">
        <v>11850</v>
      </c>
      <c r="V1125" s="125">
        <v>57.914999999999999</v>
      </c>
      <c r="W1125" s="127">
        <v>11860</v>
      </c>
      <c r="X1125" s="125">
        <v>57.094999999999999</v>
      </c>
      <c r="Y1125" s="127">
        <v>11860</v>
      </c>
      <c r="Z1125" s="125">
        <v>55.893000000000001</v>
      </c>
      <c r="AA1125" s="127">
        <v>11860</v>
      </c>
      <c r="AB1125" s="125">
        <v>56.476999999999997</v>
      </c>
      <c r="AC1125" s="127">
        <v>11850</v>
      </c>
      <c r="AD1125" s="125">
        <v>36.893999999999998</v>
      </c>
      <c r="AE1125" s="127">
        <v>11860</v>
      </c>
      <c r="AF1125" s="125">
        <v>38.155999999999999</v>
      </c>
      <c r="AG1125" s="127">
        <v>11840</v>
      </c>
      <c r="AH1125" s="125">
        <v>7.6559999999999997</v>
      </c>
      <c r="AI1125" s="127">
        <v>11840</v>
      </c>
      <c r="AJ1125" s="125">
        <v>8.3190000000000008</v>
      </c>
    </row>
    <row r="1126" spans="1:36" ht="14.25">
      <c r="A1126" s="128">
        <v>11870</v>
      </c>
      <c r="B1126" s="125">
        <v>15.739000000000001</v>
      </c>
      <c r="C1126" s="128">
        <v>11880</v>
      </c>
      <c r="D1126" s="125">
        <v>15.381</v>
      </c>
      <c r="E1126" s="126">
        <v>11870</v>
      </c>
      <c r="F1126" s="125">
        <v>50.773000000000003</v>
      </c>
      <c r="G1126" s="127">
        <v>11870</v>
      </c>
      <c r="H1126" s="125">
        <v>50.929000000000002</v>
      </c>
      <c r="I1126" s="127">
        <v>11870</v>
      </c>
      <c r="J1126" s="125">
        <v>55.762</v>
      </c>
      <c r="K1126" s="127">
        <v>11870</v>
      </c>
      <c r="L1126" s="125">
        <v>54.378999999999998</v>
      </c>
      <c r="M1126" s="127">
        <v>11870</v>
      </c>
      <c r="N1126" s="125">
        <v>55.267000000000003</v>
      </c>
      <c r="O1126" s="127">
        <v>11850</v>
      </c>
      <c r="P1126" s="125">
        <v>56.246000000000002</v>
      </c>
      <c r="Q1126" s="127">
        <v>11870</v>
      </c>
      <c r="R1126" s="125">
        <v>55.991</v>
      </c>
      <c r="S1126" s="127">
        <v>11870</v>
      </c>
      <c r="T1126" s="125">
        <v>56.514000000000003</v>
      </c>
      <c r="U1126" s="127">
        <v>11860</v>
      </c>
      <c r="V1126" s="125">
        <v>56.704000000000001</v>
      </c>
      <c r="W1126" s="127">
        <v>11870</v>
      </c>
      <c r="X1126" s="125">
        <v>55.884</v>
      </c>
      <c r="Y1126" s="127">
        <v>11870</v>
      </c>
      <c r="Z1126" s="125">
        <v>54.695</v>
      </c>
      <c r="AA1126" s="127">
        <v>11870</v>
      </c>
      <c r="AB1126" s="125">
        <v>55.28</v>
      </c>
      <c r="AC1126" s="127">
        <v>11860</v>
      </c>
      <c r="AD1126" s="125">
        <v>36.067999999999998</v>
      </c>
      <c r="AE1126" s="127">
        <v>11870</v>
      </c>
      <c r="AF1126" s="125">
        <v>37.328000000000003</v>
      </c>
      <c r="AG1126" s="127">
        <v>11850</v>
      </c>
      <c r="AH1126" s="125">
        <v>7.4850000000000003</v>
      </c>
      <c r="AI1126" s="127">
        <v>11850</v>
      </c>
      <c r="AJ1126" s="125">
        <v>8.1340000000000003</v>
      </c>
    </row>
    <row r="1127" spans="1:36" ht="14.25">
      <c r="A1127" s="128">
        <v>11880</v>
      </c>
      <c r="B1127" s="125">
        <v>15.368</v>
      </c>
      <c r="C1127" s="128">
        <v>11890</v>
      </c>
      <c r="D1127" s="125">
        <v>15.013999999999999</v>
      </c>
      <c r="E1127" s="126">
        <v>11880</v>
      </c>
      <c r="F1127" s="125">
        <v>49.642000000000003</v>
      </c>
      <c r="G1127" s="127">
        <v>11880</v>
      </c>
      <c r="H1127" s="125">
        <v>49.796999999999997</v>
      </c>
      <c r="I1127" s="127">
        <v>11880</v>
      </c>
      <c r="J1127" s="125">
        <v>54.561999999999998</v>
      </c>
      <c r="K1127" s="127">
        <v>11880</v>
      </c>
      <c r="L1127" s="125">
        <v>53.177999999999997</v>
      </c>
      <c r="M1127" s="127">
        <v>11880</v>
      </c>
      <c r="N1127" s="125">
        <v>54.055</v>
      </c>
      <c r="O1127" s="127">
        <v>11860</v>
      </c>
      <c r="P1127" s="125">
        <v>55.034999999999997</v>
      </c>
      <c r="Q1127" s="127">
        <v>11880</v>
      </c>
      <c r="R1127" s="125">
        <v>54.78</v>
      </c>
      <c r="S1127" s="127">
        <v>11880</v>
      </c>
      <c r="T1127" s="125">
        <v>55.302</v>
      </c>
      <c r="U1127" s="127">
        <v>11870</v>
      </c>
      <c r="V1127" s="125">
        <v>55.493000000000002</v>
      </c>
      <c r="W1127" s="127">
        <v>11880</v>
      </c>
      <c r="X1127" s="125">
        <v>54.671999999999997</v>
      </c>
      <c r="Y1127" s="127">
        <v>11880</v>
      </c>
      <c r="Z1127" s="125">
        <v>53.497</v>
      </c>
      <c r="AA1127" s="127">
        <v>11880</v>
      </c>
      <c r="AB1127" s="125">
        <v>54.084000000000003</v>
      </c>
      <c r="AC1127" s="127">
        <v>11870</v>
      </c>
      <c r="AD1127" s="125">
        <v>35.244</v>
      </c>
      <c r="AE1127" s="127">
        <v>11880</v>
      </c>
      <c r="AF1127" s="125">
        <v>36.500999999999998</v>
      </c>
      <c r="AG1127" s="127">
        <v>11860</v>
      </c>
      <c r="AH1127" s="125">
        <v>7.3150000000000004</v>
      </c>
      <c r="AI1127" s="127">
        <v>11860</v>
      </c>
      <c r="AJ1127" s="125">
        <v>7.95</v>
      </c>
    </row>
    <row r="1128" spans="1:36" ht="14.25">
      <c r="A1128" s="128">
        <v>11890</v>
      </c>
      <c r="B1128" s="125">
        <v>14.997999999999999</v>
      </c>
      <c r="C1128" s="128">
        <v>11900</v>
      </c>
      <c r="D1128" s="125">
        <v>14.648999999999999</v>
      </c>
      <c r="E1128" s="126">
        <v>11890</v>
      </c>
      <c r="F1128" s="125">
        <v>48.512</v>
      </c>
      <c r="G1128" s="127">
        <v>11890</v>
      </c>
      <c r="H1128" s="125">
        <v>48.667000000000002</v>
      </c>
      <c r="I1128" s="127">
        <v>11890</v>
      </c>
      <c r="J1128" s="125">
        <v>53.363</v>
      </c>
      <c r="K1128" s="127">
        <v>11890</v>
      </c>
      <c r="L1128" s="125">
        <v>51.978000000000002</v>
      </c>
      <c r="M1128" s="127">
        <v>11890</v>
      </c>
      <c r="N1128" s="125">
        <v>52.844000000000001</v>
      </c>
      <c r="O1128" s="127">
        <v>11870</v>
      </c>
      <c r="P1128" s="125">
        <v>53.823999999999998</v>
      </c>
      <c r="Q1128" s="127">
        <v>11890</v>
      </c>
      <c r="R1128" s="125">
        <v>53.569000000000003</v>
      </c>
      <c r="S1128" s="127">
        <v>11890</v>
      </c>
      <c r="T1128" s="125">
        <v>54.091000000000001</v>
      </c>
      <c r="U1128" s="127">
        <v>11880</v>
      </c>
      <c r="V1128" s="125">
        <v>54.283000000000001</v>
      </c>
      <c r="W1128" s="127">
        <v>11890</v>
      </c>
      <c r="X1128" s="125">
        <v>53.460999999999999</v>
      </c>
      <c r="Y1128" s="127">
        <v>11890</v>
      </c>
      <c r="Z1128" s="125">
        <v>52.3</v>
      </c>
      <c r="AA1128" s="127">
        <v>11890</v>
      </c>
      <c r="AB1128" s="125">
        <v>52.889000000000003</v>
      </c>
      <c r="AC1128" s="127">
        <v>11880</v>
      </c>
      <c r="AD1128" s="125">
        <v>34.420999999999999</v>
      </c>
      <c r="AE1128" s="127">
        <v>11890</v>
      </c>
      <c r="AF1128" s="125">
        <v>35.674999999999997</v>
      </c>
      <c r="AG1128" s="127">
        <v>11870</v>
      </c>
      <c r="AH1128" s="125">
        <v>7.1440000000000001</v>
      </c>
      <c r="AI1128" s="127">
        <v>11870</v>
      </c>
      <c r="AJ1128" s="125">
        <v>7.7649999999999997</v>
      </c>
    </row>
    <row r="1129" spans="1:36" ht="14.25">
      <c r="A1129" s="128">
        <v>11900</v>
      </c>
      <c r="B1129" s="125">
        <v>14.63</v>
      </c>
      <c r="C1129" s="128">
        <v>11910</v>
      </c>
      <c r="D1129" s="125">
        <v>14.284000000000001</v>
      </c>
      <c r="E1129" s="126">
        <v>11900</v>
      </c>
      <c r="F1129" s="125">
        <v>47.384</v>
      </c>
      <c r="G1129" s="127">
        <v>11900</v>
      </c>
      <c r="H1129" s="125">
        <v>47.537999999999997</v>
      </c>
      <c r="I1129" s="127">
        <v>11900</v>
      </c>
      <c r="J1129" s="125">
        <v>52.164000000000001</v>
      </c>
      <c r="K1129" s="127">
        <v>11900</v>
      </c>
      <c r="L1129" s="125">
        <v>50.777999999999999</v>
      </c>
      <c r="M1129" s="127">
        <v>11900</v>
      </c>
      <c r="N1129" s="125">
        <v>51.633000000000003</v>
      </c>
      <c r="O1129" s="127">
        <v>11880</v>
      </c>
      <c r="P1129" s="125">
        <v>52.612000000000002</v>
      </c>
      <c r="Q1129" s="127">
        <v>11900</v>
      </c>
      <c r="R1129" s="125">
        <v>52.357999999999997</v>
      </c>
      <c r="S1129" s="127">
        <v>11900</v>
      </c>
      <c r="T1129" s="125">
        <v>52.878999999999998</v>
      </c>
      <c r="U1129" s="127">
        <v>11890</v>
      </c>
      <c r="V1129" s="125">
        <v>53.072000000000003</v>
      </c>
      <c r="W1129" s="127">
        <v>11900</v>
      </c>
      <c r="X1129" s="125">
        <v>52.25</v>
      </c>
      <c r="Y1129" s="127">
        <v>11900</v>
      </c>
      <c r="Z1129" s="125">
        <v>51.103999999999999</v>
      </c>
      <c r="AA1129" s="127">
        <v>11900</v>
      </c>
      <c r="AB1129" s="125">
        <v>51.694000000000003</v>
      </c>
      <c r="AC1129" s="127">
        <v>11890</v>
      </c>
      <c r="AD1129" s="125">
        <v>33.598999999999997</v>
      </c>
      <c r="AE1129" s="127">
        <v>11900</v>
      </c>
      <c r="AF1129" s="125">
        <v>34.850999999999999</v>
      </c>
      <c r="AG1129" s="127">
        <v>11880</v>
      </c>
      <c r="AH1129" s="125">
        <v>6.9749999999999996</v>
      </c>
      <c r="AI1129" s="127">
        <v>11880</v>
      </c>
      <c r="AJ1129" s="125">
        <v>7.5810000000000004</v>
      </c>
    </row>
    <row r="1130" spans="1:36" ht="14.25">
      <c r="A1130" s="128">
        <v>11910</v>
      </c>
      <c r="B1130" s="125">
        <v>14.263</v>
      </c>
      <c r="C1130" s="128">
        <v>11920</v>
      </c>
      <c r="D1130" s="125">
        <v>13.920999999999999</v>
      </c>
      <c r="E1130" s="126">
        <v>11910</v>
      </c>
      <c r="F1130" s="125">
        <v>46.258000000000003</v>
      </c>
      <c r="G1130" s="127">
        <v>11910</v>
      </c>
      <c r="H1130" s="125">
        <v>46.411000000000001</v>
      </c>
      <c r="I1130" s="127">
        <v>11910</v>
      </c>
      <c r="J1130" s="125">
        <v>50.965000000000003</v>
      </c>
      <c r="K1130" s="127">
        <v>11910</v>
      </c>
      <c r="L1130" s="125">
        <v>49.578000000000003</v>
      </c>
      <c r="M1130" s="127">
        <v>11910</v>
      </c>
      <c r="N1130" s="125">
        <v>50.421999999999997</v>
      </c>
      <c r="O1130" s="127">
        <v>11890</v>
      </c>
      <c r="P1130" s="125">
        <v>51.401000000000003</v>
      </c>
      <c r="Q1130" s="127">
        <v>11910</v>
      </c>
      <c r="R1130" s="125">
        <v>51.146999999999998</v>
      </c>
      <c r="S1130" s="127">
        <v>11910</v>
      </c>
      <c r="T1130" s="125">
        <v>51.667000000000002</v>
      </c>
      <c r="U1130" s="127">
        <v>11900</v>
      </c>
      <c r="V1130" s="125">
        <v>51.860999999999997</v>
      </c>
      <c r="W1130" s="127">
        <v>11910</v>
      </c>
      <c r="X1130" s="125">
        <v>51.037999999999997</v>
      </c>
      <c r="Y1130" s="127">
        <v>11910</v>
      </c>
      <c r="Z1130" s="125">
        <v>49.906999999999996</v>
      </c>
      <c r="AA1130" s="127">
        <v>11910</v>
      </c>
      <c r="AB1130" s="125">
        <v>50.5</v>
      </c>
      <c r="AC1130" s="127">
        <v>11900</v>
      </c>
      <c r="AD1130" s="125">
        <v>32.779000000000003</v>
      </c>
      <c r="AE1130" s="127">
        <v>11910</v>
      </c>
      <c r="AF1130" s="125">
        <v>34.029000000000003</v>
      </c>
      <c r="AG1130" s="127">
        <v>11890</v>
      </c>
      <c r="AH1130" s="125">
        <v>6.8049999999999997</v>
      </c>
      <c r="AI1130" s="127">
        <v>11890</v>
      </c>
      <c r="AJ1130" s="125">
        <v>7.3979999999999997</v>
      </c>
    </row>
    <row r="1131" spans="1:36" ht="14.25">
      <c r="A1131" s="128">
        <v>11920</v>
      </c>
      <c r="B1131" s="125">
        <v>13.898</v>
      </c>
      <c r="C1131" s="128">
        <v>11930</v>
      </c>
      <c r="D1131" s="125">
        <v>13.558999999999999</v>
      </c>
      <c r="E1131" s="126">
        <v>11920</v>
      </c>
      <c r="F1131" s="125">
        <v>45.133000000000003</v>
      </c>
      <c r="G1131" s="127">
        <v>11920</v>
      </c>
      <c r="H1131" s="125">
        <v>45.286000000000001</v>
      </c>
      <c r="I1131" s="127">
        <v>11920</v>
      </c>
      <c r="J1131" s="125">
        <v>49.767000000000003</v>
      </c>
      <c r="K1131" s="127">
        <v>11920</v>
      </c>
      <c r="L1131" s="125">
        <v>48.378999999999998</v>
      </c>
      <c r="M1131" s="127">
        <v>11920</v>
      </c>
      <c r="N1131" s="125">
        <v>49.210999999999999</v>
      </c>
      <c r="O1131" s="127">
        <v>11900</v>
      </c>
      <c r="P1131" s="125">
        <v>50.19</v>
      </c>
      <c r="Q1131" s="127">
        <v>11920</v>
      </c>
      <c r="R1131" s="125">
        <v>49.935000000000002</v>
      </c>
      <c r="S1131" s="127">
        <v>11920</v>
      </c>
      <c r="T1131" s="125">
        <v>50.454999999999998</v>
      </c>
      <c r="U1131" s="127">
        <v>11910</v>
      </c>
      <c r="V1131" s="125">
        <v>50.651000000000003</v>
      </c>
      <c r="W1131" s="127">
        <v>11920</v>
      </c>
      <c r="X1131" s="125">
        <v>49.826999999999998</v>
      </c>
      <c r="Y1131" s="127">
        <v>11920</v>
      </c>
      <c r="Z1131" s="125">
        <v>48.712000000000003</v>
      </c>
      <c r="AA1131" s="127">
        <v>11920</v>
      </c>
      <c r="AB1131" s="125">
        <v>49.307000000000002</v>
      </c>
      <c r="AC1131" s="127">
        <v>11910</v>
      </c>
      <c r="AD1131" s="125">
        <v>31.96</v>
      </c>
      <c r="AE1131" s="127">
        <v>11920</v>
      </c>
      <c r="AF1131" s="125">
        <v>33.207000000000001</v>
      </c>
      <c r="AG1131" s="127">
        <v>11900</v>
      </c>
      <c r="AH1131" s="125">
        <v>6.6360000000000001</v>
      </c>
      <c r="AI1131" s="127">
        <v>11900</v>
      </c>
      <c r="AJ1131" s="125">
        <v>7.2149999999999999</v>
      </c>
    </row>
    <row r="1132" spans="1:36" ht="14.25">
      <c r="A1132" s="128">
        <v>11930</v>
      </c>
      <c r="B1132" s="125">
        <v>13.532999999999999</v>
      </c>
      <c r="C1132" s="128">
        <v>11940</v>
      </c>
      <c r="D1132" s="125">
        <v>13.199</v>
      </c>
      <c r="E1132" s="126">
        <v>11930</v>
      </c>
      <c r="F1132" s="125">
        <v>44.01</v>
      </c>
      <c r="G1132" s="127">
        <v>11930</v>
      </c>
      <c r="H1132" s="125">
        <v>44.161999999999999</v>
      </c>
      <c r="I1132" s="127">
        <v>11930</v>
      </c>
      <c r="J1132" s="125">
        <v>48.567999999999998</v>
      </c>
      <c r="K1132" s="127">
        <v>11930</v>
      </c>
      <c r="L1132" s="125">
        <v>47.18</v>
      </c>
      <c r="M1132" s="127">
        <v>11930</v>
      </c>
      <c r="N1132" s="125">
        <v>48</v>
      </c>
      <c r="O1132" s="127">
        <v>11910</v>
      </c>
      <c r="P1132" s="125">
        <v>48.978000000000002</v>
      </c>
      <c r="Q1132" s="127">
        <v>11930</v>
      </c>
      <c r="R1132" s="125">
        <v>48.723999999999997</v>
      </c>
      <c r="S1132" s="127">
        <v>11930</v>
      </c>
      <c r="T1132" s="125">
        <v>49.243000000000002</v>
      </c>
      <c r="U1132" s="127">
        <v>11920</v>
      </c>
      <c r="V1132" s="125">
        <v>49.44</v>
      </c>
      <c r="W1132" s="127">
        <v>11930</v>
      </c>
      <c r="X1132" s="125">
        <v>48.616</v>
      </c>
      <c r="Y1132" s="127">
        <v>11930</v>
      </c>
      <c r="Z1132" s="125">
        <v>47.517000000000003</v>
      </c>
      <c r="AA1132" s="127">
        <v>11930</v>
      </c>
      <c r="AB1132" s="125">
        <v>48.113999999999997</v>
      </c>
      <c r="AC1132" s="127">
        <v>11920</v>
      </c>
      <c r="AD1132" s="125">
        <v>31.141999999999999</v>
      </c>
      <c r="AE1132" s="127">
        <v>11930</v>
      </c>
      <c r="AF1132" s="125">
        <v>32.387</v>
      </c>
      <c r="AG1132" s="127">
        <v>11910</v>
      </c>
      <c r="AH1132" s="125">
        <v>6.468</v>
      </c>
      <c r="AI1132" s="127">
        <v>11910</v>
      </c>
      <c r="AJ1132" s="125">
        <v>7.032</v>
      </c>
    </row>
    <row r="1133" spans="1:36" ht="14.25">
      <c r="A1133" s="128">
        <v>11940</v>
      </c>
      <c r="B1133" s="125">
        <v>13.17</v>
      </c>
      <c r="C1133" s="128">
        <v>11950</v>
      </c>
      <c r="D1133" s="125">
        <v>12.84</v>
      </c>
      <c r="E1133" s="126">
        <v>11940</v>
      </c>
      <c r="F1133" s="125">
        <v>42.889000000000003</v>
      </c>
      <c r="G1133" s="127">
        <v>11940</v>
      </c>
      <c r="H1133" s="125">
        <v>43.04</v>
      </c>
      <c r="I1133" s="127">
        <v>11940</v>
      </c>
      <c r="J1133" s="125">
        <v>47.371000000000002</v>
      </c>
      <c r="K1133" s="127">
        <v>11940</v>
      </c>
      <c r="L1133" s="125">
        <v>45.981000000000002</v>
      </c>
      <c r="M1133" s="127">
        <v>11940</v>
      </c>
      <c r="N1133" s="125">
        <v>46.789000000000001</v>
      </c>
      <c r="O1133" s="127">
        <v>11920</v>
      </c>
      <c r="P1133" s="125">
        <v>47.767000000000003</v>
      </c>
      <c r="Q1133" s="127">
        <v>11940</v>
      </c>
      <c r="R1133" s="125">
        <v>47.512999999999998</v>
      </c>
      <c r="S1133" s="127">
        <v>11940</v>
      </c>
      <c r="T1133" s="125">
        <v>48.030999999999999</v>
      </c>
      <c r="U1133" s="127">
        <v>11930</v>
      </c>
      <c r="V1133" s="125">
        <v>48.228999999999999</v>
      </c>
      <c r="W1133" s="127">
        <v>11940</v>
      </c>
      <c r="X1133" s="125">
        <v>47.404000000000003</v>
      </c>
      <c r="Y1133" s="127">
        <v>11940</v>
      </c>
      <c r="Z1133" s="125">
        <v>46.322000000000003</v>
      </c>
      <c r="AA1133" s="127">
        <v>11940</v>
      </c>
      <c r="AB1133" s="125">
        <v>46.920999999999999</v>
      </c>
      <c r="AC1133" s="127">
        <v>11930</v>
      </c>
      <c r="AD1133" s="125">
        <v>30.326000000000001</v>
      </c>
      <c r="AE1133" s="127">
        <v>11940</v>
      </c>
      <c r="AF1133" s="125">
        <v>31.568999999999999</v>
      </c>
      <c r="AG1133" s="127">
        <v>11920</v>
      </c>
      <c r="AH1133" s="125">
        <v>6.2990000000000004</v>
      </c>
      <c r="AI1133" s="127">
        <v>11920</v>
      </c>
      <c r="AJ1133" s="125">
        <v>6.85</v>
      </c>
    </row>
    <row r="1134" spans="1:36" ht="14.25">
      <c r="A1134" s="128">
        <v>11950</v>
      </c>
      <c r="B1134" s="125">
        <v>12.808</v>
      </c>
      <c r="C1134" s="128">
        <v>11960</v>
      </c>
      <c r="D1134" s="125">
        <v>12.481999999999999</v>
      </c>
      <c r="E1134" s="126">
        <v>11950</v>
      </c>
      <c r="F1134" s="125">
        <v>41.768999999999998</v>
      </c>
      <c r="G1134" s="127">
        <v>11950</v>
      </c>
      <c r="H1134" s="125">
        <v>41.92</v>
      </c>
      <c r="I1134" s="127">
        <v>11950</v>
      </c>
      <c r="J1134" s="125">
        <v>46.173000000000002</v>
      </c>
      <c r="K1134" s="127">
        <v>11950</v>
      </c>
      <c r="L1134" s="125">
        <v>44.783000000000001</v>
      </c>
      <c r="M1134" s="127">
        <v>11950</v>
      </c>
      <c r="N1134" s="125">
        <v>45.578000000000003</v>
      </c>
      <c r="O1134" s="127">
        <v>11930</v>
      </c>
      <c r="P1134" s="125">
        <v>46.555999999999997</v>
      </c>
      <c r="Q1134" s="127">
        <v>11950</v>
      </c>
      <c r="R1134" s="125">
        <v>46.302</v>
      </c>
      <c r="S1134" s="127">
        <v>11950</v>
      </c>
      <c r="T1134" s="125">
        <v>46.819000000000003</v>
      </c>
      <c r="U1134" s="127">
        <v>11940</v>
      </c>
      <c r="V1134" s="125">
        <v>47.018000000000001</v>
      </c>
      <c r="W1134" s="127">
        <v>11950</v>
      </c>
      <c r="X1134" s="125">
        <v>46.192999999999998</v>
      </c>
      <c r="Y1134" s="127">
        <v>11950</v>
      </c>
      <c r="Z1134" s="125">
        <v>45.128999999999998</v>
      </c>
      <c r="AA1134" s="127">
        <v>11950</v>
      </c>
      <c r="AB1134" s="125">
        <v>45.73</v>
      </c>
      <c r="AC1134" s="127">
        <v>11940</v>
      </c>
      <c r="AD1134" s="125">
        <v>29.510999999999999</v>
      </c>
      <c r="AE1134" s="127">
        <v>11950</v>
      </c>
      <c r="AF1134" s="125">
        <v>30.751999999999999</v>
      </c>
      <c r="AG1134" s="127">
        <v>11930</v>
      </c>
      <c r="AH1134" s="125">
        <v>6.1319999999999997</v>
      </c>
      <c r="AI1134" s="127">
        <v>11930</v>
      </c>
      <c r="AJ1134" s="125">
        <v>6.6680000000000001</v>
      </c>
    </row>
    <row r="1135" spans="1:36" ht="14.25">
      <c r="A1135" s="128">
        <v>11960</v>
      </c>
      <c r="B1135" s="125">
        <v>12.448</v>
      </c>
      <c r="C1135" s="128">
        <v>11970</v>
      </c>
      <c r="D1135" s="125">
        <v>12.125</v>
      </c>
      <c r="E1135" s="126">
        <v>11960</v>
      </c>
      <c r="F1135" s="125">
        <v>40.651000000000003</v>
      </c>
      <c r="G1135" s="127">
        <v>11960</v>
      </c>
      <c r="H1135" s="125">
        <v>40.801000000000002</v>
      </c>
      <c r="I1135" s="127">
        <v>11960</v>
      </c>
      <c r="J1135" s="125">
        <v>44.975999999999999</v>
      </c>
      <c r="K1135" s="127">
        <v>11960</v>
      </c>
      <c r="L1135" s="125">
        <v>43.585000000000001</v>
      </c>
      <c r="M1135" s="127">
        <v>11960</v>
      </c>
      <c r="N1135" s="125">
        <v>44.366</v>
      </c>
      <c r="O1135" s="127">
        <v>11940</v>
      </c>
      <c r="P1135" s="125">
        <v>45.344000000000001</v>
      </c>
      <c r="Q1135" s="127">
        <v>11960</v>
      </c>
      <c r="R1135" s="125">
        <v>45.091000000000001</v>
      </c>
      <c r="S1135" s="127">
        <v>11960</v>
      </c>
      <c r="T1135" s="125">
        <v>45.606999999999999</v>
      </c>
      <c r="U1135" s="127">
        <v>11950</v>
      </c>
      <c r="V1135" s="125">
        <v>45.808</v>
      </c>
      <c r="W1135" s="127">
        <v>11960</v>
      </c>
      <c r="X1135" s="125">
        <v>44.981999999999999</v>
      </c>
      <c r="Y1135" s="127">
        <v>11960</v>
      </c>
      <c r="Z1135" s="125">
        <v>43.935000000000002</v>
      </c>
      <c r="AA1135" s="127">
        <v>11960</v>
      </c>
      <c r="AB1135" s="125">
        <v>44.539000000000001</v>
      </c>
      <c r="AC1135" s="127">
        <v>11950</v>
      </c>
      <c r="AD1135" s="125">
        <v>28.698</v>
      </c>
      <c r="AE1135" s="127">
        <v>11960</v>
      </c>
      <c r="AF1135" s="125">
        <v>29.936</v>
      </c>
      <c r="AG1135" s="127">
        <v>11940</v>
      </c>
      <c r="AH1135" s="125">
        <v>5.9640000000000004</v>
      </c>
      <c r="AI1135" s="127">
        <v>11940</v>
      </c>
      <c r="AJ1135" s="125">
        <v>6.4859999999999998</v>
      </c>
    </row>
    <row r="1136" spans="1:36" ht="14.25">
      <c r="A1136" s="128">
        <v>11970</v>
      </c>
      <c r="B1136" s="124">
        <v>12.334</v>
      </c>
      <c r="C1136" s="128">
        <v>11980</v>
      </c>
      <c r="D1136" s="125">
        <v>11.769</v>
      </c>
      <c r="E1136" s="126">
        <v>11970</v>
      </c>
      <c r="F1136" s="125">
        <v>39.534999999999997</v>
      </c>
      <c r="G1136" s="127">
        <v>11970</v>
      </c>
      <c r="H1136" s="125">
        <v>39.683999999999997</v>
      </c>
      <c r="I1136" s="127">
        <v>11970</v>
      </c>
      <c r="J1136" s="125">
        <v>43.78</v>
      </c>
      <c r="K1136" s="127">
        <v>11970</v>
      </c>
      <c r="L1136" s="125">
        <v>42.387999999999998</v>
      </c>
      <c r="M1136" s="127">
        <v>11970</v>
      </c>
      <c r="N1136" s="125">
        <v>43.155000000000001</v>
      </c>
      <c r="O1136" s="127">
        <v>11950</v>
      </c>
      <c r="P1136" s="125">
        <v>44.133000000000003</v>
      </c>
      <c r="Q1136" s="127">
        <v>11970</v>
      </c>
      <c r="R1136" s="125">
        <v>43.88</v>
      </c>
      <c r="S1136" s="127">
        <v>11970</v>
      </c>
      <c r="T1136" s="125">
        <v>44.395000000000003</v>
      </c>
      <c r="U1136" s="127">
        <v>11960</v>
      </c>
      <c r="V1136" s="125">
        <v>44.597000000000001</v>
      </c>
      <c r="W1136" s="127">
        <v>11970</v>
      </c>
      <c r="X1136" s="125">
        <v>43.77</v>
      </c>
      <c r="Y1136" s="127">
        <v>11970</v>
      </c>
      <c r="Z1136" s="125">
        <v>42.743000000000002</v>
      </c>
      <c r="AA1136" s="127">
        <v>11970</v>
      </c>
      <c r="AB1136" s="125">
        <v>43.347999999999999</v>
      </c>
      <c r="AC1136" s="127">
        <v>11960</v>
      </c>
      <c r="AD1136" s="125">
        <v>27.885999999999999</v>
      </c>
      <c r="AE1136" s="127">
        <v>11970</v>
      </c>
      <c r="AF1136" s="125">
        <v>29.122</v>
      </c>
      <c r="AG1136" s="127">
        <v>11950</v>
      </c>
      <c r="AH1136" s="125">
        <v>5.7969999999999997</v>
      </c>
      <c r="AI1136" s="127">
        <v>11950</v>
      </c>
      <c r="AJ1136" s="125">
        <v>6.3049999999999997</v>
      </c>
    </row>
    <row r="1137" spans="1:36" ht="14.25">
      <c r="A1137" s="128">
        <v>11980</v>
      </c>
      <c r="B1137" s="125">
        <v>11.73</v>
      </c>
      <c r="C1137" s="128">
        <v>11990</v>
      </c>
      <c r="D1137" s="125">
        <v>11.414999999999999</v>
      </c>
      <c r="E1137" s="126">
        <v>11980</v>
      </c>
      <c r="F1137" s="125">
        <v>38.42</v>
      </c>
      <c r="G1137" s="127">
        <v>11980</v>
      </c>
      <c r="H1137" s="125">
        <v>38.567999999999998</v>
      </c>
      <c r="I1137" s="127">
        <v>11980</v>
      </c>
      <c r="J1137" s="125">
        <v>42.584000000000003</v>
      </c>
      <c r="K1137" s="127">
        <v>11980</v>
      </c>
      <c r="L1137" s="125">
        <v>41.19</v>
      </c>
      <c r="M1137" s="127">
        <v>11980</v>
      </c>
      <c r="N1137" s="125">
        <v>41.944000000000003</v>
      </c>
      <c r="O1137" s="127">
        <v>11960</v>
      </c>
      <c r="P1137" s="125">
        <v>42.920999999999999</v>
      </c>
      <c r="Q1137" s="127">
        <v>11980</v>
      </c>
      <c r="R1137" s="125">
        <v>42.668999999999997</v>
      </c>
      <c r="S1137" s="127">
        <v>11980</v>
      </c>
      <c r="T1137" s="125">
        <v>43.183999999999997</v>
      </c>
      <c r="U1137" s="127">
        <v>11970</v>
      </c>
      <c r="V1137" s="125">
        <v>43.386000000000003</v>
      </c>
      <c r="W1137" s="127">
        <v>11980</v>
      </c>
      <c r="X1137" s="125">
        <v>42.558999999999997</v>
      </c>
      <c r="Y1137" s="127">
        <v>11980</v>
      </c>
      <c r="Z1137" s="125">
        <v>41.551000000000002</v>
      </c>
      <c r="AA1137" s="127">
        <v>11980</v>
      </c>
      <c r="AB1137" s="125">
        <v>42.158999999999999</v>
      </c>
      <c r="AC1137" s="127">
        <v>11970</v>
      </c>
      <c r="AD1137" s="125">
        <v>27.076000000000001</v>
      </c>
      <c r="AE1137" s="127">
        <v>11980</v>
      </c>
      <c r="AF1137" s="125">
        <v>28.309000000000001</v>
      </c>
      <c r="AG1137" s="127">
        <v>11960</v>
      </c>
      <c r="AH1137" s="125">
        <v>5.6310000000000002</v>
      </c>
      <c r="AI1137" s="127">
        <v>11960</v>
      </c>
      <c r="AJ1137" s="125">
        <v>6.125</v>
      </c>
    </row>
    <row r="1138" spans="1:36" ht="14.25">
      <c r="A1138" s="128">
        <v>11990</v>
      </c>
      <c r="B1138" s="125">
        <v>11.374000000000001</v>
      </c>
      <c r="C1138" s="128">
        <v>12000</v>
      </c>
      <c r="D1138" s="125">
        <v>11.061999999999999</v>
      </c>
      <c r="E1138" s="126">
        <v>11990</v>
      </c>
      <c r="F1138" s="125">
        <v>37.307000000000002</v>
      </c>
      <c r="G1138" s="127">
        <v>11990</v>
      </c>
      <c r="H1138" s="125">
        <v>37.454000000000001</v>
      </c>
      <c r="I1138" s="127">
        <v>11990</v>
      </c>
      <c r="J1138" s="125">
        <v>41.387999999999998</v>
      </c>
      <c r="K1138" s="127">
        <v>11990</v>
      </c>
      <c r="L1138" s="125">
        <v>39.994</v>
      </c>
      <c r="M1138" s="127">
        <v>11990</v>
      </c>
      <c r="N1138" s="125">
        <v>40.732999999999997</v>
      </c>
      <c r="O1138" s="127">
        <v>11970</v>
      </c>
      <c r="P1138" s="125">
        <v>41.71</v>
      </c>
      <c r="Q1138" s="127">
        <v>11990</v>
      </c>
      <c r="R1138" s="125">
        <v>41.457999999999998</v>
      </c>
      <c r="S1138" s="127">
        <v>11990</v>
      </c>
      <c r="T1138" s="125">
        <v>41.972000000000001</v>
      </c>
      <c r="U1138" s="127">
        <v>11980</v>
      </c>
      <c r="V1138" s="125">
        <v>42.176000000000002</v>
      </c>
      <c r="W1138" s="127">
        <v>11990</v>
      </c>
      <c r="X1138" s="125">
        <v>41.347999999999999</v>
      </c>
      <c r="Y1138" s="127">
        <v>11990</v>
      </c>
      <c r="Z1138" s="125">
        <v>40.359000000000002</v>
      </c>
      <c r="AA1138" s="127">
        <v>11990</v>
      </c>
      <c r="AB1138" s="125">
        <v>40.969000000000001</v>
      </c>
      <c r="AC1138" s="127">
        <v>11980</v>
      </c>
      <c r="AD1138" s="125">
        <v>26.266999999999999</v>
      </c>
      <c r="AE1138" s="127">
        <v>11990</v>
      </c>
      <c r="AF1138" s="125">
        <v>27.498000000000001</v>
      </c>
      <c r="AG1138" s="127">
        <v>11970</v>
      </c>
      <c r="AH1138" s="125">
        <v>5.4640000000000004</v>
      </c>
      <c r="AI1138" s="127">
        <v>11970</v>
      </c>
      <c r="AJ1138" s="125">
        <v>5.944</v>
      </c>
    </row>
    <row r="1139" spans="1:36" ht="14.25">
      <c r="A1139" s="128">
        <v>12000</v>
      </c>
      <c r="B1139" s="125">
        <v>11.018000000000001</v>
      </c>
      <c r="C1139" s="128">
        <v>12010</v>
      </c>
      <c r="D1139" s="125">
        <v>10.711</v>
      </c>
      <c r="E1139" s="126">
        <v>12000</v>
      </c>
      <c r="F1139" s="125">
        <v>36.195</v>
      </c>
      <c r="G1139" s="127">
        <v>12000</v>
      </c>
      <c r="H1139" s="125">
        <v>36.341999999999999</v>
      </c>
      <c r="I1139" s="127">
        <v>12000</v>
      </c>
      <c r="J1139" s="125">
        <v>40.192999999999998</v>
      </c>
      <c r="K1139" s="127">
        <v>12000</v>
      </c>
      <c r="L1139" s="125">
        <v>38.798000000000002</v>
      </c>
      <c r="M1139" s="127">
        <v>12000</v>
      </c>
      <c r="N1139" s="125">
        <v>39.521999999999998</v>
      </c>
      <c r="O1139" s="127">
        <v>11980</v>
      </c>
      <c r="P1139" s="125">
        <v>40.499000000000002</v>
      </c>
      <c r="Q1139" s="127">
        <v>12000</v>
      </c>
      <c r="R1139" s="125">
        <v>40.247</v>
      </c>
      <c r="S1139" s="127">
        <v>12000</v>
      </c>
      <c r="T1139" s="125">
        <v>40.76</v>
      </c>
      <c r="U1139" s="127">
        <v>11990</v>
      </c>
      <c r="V1139" s="125">
        <v>40.965000000000003</v>
      </c>
      <c r="W1139" s="127">
        <v>12000</v>
      </c>
      <c r="X1139" s="125">
        <v>40.137</v>
      </c>
      <c r="Y1139" s="127">
        <v>12000</v>
      </c>
      <c r="Z1139" s="125">
        <v>39.168999999999997</v>
      </c>
      <c r="AA1139" s="127">
        <v>12000</v>
      </c>
      <c r="AB1139" s="125">
        <v>39.780999999999999</v>
      </c>
      <c r="AC1139" s="127">
        <v>11990</v>
      </c>
      <c r="AD1139" s="125">
        <v>25.459</v>
      </c>
      <c r="AE1139" s="127">
        <v>12000</v>
      </c>
      <c r="AF1139" s="125">
        <v>26.687000000000001</v>
      </c>
      <c r="AG1139" s="127">
        <v>11980</v>
      </c>
      <c r="AH1139" s="125">
        <v>5.2990000000000004</v>
      </c>
      <c r="AI1139" s="127">
        <v>11980</v>
      </c>
      <c r="AJ1139" s="125">
        <v>5.7640000000000002</v>
      </c>
    </row>
    <row r="1140" spans="1:36" ht="14.25">
      <c r="A1140" s="128">
        <v>12010</v>
      </c>
      <c r="B1140" s="125">
        <v>10.664</v>
      </c>
      <c r="C1140" s="128">
        <v>12020</v>
      </c>
      <c r="D1140" s="125">
        <v>10.36</v>
      </c>
      <c r="E1140" s="126">
        <v>12010</v>
      </c>
      <c r="F1140" s="125">
        <v>35.085999999999999</v>
      </c>
      <c r="G1140" s="127">
        <v>12010</v>
      </c>
      <c r="H1140" s="125">
        <v>35.231999999999999</v>
      </c>
      <c r="I1140" s="127">
        <v>12010</v>
      </c>
      <c r="J1140" s="125">
        <v>38.997999999999998</v>
      </c>
      <c r="K1140" s="127">
        <v>12010</v>
      </c>
      <c r="L1140" s="125">
        <v>37.601999999999997</v>
      </c>
      <c r="M1140" s="127">
        <v>12010</v>
      </c>
      <c r="N1140" s="125">
        <v>38.311</v>
      </c>
      <c r="O1140" s="127">
        <v>11990</v>
      </c>
      <c r="P1140" s="125">
        <v>39.286999999999999</v>
      </c>
      <c r="Q1140" s="127">
        <v>12010</v>
      </c>
      <c r="R1140" s="125">
        <v>39.036000000000001</v>
      </c>
      <c r="S1140" s="127">
        <v>12010</v>
      </c>
      <c r="T1140" s="125">
        <v>39.548000000000002</v>
      </c>
      <c r="U1140" s="127">
        <v>12000</v>
      </c>
      <c r="V1140" s="125">
        <v>39.753999999999998</v>
      </c>
      <c r="W1140" s="127">
        <v>12010</v>
      </c>
      <c r="X1140" s="125">
        <v>38.924999999999997</v>
      </c>
      <c r="Y1140" s="127">
        <v>12010</v>
      </c>
      <c r="Z1140" s="125">
        <v>37.978000000000002</v>
      </c>
      <c r="AA1140" s="127">
        <v>12010</v>
      </c>
      <c r="AB1140" s="125">
        <v>38.593000000000004</v>
      </c>
      <c r="AC1140" s="127">
        <v>12000</v>
      </c>
      <c r="AD1140" s="125">
        <v>24.652999999999999</v>
      </c>
      <c r="AE1140" s="127">
        <v>12010</v>
      </c>
      <c r="AF1140" s="125">
        <v>25.879000000000001</v>
      </c>
      <c r="AG1140" s="127">
        <v>11990</v>
      </c>
      <c r="AH1140" s="125">
        <v>5.133</v>
      </c>
      <c r="AI1140" s="127">
        <v>11990</v>
      </c>
      <c r="AJ1140" s="125">
        <v>5.585</v>
      </c>
    </row>
    <row r="1141" spans="1:36" ht="14.25">
      <c r="A1141" s="128">
        <v>12020</v>
      </c>
      <c r="B1141" s="125">
        <v>10.311</v>
      </c>
      <c r="C1141" s="128">
        <v>12030</v>
      </c>
      <c r="D1141" s="125">
        <v>10.010999999999999</v>
      </c>
      <c r="E1141" s="126">
        <v>12020</v>
      </c>
      <c r="F1141" s="125">
        <v>33.978000000000002</v>
      </c>
      <c r="G1141" s="127">
        <v>12020</v>
      </c>
      <c r="H1141" s="125">
        <v>34.122999999999998</v>
      </c>
      <c r="I1141" s="127">
        <v>12020</v>
      </c>
      <c r="J1141" s="125">
        <v>37.802999999999997</v>
      </c>
      <c r="K1141" s="127">
        <v>12020</v>
      </c>
      <c r="L1141" s="125">
        <v>36.405999999999999</v>
      </c>
      <c r="M1141" s="127">
        <v>12020</v>
      </c>
      <c r="N1141" s="125">
        <v>37.1</v>
      </c>
      <c r="O1141" s="127">
        <v>12000</v>
      </c>
      <c r="P1141" s="125">
        <v>38.076000000000001</v>
      </c>
      <c r="Q1141" s="127">
        <v>12020</v>
      </c>
      <c r="R1141" s="125">
        <v>37.825000000000003</v>
      </c>
      <c r="S1141" s="127">
        <v>12020</v>
      </c>
      <c r="T1141" s="125">
        <v>38.335999999999999</v>
      </c>
      <c r="U1141" s="127">
        <v>12010</v>
      </c>
      <c r="V1141" s="125">
        <v>38.542999999999999</v>
      </c>
      <c r="W1141" s="127">
        <v>12020</v>
      </c>
      <c r="X1141" s="125">
        <v>37.713999999999999</v>
      </c>
      <c r="Y1141" s="127">
        <v>12020</v>
      </c>
      <c r="Z1141" s="125">
        <v>36.789000000000001</v>
      </c>
      <c r="AA1141" s="127">
        <v>12020</v>
      </c>
      <c r="AB1141" s="125">
        <v>37.405999999999999</v>
      </c>
      <c r="AC1141" s="127">
        <v>12010</v>
      </c>
      <c r="AD1141" s="125">
        <v>23.847999999999999</v>
      </c>
      <c r="AE1141" s="127">
        <v>12020</v>
      </c>
      <c r="AF1141" s="125">
        <v>25.071999999999999</v>
      </c>
      <c r="AG1141" s="127">
        <v>12000</v>
      </c>
      <c r="AH1141" s="125">
        <v>4.968</v>
      </c>
      <c r="AI1141" s="127">
        <v>12000</v>
      </c>
      <c r="AJ1141" s="125">
        <v>5.4059999999999997</v>
      </c>
    </row>
    <row r="1142" spans="1:36" ht="14.25">
      <c r="A1142" s="128">
        <v>12030</v>
      </c>
      <c r="B1142" s="125">
        <v>9.9600000000000009</v>
      </c>
      <c r="C1142" s="128">
        <v>12040</v>
      </c>
      <c r="D1142" s="125">
        <v>9.6630000000000003</v>
      </c>
      <c r="E1142" s="126">
        <v>12030</v>
      </c>
      <c r="F1142" s="125">
        <v>32.871000000000002</v>
      </c>
      <c r="G1142" s="127">
        <v>12030</v>
      </c>
      <c r="H1142" s="125">
        <v>33.015000000000001</v>
      </c>
      <c r="I1142" s="127">
        <v>12030</v>
      </c>
      <c r="J1142" s="125">
        <v>36.609000000000002</v>
      </c>
      <c r="K1142" s="127">
        <v>12030</v>
      </c>
      <c r="L1142" s="125">
        <v>35.210999999999999</v>
      </c>
      <c r="M1142" s="127">
        <v>12030</v>
      </c>
      <c r="N1142" s="125">
        <v>35.887999999999998</v>
      </c>
      <c r="O1142" s="127">
        <v>12010</v>
      </c>
      <c r="P1142" s="125">
        <v>36.865000000000002</v>
      </c>
      <c r="Q1142" s="127">
        <v>12030</v>
      </c>
      <c r="R1142" s="125">
        <v>36.613</v>
      </c>
      <c r="S1142" s="127">
        <v>12030</v>
      </c>
      <c r="T1142" s="125">
        <v>37.124000000000002</v>
      </c>
      <c r="U1142" s="127">
        <v>12020</v>
      </c>
      <c r="V1142" s="125">
        <v>37.332000000000001</v>
      </c>
      <c r="W1142" s="127">
        <v>12030</v>
      </c>
      <c r="X1142" s="125">
        <v>36.502000000000002</v>
      </c>
      <c r="Y1142" s="127">
        <v>12030</v>
      </c>
      <c r="Z1142" s="125">
        <v>35.6</v>
      </c>
      <c r="AA1142" s="127">
        <v>12030</v>
      </c>
      <c r="AB1142" s="125">
        <v>36.219000000000001</v>
      </c>
      <c r="AC1142" s="127">
        <v>12020</v>
      </c>
      <c r="AD1142" s="125">
        <v>23.044</v>
      </c>
      <c r="AE1142" s="127">
        <v>12030</v>
      </c>
      <c r="AF1142" s="125">
        <v>24.265999999999998</v>
      </c>
      <c r="AG1142" s="127">
        <v>12010</v>
      </c>
      <c r="AH1142" s="125">
        <v>4.8040000000000003</v>
      </c>
      <c r="AI1142" s="127">
        <v>12010</v>
      </c>
      <c r="AJ1142" s="125">
        <v>5.2270000000000003</v>
      </c>
    </row>
    <row r="1143" spans="1:36" ht="14.25">
      <c r="A1143" s="128">
        <v>12040</v>
      </c>
      <c r="B1143" s="125">
        <v>9.609</v>
      </c>
      <c r="C1143" s="128">
        <v>12050</v>
      </c>
      <c r="D1143" s="125">
        <v>9.3170000000000002</v>
      </c>
      <c r="E1143" s="126">
        <v>12040</v>
      </c>
      <c r="F1143" s="125">
        <v>31.765999999999998</v>
      </c>
      <c r="G1143" s="127">
        <v>12040</v>
      </c>
      <c r="H1143" s="125">
        <v>31.908999999999999</v>
      </c>
      <c r="I1143" s="127">
        <v>12040</v>
      </c>
      <c r="J1143" s="125">
        <v>35.414999999999999</v>
      </c>
      <c r="K1143" s="127">
        <v>12040</v>
      </c>
      <c r="L1143" s="125">
        <v>34.015999999999998</v>
      </c>
      <c r="M1143" s="127">
        <v>12040</v>
      </c>
      <c r="N1143" s="125">
        <v>34.677</v>
      </c>
      <c r="O1143" s="127">
        <v>12020</v>
      </c>
      <c r="P1143" s="125">
        <v>35.652999999999999</v>
      </c>
      <c r="Q1143" s="127">
        <v>12040</v>
      </c>
      <c r="R1143" s="125">
        <v>35.402000000000001</v>
      </c>
      <c r="S1143" s="127">
        <v>12040</v>
      </c>
      <c r="T1143" s="125">
        <v>35.911999999999999</v>
      </c>
      <c r="U1143" s="127">
        <v>12030</v>
      </c>
      <c r="V1143" s="125">
        <v>36.122</v>
      </c>
      <c r="W1143" s="127">
        <v>12040</v>
      </c>
      <c r="X1143" s="125">
        <v>35.290999999999997</v>
      </c>
      <c r="Y1143" s="127">
        <v>12040</v>
      </c>
      <c r="Z1143" s="125">
        <v>34.411999999999999</v>
      </c>
      <c r="AA1143" s="127">
        <v>12040</v>
      </c>
      <c r="AB1143" s="125">
        <v>35.033000000000001</v>
      </c>
      <c r="AC1143" s="127">
        <v>12030</v>
      </c>
      <c r="AD1143" s="125">
        <v>22.242000000000001</v>
      </c>
      <c r="AE1143" s="127">
        <v>12040</v>
      </c>
      <c r="AF1143" s="125">
        <v>23.460999999999999</v>
      </c>
      <c r="AG1143" s="127">
        <v>12020</v>
      </c>
      <c r="AH1143" s="125">
        <v>4.6390000000000002</v>
      </c>
      <c r="AI1143" s="127">
        <v>12020</v>
      </c>
      <c r="AJ1143" s="125">
        <v>5.0490000000000004</v>
      </c>
    </row>
    <row r="1144" spans="1:36" ht="14.25">
      <c r="A1144" s="128">
        <v>12050</v>
      </c>
      <c r="B1144" s="125">
        <v>9.26</v>
      </c>
      <c r="C1144" s="128">
        <v>12060</v>
      </c>
      <c r="D1144" s="125">
        <v>8.9710000000000001</v>
      </c>
      <c r="E1144" s="126">
        <v>12050</v>
      </c>
      <c r="F1144" s="125">
        <v>30.663</v>
      </c>
      <c r="G1144" s="127">
        <v>12050</v>
      </c>
      <c r="H1144" s="125">
        <v>30.805</v>
      </c>
      <c r="I1144" s="127">
        <v>12050</v>
      </c>
      <c r="J1144" s="125">
        <v>34.220999999999997</v>
      </c>
      <c r="K1144" s="127">
        <v>12050</v>
      </c>
      <c r="L1144" s="125">
        <v>32.822000000000003</v>
      </c>
      <c r="M1144" s="127">
        <v>12050</v>
      </c>
      <c r="N1144" s="125">
        <v>33.466000000000001</v>
      </c>
      <c r="O1144" s="127">
        <v>12030</v>
      </c>
      <c r="P1144" s="125">
        <v>34.441000000000003</v>
      </c>
      <c r="Q1144" s="127">
        <v>12050</v>
      </c>
      <c r="R1144" s="125">
        <v>34.191000000000003</v>
      </c>
      <c r="S1144" s="127">
        <v>12050</v>
      </c>
      <c r="T1144" s="125">
        <v>34.700000000000003</v>
      </c>
      <c r="U1144" s="127">
        <v>12040</v>
      </c>
      <c r="V1144" s="125">
        <v>34.911000000000001</v>
      </c>
      <c r="W1144" s="127">
        <v>12050</v>
      </c>
      <c r="X1144" s="125">
        <v>34.079000000000001</v>
      </c>
      <c r="Y1144" s="127">
        <v>12050</v>
      </c>
      <c r="Z1144" s="125">
        <v>33.223999999999997</v>
      </c>
      <c r="AA1144" s="127">
        <v>12050</v>
      </c>
      <c r="AB1144" s="125">
        <v>33.847999999999999</v>
      </c>
      <c r="AC1144" s="127">
        <v>12040</v>
      </c>
      <c r="AD1144" s="125">
        <v>21.440999999999999</v>
      </c>
      <c r="AE1144" s="127">
        <v>12050</v>
      </c>
      <c r="AF1144" s="125">
        <v>22.658000000000001</v>
      </c>
      <c r="AG1144" s="127">
        <v>12030</v>
      </c>
      <c r="AH1144" s="125">
        <v>4.4749999999999996</v>
      </c>
      <c r="AI1144" s="127">
        <v>12030</v>
      </c>
      <c r="AJ1144" s="125">
        <v>4.8710000000000004</v>
      </c>
    </row>
    <row r="1145" spans="1:36" ht="14.25">
      <c r="A1145" s="128">
        <v>12060</v>
      </c>
      <c r="B1145" s="125">
        <v>8.9120000000000008</v>
      </c>
      <c r="C1145" s="128">
        <v>12070</v>
      </c>
      <c r="D1145" s="125">
        <v>8.6270000000000007</v>
      </c>
      <c r="E1145" s="126">
        <v>12060</v>
      </c>
      <c r="F1145" s="125">
        <v>29.561</v>
      </c>
      <c r="G1145" s="127">
        <v>12060</v>
      </c>
      <c r="H1145" s="125">
        <v>29.702000000000002</v>
      </c>
      <c r="I1145" s="127">
        <v>12060</v>
      </c>
      <c r="J1145" s="125">
        <v>33.027999999999999</v>
      </c>
      <c r="K1145" s="127">
        <v>12060</v>
      </c>
      <c r="L1145" s="125">
        <v>31.628</v>
      </c>
      <c r="M1145" s="127">
        <v>12060</v>
      </c>
      <c r="N1145" s="125">
        <v>32.253999999999998</v>
      </c>
      <c r="O1145" s="127">
        <v>12040</v>
      </c>
      <c r="P1145" s="125">
        <v>33.229999999999997</v>
      </c>
      <c r="Q1145" s="127">
        <v>12060</v>
      </c>
      <c r="R1145" s="125">
        <v>32.979999999999997</v>
      </c>
      <c r="S1145" s="127">
        <v>12060</v>
      </c>
      <c r="T1145" s="125">
        <v>33.488</v>
      </c>
      <c r="U1145" s="127">
        <v>12050</v>
      </c>
      <c r="V1145" s="125">
        <v>33.700000000000003</v>
      </c>
      <c r="W1145" s="127">
        <v>12060</v>
      </c>
      <c r="X1145" s="125">
        <v>32.868000000000002</v>
      </c>
      <c r="Y1145" s="127">
        <v>12060</v>
      </c>
      <c r="Z1145" s="125">
        <v>32.036999999999999</v>
      </c>
      <c r="AA1145" s="127">
        <v>12060</v>
      </c>
      <c r="AB1145" s="125">
        <v>32.662999999999997</v>
      </c>
      <c r="AC1145" s="127">
        <v>12050</v>
      </c>
      <c r="AD1145" s="125">
        <v>20.641999999999999</v>
      </c>
      <c r="AE1145" s="127">
        <v>12060</v>
      </c>
      <c r="AF1145" s="125">
        <v>21.856000000000002</v>
      </c>
      <c r="AG1145" s="127">
        <v>12040</v>
      </c>
      <c r="AH1145" s="125">
        <v>4.3120000000000003</v>
      </c>
      <c r="AI1145" s="127">
        <v>12040</v>
      </c>
      <c r="AJ1145" s="125">
        <v>4.6929999999999996</v>
      </c>
    </row>
    <row r="1146" spans="1:36" ht="14.25">
      <c r="A1146" s="128">
        <v>12070</v>
      </c>
      <c r="B1146" s="125">
        <v>8.5649999999999995</v>
      </c>
      <c r="C1146" s="128">
        <v>12080</v>
      </c>
      <c r="D1146" s="125">
        <v>8.2840000000000007</v>
      </c>
      <c r="E1146" s="126">
        <v>12070</v>
      </c>
      <c r="F1146" s="125">
        <v>28.460999999999999</v>
      </c>
      <c r="G1146" s="127">
        <v>12070</v>
      </c>
      <c r="H1146" s="125">
        <v>28.600999999999999</v>
      </c>
      <c r="I1146" s="127">
        <v>12070</v>
      </c>
      <c r="J1146" s="125">
        <v>31.835000000000001</v>
      </c>
      <c r="K1146" s="127">
        <v>12070</v>
      </c>
      <c r="L1146" s="125">
        <v>30.434000000000001</v>
      </c>
      <c r="M1146" s="127">
        <v>12070</v>
      </c>
      <c r="N1146" s="125">
        <v>31.042999999999999</v>
      </c>
      <c r="O1146" s="127">
        <v>12050</v>
      </c>
      <c r="P1146" s="125">
        <v>32.018000000000001</v>
      </c>
      <c r="Q1146" s="127">
        <v>12070</v>
      </c>
      <c r="R1146" s="125">
        <v>31.768000000000001</v>
      </c>
      <c r="S1146" s="127">
        <v>12070</v>
      </c>
      <c r="T1146" s="125">
        <v>32.276000000000003</v>
      </c>
      <c r="U1146" s="127">
        <v>12060</v>
      </c>
      <c r="V1146" s="125">
        <v>32.488999999999997</v>
      </c>
      <c r="W1146" s="127">
        <v>12070</v>
      </c>
      <c r="X1146" s="125">
        <v>31.655999999999999</v>
      </c>
      <c r="Y1146" s="127">
        <v>12070</v>
      </c>
      <c r="Z1146" s="125">
        <v>30.85</v>
      </c>
      <c r="AA1146" s="127">
        <v>12070</v>
      </c>
      <c r="AB1146" s="125">
        <v>31.478999999999999</v>
      </c>
      <c r="AC1146" s="127">
        <v>12060</v>
      </c>
      <c r="AD1146" s="125">
        <v>19.844000000000001</v>
      </c>
      <c r="AE1146" s="127">
        <v>12070</v>
      </c>
      <c r="AF1146" s="125">
        <v>21.055</v>
      </c>
      <c r="AG1146" s="127">
        <v>12050</v>
      </c>
      <c r="AH1146" s="125">
        <v>4.1479999999999997</v>
      </c>
      <c r="AI1146" s="127">
        <v>12050</v>
      </c>
      <c r="AJ1146" s="125">
        <v>4.516</v>
      </c>
    </row>
    <row r="1147" spans="1:36" ht="14.25">
      <c r="A1147" s="128">
        <v>12080</v>
      </c>
      <c r="B1147" s="125">
        <v>8.2200000000000006</v>
      </c>
      <c r="C1147" s="128">
        <v>12090</v>
      </c>
      <c r="D1147" s="125">
        <v>7.9420000000000002</v>
      </c>
      <c r="E1147" s="126">
        <v>12080</v>
      </c>
      <c r="F1147" s="125">
        <v>27.363</v>
      </c>
      <c r="G1147" s="127">
        <v>12080</v>
      </c>
      <c r="H1147" s="125">
        <v>27.501999999999999</v>
      </c>
      <c r="I1147" s="127">
        <v>12080</v>
      </c>
      <c r="J1147" s="125">
        <v>30.643000000000001</v>
      </c>
      <c r="K1147" s="127">
        <v>12080</v>
      </c>
      <c r="L1147" s="125">
        <v>29.241</v>
      </c>
      <c r="M1147" s="127">
        <v>12080</v>
      </c>
      <c r="N1147" s="125">
        <v>29.832000000000001</v>
      </c>
      <c r="O1147" s="127">
        <v>12060</v>
      </c>
      <c r="P1147" s="125">
        <v>30.806999999999999</v>
      </c>
      <c r="Q1147" s="127">
        <v>12080</v>
      </c>
      <c r="R1147" s="125">
        <v>30.556999999999999</v>
      </c>
      <c r="S1147" s="127">
        <v>12080</v>
      </c>
      <c r="T1147" s="125">
        <v>31.062999999999999</v>
      </c>
      <c r="U1147" s="127">
        <v>12070</v>
      </c>
      <c r="V1147" s="125">
        <v>31.277999999999999</v>
      </c>
      <c r="W1147" s="127">
        <v>12080</v>
      </c>
      <c r="X1147" s="125">
        <v>30.445</v>
      </c>
      <c r="Y1147" s="127">
        <v>12080</v>
      </c>
      <c r="Z1147" s="125">
        <v>29.664999999999999</v>
      </c>
      <c r="AA1147" s="127">
        <v>12080</v>
      </c>
      <c r="AB1147" s="125">
        <v>30.295999999999999</v>
      </c>
      <c r="AC1147" s="127">
        <v>12070</v>
      </c>
      <c r="AD1147" s="125">
        <v>19.047000000000001</v>
      </c>
      <c r="AE1147" s="127">
        <v>12080</v>
      </c>
      <c r="AF1147" s="125">
        <v>20.256</v>
      </c>
      <c r="AG1147" s="127">
        <v>12060</v>
      </c>
      <c r="AH1147" s="125">
        <v>3.9860000000000002</v>
      </c>
      <c r="AI1147" s="127">
        <v>12060</v>
      </c>
      <c r="AJ1147" s="125">
        <v>4.3390000000000004</v>
      </c>
    </row>
    <row r="1148" spans="1:36" ht="14.25">
      <c r="A1148" s="128">
        <v>12090</v>
      </c>
      <c r="B1148" s="125">
        <v>7.8760000000000003</v>
      </c>
      <c r="C1148" s="128">
        <v>12100</v>
      </c>
      <c r="D1148" s="125">
        <v>7.6020000000000003</v>
      </c>
      <c r="E1148" s="126">
        <v>12090</v>
      </c>
      <c r="F1148" s="125">
        <v>26.265999999999998</v>
      </c>
      <c r="G1148" s="127">
        <v>12090</v>
      </c>
      <c r="H1148" s="125">
        <v>26.404</v>
      </c>
      <c r="I1148" s="127">
        <v>12090</v>
      </c>
      <c r="J1148" s="125">
        <v>29.451000000000001</v>
      </c>
      <c r="K1148" s="127">
        <v>12090</v>
      </c>
      <c r="L1148" s="125">
        <v>28.047999999999998</v>
      </c>
      <c r="M1148" s="127">
        <v>12090</v>
      </c>
      <c r="N1148" s="125">
        <v>28.62</v>
      </c>
      <c r="O1148" s="127">
        <v>12070</v>
      </c>
      <c r="P1148" s="125">
        <v>29.594999999999999</v>
      </c>
      <c r="Q1148" s="127">
        <v>12090</v>
      </c>
      <c r="R1148" s="125">
        <v>29.346</v>
      </c>
      <c r="S1148" s="127">
        <v>12090</v>
      </c>
      <c r="T1148" s="125">
        <v>29.850999999999999</v>
      </c>
      <c r="U1148" s="127">
        <v>12080</v>
      </c>
      <c r="V1148" s="125">
        <v>30.067</v>
      </c>
      <c r="W1148" s="127">
        <v>12090</v>
      </c>
      <c r="X1148" s="125">
        <v>29.233000000000001</v>
      </c>
      <c r="Y1148" s="127">
        <v>12090</v>
      </c>
      <c r="Z1148" s="125">
        <v>28.48</v>
      </c>
      <c r="AA1148" s="127">
        <v>12090</v>
      </c>
      <c r="AB1148" s="125">
        <v>29.113</v>
      </c>
      <c r="AC1148" s="127">
        <v>12080</v>
      </c>
      <c r="AD1148" s="125">
        <v>18.251999999999999</v>
      </c>
      <c r="AE1148" s="127">
        <v>12090</v>
      </c>
      <c r="AF1148" s="125">
        <v>19.457999999999998</v>
      </c>
      <c r="AG1148" s="127">
        <v>12070</v>
      </c>
      <c r="AH1148" s="125">
        <v>3.8239999999999998</v>
      </c>
      <c r="AI1148" s="127">
        <v>12070</v>
      </c>
      <c r="AJ1148" s="125">
        <v>4.1630000000000003</v>
      </c>
    </row>
    <row r="1149" spans="1:36" ht="14.25">
      <c r="A1149" s="128">
        <v>12100</v>
      </c>
      <c r="B1149" s="125">
        <v>7.5330000000000004</v>
      </c>
      <c r="C1149" s="128">
        <v>12110</v>
      </c>
      <c r="D1149" s="125">
        <v>7.2629999999999999</v>
      </c>
      <c r="E1149" s="126">
        <v>12100</v>
      </c>
      <c r="F1149" s="125">
        <v>25.170999999999999</v>
      </c>
      <c r="G1149" s="127">
        <v>12100</v>
      </c>
      <c r="H1149" s="125">
        <v>25.308</v>
      </c>
      <c r="I1149" s="127">
        <v>12100</v>
      </c>
      <c r="J1149" s="125">
        <v>28.259</v>
      </c>
      <c r="K1149" s="127">
        <v>12100</v>
      </c>
      <c r="L1149" s="125">
        <v>26.856000000000002</v>
      </c>
      <c r="M1149" s="127">
        <v>12100</v>
      </c>
      <c r="N1149" s="125">
        <v>27.408999999999999</v>
      </c>
      <c r="O1149" s="127">
        <v>12080</v>
      </c>
      <c r="P1149" s="125">
        <v>28.382999999999999</v>
      </c>
      <c r="Q1149" s="127">
        <v>12100</v>
      </c>
      <c r="R1149" s="125">
        <v>28.135000000000002</v>
      </c>
      <c r="S1149" s="127">
        <v>12100</v>
      </c>
      <c r="T1149" s="125">
        <v>28.638999999999999</v>
      </c>
      <c r="U1149" s="127">
        <v>12090</v>
      </c>
      <c r="V1149" s="125">
        <v>28.856000000000002</v>
      </c>
      <c r="W1149" s="127">
        <v>12100</v>
      </c>
      <c r="X1149" s="125">
        <v>28.021999999999998</v>
      </c>
      <c r="Y1149" s="127">
        <v>12100</v>
      </c>
      <c r="Z1149" s="125">
        <v>27.295999999999999</v>
      </c>
      <c r="AA1149" s="127">
        <v>12100</v>
      </c>
      <c r="AB1149" s="125">
        <v>27.931000000000001</v>
      </c>
      <c r="AC1149" s="127">
        <v>12090</v>
      </c>
      <c r="AD1149" s="125">
        <v>17.457999999999998</v>
      </c>
      <c r="AE1149" s="127">
        <v>12100</v>
      </c>
      <c r="AF1149" s="125">
        <v>18.661999999999999</v>
      </c>
      <c r="AG1149" s="127">
        <v>12080</v>
      </c>
      <c r="AH1149" s="125">
        <v>3.6619999999999999</v>
      </c>
      <c r="AI1149" s="127">
        <v>12080</v>
      </c>
      <c r="AJ1149" s="125">
        <v>3.9870000000000001</v>
      </c>
    </row>
    <row r="1150" spans="1:36" ht="14.25">
      <c r="A1150" s="128">
        <v>12110</v>
      </c>
      <c r="B1150" s="125">
        <v>7.1909999999999998</v>
      </c>
      <c r="C1150" s="128">
        <v>12120</v>
      </c>
      <c r="D1150" s="125">
        <v>6.9249999999999998</v>
      </c>
      <c r="E1150" s="126">
        <v>12110</v>
      </c>
      <c r="F1150" s="125">
        <v>24.077999999999999</v>
      </c>
      <c r="G1150" s="127">
        <v>12110</v>
      </c>
      <c r="H1150" s="125">
        <v>24.213999999999999</v>
      </c>
      <c r="I1150" s="127">
        <v>12110</v>
      </c>
      <c r="J1150" s="125">
        <v>27.068000000000001</v>
      </c>
      <c r="K1150" s="127">
        <v>12110</v>
      </c>
      <c r="L1150" s="125">
        <v>25.664000000000001</v>
      </c>
      <c r="M1150" s="127">
        <v>12110</v>
      </c>
      <c r="N1150" s="125">
        <v>26.198</v>
      </c>
      <c r="O1150" s="127">
        <v>12090</v>
      </c>
      <c r="P1150" s="125">
        <v>27.172000000000001</v>
      </c>
      <c r="Q1150" s="127">
        <v>12110</v>
      </c>
      <c r="R1150" s="125">
        <v>26.922999999999998</v>
      </c>
      <c r="S1150" s="127">
        <v>12110</v>
      </c>
      <c r="T1150" s="125">
        <v>27.427</v>
      </c>
      <c r="U1150" s="127">
        <v>12100</v>
      </c>
      <c r="V1150" s="125">
        <v>27.645</v>
      </c>
      <c r="W1150" s="127">
        <v>12110</v>
      </c>
      <c r="X1150" s="125">
        <v>26.81</v>
      </c>
      <c r="Y1150" s="127">
        <v>12110</v>
      </c>
      <c r="Z1150" s="125">
        <v>26.111999999999998</v>
      </c>
      <c r="AA1150" s="127">
        <v>12110</v>
      </c>
      <c r="AB1150" s="125">
        <v>26.75</v>
      </c>
      <c r="AC1150" s="127">
        <v>12100</v>
      </c>
      <c r="AD1150" s="125">
        <v>16.664999999999999</v>
      </c>
      <c r="AE1150" s="127">
        <v>12110</v>
      </c>
      <c r="AF1150" s="125">
        <v>17.867000000000001</v>
      </c>
      <c r="AG1150" s="127">
        <v>12090</v>
      </c>
      <c r="AH1150" s="125">
        <v>3.5009999999999999</v>
      </c>
      <c r="AI1150" s="127">
        <v>12090</v>
      </c>
      <c r="AJ1150" s="125">
        <v>3.8119999999999998</v>
      </c>
    </row>
    <row r="1151" spans="1:36" ht="14.25">
      <c r="A1151" s="128">
        <v>12120</v>
      </c>
      <c r="B1151" s="125">
        <v>6.851</v>
      </c>
      <c r="C1151" s="128">
        <v>12130</v>
      </c>
      <c r="D1151" s="125">
        <v>6.5890000000000004</v>
      </c>
      <c r="E1151" s="126">
        <v>12120</v>
      </c>
      <c r="F1151" s="125">
        <v>22.986000000000001</v>
      </c>
      <c r="G1151" s="127">
        <v>12120</v>
      </c>
      <c r="H1151" s="125">
        <v>23.120999999999999</v>
      </c>
      <c r="I1151" s="127">
        <v>12120</v>
      </c>
      <c r="J1151" s="125">
        <v>25.876999999999999</v>
      </c>
      <c r="K1151" s="127">
        <v>12120</v>
      </c>
      <c r="L1151" s="125">
        <v>24.472999999999999</v>
      </c>
      <c r="M1151" s="127">
        <v>12120</v>
      </c>
      <c r="N1151" s="125">
        <v>24.986000000000001</v>
      </c>
      <c r="O1151" s="127">
        <v>12100</v>
      </c>
      <c r="P1151" s="125">
        <v>25.96</v>
      </c>
      <c r="Q1151" s="127">
        <v>12120</v>
      </c>
      <c r="R1151" s="125">
        <v>25.712</v>
      </c>
      <c r="S1151" s="127">
        <v>12120</v>
      </c>
      <c r="T1151" s="125">
        <v>26.215</v>
      </c>
      <c r="U1151" s="127">
        <v>12110</v>
      </c>
      <c r="V1151" s="125">
        <v>26.434000000000001</v>
      </c>
      <c r="W1151" s="127">
        <v>12120</v>
      </c>
      <c r="X1151" s="125">
        <v>25.597999999999999</v>
      </c>
      <c r="Y1151" s="127">
        <v>12120</v>
      </c>
      <c r="Z1151" s="125">
        <v>24.928999999999998</v>
      </c>
      <c r="AA1151" s="127">
        <v>12120</v>
      </c>
      <c r="AB1151" s="125">
        <v>25.57</v>
      </c>
      <c r="AC1151" s="127">
        <v>12110</v>
      </c>
      <c r="AD1151" s="125">
        <v>15.874000000000001</v>
      </c>
      <c r="AE1151" s="127">
        <v>12120</v>
      </c>
      <c r="AF1151" s="125">
        <v>17.073</v>
      </c>
      <c r="AG1151" s="127">
        <v>12100</v>
      </c>
      <c r="AH1151" s="125">
        <v>3.34</v>
      </c>
      <c r="AI1151" s="127">
        <v>12100</v>
      </c>
      <c r="AJ1151" s="125">
        <v>3.637</v>
      </c>
    </row>
    <row r="1152" spans="1:36" ht="14.25">
      <c r="A1152" s="128">
        <v>12130</v>
      </c>
      <c r="B1152" s="125">
        <v>6.5119999999999996</v>
      </c>
      <c r="C1152" s="128">
        <v>12140</v>
      </c>
      <c r="D1152" s="125">
        <v>6.2539999999999996</v>
      </c>
      <c r="E1152" s="126">
        <v>12130</v>
      </c>
      <c r="F1152" s="125">
        <v>21.896000000000001</v>
      </c>
      <c r="G1152" s="127">
        <v>12130</v>
      </c>
      <c r="H1152" s="125">
        <v>22.03</v>
      </c>
      <c r="I1152" s="127">
        <v>12130</v>
      </c>
      <c r="J1152" s="125">
        <v>24.687000000000001</v>
      </c>
      <c r="K1152" s="127">
        <v>12130</v>
      </c>
      <c r="L1152" s="125">
        <v>23.282</v>
      </c>
      <c r="M1152" s="127">
        <v>12130</v>
      </c>
      <c r="N1152" s="125">
        <v>23.774999999999999</v>
      </c>
      <c r="O1152" s="127">
        <v>12110</v>
      </c>
      <c r="P1152" s="125">
        <v>24.748999999999999</v>
      </c>
      <c r="Q1152" s="127">
        <v>12130</v>
      </c>
      <c r="R1152" s="125">
        <v>24.501000000000001</v>
      </c>
      <c r="S1152" s="127">
        <v>12130</v>
      </c>
      <c r="T1152" s="125">
        <v>25.003</v>
      </c>
      <c r="U1152" s="127">
        <v>12120</v>
      </c>
      <c r="V1152" s="125">
        <v>25.222999999999999</v>
      </c>
      <c r="W1152" s="127">
        <v>12130</v>
      </c>
      <c r="X1152" s="125">
        <v>24.387</v>
      </c>
      <c r="Y1152" s="127">
        <v>12130</v>
      </c>
      <c r="Z1152" s="125">
        <v>23.747</v>
      </c>
      <c r="AA1152" s="127">
        <v>12130</v>
      </c>
      <c r="AB1152" s="125">
        <v>24.39</v>
      </c>
      <c r="AC1152" s="127">
        <v>12120</v>
      </c>
      <c r="AD1152" s="125">
        <v>15.084</v>
      </c>
      <c r="AE1152" s="127">
        <v>12130</v>
      </c>
      <c r="AF1152" s="125">
        <v>16.280999999999999</v>
      </c>
      <c r="AG1152" s="127">
        <v>12110</v>
      </c>
      <c r="AH1152" s="125">
        <v>3.1789999999999998</v>
      </c>
      <c r="AI1152" s="127">
        <v>12110</v>
      </c>
      <c r="AJ1152" s="125">
        <v>3.4620000000000002</v>
      </c>
    </row>
    <row r="1153" spans="1:36" ht="14.25">
      <c r="A1153" s="128">
        <v>12140</v>
      </c>
      <c r="B1153" s="125">
        <v>6.1749999999999998</v>
      </c>
      <c r="C1153" s="128">
        <v>12150</v>
      </c>
      <c r="D1153" s="125">
        <v>5.92</v>
      </c>
      <c r="E1153" s="126">
        <v>12140</v>
      </c>
      <c r="F1153" s="125">
        <v>20.808</v>
      </c>
      <c r="G1153" s="127">
        <v>12140</v>
      </c>
      <c r="H1153" s="125">
        <v>20.940999999999999</v>
      </c>
      <c r="I1153" s="127">
        <v>12140</v>
      </c>
      <c r="J1153" s="125">
        <v>23.497</v>
      </c>
      <c r="K1153" s="127">
        <v>12140</v>
      </c>
      <c r="L1153" s="125">
        <v>22.091000000000001</v>
      </c>
      <c r="M1153" s="127">
        <v>12140</v>
      </c>
      <c r="N1153" s="125">
        <v>22.564</v>
      </c>
      <c r="O1153" s="127">
        <v>12120</v>
      </c>
      <c r="P1153" s="125">
        <v>23.536999999999999</v>
      </c>
      <c r="Q1153" s="127">
        <v>12140</v>
      </c>
      <c r="R1153" s="125">
        <v>23.289000000000001</v>
      </c>
      <c r="S1153" s="127">
        <v>12140</v>
      </c>
      <c r="T1153" s="125">
        <v>23.791</v>
      </c>
      <c r="U1153" s="127">
        <v>12130</v>
      </c>
      <c r="V1153" s="125">
        <v>24.012</v>
      </c>
      <c r="W1153" s="127">
        <v>12140</v>
      </c>
      <c r="X1153" s="125">
        <v>23.175000000000001</v>
      </c>
      <c r="Y1153" s="127">
        <v>12140</v>
      </c>
      <c r="Z1153" s="125">
        <v>22.565999999999999</v>
      </c>
      <c r="AA1153" s="127">
        <v>12140</v>
      </c>
      <c r="AB1153" s="125">
        <v>23.210999999999999</v>
      </c>
      <c r="AC1153" s="127">
        <v>12130</v>
      </c>
      <c r="AD1153" s="125">
        <v>14.295999999999999</v>
      </c>
      <c r="AE1153" s="127">
        <v>12140</v>
      </c>
      <c r="AF1153" s="125">
        <v>15.49</v>
      </c>
      <c r="AG1153" s="127">
        <v>12120</v>
      </c>
      <c r="AH1153" s="125">
        <v>3.0190000000000001</v>
      </c>
      <c r="AI1153" s="127">
        <v>12120</v>
      </c>
      <c r="AJ1153" s="125">
        <v>3.2879999999999998</v>
      </c>
    </row>
    <row r="1154" spans="1:36" ht="14.25">
      <c r="A1154" s="128">
        <v>12150</v>
      </c>
      <c r="B1154" s="125">
        <v>5.8380000000000001</v>
      </c>
      <c r="C1154" s="128">
        <v>12160</v>
      </c>
      <c r="D1154" s="125">
        <v>5.5869999999999997</v>
      </c>
      <c r="E1154" s="126">
        <v>12150</v>
      </c>
      <c r="F1154" s="125">
        <v>19.722000000000001</v>
      </c>
      <c r="G1154" s="127">
        <v>12150</v>
      </c>
      <c r="H1154" s="125">
        <v>19.853000000000002</v>
      </c>
      <c r="I1154" s="127">
        <v>12150</v>
      </c>
      <c r="J1154" s="125">
        <v>22.308</v>
      </c>
      <c r="K1154" s="127">
        <v>12150</v>
      </c>
      <c r="L1154" s="125">
        <v>20.901</v>
      </c>
      <c r="M1154" s="127">
        <v>12150</v>
      </c>
      <c r="N1154" s="125">
        <v>21.352</v>
      </c>
      <c r="O1154" s="127">
        <v>12130</v>
      </c>
      <c r="P1154" s="125">
        <v>22.326000000000001</v>
      </c>
      <c r="Q1154" s="127">
        <v>12150</v>
      </c>
      <c r="R1154" s="125">
        <v>22.077999999999999</v>
      </c>
      <c r="S1154" s="127">
        <v>12150</v>
      </c>
      <c r="T1154" s="125">
        <v>22.579000000000001</v>
      </c>
      <c r="U1154" s="127">
        <v>12140</v>
      </c>
      <c r="V1154" s="125">
        <v>22.800999999999998</v>
      </c>
      <c r="W1154" s="127">
        <v>12150</v>
      </c>
      <c r="X1154" s="125">
        <v>21.963999999999999</v>
      </c>
      <c r="Y1154" s="127">
        <v>12150</v>
      </c>
      <c r="Z1154" s="125">
        <v>21.385000000000002</v>
      </c>
      <c r="AA1154" s="127">
        <v>12150</v>
      </c>
      <c r="AB1154" s="125">
        <v>22.033000000000001</v>
      </c>
      <c r="AC1154" s="127">
        <v>12140</v>
      </c>
      <c r="AD1154" s="125">
        <v>13.509</v>
      </c>
      <c r="AE1154" s="127">
        <v>12150</v>
      </c>
      <c r="AF1154" s="125">
        <v>14.7</v>
      </c>
      <c r="AG1154" s="127">
        <v>12130</v>
      </c>
      <c r="AH1154" s="125">
        <v>2.86</v>
      </c>
      <c r="AI1154" s="127">
        <v>12130</v>
      </c>
      <c r="AJ1154" s="125">
        <v>3.1150000000000002</v>
      </c>
    </row>
    <row r="1155" spans="1:36" ht="14.25">
      <c r="A1155" s="128">
        <v>12160</v>
      </c>
      <c r="B1155" s="125">
        <v>5.5030000000000001</v>
      </c>
      <c r="C1155" s="128">
        <v>12170</v>
      </c>
      <c r="D1155" s="125">
        <v>5.2549999999999999</v>
      </c>
      <c r="E1155" s="126">
        <v>12160</v>
      </c>
      <c r="F1155" s="125">
        <v>18.637</v>
      </c>
      <c r="G1155" s="127">
        <v>12160</v>
      </c>
      <c r="H1155" s="125">
        <v>18.766999999999999</v>
      </c>
      <c r="I1155" s="127">
        <v>12160</v>
      </c>
      <c r="J1155" s="125">
        <v>21.119</v>
      </c>
      <c r="K1155" s="127">
        <v>12160</v>
      </c>
      <c r="L1155" s="125">
        <v>19.712</v>
      </c>
      <c r="M1155" s="127">
        <v>12160</v>
      </c>
      <c r="N1155" s="125">
        <v>20.140999999999998</v>
      </c>
      <c r="O1155" s="127">
        <v>12140</v>
      </c>
      <c r="P1155" s="125">
        <v>21.114000000000001</v>
      </c>
      <c r="Q1155" s="127">
        <v>12160</v>
      </c>
      <c r="R1155" s="125">
        <v>20.867000000000001</v>
      </c>
      <c r="S1155" s="127">
        <v>12160</v>
      </c>
      <c r="T1155" s="125">
        <v>21.367000000000001</v>
      </c>
      <c r="U1155" s="127">
        <v>12150</v>
      </c>
      <c r="V1155" s="125">
        <v>21.59</v>
      </c>
      <c r="W1155" s="127">
        <v>12160</v>
      </c>
      <c r="X1155" s="125">
        <v>20.751999999999999</v>
      </c>
      <c r="Y1155" s="127">
        <v>12160</v>
      </c>
      <c r="Z1155" s="125">
        <v>20.204999999999998</v>
      </c>
      <c r="AA1155" s="127">
        <v>12160</v>
      </c>
      <c r="AB1155" s="125">
        <v>20.856000000000002</v>
      </c>
      <c r="AC1155" s="127">
        <v>12150</v>
      </c>
      <c r="AD1155" s="125">
        <v>12.723000000000001</v>
      </c>
      <c r="AE1155" s="127">
        <v>12160</v>
      </c>
      <c r="AF1155" s="125">
        <v>13.912000000000001</v>
      </c>
      <c r="AG1155" s="127">
        <v>12140</v>
      </c>
      <c r="AH1155" s="125">
        <v>2.7010000000000001</v>
      </c>
      <c r="AI1155" s="127">
        <v>12140</v>
      </c>
      <c r="AJ1155" s="125">
        <v>2.9420000000000002</v>
      </c>
    </row>
    <row r="1156" spans="1:36" ht="14.25">
      <c r="A1156" s="128">
        <v>12170</v>
      </c>
      <c r="B1156" s="125">
        <v>5.1689999999999996</v>
      </c>
      <c r="C1156" s="128">
        <v>12180</v>
      </c>
      <c r="D1156" s="125">
        <v>4.9249999999999998</v>
      </c>
      <c r="E1156" s="126">
        <v>12170</v>
      </c>
      <c r="F1156" s="125">
        <v>17.553999999999998</v>
      </c>
      <c r="G1156" s="127">
        <v>12170</v>
      </c>
      <c r="H1156" s="125">
        <v>17.683</v>
      </c>
      <c r="I1156" s="127">
        <v>12170</v>
      </c>
      <c r="J1156" s="125">
        <v>19.931000000000001</v>
      </c>
      <c r="K1156" s="127">
        <v>12170</v>
      </c>
      <c r="L1156" s="125">
        <v>18.523</v>
      </c>
      <c r="M1156" s="127">
        <v>12170</v>
      </c>
      <c r="N1156" s="125">
        <v>18.93</v>
      </c>
      <c r="O1156" s="127">
        <v>12150</v>
      </c>
      <c r="P1156" s="125">
        <v>19.902999999999999</v>
      </c>
      <c r="Q1156" s="127">
        <v>12170</v>
      </c>
      <c r="R1156" s="125">
        <v>19.655999999999999</v>
      </c>
      <c r="S1156" s="127">
        <v>12170</v>
      </c>
      <c r="T1156" s="125">
        <v>20.154</v>
      </c>
      <c r="U1156" s="127">
        <v>12160</v>
      </c>
      <c r="V1156" s="125">
        <v>20.379000000000001</v>
      </c>
      <c r="W1156" s="127">
        <v>12170</v>
      </c>
      <c r="X1156" s="125">
        <v>19.541</v>
      </c>
      <c r="Y1156" s="127">
        <v>12170</v>
      </c>
      <c r="Z1156" s="125">
        <v>19.026</v>
      </c>
      <c r="AA1156" s="127">
        <v>12170</v>
      </c>
      <c r="AB1156" s="125">
        <v>19.678999999999998</v>
      </c>
      <c r="AC1156" s="127">
        <v>12160</v>
      </c>
      <c r="AD1156" s="125">
        <v>11.939</v>
      </c>
      <c r="AE1156" s="127">
        <v>12170</v>
      </c>
      <c r="AF1156" s="125">
        <v>13.125999999999999</v>
      </c>
      <c r="AG1156" s="127">
        <v>12150</v>
      </c>
      <c r="AH1156" s="125">
        <v>2.5419999999999998</v>
      </c>
      <c r="AI1156" s="127">
        <v>12150</v>
      </c>
      <c r="AJ1156" s="125">
        <v>2.7690000000000001</v>
      </c>
    </row>
    <row r="1157" spans="1:36" ht="14.25">
      <c r="A1157" s="128">
        <v>12180</v>
      </c>
      <c r="B1157" s="125">
        <v>4.8369999999999997</v>
      </c>
      <c r="C1157" s="128">
        <v>12190</v>
      </c>
      <c r="D1157" s="125">
        <v>4.5970000000000004</v>
      </c>
      <c r="E1157" s="126">
        <v>12180</v>
      </c>
      <c r="F1157" s="125">
        <v>16.472000000000001</v>
      </c>
      <c r="G1157" s="127">
        <v>12180</v>
      </c>
      <c r="H1157" s="125">
        <v>16.600000000000001</v>
      </c>
      <c r="I1157" s="127">
        <v>12180</v>
      </c>
      <c r="J1157" s="125">
        <v>18.742999999999999</v>
      </c>
      <c r="K1157" s="127">
        <v>12180</v>
      </c>
      <c r="L1157" s="125">
        <v>17.334</v>
      </c>
      <c r="M1157" s="127">
        <v>12180</v>
      </c>
      <c r="N1157" s="125">
        <v>17.718</v>
      </c>
      <c r="O1157" s="127">
        <v>12160</v>
      </c>
      <c r="P1157" s="125">
        <v>18.690999999999999</v>
      </c>
      <c r="Q1157" s="127">
        <v>12180</v>
      </c>
      <c r="R1157" s="125">
        <v>18.443999999999999</v>
      </c>
      <c r="S1157" s="127">
        <v>12180</v>
      </c>
      <c r="T1157" s="125">
        <v>18.942</v>
      </c>
      <c r="U1157" s="127">
        <v>12170</v>
      </c>
      <c r="V1157" s="125">
        <v>19.167999999999999</v>
      </c>
      <c r="W1157" s="127">
        <v>12180</v>
      </c>
      <c r="X1157" s="125">
        <v>18.329000000000001</v>
      </c>
      <c r="Y1157" s="127">
        <v>12180</v>
      </c>
      <c r="Z1157" s="125">
        <v>17.847000000000001</v>
      </c>
      <c r="AA1157" s="127">
        <v>12180</v>
      </c>
      <c r="AB1157" s="125">
        <v>18.503</v>
      </c>
      <c r="AC1157" s="127">
        <v>12170</v>
      </c>
      <c r="AD1157" s="125">
        <v>11.156000000000001</v>
      </c>
      <c r="AE1157" s="127">
        <v>12180</v>
      </c>
      <c r="AF1157" s="125">
        <v>12.34</v>
      </c>
      <c r="AG1157" s="127">
        <v>12160</v>
      </c>
      <c r="AH1157" s="125">
        <v>2.3839999999999999</v>
      </c>
      <c r="AI1157" s="127">
        <v>12160</v>
      </c>
      <c r="AJ1157" s="125">
        <v>2.597</v>
      </c>
    </row>
    <row r="1158" spans="1:36" ht="14.25">
      <c r="A1158" s="128">
        <v>12190</v>
      </c>
      <c r="B1158" s="125">
        <v>4.5049999999999999</v>
      </c>
      <c r="C1158" s="128">
        <v>12200</v>
      </c>
      <c r="D1158" s="125">
        <v>4.2690000000000001</v>
      </c>
      <c r="E1158" s="126">
        <v>12190</v>
      </c>
      <c r="F1158" s="125">
        <v>15.391999999999999</v>
      </c>
      <c r="G1158" s="127">
        <v>12190</v>
      </c>
      <c r="H1158" s="125">
        <v>15.519</v>
      </c>
      <c r="I1158" s="127">
        <v>12190</v>
      </c>
      <c r="J1158" s="125">
        <v>17.555</v>
      </c>
      <c r="K1158" s="127">
        <v>12190</v>
      </c>
      <c r="L1158" s="125">
        <v>16.146000000000001</v>
      </c>
      <c r="M1158" s="127">
        <v>12190</v>
      </c>
      <c r="N1158" s="125">
        <v>16.507000000000001</v>
      </c>
      <c r="O1158" s="127">
        <v>12170</v>
      </c>
      <c r="P1158" s="125">
        <v>17.478999999999999</v>
      </c>
      <c r="Q1158" s="127">
        <v>12190</v>
      </c>
      <c r="R1158" s="125">
        <v>17.233000000000001</v>
      </c>
      <c r="S1158" s="127">
        <v>12190</v>
      </c>
      <c r="T1158" s="125">
        <v>17.73</v>
      </c>
      <c r="U1158" s="127">
        <v>12180</v>
      </c>
      <c r="V1158" s="125">
        <v>17.957000000000001</v>
      </c>
      <c r="W1158" s="127">
        <v>12190</v>
      </c>
      <c r="X1158" s="125">
        <v>17.117000000000001</v>
      </c>
      <c r="Y1158" s="127">
        <v>12190</v>
      </c>
      <c r="Z1158" s="125">
        <v>16.670000000000002</v>
      </c>
      <c r="AA1158" s="127">
        <v>12190</v>
      </c>
      <c r="AB1158" s="125">
        <v>17.327999999999999</v>
      </c>
      <c r="AC1158" s="127">
        <v>12180</v>
      </c>
      <c r="AD1158" s="125">
        <v>10.375</v>
      </c>
      <c r="AE1158" s="127">
        <v>12190</v>
      </c>
      <c r="AF1158" s="125">
        <v>11.555999999999999</v>
      </c>
      <c r="AG1158" s="127">
        <v>12170</v>
      </c>
      <c r="AH1158" s="125">
        <v>2.226</v>
      </c>
      <c r="AI1158" s="127">
        <v>12170</v>
      </c>
      <c r="AJ1158" s="125">
        <v>2.4249999999999998</v>
      </c>
    </row>
    <row r="1159" spans="1:36" ht="14.25">
      <c r="A1159" s="128">
        <v>12200</v>
      </c>
      <c r="B1159" s="125">
        <v>4.1749999999999998</v>
      </c>
      <c r="C1159" s="128">
        <v>12210</v>
      </c>
      <c r="D1159" s="125">
        <v>3.9430000000000001</v>
      </c>
      <c r="E1159" s="126">
        <v>12200</v>
      </c>
      <c r="F1159" s="125">
        <v>14.314</v>
      </c>
      <c r="G1159" s="127">
        <v>12200</v>
      </c>
      <c r="H1159" s="125">
        <v>14.44</v>
      </c>
      <c r="I1159" s="127">
        <v>12200</v>
      </c>
      <c r="J1159" s="125">
        <v>16.367999999999999</v>
      </c>
      <c r="K1159" s="127">
        <v>12200</v>
      </c>
      <c r="L1159" s="125">
        <v>14.958</v>
      </c>
      <c r="M1159" s="127">
        <v>12200</v>
      </c>
      <c r="N1159" s="125">
        <v>15.295999999999999</v>
      </c>
      <c r="O1159" s="127">
        <v>12180</v>
      </c>
      <c r="P1159" s="125">
        <v>16.268000000000001</v>
      </c>
      <c r="Q1159" s="127">
        <v>12200</v>
      </c>
      <c r="R1159" s="125">
        <v>16.021999999999998</v>
      </c>
      <c r="S1159" s="127">
        <v>12200</v>
      </c>
      <c r="T1159" s="125">
        <v>16.518000000000001</v>
      </c>
      <c r="U1159" s="127">
        <v>12190</v>
      </c>
      <c r="V1159" s="125">
        <v>16.745999999999999</v>
      </c>
      <c r="W1159" s="127">
        <v>12200</v>
      </c>
      <c r="X1159" s="125">
        <v>15.906000000000001</v>
      </c>
      <c r="Y1159" s="127">
        <v>12200</v>
      </c>
      <c r="Z1159" s="125">
        <v>15.493</v>
      </c>
      <c r="AA1159" s="127">
        <v>12200</v>
      </c>
      <c r="AB1159" s="125">
        <v>16.154</v>
      </c>
      <c r="AC1159" s="127">
        <v>12190</v>
      </c>
      <c r="AD1159" s="125">
        <v>9.5950000000000006</v>
      </c>
      <c r="AE1159" s="127">
        <v>12200</v>
      </c>
      <c r="AF1159" s="125">
        <v>10.773</v>
      </c>
      <c r="AG1159" s="127">
        <v>12180</v>
      </c>
      <c r="AH1159" s="125">
        <v>2.069</v>
      </c>
      <c r="AI1159" s="127">
        <v>12180</v>
      </c>
      <c r="AJ1159" s="125">
        <v>2.2530000000000001</v>
      </c>
    </row>
    <row r="1160" spans="1:36" ht="14.25">
      <c r="A1160" s="128">
        <v>12210</v>
      </c>
      <c r="B1160" s="125">
        <v>3.847</v>
      </c>
      <c r="C1160" s="128">
        <v>12220</v>
      </c>
      <c r="D1160" s="125">
        <v>3.6179999999999999</v>
      </c>
      <c r="E1160" s="126">
        <v>12210</v>
      </c>
      <c r="F1160" s="125">
        <v>13.238</v>
      </c>
      <c r="G1160" s="127">
        <v>12210</v>
      </c>
      <c r="H1160" s="125">
        <v>13.362</v>
      </c>
      <c r="I1160" s="127">
        <v>12210</v>
      </c>
      <c r="J1160" s="125">
        <v>15.180999999999999</v>
      </c>
      <c r="K1160" s="127">
        <v>12210</v>
      </c>
      <c r="L1160" s="125">
        <v>13.771000000000001</v>
      </c>
      <c r="M1160" s="127">
        <v>12210</v>
      </c>
      <c r="N1160" s="125">
        <v>14.084</v>
      </c>
      <c r="O1160" s="127">
        <v>12190</v>
      </c>
      <c r="P1160" s="125">
        <v>15.055999999999999</v>
      </c>
      <c r="Q1160" s="127">
        <v>12210</v>
      </c>
      <c r="R1160" s="125">
        <v>14.811</v>
      </c>
      <c r="S1160" s="127">
        <v>12210</v>
      </c>
      <c r="T1160" s="125">
        <v>15.305999999999999</v>
      </c>
      <c r="U1160" s="127">
        <v>12200</v>
      </c>
      <c r="V1160" s="125">
        <v>15.535</v>
      </c>
      <c r="W1160" s="127">
        <v>12210</v>
      </c>
      <c r="X1160" s="125">
        <v>14.694000000000001</v>
      </c>
      <c r="Y1160" s="127">
        <v>12210</v>
      </c>
      <c r="Z1160" s="125">
        <v>14.317</v>
      </c>
      <c r="AA1160" s="127">
        <v>12210</v>
      </c>
      <c r="AB1160" s="125">
        <v>14.98</v>
      </c>
      <c r="AC1160" s="127">
        <v>12200</v>
      </c>
      <c r="AD1160" s="125">
        <v>8.8160000000000007</v>
      </c>
      <c r="AE1160" s="127">
        <v>12210</v>
      </c>
      <c r="AF1160" s="125">
        <v>9.9920000000000009</v>
      </c>
      <c r="AG1160" s="127">
        <v>12190</v>
      </c>
      <c r="AH1160" s="125">
        <v>1.9119999999999999</v>
      </c>
      <c r="AI1160" s="127">
        <v>12190</v>
      </c>
      <c r="AJ1160" s="125">
        <v>2.0819999999999999</v>
      </c>
    </row>
    <row r="1161" spans="1:36" ht="14.25">
      <c r="A1161" s="128">
        <v>12220</v>
      </c>
      <c r="B1161" s="125">
        <v>3.5190000000000001</v>
      </c>
      <c r="C1161" s="128">
        <v>12230</v>
      </c>
      <c r="D1161" s="125">
        <v>3.294</v>
      </c>
      <c r="E1161" s="126">
        <v>12220</v>
      </c>
      <c r="F1161" s="125">
        <v>12.163</v>
      </c>
      <c r="G1161" s="127">
        <v>12220</v>
      </c>
      <c r="H1161" s="125">
        <v>12.286</v>
      </c>
      <c r="I1161" s="127">
        <v>12220</v>
      </c>
      <c r="J1161" s="125">
        <v>13.994999999999999</v>
      </c>
      <c r="K1161" s="127">
        <v>12220</v>
      </c>
      <c r="L1161" s="125">
        <v>12.584</v>
      </c>
      <c r="M1161" s="127">
        <v>12220</v>
      </c>
      <c r="N1161" s="125">
        <v>12.872999999999999</v>
      </c>
      <c r="O1161" s="127">
        <v>12200</v>
      </c>
      <c r="P1161" s="125">
        <v>13.845000000000001</v>
      </c>
      <c r="Q1161" s="127">
        <v>12220</v>
      </c>
      <c r="R1161" s="125">
        <v>13.599</v>
      </c>
      <c r="S1161" s="127">
        <v>12220</v>
      </c>
      <c r="T1161" s="125">
        <v>14.093999999999999</v>
      </c>
      <c r="U1161" s="127">
        <v>12210</v>
      </c>
      <c r="V1161" s="125">
        <v>14.324</v>
      </c>
      <c r="W1161" s="127">
        <v>12220</v>
      </c>
      <c r="X1161" s="125">
        <v>13.483000000000001</v>
      </c>
      <c r="Y1161" s="127">
        <v>12220</v>
      </c>
      <c r="Z1161" s="125">
        <v>13.141999999999999</v>
      </c>
      <c r="AA1161" s="127">
        <v>12220</v>
      </c>
      <c r="AB1161" s="125">
        <v>13.808</v>
      </c>
      <c r="AC1161" s="127">
        <v>12210</v>
      </c>
      <c r="AD1161" s="125">
        <v>8.0380000000000003</v>
      </c>
      <c r="AE1161" s="127">
        <v>12220</v>
      </c>
      <c r="AF1161" s="125">
        <v>9.2119999999999997</v>
      </c>
      <c r="AG1161" s="127">
        <v>12200</v>
      </c>
      <c r="AH1161" s="125">
        <v>1.7549999999999999</v>
      </c>
      <c r="AI1161" s="127">
        <v>12200</v>
      </c>
      <c r="AJ1161" s="125">
        <v>1.9119999999999999</v>
      </c>
    </row>
    <row r="1162" spans="1:36" ht="14.25">
      <c r="A1162" s="128">
        <v>12230</v>
      </c>
      <c r="B1162" s="125">
        <v>3.1930000000000001</v>
      </c>
      <c r="C1162" s="128">
        <v>12240</v>
      </c>
      <c r="D1162" s="125">
        <v>2.9710000000000001</v>
      </c>
      <c r="E1162" s="126">
        <v>12230</v>
      </c>
      <c r="F1162" s="125">
        <v>11.09</v>
      </c>
      <c r="G1162" s="127">
        <v>12230</v>
      </c>
      <c r="H1162" s="125">
        <v>11.212</v>
      </c>
      <c r="I1162" s="127">
        <v>12230</v>
      </c>
      <c r="J1162" s="125">
        <v>12.808999999999999</v>
      </c>
      <c r="K1162" s="127">
        <v>12230</v>
      </c>
      <c r="L1162" s="125">
        <v>11.398</v>
      </c>
      <c r="M1162" s="127">
        <v>12230</v>
      </c>
      <c r="N1162" s="125">
        <v>11.662000000000001</v>
      </c>
      <c r="O1162" s="127">
        <v>12210</v>
      </c>
      <c r="P1162" s="125">
        <v>12.632999999999999</v>
      </c>
      <c r="Q1162" s="127">
        <v>12230</v>
      </c>
      <c r="R1162" s="125">
        <v>12.388</v>
      </c>
      <c r="S1162" s="127">
        <v>12230</v>
      </c>
      <c r="T1162" s="125">
        <v>12.882</v>
      </c>
      <c r="U1162" s="127">
        <v>12220</v>
      </c>
      <c r="V1162" s="125">
        <v>13.113</v>
      </c>
      <c r="W1162" s="127">
        <v>12230</v>
      </c>
      <c r="X1162" s="125">
        <v>12.271000000000001</v>
      </c>
      <c r="Y1162" s="127">
        <v>12230</v>
      </c>
      <c r="Z1162" s="125">
        <v>11.967000000000001</v>
      </c>
      <c r="AA1162" s="127">
        <v>12230</v>
      </c>
      <c r="AB1162" s="125">
        <v>12.635999999999999</v>
      </c>
      <c r="AC1162" s="127">
        <v>12220</v>
      </c>
      <c r="AD1162" s="125">
        <v>7.2619999999999996</v>
      </c>
      <c r="AE1162" s="127">
        <v>12230</v>
      </c>
      <c r="AF1162" s="125">
        <v>8.4329999999999998</v>
      </c>
      <c r="AG1162" s="127">
        <v>12210</v>
      </c>
      <c r="AH1162" s="125">
        <v>1.599</v>
      </c>
      <c r="AI1162" s="127">
        <v>12210</v>
      </c>
      <c r="AJ1162" s="125">
        <v>1.742</v>
      </c>
    </row>
    <row r="1163" spans="1:36" ht="14.25">
      <c r="A1163" s="128">
        <v>12240</v>
      </c>
      <c r="B1163" s="125">
        <v>2.8679999999999999</v>
      </c>
      <c r="C1163" s="128">
        <v>12250</v>
      </c>
      <c r="D1163" s="125">
        <v>2.65</v>
      </c>
      <c r="E1163" s="126">
        <v>12240</v>
      </c>
      <c r="F1163" s="125">
        <v>10.019</v>
      </c>
      <c r="G1163" s="127">
        <v>12240</v>
      </c>
      <c r="H1163" s="125">
        <v>10.138999999999999</v>
      </c>
      <c r="I1163" s="127">
        <v>12240</v>
      </c>
      <c r="J1163" s="125">
        <v>11.624000000000001</v>
      </c>
      <c r="K1163" s="127">
        <v>12240</v>
      </c>
      <c r="L1163" s="125">
        <v>10.212</v>
      </c>
      <c r="M1163" s="127">
        <v>12240</v>
      </c>
      <c r="N1163" s="125">
        <v>10.451000000000001</v>
      </c>
      <c r="O1163" s="127">
        <v>12220</v>
      </c>
      <c r="P1163" s="125">
        <v>11.422000000000001</v>
      </c>
      <c r="Q1163" s="127">
        <v>12240</v>
      </c>
      <c r="R1163" s="125">
        <v>11.177</v>
      </c>
      <c r="S1163" s="127">
        <v>12240</v>
      </c>
      <c r="T1163" s="125">
        <v>11.67</v>
      </c>
      <c r="U1163" s="127">
        <v>12230</v>
      </c>
      <c r="V1163" s="125">
        <v>11.901999999999999</v>
      </c>
      <c r="W1163" s="127">
        <v>12240</v>
      </c>
      <c r="X1163" s="125">
        <v>11.06</v>
      </c>
      <c r="Y1163" s="127">
        <v>12240</v>
      </c>
      <c r="Z1163" s="125">
        <v>10.792999999999999</v>
      </c>
      <c r="AA1163" s="127">
        <v>12240</v>
      </c>
      <c r="AB1163" s="125">
        <v>11.465</v>
      </c>
      <c r="AC1163" s="127">
        <v>12230</v>
      </c>
      <c r="AD1163" s="125">
        <v>6.4880000000000004</v>
      </c>
      <c r="AE1163" s="127">
        <v>12240</v>
      </c>
      <c r="AF1163" s="125">
        <v>7.6559999999999997</v>
      </c>
      <c r="AG1163" s="127">
        <v>12220</v>
      </c>
      <c r="AH1163" s="125">
        <v>1.444</v>
      </c>
      <c r="AI1163" s="127">
        <v>12220</v>
      </c>
      <c r="AJ1163" s="125">
        <v>1.5720000000000001</v>
      </c>
    </row>
    <row r="1164" spans="1:36" ht="14.25">
      <c r="A1164" s="128">
        <v>12250</v>
      </c>
      <c r="B1164" s="125">
        <v>2.5449999999999999</v>
      </c>
      <c r="C1164" s="128">
        <v>12260</v>
      </c>
      <c r="D1164" s="125">
        <v>2.33</v>
      </c>
      <c r="E1164" s="126">
        <v>12250</v>
      </c>
      <c r="F1164" s="125">
        <v>8.9499999999999993</v>
      </c>
      <c r="G1164" s="127">
        <v>12250</v>
      </c>
      <c r="H1164" s="125">
        <v>9.0679999999999996</v>
      </c>
      <c r="I1164" s="127">
        <v>12250</v>
      </c>
      <c r="J1164" s="125">
        <v>10.439</v>
      </c>
      <c r="K1164" s="127">
        <v>12250</v>
      </c>
      <c r="L1164" s="125">
        <v>9.0259999999999998</v>
      </c>
      <c r="M1164" s="127">
        <v>12250</v>
      </c>
      <c r="N1164" s="125">
        <v>9.2390000000000008</v>
      </c>
      <c r="O1164" s="127">
        <v>12230</v>
      </c>
      <c r="P1164" s="125">
        <v>10.210000000000001</v>
      </c>
      <c r="Q1164" s="127">
        <v>12250</v>
      </c>
      <c r="R1164" s="125">
        <v>9.9659999999999993</v>
      </c>
      <c r="S1164" s="127">
        <v>12250</v>
      </c>
      <c r="T1164" s="125">
        <v>10.458</v>
      </c>
      <c r="U1164" s="127">
        <v>12240</v>
      </c>
      <c r="V1164" s="125">
        <v>10.691000000000001</v>
      </c>
      <c r="W1164" s="127">
        <v>12250</v>
      </c>
      <c r="X1164" s="125">
        <v>9.8480000000000008</v>
      </c>
      <c r="Y1164" s="127">
        <v>12250</v>
      </c>
      <c r="Z1164" s="125">
        <v>9.6199999999999992</v>
      </c>
      <c r="AA1164" s="127">
        <v>12250</v>
      </c>
      <c r="AB1164" s="125">
        <v>10.295</v>
      </c>
      <c r="AC1164" s="127">
        <v>12240</v>
      </c>
      <c r="AD1164" s="125">
        <v>5.7140000000000004</v>
      </c>
      <c r="AE1164" s="127">
        <v>12250</v>
      </c>
      <c r="AF1164" s="125">
        <v>6.88</v>
      </c>
      <c r="AG1164" s="127">
        <v>12230</v>
      </c>
      <c r="AH1164" s="125">
        <v>1.2889999999999999</v>
      </c>
      <c r="AI1164" s="127">
        <v>12230</v>
      </c>
      <c r="AJ1164" s="125">
        <v>1.403</v>
      </c>
    </row>
    <row r="1165" spans="1:36" ht="14.25">
      <c r="A1165" s="128">
        <v>12260</v>
      </c>
      <c r="B1165" s="125">
        <v>2.2229999999999999</v>
      </c>
      <c r="C1165" s="128">
        <v>12270</v>
      </c>
      <c r="D1165" s="125">
        <v>2.012</v>
      </c>
      <c r="E1165" s="126">
        <v>12260</v>
      </c>
      <c r="F1165" s="125">
        <v>7.8819999999999997</v>
      </c>
      <c r="G1165" s="127">
        <v>12260</v>
      </c>
      <c r="H1165" s="125">
        <v>7.9989999999999997</v>
      </c>
      <c r="I1165" s="127">
        <v>12260</v>
      </c>
      <c r="J1165" s="125">
        <v>9.2550000000000008</v>
      </c>
      <c r="K1165" s="127">
        <v>12260</v>
      </c>
      <c r="L1165" s="125">
        <v>7.8410000000000002</v>
      </c>
      <c r="M1165" s="127">
        <v>12260</v>
      </c>
      <c r="N1165" s="125">
        <v>8.0280000000000005</v>
      </c>
      <c r="O1165" s="127">
        <v>12240</v>
      </c>
      <c r="P1165" s="125">
        <v>8.9990000000000006</v>
      </c>
      <c r="Q1165" s="127">
        <v>12260</v>
      </c>
      <c r="R1165" s="125">
        <v>8.7550000000000008</v>
      </c>
      <c r="S1165" s="127">
        <v>12260</v>
      </c>
      <c r="T1165" s="125">
        <v>9.2449999999999992</v>
      </c>
      <c r="U1165" s="127">
        <v>12250</v>
      </c>
      <c r="V1165" s="125">
        <v>9.48</v>
      </c>
      <c r="W1165" s="127">
        <v>12260</v>
      </c>
      <c r="X1165" s="125">
        <v>8.6359999999999992</v>
      </c>
      <c r="Y1165" s="127">
        <v>12260</v>
      </c>
      <c r="Z1165" s="125">
        <v>8.4480000000000004</v>
      </c>
      <c r="AA1165" s="127">
        <v>12260</v>
      </c>
      <c r="AB1165" s="125">
        <v>9.125</v>
      </c>
      <c r="AC1165" s="127">
        <v>12250</v>
      </c>
      <c r="AD1165" s="125">
        <v>4.9420000000000002</v>
      </c>
      <c r="AE1165" s="127">
        <v>12260</v>
      </c>
      <c r="AF1165" s="125">
        <v>6.1059999999999999</v>
      </c>
      <c r="AG1165" s="127">
        <v>12240</v>
      </c>
      <c r="AH1165" s="125">
        <v>1.1339999999999999</v>
      </c>
      <c r="AI1165" s="127">
        <v>12240</v>
      </c>
      <c r="AJ1165" s="125">
        <v>1.234</v>
      </c>
    </row>
    <row r="1166" spans="1:36" ht="14.25">
      <c r="A1166" s="128">
        <v>12270</v>
      </c>
      <c r="B1166" s="125">
        <v>1.9019999999999999</v>
      </c>
      <c r="C1166" s="128">
        <v>12280</v>
      </c>
      <c r="D1166" s="125">
        <v>1.694</v>
      </c>
      <c r="E1166" s="126">
        <v>12270</v>
      </c>
      <c r="F1166" s="125">
        <v>6.8159999999999998</v>
      </c>
      <c r="G1166" s="127">
        <v>12270</v>
      </c>
      <c r="H1166" s="125">
        <v>6.931</v>
      </c>
      <c r="I1166" s="127">
        <v>12270</v>
      </c>
      <c r="J1166" s="125">
        <v>8.0709999999999997</v>
      </c>
      <c r="K1166" s="127">
        <v>12270</v>
      </c>
      <c r="L1166" s="125">
        <v>6.657</v>
      </c>
      <c r="M1166" s="127">
        <v>12270</v>
      </c>
      <c r="N1166" s="125">
        <v>6.8170000000000002</v>
      </c>
      <c r="O1166" s="127">
        <v>12250</v>
      </c>
      <c r="P1166" s="125">
        <v>7.7869999999999999</v>
      </c>
      <c r="Q1166" s="127">
        <v>12270</v>
      </c>
      <c r="R1166" s="125">
        <v>7.5430000000000001</v>
      </c>
      <c r="S1166" s="127">
        <v>12270</v>
      </c>
      <c r="T1166" s="125">
        <v>8.0329999999999995</v>
      </c>
      <c r="U1166" s="127">
        <v>12260</v>
      </c>
      <c r="V1166" s="125">
        <v>8.2690000000000001</v>
      </c>
      <c r="W1166" s="127">
        <v>12270</v>
      </c>
      <c r="X1166" s="125">
        <v>7.4249999999999998</v>
      </c>
      <c r="Y1166" s="127">
        <v>12270</v>
      </c>
      <c r="Z1166" s="125">
        <v>7.2770000000000001</v>
      </c>
      <c r="AA1166" s="127">
        <v>12270</v>
      </c>
      <c r="AB1166" s="125">
        <v>7.9569999999999999</v>
      </c>
      <c r="AC1166" s="127">
        <v>12260</v>
      </c>
      <c r="AD1166" s="125">
        <v>4.1719999999999997</v>
      </c>
      <c r="AE1166" s="127">
        <v>12270</v>
      </c>
      <c r="AF1166" s="125">
        <v>5.3319999999999999</v>
      </c>
      <c r="AG1166" s="127">
        <v>12250</v>
      </c>
      <c r="AH1166" s="125">
        <v>0.98</v>
      </c>
      <c r="AI1166" s="127">
        <v>12250</v>
      </c>
      <c r="AJ1166" s="125">
        <v>1.0660000000000001</v>
      </c>
    </row>
    <row r="1167" spans="1:36" ht="14.25">
      <c r="A1167" s="128">
        <v>12280</v>
      </c>
      <c r="B1167" s="125">
        <v>1.5820000000000001</v>
      </c>
      <c r="C1167" s="128">
        <v>12290</v>
      </c>
      <c r="D1167" s="125">
        <v>1.3779999999999999</v>
      </c>
      <c r="E1167" s="126">
        <v>12280</v>
      </c>
      <c r="F1167" s="125">
        <v>5.7510000000000003</v>
      </c>
      <c r="G1167" s="127">
        <v>12280</v>
      </c>
      <c r="H1167" s="125">
        <v>5.8659999999999997</v>
      </c>
      <c r="I1167" s="127">
        <v>12280</v>
      </c>
      <c r="J1167" s="125">
        <v>6.8879999999999999</v>
      </c>
      <c r="K1167" s="127">
        <v>12280</v>
      </c>
      <c r="L1167" s="125">
        <v>5.4729999999999999</v>
      </c>
      <c r="M1167" s="127">
        <v>12280</v>
      </c>
      <c r="N1167" s="125">
        <v>5.6050000000000004</v>
      </c>
      <c r="O1167" s="127">
        <v>12260</v>
      </c>
      <c r="P1167" s="125">
        <v>6.5759999999999996</v>
      </c>
      <c r="Q1167" s="127">
        <v>12280</v>
      </c>
      <c r="R1167" s="125">
        <v>6.3319999999999999</v>
      </c>
      <c r="S1167" s="127">
        <v>12280</v>
      </c>
      <c r="T1167" s="125">
        <v>6.8209999999999997</v>
      </c>
      <c r="U1167" s="127">
        <v>12270</v>
      </c>
      <c r="V1167" s="125">
        <v>7.0579999999999998</v>
      </c>
      <c r="W1167" s="127">
        <v>12280</v>
      </c>
      <c r="X1167" s="125">
        <v>6.2130000000000001</v>
      </c>
      <c r="Y1167" s="127">
        <v>12280</v>
      </c>
      <c r="Z1167" s="125">
        <v>6.1070000000000002</v>
      </c>
      <c r="AA1167" s="127">
        <v>12280</v>
      </c>
      <c r="AB1167" s="125">
        <v>6.7889999999999997</v>
      </c>
      <c r="AC1167" s="127">
        <v>12270</v>
      </c>
      <c r="AD1167" s="125">
        <v>3.4020000000000001</v>
      </c>
      <c r="AE1167" s="127">
        <v>12280</v>
      </c>
      <c r="AF1167" s="125">
        <v>4.5609999999999999</v>
      </c>
      <c r="AG1167" s="127">
        <v>12260</v>
      </c>
      <c r="AH1167" s="125">
        <v>0.82599999999999996</v>
      </c>
      <c r="AI1167" s="127">
        <v>12260</v>
      </c>
      <c r="AJ1167" s="125">
        <v>0.89900000000000002</v>
      </c>
    </row>
    <row r="1168" spans="1:36" ht="14.25">
      <c r="A1168" s="128">
        <v>12290</v>
      </c>
      <c r="B1168" s="125">
        <v>1.2629999999999999</v>
      </c>
      <c r="C1168" s="128">
        <v>12300</v>
      </c>
      <c r="D1168" s="125">
        <v>1.0629999999999999</v>
      </c>
      <c r="E1168" s="126">
        <v>12290</v>
      </c>
      <c r="F1168" s="125">
        <v>4.6890000000000001</v>
      </c>
      <c r="G1168" s="127">
        <v>12290</v>
      </c>
      <c r="H1168" s="125">
        <v>4.8010000000000002</v>
      </c>
      <c r="I1168" s="127">
        <v>12290</v>
      </c>
      <c r="J1168" s="125">
        <v>5.7050000000000001</v>
      </c>
      <c r="K1168" s="127">
        <v>12290</v>
      </c>
      <c r="L1168" s="125">
        <v>4.29</v>
      </c>
      <c r="M1168" s="127">
        <v>12290</v>
      </c>
      <c r="N1168" s="125">
        <v>4.3940000000000001</v>
      </c>
      <c r="O1168" s="127">
        <v>12270</v>
      </c>
      <c r="P1168" s="125">
        <v>5.3639999999999999</v>
      </c>
      <c r="Q1168" s="127">
        <v>12290</v>
      </c>
      <c r="R1168" s="125">
        <v>5.1210000000000004</v>
      </c>
      <c r="S1168" s="127">
        <v>12290</v>
      </c>
      <c r="T1168" s="125">
        <v>5.609</v>
      </c>
      <c r="U1168" s="127">
        <v>12280</v>
      </c>
      <c r="V1168" s="125">
        <v>5.8470000000000004</v>
      </c>
      <c r="W1168" s="127">
        <v>12290</v>
      </c>
      <c r="X1168" s="125">
        <v>5.0019999999999998</v>
      </c>
      <c r="Y1168" s="127">
        <v>12290</v>
      </c>
      <c r="Z1168" s="125">
        <v>4.9370000000000003</v>
      </c>
      <c r="AA1168" s="127">
        <v>12290</v>
      </c>
      <c r="AB1168" s="125">
        <v>5.6219999999999999</v>
      </c>
      <c r="AC1168" s="127">
        <v>12280</v>
      </c>
      <c r="AD1168" s="125">
        <v>2.6339999999999999</v>
      </c>
      <c r="AE1168" s="127">
        <v>12290</v>
      </c>
      <c r="AF1168" s="125">
        <v>3.79</v>
      </c>
      <c r="AG1168" s="127">
        <v>12270</v>
      </c>
      <c r="AH1168" s="125">
        <v>0.67300000000000004</v>
      </c>
      <c r="AI1168" s="127">
        <v>12270</v>
      </c>
      <c r="AJ1168" s="125">
        <v>0.73099999999999998</v>
      </c>
    </row>
    <row r="1169" spans="1:36" ht="14.25">
      <c r="A1169" s="128">
        <v>12300</v>
      </c>
      <c r="B1169" s="125">
        <v>0.94599999999999995</v>
      </c>
      <c r="C1169" s="128">
        <v>12310</v>
      </c>
      <c r="D1169" s="125">
        <v>0.75</v>
      </c>
      <c r="E1169" s="126">
        <v>12300</v>
      </c>
      <c r="F1169" s="125">
        <v>3.6280000000000001</v>
      </c>
      <c r="G1169" s="127">
        <v>12300</v>
      </c>
      <c r="H1169" s="125">
        <v>3.7389999999999999</v>
      </c>
      <c r="I1169" s="127">
        <v>12300</v>
      </c>
      <c r="J1169" s="125">
        <v>4.5220000000000002</v>
      </c>
      <c r="K1169" s="127">
        <v>12300</v>
      </c>
      <c r="L1169" s="125">
        <v>3.1070000000000002</v>
      </c>
      <c r="M1169" s="127">
        <v>12300</v>
      </c>
      <c r="N1169" s="125">
        <v>3.1829999999999998</v>
      </c>
      <c r="O1169" s="127">
        <v>12280</v>
      </c>
      <c r="P1169" s="125">
        <v>4.1529999999999996</v>
      </c>
      <c r="Q1169" s="127">
        <v>12300</v>
      </c>
      <c r="R1169" s="125">
        <v>3.9089999999999998</v>
      </c>
      <c r="S1169" s="127">
        <v>12300</v>
      </c>
      <c r="T1169" s="125">
        <v>4.3970000000000002</v>
      </c>
      <c r="U1169" s="127">
        <v>12290</v>
      </c>
      <c r="V1169" s="125">
        <v>4.6349999999999998</v>
      </c>
      <c r="W1169" s="127">
        <v>12300</v>
      </c>
      <c r="X1169" s="125">
        <v>3.79</v>
      </c>
      <c r="Y1169" s="127">
        <v>12300</v>
      </c>
      <c r="Z1169" s="125">
        <v>3.7679999999999998</v>
      </c>
      <c r="AA1169" s="127">
        <v>12300</v>
      </c>
      <c r="AB1169" s="125">
        <v>4.4560000000000004</v>
      </c>
      <c r="AC1169" s="127">
        <v>12290</v>
      </c>
      <c r="AD1169" s="125">
        <v>1.8680000000000001</v>
      </c>
      <c r="AE1169" s="127">
        <v>12300</v>
      </c>
      <c r="AF1169" s="125">
        <v>3.0209999999999999</v>
      </c>
      <c r="AG1169" s="127">
        <v>12280</v>
      </c>
      <c r="AH1169" s="125">
        <v>0.52</v>
      </c>
      <c r="AI1169" s="127">
        <v>12280</v>
      </c>
      <c r="AJ1169" s="125">
        <v>0.56399999999999995</v>
      </c>
    </row>
    <row r="1170" spans="1:36" ht="14.25">
      <c r="A1170" s="128">
        <v>12310</v>
      </c>
      <c r="B1170" s="125">
        <v>0.63</v>
      </c>
      <c r="C1170" s="128">
        <v>12320</v>
      </c>
      <c r="D1170" s="125">
        <v>0.438</v>
      </c>
      <c r="E1170" s="126">
        <v>12310</v>
      </c>
      <c r="F1170" s="125">
        <v>2.569</v>
      </c>
      <c r="G1170" s="127">
        <v>12310</v>
      </c>
      <c r="H1170" s="125">
        <v>2.6779999999999999</v>
      </c>
      <c r="I1170" s="127">
        <v>12310</v>
      </c>
      <c r="J1170" s="125">
        <v>3.34</v>
      </c>
      <c r="K1170" s="127">
        <v>12310</v>
      </c>
      <c r="L1170" s="125">
        <v>1.9239999999999999</v>
      </c>
      <c r="M1170" s="127">
        <v>12310</v>
      </c>
      <c r="N1170" s="125">
        <v>1.9710000000000001</v>
      </c>
      <c r="O1170" s="127">
        <v>12290</v>
      </c>
      <c r="P1170" s="125">
        <v>2.9409999999999998</v>
      </c>
      <c r="Q1170" s="127">
        <v>12310</v>
      </c>
      <c r="R1170" s="125">
        <v>2.698</v>
      </c>
      <c r="S1170" s="127">
        <v>12310</v>
      </c>
      <c r="T1170" s="125">
        <v>3.1850000000000001</v>
      </c>
      <c r="U1170" s="127">
        <v>12300</v>
      </c>
      <c r="V1170" s="125">
        <v>3.4239999999999999</v>
      </c>
      <c r="W1170" s="127">
        <v>12310</v>
      </c>
      <c r="X1170" s="125">
        <v>2.5779999999999998</v>
      </c>
      <c r="Y1170" s="127">
        <v>12310</v>
      </c>
      <c r="Z1170" s="125">
        <v>2.6</v>
      </c>
      <c r="AA1170" s="127">
        <v>12310</v>
      </c>
      <c r="AB1170" s="125">
        <v>3.2909999999999999</v>
      </c>
      <c r="AC1170" s="127">
        <v>12300</v>
      </c>
      <c r="AD1170" s="125">
        <v>1.103</v>
      </c>
      <c r="AE1170" s="127">
        <v>12310</v>
      </c>
      <c r="AF1170" s="125">
        <v>2.2530000000000001</v>
      </c>
      <c r="AG1170" s="127">
        <v>12290</v>
      </c>
      <c r="AH1170" s="125">
        <v>0.36699999999999999</v>
      </c>
      <c r="AI1170" s="127">
        <v>12290</v>
      </c>
      <c r="AJ1170" s="125">
        <v>0.39800000000000002</v>
      </c>
    </row>
    <row r="1171" spans="1:36" ht="14.25">
      <c r="A1171" s="128">
        <v>12319</v>
      </c>
      <c r="B1171" s="125">
        <v>0.34699999999999998</v>
      </c>
      <c r="C1171" s="128">
        <v>12324</v>
      </c>
      <c r="D1171" s="125">
        <v>0.313</v>
      </c>
      <c r="E1171" s="126">
        <v>12320</v>
      </c>
      <c r="F1171" s="125">
        <v>1.5109999999999999</v>
      </c>
      <c r="G1171" s="127">
        <v>12320</v>
      </c>
      <c r="H1171" s="125">
        <v>1.619</v>
      </c>
      <c r="I1171" s="127">
        <v>12320</v>
      </c>
      <c r="J1171" s="125">
        <v>2.1589999999999998</v>
      </c>
      <c r="K1171" s="127">
        <v>12315</v>
      </c>
      <c r="L1171" s="125">
        <v>1.333</v>
      </c>
      <c r="M1171" s="127">
        <v>12315</v>
      </c>
      <c r="N1171" s="125">
        <v>1.3660000000000001</v>
      </c>
      <c r="O1171" s="127">
        <v>12300</v>
      </c>
      <c r="P1171" s="125">
        <v>1.7290000000000001</v>
      </c>
      <c r="Q1171" s="127">
        <v>12320</v>
      </c>
      <c r="R1171" s="125">
        <v>1.4870000000000001</v>
      </c>
      <c r="S1171" s="127">
        <v>12320</v>
      </c>
      <c r="T1171" s="125">
        <v>1.9730000000000001</v>
      </c>
      <c r="U1171" s="127">
        <v>12310</v>
      </c>
      <c r="V1171" s="125">
        <v>2.2130000000000001</v>
      </c>
      <c r="W1171" s="127">
        <v>12320</v>
      </c>
      <c r="X1171" s="125">
        <v>1.367</v>
      </c>
      <c r="Y1171" s="127">
        <v>12320</v>
      </c>
      <c r="Z1171" s="125">
        <v>1.4330000000000001</v>
      </c>
      <c r="AA1171" s="127">
        <v>12320</v>
      </c>
      <c r="AB1171" s="125">
        <v>2.1269999999999998</v>
      </c>
      <c r="AC1171" s="127">
        <v>12304</v>
      </c>
      <c r="AD1171" s="125">
        <v>0.79700000000000004</v>
      </c>
      <c r="AE1171" s="127">
        <v>12320</v>
      </c>
      <c r="AF1171" s="125">
        <v>1.486</v>
      </c>
      <c r="AG1171" s="127">
        <v>12300</v>
      </c>
      <c r="AH1171" s="125">
        <v>0.215</v>
      </c>
      <c r="AI1171" s="127">
        <v>12300</v>
      </c>
      <c r="AJ1171" s="125">
        <v>0.23200000000000001</v>
      </c>
    </row>
    <row r="1172" spans="1:36" ht="14.25">
      <c r="A1172" s="135"/>
      <c r="B1172" s="136"/>
      <c r="C1172" s="135"/>
      <c r="D1172" s="137"/>
      <c r="E1172" s="138">
        <v>12323</v>
      </c>
      <c r="F1172" s="134">
        <v>1.194</v>
      </c>
      <c r="G1172" s="127">
        <v>12325</v>
      </c>
      <c r="H1172" s="125">
        <v>1.0900000000000001</v>
      </c>
      <c r="I1172" s="127">
        <v>12328</v>
      </c>
      <c r="J1172" s="125">
        <v>1.214</v>
      </c>
      <c r="K1172" s="135"/>
      <c r="L1172" s="139"/>
      <c r="M1172" s="140"/>
      <c r="N1172" s="141"/>
      <c r="O1172" s="127">
        <v>12303</v>
      </c>
      <c r="P1172" s="125">
        <v>1.3660000000000001</v>
      </c>
      <c r="Q1172" s="127">
        <v>12322</v>
      </c>
      <c r="R1172" s="125">
        <v>1.2450000000000001</v>
      </c>
      <c r="S1172" s="127">
        <v>12326</v>
      </c>
      <c r="T1172" s="125">
        <v>1.2450000000000001</v>
      </c>
      <c r="U1172" s="127">
        <v>12318</v>
      </c>
      <c r="V1172" s="125">
        <v>1.244</v>
      </c>
      <c r="W1172" s="127">
        <v>12321</v>
      </c>
      <c r="X1172" s="125">
        <v>1.246</v>
      </c>
      <c r="Y1172" s="127">
        <v>12321</v>
      </c>
      <c r="Z1172" s="125">
        <v>1.3160000000000001</v>
      </c>
      <c r="AA1172" s="127">
        <v>12328</v>
      </c>
      <c r="AB1172" s="125">
        <v>1.196</v>
      </c>
      <c r="AC1172" s="135"/>
      <c r="AD1172" s="135"/>
      <c r="AE1172" s="127">
        <v>12329</v>
      </c>
      <c r="AF1172" s="125">
        <v>0.79700000000000004</v>
      </c>
      <c r="AG1172" s="127">
        <v>12301</v>
      </c>
      <c r="AH1172" s="125">
        <v>0.20100000000000001</v>
      </c>
      <c r="AI1172" s="127">
        <v>12302</v>
      </c>
      <c r="AJ1172" s="125">
        <v>0.19900000000000001</v>
      </c>
    </row>
  </sheetData>
  <sheetProtection selectLockedCells="1"/>
  <mergeCells count="18">
    <mergeCell ref="AI3:AJ3"/>
    <mergeCell ref="M3:N3"/>
    <mergeCell ref="O3:P3"/>
    <mergeCell ref="Q3:R3"/>
    <mergeCell ref="S3:T3"/>
    <mergeCell ref="U3:V3"/>
    <mergeCell ref="W3:X3"/>
    <mergeCell ref="Y3:Z3"/>
    <mergeCell ref="AA3:AB3"/>
    <mergeCell ref="AC3:AD3"/>
    <mergeCell ref="AE3:AF3"/>
    <mergeCell ref="AG3:AH3"/>
    <mergeCell ref="K3:L3"/>
    <mergeCell ref="A3:B3"/>
    <mergeCell ref="C3:D3"/>
    <mergeCell ref="E3:F3"/>
    <mergeCell ref="G3:H3"/>
    <mergeCell ref="I3:J3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defaultColWidth="8.375" defaultRowHeight="12.75" customHeight="1"/>
  <cols>
    <col min="1" max="1" width="1.375" style="58" customWidth="1"/>
    <col min="2" max="2" width="14.25" style="61" customWidth="1"/>
    <col min="3" max="3" width="11.75" style="58" customWidth="1"/>
    <col min="4" max="4" width="11.375" style="58" customWidth="1"/>
    <col min="5" max="5" width="9.625" style="58" customWidth="1"/>
    <col min="6" max="6" width="8" style="58" customWidth="1"/>
    <col min="7" max="7" width="11.375" style="58" customWidth="1"/>
    <col min="8" max="9" width="10" style="58" customWidth="1"/>
    <col min="10" max="10" width="9.625" style="58" customWidth="1"/>
    <col min="11" max="11" width="8.5" style="58" customWidth="1"/>
    <col min="12" max="12" width="11.375" style="58" customWidth="1"/>
    <col min="13" max="13" width="2.375" style="58" customWidth="1"/>
    <col min="14" max="14" width="28.75" style="58" customWidth="1"/>
    <col min="15" max="19" width="25.75" style="58" customWidth="1"/>
    <col min="20" max="22" width="3" style="58" customWidth="1"/>
    <col min="23" max="26" width="2.75" style="58" customWidth="1"/>
    <col min="27" max="32" width="2.375" style="58" customWidth="1"/>
    <col min="33" max="36" width="2.125" style="58" customWidth="1"/>
    <col min="37" max="256" width="8.375" style="58"/>
    <col min="257" max="257" width="1.375" style="58" customWidth="1"/>
    <col min="258" max="258" width="14.25" style="58" customWidth="1"/>
    <col min="259" max="259" width="6.625" style="58" customWidth="1"/>
    <col min="260" max="260" width="11.375" style="58" customWidth="1"/>
    <col min="261" max="261" width="9.625" style="58" customWidth="1"/>
    <col min="262" max="262" width="8" style="58" customWidth="1"/>
    <col min="263" max="263" width="11.375" style="58" customWidth="1"/>
    <col min="264" max="265" width="10" style="58" customWidth="1"/>
    <col min="266" max="266" width="9.625" style="58" customWidth="1"/>
    <col min="267" max="267" width="8.5" style="58" customWidth="1"/>
    <col min="268" max="268" width="11.375" style="58" customWidth="1"/>
    <col min="269" max="274" width="2.375" style="58" customWidth="1"/>
    <col min="275" max="278" width="3" style="58" customWidth="1"/>
    <col min="279" max="282" width="2.75" style="58" customWidth="1"/>
    <col min="283" max="288" width="2.375" style="58" customWidth="1"/>
    <col min="289" max="292" width="2.125" style="58" customWidth="1"/>
    <col min="293" max="512" width="8.375" style="58"/>
    <col min="513" max="513" width="1.375" style="58" customWidth="1"/>
    <col min="514" max="514" width="14.25" style="58" customWidth="1"/>
    <col min="515" max="515" width="6.625" style="58" customWidth="1"/>
    <col min="516" max="516" width="11.375" style="58" customWidth="1"/>
    <col min="517" max="517" width="9.625" style="58" customWidth="1"/>
    <col min="518" max="518" width="8" style="58" customWidth="1"/>
    <col min="519" max="519" width="11.375" style="58" customWidth="1"/>
    <col min="520" max="521" width="10" style="58" customWidth="1"/>
    <col min="522" max="522" width="9.625" style="58" customWidth="1"/>
    <col min="523" max="523" width="8.5" style="58" customWidth="1"/>
    <col min="524" max="524" width="11.375" style="58" customWidth="1"/>
    <col min="525" max="530" width="2.375" style="58" customWidth="1"/>
    <col min="531" max="534" width="3" style="58" customWidth="1"/>
    <col min="535" max="538" width="2.75" style="58" customWidth="1"/>
    <col min="539" max="544" width="2.375" style="58" customWidth="1"/>
    <col min="545" max="548" width="2.125" style="58" customWidth="1"/>
    <col min="549" max="768" width="8.375" style="58"/>
    <col min="769" max="769" width="1.375" style="58" customWidth="1"/>
    <col min="770" max="770" width="14.25" style="58" customWidth="1"/>
    <col min="771" max="771" width="6.625" style="58" customWidth="1"/>
    <col min="772" max="772" width="11.375" style="58" customWidth="1"/>
    <col min="773" max="773" width="9.625" style="58" customWidth="1"/>
    <col min="774" max="774" width="8" style="58" customWidth="1"/>
    <col min="775" max="775" width="11.375" style="58" customWidth="1"/>
    <col min="776" max="777" width="10" style="58" customWidth="1"/>
    <col min="778" max="778" width="9.625" style="58" customWidth="1"/>
    <col min="779" max="779" width="8.5" style="58" customWidth="1"/>
    <col min="780" max="780" width="11.375" style="58" customWidth="1"/>
    <col min="781" max="786" width="2.375" style="58" customWidth="1"/>
    <col min="787" max="790" width="3" style="58" customWidth="1"/>
    <col min="791" max="794" width="2.75" style="58" customWidth="1"/>
    <col min="795" max="800" width="2.375" style="58" customWidth="1"/>
    <col min="801" max="804" width="2.125" style="58" customWidth="1"/>
    <col min="805" max="1024" width="8.375" style="58"/>
    <col min="1025" max="1025" width="1.375" style="58" customWidth="1"/>
    <col min="1026" max="1026" width="14.25" style="58" customWidth="1"/>
    <col min="1027" max="1027" width="6.625" style="58" customWidth="1"/>
    <col min="1028" max="1028" width="11.375" style="58" customWidth="1"/>
    <col min="1029" max="1029" width="9.625" style="58" customWidth="1"/>
    <col min="1030" max="1030" width="8" style="58" customWidth="1"/>
    <col min="1031" max="1031" width="11.375" style="58" customWidth="1"/>
    <col min="1032" max="1033" width="10" style="58" customWidth="1"/>
    <col min="1034" max="1034" width="9.625" style="58" customWidth="1"/>
    <col min="1035" max="1035" width="8.5" style="58" customWidth="1"/>
    <col min="1036" max="1036" width="11.375" style="58" customWidth="1"/>
    <col min="1037" max="1042" width="2.375" style="58" customWidth="1"/>
    <col min="1043" max="1046" width="3" style="58" customWidth="1"/>
    <col min="1047" max="1050" width="2.75" style="58" customWidth="1"/>
    <col min="1051" max="1056" width="2.375" style="58" customWidth="1"/>
    <col min="1057" max="1060" width="2.125" style="58" customWidth="1"/>
    <col min="1061" max="1280" width="8.375" style="58"/>
    <col min="1281" max="1281" width="1.375" style="58" customWidth="1"/>
    <col min="1282" max="1282" width="14.25" style="58" customWidth="1"/>
    <col min="1283" max="1283" width="6.625" style="58" customWidth="1"/>
    <col min="1284" max="1284" width="11.375" style="58" customWidth="1"/>
    <col min="1285" max="1285" width="9.625" style="58" customWidth="1"/>
    <col min="1286" max="1286" width="8" style="58" customWidth="1"/>
    <col min="1287" max="1287" width="11.375" style="58" customWidth="1"/>
    <col min="1288" max="1289" width="10" style="58" customWidth="1"/>
    <col min="1290" max="1290" width="9.625" style="58" customWidth="1"/>
    <col min="1291" max="1291" width="8.5" style="58" customWidth="1"/>
    <col min="1292" max="1292" width="11.375" style="58" customWidth="1"/>
    <col min="1293" max="1298" width="2.375" style="58" customWidth="1"/>
    <col min="1299" max="1302" width="3" style="58" customWidth="1"/>
    <col min="1303" max="1306" width="2.75" style="58" customWidth="1"/>
    <col min="1307" max="1312" width="2.375" style="58" customWidth="1"/>
    <col min="1313" max="1316" width="2.125" style="58" customWidth="1"/>
    <col min="1317" max="1536" width="8.375" style="58"/>
    <col min="1537" max="1537" width="1.375" style="58" customWidth="1"/>
    <col min="1538" max="1538" width="14.25" style="58" customWidth="1"/>
    <col min="1539" max="1539" width="6.625" style="58" customWidth="1"/>
    <col min="1540" max="1540" width="11.375" style="58" customWidth="1"/>
    <col min="1541" max="1541" width="9.625" style="58" customWidth="1"/>
    <col min="1542" max="1542" width="8" style="58" customWidth="1"/>
    <col min="1543" max="1543" width="11.375" style="58" customWidth="1"/>
    <col min="1544" max="1545" width="10" style="58" customWidth="1"/>
    <col min="1546" max="1546" width="9.625" style="58" customWidth="1"/>
    <col min="1547" max="1547" width="8.5" style="58" customWidth="1"/>
    <col min="1548" max="1548" width="11.375" style="58" customWidth="1"/>
    <col min="1549" max="1554" width="2.375" style="58" customWidth="1"/>
    <col min="1555" max="1558" width="3" style="58" customWidth="1"/>
    <col min="1559" max="1562" width="2.75" style="58" customWidth="1"/>
    <col min="1563" max="1568" width="2.375" style="58" customWidth="1"/>
    <col min="1569" max="1572" width="2.125" style="58" customWidth="1"/>
    <col min="1573" max="1792" width="8.375" style="58"/>
    <col min="1793" max="1793" width="1.375" style="58" customWidth="1"/>
    <col min="1794" max="1794" width="14.25" style="58" customWidth="1"/>
    <col min="1795" max="1795" width="6.625" style="58" customWidth="1"/>
    <col min="1796" max="1796" width="11.375" style="58" customWidth="1"/>
    <col min="1797" max="1797" width="9.625" style="58" customWidth="1"/>
    <col min="1798" max="1798" width="8" style="58" customWidth="1"/>
    <col min="1799" max="1799" width="11.375" style="58" customWidth="1"/>
    <col min="1800" max="1801" width="10" style="58" customWidth="1"/>
    <col min="1802" max="1802" width="9.625" style="58" customWidth="1"/>
    <col min="1803" max="1803" width="8.5" style="58" customWidth="1"/>
    <col min="1804" max="1804" width="11.375" style="58" customWidth="1"/>
    <col min="1805" max="1810" width="2.375" style="58" customWidth="1"/>
    <col min="1811" max="1814" width="3" style="58" customWidth="1"/>
    <col min="1815" max="1818" width="2.75" style="58" customWidth="1"/>
    <col min="1819" max="1824" width="2.375" style="58" customWidth="1"/>
    <col min="1825" max="1828" width="2.125" style="58" customWidth="1"/>
    <col min="1829" max="2048" width="8.375" style="58"/>
    <col min="2049" max="2049" width="1.375" style="58" customWidth="1"/>
    <col min="2050" max="2050" width="14.25" style="58" customWidth="1"/>
    <col min="2051" max="2051" width="6.625" style="58" customWidth="1"/>
    <col min="2052" max="2052" width="11.375" style="58" customWidth="1"/>
    <col min="2053" max="2053" width="9.625" style="58" customWidth="1"/>
    <col min="2054" max="2054" width="8" style="58" customWidth="1"/>
    <col min="2055" max="2055" width="11.375" style="58" customWidth="1"/>
    <col min="2056" max="2057" width="10" style="58" customWidth="1"/>
    <col min="2058" max="2058" width="9.625" style="58" customWidth="1"/>
    <col min="2059" max="2059" width="8.5" style="58" customWidth="1"/>
    <col min="2060" max="2060" width="11.375" style="58" customWidth="1"/>
    <col min="2061" max="2066" width="2.375" style="58" customWidth="1"/>
    <col min="2067" max="2070" width="3" style="58" customWidth="1"/>
    <col min="2071" max="2074" width="2.75" style="58" customWidth="1"/>
    <col min="2075" max="2080" width="2.375" style="58" customWidth="1"/>
    <col min="2081" max="2084" width="2.125" style="58" customWidth="1"/>
    <col min="2085" max="2304" width="8.375" style="58"/>
    <col min="2305" max="2305" width="1.375" style="58" customWidth="1"/>
    <col min="2306" max="2306" width="14.25" style="58" customWidth="1"/>
    <col min="2307" max="2307" width="6.625" style="58" customWidth="1"/>
    <col min="2308" max="2308" width="11.375" style="58" customWidth="1"/>
    <col min="2309" max="2309" width="9.625" style="58" customWidth="1"/>
    <col min="2310" max="2310" width="8" style="58" customWidth="1"/>
    <col min="2311" max="2311" width="11.375" style="58" customWidth="1"/>
    <col min="2312" max="2313" width="10" style="58" customWidth="1"/>
    <col min="2314" max="2314" width="9.625" style="58" customWidth="1"/>
    <col min="2315" max="2315" width="8.5" style="58" customWidth="1"/>
    <col min="2316" max="2316" width="11.375" style="58" customWidth="1"/>
    <col min="2317" max="2322" width="2.375" style="58" customWidth="1"/>
    <col min="2323" max="2326" width="3" style="58" customWidth="1"/>
    <col min="2327" max="2330" width="2.75" style="58" customWidth="1"/>
    <col min="2331" max="2336" width="2.375" style="58" customWidth="1"/>
    <col min="2337" max="2340" width="2.125" style="58" customWidth="1"/>
    <col min="2341" max="2560" width="8.375" style="58"/>
    <col min="2561" max="2561" width="1.375" style="58" customWidth="1"/>
    <col min="2562" max="2562" width="14.25" style="58" customWidth="1"/>
    <col min="2563" max="2563" width="6.625" style="58" customWidth="1"/>
    <col min="2564" max="2564" width="11.375" style="58" customWidth="1"/>
    <col min="2565" max="2565" width="9.625" style="58" customWidth="1"/>
    <col min="2566" max="2566" width="8" style="58" customWidth="1"/>
    <col min="2567" max="2567" width="11.375" style="58" customWidth="1"/>
    <col min="2568" max="2569" width="10" style="58" customWidth="1"/>
    <col min="2570" max="2570" width="9.625" style="58" customWidth="1"/>
    <col min="2571" max="2571" width="8.5" style="58" customWidth="1"/>
    <col min="2572" max="2572" width="11.375" style="58" customWidth="1"/>
    <col min="2573" max="2578" width="2.375" style="58" customWidth="1"/>
    <col min="2579" max="2582" width="3" style="58" customWidth="1"/>
    <col min="2583" max="2586" width="2.75" style="58" customWidth="1"/>
    <col min="2587" max="2592" width="2.375" style="58" customWidth="1"/>
    <col min="2593" max="2596" width="2.125" style="58" customWidth="1"/>
    <col min="2597" max="2816" width="8.375" style="58"/>
    <col min="2817" max="2817" width="1.375" style="58" customWidth="1"/>
    <col min="2818" max="2818" width="14.25" style="58" customWidth="1"/>
    <col min="2819" max="2819" width="6.625" style="58" customWidth="1"/>
    <col min="2820" max="2820" width="11.375" style="58" customWidth="1"/>
    <col min="2821" max="2821" width="9.625" style="58" customWidth="1"/>
    <col min="2822" max="2822" width="8" style="58" customWidth="1"/>
    <col min="2823" max="2823" width="11.375" style="58" customWidth="1"/>
    <col min="2824" max="2825" width="10" style="58" customWidth="1"/>
    <col min="2826" max="2826" width="9.625" style="58" customWidth="1"/>
    <col min="2827" max="2827" width="8.5" style="58" customWidth="1"/>
    <col min="2828" max="2828" width="11.375" style="58" customWidth="1"/>
    <col min="2829" max="2834" width="2.375" style="58" customWidth="1"/>
    <col min="2835" max="2838" width="3" style="58" customWidth="1"/>
    <col min="2839" max="2842" width="2.75" style="58" customWidth="1"/>
    <col min="2843" max="2848" width="2.375" style="58" customWidth="1"/>
    <col min="2849" max="2852" width="2.125" style="58" customWidth="1"/>
    <col min="2853" max="3072" width="8.375" style="58"/>
    <col min="3073" max="3073" width="1.375" style="58" customWidth="1"/>
    <col min="3074" max="3074" width="14.25" style="58" customWidth="1"/>
    <col min="3075" max="3075" width="6.625" style="58" customWidth="1"/>
    <col min="3076" max="3076" width="11.375" style="58" customWidth="1"/>
    <col min="3077" max="3077" width="9.625" style="58" customWidth="1"/>
    <col min="3078" max="3078" width="8" style="58" customWidth="1"/>
    <col min="3079" max="3079" width="11.375" style="58" customWidth="1"/>
    <col min="3080" max="3081" width="10" style="58" customWidth="1"/>
    <col min="3082" max="3082" width="9.625" style="58" customWidth="1"/>
    <col min="3083" max="3083" width="8.5" style="58" customWidth="1"/>
    <col min="3084" max="3084" width="11.375" style="58" customWidth="1"/>
    <col min="3085" max="3090" width="2.375" style="58" customWidth="1"/>
    <col min="3091" max="3094" width="3" style="58" customWidth="1"/>
    <col min="3095" max="3098" width="2.75" style="58" customWidth="1"/>
    <col min="3099" max="3104" width="2.375" style="58" customWidth="1"/>
    <col min="3105" max="3108" width="2.125" style="58" customWidth="1"/>
    <col min="3109" max="3328" width="8.375" style="58"/>
    <col min="3329" max="3329" width="1.375" style="58" customWidth="1"/>
    <col min="3330" max="3330" width="14.25" style="58" customWidth="1"/>
    <col min="3331" max="3331" width="6.625" style="58" customWidth="1"/>
    <col min="3332" max="3332" width="11.375" style="58" customWidth="1"/>
    <col min="3333" max="3333" width="9.625" style="58" customWidth="1"/>
    <col min="3334" max="3334" width="8" style="58" customWidth="1"/>
    <col min="3335" max="3335" width="11.375" style="58" customWidth="1"/>
    <col min="3336" max="3337" width="10" style="58" customWidth="1"/>
    <col min="3338" max="3338" width="9.625" style="58" customWidth="1"/>
    <col min="3339" max="3339" width="8.5" style="58" customWidth="1"/>
    <col min="3340" max="3340" width="11.375" style="58" customWidth="1"/>
    <col min="3341" max="3346" width="2.375" style="58" customWidth="1"/>
    <col min="3347" max="3350" width="3" style="58" customWidth="1"/>
    <col min="3351" max="3354" width="2.75" style="58" customWidth="1"/>
    <col min="3355" max="3360" width="2.375" style="58" customWidth="1"/>
    <col min="3361" max="3364" width="2.125" style="58" customWidth="1"/>
    <col min="3365" max="3584" width="8.375" style="58"/>
    <col min="3585" max="3585" width="1.375" style="58" customWidth="1"/>
    <col min="3586" max="3586" width="14.25" style="58" customWidth="1"/>
    <col min="3587" max="3587" width="6.625" style="58" customWidth="1"/>
    <col min="3588" max="3588" width="11.375" style="58" customWidth="1"/>
    <col min="3589" max="3589" width="9.625" style="58" customWidth="1"/>
    <col min="3590" max="3590" width="8" style="58" customWidth="1"/>
    <col min="3591" max="3591" width="11.375" style="58" customWidth="1"/>
    <col min="3592" max="3593" width="10" style="58" customWidth="1"/>
    <col min="3594" max="3594" width="9.625" style="58" customWidth="1"/>
    <col min="3595" max="3595" width="8.5" style="58" customWidth="1"/>
    <col min="3596" max="3596" width="11.375" style="58" customWidth="1"/>
    <col min="3597" max="3602" width="2.375" style="58" customWidth="1"/>
    <col min="3603" max="3606" width="3" style="58" customWidth="1"/>
    <col min="3607" max="3610" width="2.75" style="58" customWidth="1"/>
    <col min="3611" max="3616" width="2.375" style="58" customWidth="1"/>
    <col min="3617" max="3620" width="2.125" style="58" customWidth="1"/>
    <col min="3621" max="3840" width="8.375" style="58"/>
    <col min="3841" max="3841" width="1.375" style="58" customWidth="1"/>
    <col min="3842" max="3842" width="14.25" style="58" customWidth="1"/>
    <col min="3843" max="3843" width="6.625" style="58" customWidth="1"/>
    <col min="3844" max="3844" width="11.375" style="58" customWidth="1"/>
    <col min="3845" max="3845" width="9.625" style="58" customWidth="1"/>
    <col min="3846" max="3846" width="8" style="58" customWidth="1"/>
    <col min="3847" max="3847" width="11.375" style="58" customWidth="1"/>
    <col min="3848" max="3849" width="10" style="58" customWidth="1"/>
    <col min="3850" max="3850" width="9.625" style="58" customWidth="1"/>
    <col min="3851" max="3851" width="8.5" style="58" customWidth="1"/>
    <col min="3852" max="3852" width="11.375" style="58" customWidth="1"/>
    <col min="3853" max="3858" width="2.375" style="58" customWidth="1"/>
    <col min="3859" max="3862" width="3" style="58" customWidth="1"/>
    <col min="3863" max="3866" width="2.75" style="58" customWidth="1"/>
    <col min="3867" max="3872" width="2.375" style="58" customWidth="1"/>
    <col min="3873" max="3876" width="2.125" style="58" customWidth="1"/>
    <col min="3877" max="4096" width="8.375" style="58"/>
    <col min="4097" max="4097" width="1.375" style="58" customWidth="1"/>
    <col min="4098" max="4098" width="14.25" style="58" customWidth="1"/>
    <col min="4099" max="4099" width="6.625" style="58" customWidth="1"/>
    <col min="4100" max="4100" width="11.375" style="58" customWidth="1"/>
    <col min="4101" max="4101" width="9.625" style="58" customWidth="1"/>
    <col min="4102" max="4102" width="8" style="58" customWidth="1"/>
    <col min="4103" max="4103" width="11.375" style="58" customWidth="1"/>
    <col min="4104" max="4105" width="10" style="58" customWidth="1"/>
    <col min="4106" max="4106" width="9.625" style="58" customWidth="1"/>
    <col min="4107" max="4107" width="8.5" style="58" customWidth="1"/>
    <col min="4108" max="4108" width="11.375" style="58" customWidth="1"/>
    <col min="4109" max="4114" width="2.375" style="58" customWidth="1"/>
    <col min="4115" max="4118" width="3" style="58" customWidth="1"/>
    <col min="4119" max="4122" width="2.75" style="58" customWidth="1"/>
    <col min="4123" max="4128" width="2.375" style="58" customWidth="1"/>
    <col min="4129" max="4132" width="2.125" style="58" customWidth="1"/>
    <col min="4133" max="4352" width="8.375" style="58"/>
    <col min="4353" max="4353" width="1.375" style="58" customWidth="1"/>
    <col min="4354" max="4354" width="14.25" style="58" customWidth="1"/>
    <col min="4355" max="4355" width="6.625" style="58" customWidth="1"/>
    <col min="4356" max="4356" width="11.375" style="58" customWidth="1"/>
    <col min="4357" max="4357" width="9.625" style="58" customWidth="1"/>
    <col min="4358" max="4358" width="8" style="58" customWidth="1"/>
    <col min="4359" max="4359" width="11.375" style="58" customWidth="1"/>
    <col min="4360" max="4361" width="10" style="58" customWidth="1"/>
    <col min="4362" max="4362" width="9.625" style="58" customWidth="1"/>
    <col min="4363" max="4363" width="8.5" style="58" customWidth="1"/>
    <col min="4364" max="4364" width="11.375" style="58" customWidth="1"/>
    <col min="4365" max="4370" width="2.375" style="58" customWidth="1"/>
    <col min="4371" max="4374" width="3" style="58" customWidth="1"/>
    <col min="4375" max="4378" width="2.75" style="58" customWidth="1"/>
    <col min="4379" max="4384" width="2.375" style="58" customWidth="1"/>
    <col min="4385" max="4388" width="2.125" style="58" customWidth="1"/>
    <col min="4389" max="4608" width="8.375" style="58"/>
    <col min="4609" max="4609" width="1.375" style="58" customWidth="1"/>
    <col min="4610" max="4610" width="14.25" style="58" customWidth="1"/>
    <col min="4611" max="4611" width="6.625" style="58" customWidth="1"/>
    <col min="4612" max="4612" width="11.375" style="58" customWidth="1"/>
    <col min="4613" max="4613" width="9.625" style="58" customWidth="1"/>
    <col min="4614" max="4614" width="8" style="58" customWidth="1"/>
    <col min="4615" max="4615" width="11.375" style="58" customWidth="1"/>
    <col min="4616" max="4617" width="10" style="58" customWidth="1"/>
    <col min="4618" max="4618" width="9.625" style="58" customWidth="1"/>
    <col min="4619" max="4619" width="8.5" style="58" customWidth="1"/>
    <col min="4620" max="4620" width="11.375" style="58" customWidth="1"/>
    <col min="4621" max="4626" width="2.375" style="58" customWidth="1"/>
    <col min="4627" max="4630" width="3" style="58" customWidth="1"/>
    <col min="4631" max="4634" width="2.75" style="58" customWidth="1"/>
    <col min="4635" max="4640" width="2.375" style="58" customWidth="1"/>
    <col min="4641" max="4644" width="2.125" style="58" customWidth="1"/>
    <col min="4645" max="4864" width="8.375" style="58"/>
    <col min="4865" max="4865" width="1.375" style="58" customWidth="1"/>
    <col min="4866" max="4866" width="14.25" style="58" customWidth="1"/>
    <col min="4867" max="4867" width="6.625" style="58" customWidth="1"/>
    <col min="4868" max="4868" width="11.375" style="58" customWidth="1"/>
    <col min="4869" max="4869" width="9.625" style="58" customWidth="1"/>
    <col min="4870" max="4870" width="8" style="58" customWidth="1"/>
    <col min="4871" max="4871" width="11.375" style="58" customWidth="1"/>
    <col min="4872" max="4873" width="10" style="58" customWidth="1"/>
    <col min="4874" max="4874" width="9.625" style="58" customWidth="1"/>
    <col min="4875" max="4875" width="8.5" style="58" customWidth="1"/>
    <col min="4876" max="4876" width="11.375" style="58" customWidth="1"/>
    <col min="4877" max="4882" width="2.375" style="58" customWidth="1"/>
    <col min="4883" max="4886" width="3" style="58" customWidth="1"/>
    <col min="4887" max="4890" width="2.75" style="58" customWidth="1"/>
    <col min="4891" max="4896" width="2.375" style="58" customWidth="1"/>
    <col min="4897" max="4900" width="2.125" style="58" customWidth="1"/>
    <col min="4901" max="5120" width="8.375" style="58"/>
    <col min="5121" max="5121" width="1.375" style="58" customWidth="1"/>
    <col min="5122" max="5122" width="14.25" style="58" customWidth="1"/>
    <col min="5123" max="5123" width="6.625" style="58" customWidth="1"/>
    <col min="5124" max="5124" width="11.375" style="58" customWidth="1"/>
    <col min="5125" max="5125" width="9.625" style="58" customWidth="1"/>
    <col min="5126" max="5126" width="8" style="58" customWidth="1"/>
    <col min="5127" max="5127" width="11.375" style="58" customWidth="1"/>
    <col min="5128" max="5129" width="10" style="58" customWidth="1"/>
    <col min="5130" max="5130" width="9.625" style="58" customWidth="1"/>
    <col min="5131" max="5131" width="8.5" style="58" customWidth="1"/>
    <col min="5132" max="5132" width="11.375" style="58" customWidth="1"/>
    <col min="5133" max="5138" width="2.375" style="58" customWidth="1"/>
    <col min="5139" max="5142" width="3" style="58" customWidth="1"/>
    <col min="5143" max="5146" width="2.75" style="58" customWidth="1"/>
    <col min="5147" max="5152" width="2.375" style="58" customWidth="1"/>
    <col min="5153" max="5156" width="2.125" style="58" customWidth="1"/>
    <col min="5157" max="5376" width="8.375" style="58"/>
    <col min="5377" max="5377" width="1.375" style="58" customWidth="1"/>
    <col min="5378" max="5378" width="14.25" style="58" customWidth="1"/>
    <col min="5379" max="5379" width="6.625" style="58" customWidth="1"/>
    <col min="5380" max="5380" width="11.375" style="58" customWidth="1"/>
    <col min="5381" max="5381" width="9.625" style="58" customWidth="1"/>
    <col min="5382" max="5382" width="8" style="58" customWidth="1"/>
    <col min="5383" max="5383" width="11.375" style="58" customWidth="1"/>
    <col min="5384" max="5385" width="10" style="58" customWidth="1"/>
    <col min="5386" max="5386" width="9.625" style="58" customWidth="1"/>
    <col min="5387" max="5387" width="8.5" style="58" customWidth="1"/>
    <col min="5388" max="5388" width="11.375" style="58" customWidth="1"/>
    <col min="5389" max="5394" width="2.375" style="58" customWidth="1"/>
    <col min="5395" max="5398" width="3" style="58" customWidth="1"/>
    <col min="5399" max="5402" width="2.75" style="58" customWidth="1"/>
    <col min="5403" max="5408" width="2.375" style="58" customWidth="1"/>
    <col min="5409" max="5412" width="2.125" style="58" customWidth="1"/>
    <col min="5413" max="5632" width="8.375" style="58"/>
    <col min="5633" max="5633" width="1.375" style="58" customWidth="1"/>
    <col min="5634" max="5634" width="14.25" style="58" customWidth="1"/>
    <col min="5635" max="5635" width="6.625" style="58" customWidth="1"/>
    <col min="5636" max="5636" width="11.375" style="58" customWidth="1"/>
    <col min="5637" max="5637" width="9.625" style="58" customWidth="1"/>
    <col min="5638" max="5638" width="8" style="58" customWidth="1"/>
    <col min="5639" max="5639" width="11.375" style="58" customWidth="1"/>
    <col min="5640" max="5641" width="10" style="58" customWidth="1"/>
    <col min="5642" max="5642" width="9.625" style="58" customWidth="1"/>
    <col min="5643" max="5643" width="8.5" style="58" customWidth="1"/>
    <col min="5644" max="5644" width="11.375" style="58" customWidth="1"/>
    <col min="5645" max="5650" width="2.375" style="58" customWidth="1"/>
    <col min="5651" max="5654" width="3" style="58" customWidth="1"/>
    <col min="5655" max="5658" width="2.75" style="58" customWidth="1"/>
    <col min="5659" max="5664" width="2.375" style="58" customWidth="1"/>
    <col min="5665" max="5668" width="2.125" style="58" customWidth="1"/>
    <col min="5669" max="5888" width="8.375" style="58"/>
    <col min="5889" max="5889" width="1.375" style="58" customWidth="1"/>
    <col min="5890" max="5890" width="14.25" style="58" customWidth="1"/>
    <col min="5891" max="5891" width="6.625" style="58" customWidth="1"/>
    <col min="5892" max="5892" width="11.375" style="58" customWidth="1"/>
    <col min="5893" max="5893" width="9.625" style="58" customWidth="1"/>
    <col min="5894" max="5894" width="8" style="58" customWidth="1"/>
    <col min="5895" max="5895" width="11.375" style="58" customWidth="1"/>
    <col min="5896" max="5897" width="10" style="58" customWidth="1"/>
    <col min="5898" max="5898" width="9.625" style="58" customWidth="1"/>
    <col min="5899" max="5899" width="8.5" style="58" customWidth="1"/>
    <col min="5900" max="5900" width="11.375" style="58" customWidth="1"/>
    <col min="5901" max="5906" width="2.375" style="58" customWidth="1"/>
    <col min="5907" max="5910" width="3" style="58" customWidth="1"/>
    <col min="5911" max="5914" width="2.75" style="58" customWidth="1"/>
    <col min="5915" max="5920" width="2.375" style="58" customWidth="1"/>
    <col min="5921" max="5924" width="2.125" style="58" customWidth="1"/>
    <col min="5925" max="6144" width="8.375" style="58"/>
    <col min="6145" max="6145" width="1.375" style="58" customWidth="1"/>
    <col min="6146" max="6146" width="14.25" style="58" customWidth="1"/>
    <col min="6147" max="6147" width="6.625" style="58" customWidth="1"/>
    <col min="6148" max="6148" width="11.375" style="58" customWidth="1"/>
    <col min="6149" max="6149" width="9.625" style="58" customWidth="1"/>
    <col min="6150" max="6150" width="8" style="58" customWidth="1"/>
    <col min="6151" max="6151" width="11.375" style="58" customWidth="1"/>
    <col min="6152" max="6153" width="10" style="58" customWidth="1"/>
    <col min="6154" max="6154" width="9.625" style="58" customWidth="1"/>
    <col min="6155" max="6155" width="8.5" style="58" customWidth="1"/>
    <col min="6156" max="6156" width="11.375" style="58" customWidth="1"/>
    <col min="6157" max="6162" width="2.375" style="58" customWidth="1"/>
    <col min="6163" max="6166" width="3" style="58" customWidth="1"/>
    <col min="6167" max="6170" width="2.75" style="58" customWidth="1"/>
    <col min="6171" max="6176" width="2.375" style="58" customWidth="1"/>
    <col min="6177" max="6180" width="2.125" style="58" customWidth="1"/>
    <col min="6181" max="6400" width="8.375" style="58"/>
    <col min="6401" max="6401" width="1.375" style="58" customWidth="1"/>
    <col min="6402" max="6402" width="14.25" style="58" customWidth="1"/>
    <col min="6403" max="6403" width="6.625" style="58" customWidth="1"/>
    <col min="6404" max="6404" width="11.375" style="58" customWidth="1"/>
    <col min="6405" max="6405" width="9.625" style="58" customWidth="1"/>
    <col min="6406" max="6406" width="8" style="58" customWidth="1"/>
    <col min="6407" max="6407" width="11.375" style="58" customWidth="1"/>
    <col min="6408" max="6409" width="10" style="58" customWidth="1"/>
    <col min="6410" max="6410" width="9.625" style="58" customWidth="1"/>
    <col min="6411" max="6411" width="8.5" style="58" customWidth="1"/>
    <col min="6412" max="6412" width="11.375" style="58" customWidth="1"/>
    <col min="6413" max="6418" width="2.375" style="58" customWidth="1"/>
    <col min="6419" max="6422" width="3" style="58" customWidth="1"/>
    <col min="6423" max="6426" width="2.75" style="58" customWidth="1"/>
    <col min="6427" max="6432" width="2.375" style="58" customWidth="1"/>
    <col min="6433" max="6436" width="2.125" style="58" customWidth="1"/>
    <col min="6437" max="6656" width="8.375" style="58"/>
    <col min="6657" max="6657" width="1.375" style="58" customWidth="1"/>
    <col min="6658" max="6658" width="14.25" style="58" customWidth="1"/>
    <col min="6659" max="6659" width="6.625" style="58" customWidth="1"/>
    <col min="6660" max="6660" width="11.375" style="58" customWidth="1"/>
    <col min="6661" max="6661" width="9.625" style="58" customWidth="1"/>
    <col min="6662" max="6662" width="8" style="58" customWidth="1"/>
    <col min="6663" max="6663" width="11.375" style="58" customWidth="1"/>
    <col min="6664" max="6665" width="10" style="58" customWidth="1"/>
    <col min="6666" max="6666" width="9.625" style="58" customWidth="1"/>
    <col min="6667" max="6667" width="8.5" style="58" customWidth="1"/>
    <col min="6668" max="6668" width="11.375" style="58" customWidth="1"/>
    <col min="6669" max="6674" width="2.375" style="58" customWidth="1"/>
    <col min="6675" max="6678" width="3" style="58" customWidth="1"/>
    <col min="6679" max="6682" width="2.75" style="58" customWidth="1"/>
    <col min="6683" max="6688" width="2.375" style="58" customWidth="1"/>
    <col min="6689" max="6692" width="2.125" style="58" customWidth="1"/>
    <col min="6693" max="6912" width="8.375" style="58"/>
    <col min="6913" max="6913" width="1.375" style="58" customWidth="1"/>
    <col min="6914" max="6914" width="14.25" style="58" customWidth="1"/>
    <col min="6915" max="6915" width="6.625" style="58" customWidth="1"/>
    <col min="6916" max="6916" width="11.375" style="58" customWidth="1"/>
    <col min="6917" max="6917" width="9.625" style="58" customWidth="1"/>
    <col min="6918" max="6918" width="8" style="58" customWidth="1"/>
    <col min="6919" max="6919" width="11.375" style="58" customWidth="1"/>
    <col min="6920" max="6921" width="10" style="58" customWidth="1"/>
    <col min="6922" max="6922" width="9.625" style="58" customWidth="1"/>
    <col min="6923" max="6923" width="8.5" style="58" customWidth="1"/>
    <col min="6924" max="6924" width="11.375" style="58" customWidth="1"/>
    <col min="6925" max="6930" width="2.375" style="58" customWidth="1"/>
    <col min="6931" max="6934" width="3" style="58" customWidth="1"/>
    <col min="6935" max="6938" width="2.75" style="58" customWidth="1"/>
    <col min="6939" max="6944" width="2.375" style="58" customWidth="1"/>
    <col min="6945" max="6948" width="2.125" style="58" customWidth="1"/>
    <col min="6949" max="7168" width="8.375" style="58"/>
    <col min="7169" max="7169" width="1.375" style="58" customWidth="1"/>
    <col min="7170" max="7170" width="14.25" style="58" customWidth="1"/>
    <col min="7171" max="7171" width="6.625" style="58" customWidth="1"/>
    <col min="7172" max="7172" width="11.375" style="58" customWidth="1"/>
    <col min="7173" max="7173" width="9.625" style="58" customWidth="1"/>
    <col min="7174" max="7174" width="8" style="58" customWidth="1"/>
    <col min="7175" max="7175" width="11.375" style="58" customWidth="1"/>
    <col min="7176" max="7177" width="10" style="58" customWidth="1"/>
    <col min="7178" max="7178" width="9.625" style="58" customWidth="1"/>
    <col min="7179" max="7179" width="8.5" style="58" customWidth="1"/>
    <col min="7180" max="7180" width="11.375" style="58" customWidth="1"/>
    <col min="7181" max="7186" width="2.375" style="58" customWidth="1"/>
    <col min="7187" max="7190" width="3" style="58" customWidth="1"/>
    <col min="7191" max="7194" width="2.75" style="58" customWidth="1"/>
    <col min="7195" max="7200" width="2.375" style="58" customWidth="1"/>
    <col min="7201" max="7204" width="2.125" style="58" customWidth="1"/>
    <col min="7205" max="7424" width="8.375" style="58"/>
    <col min="7425" max="7425" width="1.375" style="58" customWidth="1"/>
    <col min="7426" max="7426" width="14.25" style="58" customWidth="1"/>
    <col min="7427" max="7427" width="6.625" style="58" customWidth="1"/>
    <col min="7428" max="7428" width="11.375" style="58" customWidth="1"/>
    <col min="7429" max="7429" width="9.625" style="58" customWidth="1"/>
    <col min="7430" max="7430" width="8" style="58" customWidth="1"/>
    <col min="7431" max="7431" width="11.375" style="58" customWidth="1"/>
    <col min="7432" max="7433" width="10" style="58" customWidth="1"/>
    <col min="7434" max="7434" width="9.625" style="58" customWidth="1"/>
    <col min="7435" max="7435" width="8.5" style="58" customWidth="1"/>
    <col min="7436" max="7436" width="11.375" style="58" customWidth="1"/>
    <col min="7437" max="7442" width="2.375" style="58" customWidth="1"/>
    <col min="7443" max="7446" width="3" style="58" customWidth="1"/>
    <col min="7447" max="7450" width="2.75" style="58" customWidth="1"/>
    <col min="7451" max="7456" width="2.375" style="58" customWidth="1"/>
    <col min="7457" max="7460" width="2.125" style="58" customWidth="1"/>
    <col min="7461" max="7680" width="8.375" style="58"/>
    <col min="7681" max="7681" width="1.375" style="58" customWidth="1"/>
    <col min="7682" max="7682" width="14.25" style="58" customWidth="1"/>
    <col min="7683" max="7683" width="6.625" style="58" customWidth="1"/>
    <col min="7684" max="7684" width="11.375" style="58" customWidth="1"/>
    <col min="7685" max="7685" width="9.625" style="58" customWidth="1"/>
    <col min="7686" max="7686" width="8" style="58" customWidth="1"/>
    <col min="7687" max="7687" width="11.375" style="58" customWidth="1"/>
    <col min="7688" max="7689" width="10" style="58" customWidth="1"/>
    <col min="7690" max="7690" width="9.625" style="58" customWidth="1"/>
    <col min="7691" max="7691" width="8.5" style="58" customWidth="1"/>
    <col min="7692" max="7692" width="11.375" style="58" customWidth="1"/>
    <col min="7693" max="7698" width="2.375" style="58" customWidth="1"/>
    <col min="7699" max="7702" width="3" style="58" customWidth="1"/>
    <col min="7703" max="7706" width="2.75" style="58" customWidth="1"/>
    <col min="7707" max="7712" width="2.375" style="58" customWidth="1"/>
    <col min="7713" max="7716" width="2.125" style="58" customWidth="1"/>
    <col min="7717" max="7936" width="8.375" style="58"/>
    <col min="7937" max="7937" width="1.375" style="58" customWidth="1"/>
    <col min="7938" max="7938" width="14.25" style="58" customWidth="1"/>
    <col min="7939" max="7939" width="6.625" style="58" customWidth="1"/>
    <col min="7940" max="7940" width="11.375" style="58" customWidth="1"/>
    <col min="7941" max="7941" width="9.625" style="58" customWidth="1"/>
    <col min="7942" max="7942" width="8" style="58" customWidth="1"/>
    <col min="7943" max="7943" width="11.375" style="58" customWidth="1"/>
    <col min="7944" max="7945" width="10" style="58" customWidth="1"/>
    <col min="7946" max="7946" width="9.625" style="58" customWidth="1"/>
    <col min="7947" max="7947" width="8.5" style="58" customWidth="1"/>
    <col min="7948" max="7948" width="11.375" style="58" customWidth="1"/>
    <col min="7949" max="7954" width="2.375" style="58" customWidth="1"/>
    <col min="7955" max="7958" width="3" style="58" customWidth="1"/>
    <col min="7959" max="7962" width="2.75" style="58" customWidth="1"/>
    <col min="7963" max="7968" width="2.375" style="58" customWidth="1"/>
    <col min="7969" max="7972" width="2.125" style="58" customWidth="1"/>
    <col min="7973" max="8192" width="8.375" style="58"/>
    <col min="8193" max="8193" width="1.375" style="58" customWidth="1"/>
    <col min="8194" max="8194" width="14.25" style="58" customWidth="1"/>
    <col min="8195" max="8195" width="6.625" style="58" customWidth="1"/>
    <col min="8196" max="8196" width="11.375" style="58" customWidth="1"/>
    <col min="8197" max="8197" width="9.625" style="58" customWidth="1"/>
    <col min="8198" max="8198" width="8" style="58" customWidth="1"/>
    <col min="8199" max="8199" width="11.375" style="58" customWidth="1"/>
    <col min="8200" max="8201" width="10" style="58" customWidth="1"/>
    <col min="8202" max="8202" width="9.625" style="58" customWidth="1"/>
    <col min="8203" max="8203" width="8.5" style="58" customWidth="1"/>
    <col min="8204" max="8204" width="11.375" style="58" customWidth="1"/>
    <col min="8205" max="8210" width="2.375" style="58" customWidth="1"/>
    <col min="8211" max="8214" width="3" style="58" customWidth="1"/>
    <col min="8215" max="8218" width="2.75" style="58" customWidth="1"/>
    <col min="8219" max="8224" width="2.375" style="58" customWidth="1"/>
    <col min="8225" max="8228" width="2.125" style="58" customWidth="1"/>
    <col min="8229" max="8448" width="8.375" style="58"/>
    <col min="8449" max="8449" width="1.375" style="58" customWidth="1"/>
    <col min="8450" max="8450" width="14.25" style="58" customWidth="1"/>
    <col min="8451" max="8451" width="6.625" style="58" customWidth="1"/>
    <col min="8452" max="8452" width="11.375" style="58" customWidth="1"/>
    <col min="8453" max="8453" width="9.625" style="58" customWidth="1"/>
    <col min="8454" max="8454" width="8" style="58" customWidth="1"/>
    <col min="8455" max="8455" width="11.375" style="58" customWidth="1"/>
    <col min="8456" max="8457" width="10" style="58" customWidth="1"/>
    <col min="8458" max="8458" width="9.625" style="58" customWidth="1"/>
    <col min="8459" max="8459" width="8.5" style="58" customWidth="1"/>
    <col min="8460" max="8460" width="11.375" style="58" customWidth="1"/>
    <col min="8461" max="8466" width="2.375" style="58" customWidth="1"/>
    <col min="8467" max="8470" width="3" style="58" customWidth="1"/>
    <col min="8471" max="8474" width="2.75" style="58" customWidth="1"/>
    <col min="8475" max="8480" width="2.375" style="58" customWidth="1"/>
    <col min="8481" max="8484" width="2.125" style="58" customWidth="1"/>
    <col min="8485" max="8704" width="8.375" style="58"/>
    <col min="8705" max="8705" width="1.375" style="58" customWidth="1"/>
    <col min="8706" max="8706" width="14.25" style="58" customWidth="1"/>
    <col min="8707" max="8707" width="6.625" style="58" customWidth="1"/>
    <col min="8708" max="8708" width="11.375" style="58" customWidth="1"/>
    <col min="8709" max="8709" width="9.625" style="58" customWidth="1"/>
    <col min="8710" max="8710" width="8" style="58" customWidth="1"/>
    <col min="8711" max="8711" width="11.375" style="58" customWidth="1"/>
    <col min="8712" max="8713" width="10" style="58" customWidth="1"/>
    <col min="8714" max="8714" width="9.625" style="58" customWidth="1"/>
    <col min="8715" max="8715" width="8.5" style="58" customWidth="1"/>
    <col min="8716" max="8716" width="11.375" style="58" customWidth="1"/>
    <col min="8717" max="8722" width="2.375" style="58" customWidth="1"/>
    <col min="8723" max="8726" width="3" style="58" customWidth="1"/>
    <col min="8727" max="8730" width="2.75" style="58" customWidth="1"/>
    <col min="8731" max="8736" width="2.375" style="58" customWidth="1"/>
    <col min="8737" max="8740" width="2.125" style="58" customWidth="1"/>
    <col min="8741" max="8960" width="8.375" style="58"/>
    <col min="8961" max="8961" width="1.375" style="58" customWidth="1"/>
    <col min="8962" max="8962" width="14.25" style="58" customWidth="1"/>
    <col min="8963" max="8963" width="6.625" style="58" customWidth="1"/>
    <col min="8964" max="8964" width="11.375" style="58" customWidth="1"/>
    <col min="8965" max="8965" width="9.625" style="58" customWidth="1"/>
    <col min="8966" max="8966" width="8" style="58" customWidth="1"/>
    <col min="8967" max="8967" width="11.375" style="58" customWidth="1"/>
    <col min="8968" max="8969" width="10" style="58" customWidth="1"/>
    <col min="8970" max="8970" width="9.625" style="58" customWidth="1"/>
    <col min="8971" max="8971" width="8.5" style="58" customWidth="1"/>
    <col min="8972" max="8972" width="11.375" style="58" customWidth="1"/>
    <col min="8973" max="8978" width="2.375" style="58" customWidth="1"/>
    <col min="8979" max="8982" width="3" style="58" customWidth="1"/>
    <col min="8983" max="8986" width="2.75" style="58" customWidth="1"/>
    <col min="8987" max="8992" width="2.375" style="58" customWidth="1"/>
    <col min="8993" max="8996" width="2.125" style="58" customWidth="1"/>
    <col min="8997" max="9216" width="8.375" style="58"/>
    <col min="9217" max="9217" width="1.375" style="58" customWidth="1"/>
    <col min="9218" max="9218" width="14.25" style="58" customWidth="1"/>
    <col min="9219" max="9219" width="6.625" style="58" customWidth="1"/>
    <col min="9220" max="9220" width="11.375" style="58" customWidth="1"/>
    <col min="9221" max="9221" width="9.625" style="58" customWidth="1"/>
    <col min="9222" max="9222" width="8" style="58" customWidth="1"/>
    <col min="9223" max="9223" width="11.375" style="58" customWidth="1"/>
    <col min="9224" max="9225" width="10" style="58" customWidth="1"/>
    <col min="9226" max="9226" width="9.625" style="58" customWidth="1"/>
    <col min="9227" max="9227" width="8.5" style="58" customWidth="1"/>
    <col min="9228" max="9228" width="11.375" style="58" customWidth="1"/>
    <col min="9229" max="9234" width="2.375" style="58" customWidth="1"/>
    <col min="9235" max="9238" width="3" style="58" customWidth="1"/>
    <col min="9239" max="9242" width="2.75" style="58" customWidth="1"/>
    <col min="9243" max="9248" width="2.375" style="58" customWidth="1"/>
    <col min="9249" max="9252" width="2.125" style="58" customWidth="1"/>
    <col min="9253" max="9472" width="8.375" style="58"/>
    <col min="9473" max="9473" width="1.375" style="58" customWidth="1"/>
    <col min="9474" max="9474" width="14.25" style="58" customWidth="1"/>
    <col min="9475" max="9475" width="6.625" style="58" customWidth="1"/>
    <col min="9476" max="9476" width="11.375" style="58" customWidth="1"/>
    <col min="9477" max="9477" width="9.625" style="58" customWidth="1"/>
    <col min="9478" max="9478" width="8" style="58" customWidth="1"/>
    <col min="9479" max="9479" width="11.375" style="58" customWidth="1"/>
    <col min="9480" max="9481" width="10" style="58" customWidth="1"/>
    <col min="9482" max="9482" width="9.625" style="58" customWidth="1"/>
    <col min="9483" max="9483" width="8.5" style="58" customWidth="1"/>
    <col min="9484" max="9484" width="11.375" style="58" customWidth="1"/>
    <col min="9485" max="9490" width="2.375" style="58" customWidth="1"/>
    <col min="9491" max="9494" width="3" style="58" customWidth="1"/>
    <col min="9495" max="9498" width="2.75" style="58" customWidth="1"/>
    <col min="9499" max="9504" width="2.375" style="58" customWidth="1"/>
    <col min="9505" max="9508" width="2.125" style="58" customWidth="1"/>
    <col min="9509" max="9728" width="8.375" style="58"/>
    <col min="9729" max="9729" width="1.375" style="58" customWidth="1"/>
    <col min="9730" max="9730" width="14.25" style="58" customWidth="1"/>
    <col min="9731" max="9731" width="6.625" style="58" customWidth="1"/>
    <col min="9732" max="9732" width="11.375" style="58" customWidth="1"/>
    <col min="9733" max="9733" width="9.625" style="58" customWidth="1"/>
    <col min="9734" max="9734" width="8" style="58" customWidth="1"/>
    <col min="9735" max="9735" width="11.375" style="58" customWidth="1"/>
    <col min="9736" max="9737" width="10" style="58" customWidth="1"/>
    <col min="9738" max="9738" width="9.625" style="58" customWidth="1"/>
    <col min="9739" max="9739" width="8.5" style="58" customWidth="1"/>
    <col min="9740" max="9740" width="11.375" style="58" customWidth="1"/>
    <col min="9741" max="9746" width="2.375" style="58" customWidth="1"/>
    <col min="9747" max="9750" width="3" style="58" customWidth="1"/>
    <col min="9751" max="9754" width="2.75" style="58" customWidth="1"/>
    <col min="9755" max="9760" width="2.375" style="58" customWidth="1"/>
    <col min="9761" max="9764" width="2.125" style="58" customWidth="1"/>
    <col min="9765" max="9984" width="8.375" style="58"/>
    <col min="9985" max="9985" width="1.375" style="58" customWidth="1"/>
    <col min="9986" max="9986" width="14.25" style="58" customWidth="1"/>
    <col min="9987" max="9987" width="6.625" style="58" customWidth="1"/>
    <col min="9988" max="9988" width="11.375" style="58" customWidth="1"/>
    <col min="9989" max="9989" width="9.625" style="58" customWidth="1"/>
    <col min="9990" max="9990" width="8" style="58" customWidth="1"/>
    <col min="9991" max="9991" width="11.375" style="58" customWidth="1"/>
    <col min="9992" max="9993" width="10" style="58" customWidth="1"/>
    <col min="9994" max="9994" width="9.625" style="58" customWidth="1"/>
    <col min="9995" max="9995" width="8.5" style="58" customWidth="1"/>
    <col min="9996" max="9996" width="11.375" style="58" customWidth="1"/>
    <col min="9997" max="10002" width="2.375" style="58" customWidth="1"/>
    <col min="10003" max="10006" width="3" style="58" customWidth="1"/>
    <col min="10007" max="10010" width="2.75" style="58" customWidth="1"/>
    <col min="10011" max="10016" width="2.375" style="58" customWidth="1"/>
    <col min="10017" max="10020" width="2.125" style="58" customWidth="1"/>
    <col min="10021" max="10240" width="8.375" style="58"/>
    <col min="10241" max="10241" width="1.375" style="58" customWidth="1"/>
    <col min="10242" max="10242" width="14.25" style="58" customWidth="1"/>
    <col min="10243" max="10243" width="6.625" style="58" customWidth="1"/>
    <col min="10244" max="10244" width="11.375" style="58" customWidth="1"/>
    <col min="10245" max="10245" width="9.625" style="58" customWidth="1"/>
    <col min="10246" max="10246" width="8" style="58" customWidth="1"/>
    <col min="10247" max="10247" width="11.375" style="58" customWidth="1"/>
    <col min="10248" max="10249" width="10" style="58" customWidth="1"/>
    <col min="10250" max="10250" width="9.625" style="58" customWidth="1"/>
    <col min="10251" max="10251" width="8.5" style="58" customWidth="1"/>
    <col min="10252" max="10252" width="11.375" style="58" customWidth="1"/>
    <col min="10253" max="10258" width="2.375" style="58" customWidth="1"/>
    <col min="10259" max="10262" width="3" style="58" customWidth="1"/>
    <col min="10263" max="10266" width="2.75" style="58" customWidth="1"/>
    <col min="10267" max="10272" width="2.375" style="58" customWidth="1"/>
    <col min="10273" max="10276" width="2.125" style="58" customWidth="1"/>
    <col min="10277" max="10496" width="8.375" style="58"/>
    <col min="10497" max="10497" width="1.375" style="58" customWidth="1"/>
    <col min="10498" max="10498" width="14.25" style="58" customWidth="1"/>
    <col min="10499" max="10499" width="6.625" style="58" customWidth="1"/>
    <col min="10500" max="10500" width="11.375" style="58" customWidth="1"/>
    <col min="10501" max="10501" width="9.625" style="58" customWidth="1"/>
    <col min="10502" max="10502" width="8" style="58" customWidth="1"/>
    <col min="10503" max="10503" width="11.375" style="58" customWidth="1"/>
    <col min="10504" max="10505" width="10" style="58" customWidth="1"/>
    <col min="10506" max="10506" width="9.625" style="58" customWidth="1"/>
    <col min="10507" max="10507" width="8.5" style="58" customWidth="1"/>
    <col min="10508" max="10508" width="11.375" style="58" customWidth="1"/>
    <col min="10509" max="10514" width="2.375" style="58" customWidth="1"/>
    <col min="10515" max="10518" width="3" style="58" customWidth="1"/>
    <col min="10519" max="10522" width="2.75" style="58" customWidth="1"/>
    <col min="10523" max="10528" width="2.375" style="58" customWidth="1"/>
    <col min="10529" max="10532" width="2.125" style="58" customWidth="1"/>
    <col min="10533" max="10752" width="8.375" style="58"/>
    <col min="10753" max="10753" width="1.375" style="58" customWidth="1"/>
    <col min="10754" max="10754" width="14.25" style="58" customWidth="1"/>
    <col min="10755" max="10755" width="6.625" style="58" customWidth="1"/>
    <col min="10756" max="10756" width="11.375" style="58" customWidth="1"/>
    <col min="10757" max="10757" width="9.625" style="58" customWidth="1"/>
    <col min="10758" max="10758" width="8" style="58" customWidth="1"/>
    <col min="10759" max="10759" width="11.375" style="58" customWidth="1"/>
    <col min="10760" max="10761" width="10" style="58" customWidth="1"/>
    <col min="10762" max="10762" width="9.625" style="58" customWidth="1"/>
    <col min="10763" max="10763" width="8.5" style="58" customWidth="1"/>
    <col min="10764" max="10764" width="11.375" style="58" customWidth="1"/>
    <col min="10765" max="10770" width="2.375" style="58" customWidth="1"/>
    <col min="10771" max="10774" width="3" style="58" customWidth="1"/>
    <col min="10775" max="10778" width="2.75" style="58" customWidth="1"/>
    <col min="10779" max="10784" width="2.375" style="58" customWidth="1"/>
    <col min="10785" max="10788" width="2.125" style="58" customWidth="1"/>
    <col min="10789" max="11008" width="8.375" style="58"/>
    <col min="11009" max="11009" width="1.375" style="58" customWidth="1"/>
    <col min="11010" max="11010" width="14.25" style="58" customWidth="1"/>
    <col min="11011" max="11011" width="6.625" style="58" customWidth="1"/>
    <col min="11012" max="11012" width="11.375" style="58" customWidth="1"/>
    <col min="11013" max="11013" width="9.625" style="58" customWidth="1"/>
    <col min="11014" max="11014" width="8" style="58" customWidth="1"/>
    <col min="11015" max="11015" width="11.375" style="58" customWidth="1"/>
    <col min="11016" max="11017" width="10" style="58" customWidth="1"/>
    <col min="11018" max="11018" width="9.625" style="58" customWidth="1"/>
    <col min="11019" max="11019" width="8.5" style="58" customWidth="1"/>
    <col min="11020" max="11020" width="11.375" style="58" customWidth="1"/>
    <col min="11021" max="11026" width="2.375" style="58" customWidth="1"/>
    <col min="11027" max="11030" width="3" style="58" customWidth="1"/>
    <col min="11031" max="11034" width="2.75" style="58" customWidth="1"/>
    <col min="11035" max="11040" width="2.375" style="58" customWidth="1"/>
    <col min="11041" max="11044" width="2.125" style="58" customWidth="1"/>
    <col min="11045" max="11264" width="8.375" style="58"/>
    <col min="11265" max="11265" width="1.375" style="58" customWidth="1"/>
    <col min="11266" max="11266" width="14.25" style="58" customWidth="1"/>
    <col min="11267" max="11267" width="6.625" style="58" customWidth="1"/>
    <col min="11268" max="11268" width="11.375" style="58" customWidth="1"/>
    <col min="11269" max="11269" width="9.625" style="58" customWidth="1"/>
    <col min="11270" max="11270" width="8" style="58" customWidth="1"/>
    <col min="11271" max="11271" width="11.375" style="58" customWidth="1"/>
    <col min="11272" max="11273" width="10" style="58" customWidth="1"/>
    <col min="11274" max="11274" width="9.625" style="58" customWidth="1"/>
    <col min="11275" max="11275" width="8.5" style="58" customWidth="1"/>
    <col min="11276" max="11276" width="11.375" style="58" customWidth="1"/>
    <col min="11277" max="11282" width="2.375" style="58" customWidth="1"/>
    <col min="11283" max="11286" width="3" style="58" customWidth="1"/>
    <col min="11287" max="11290" width="2.75" style="58" customWidth="1"/>
    <col min="11291" max="11296" width="2.375" style="58" customWidth="1"/>
    <col min="11297" max="11300" width="2.125" style="58" customWidth="1"/>
    <col min="11301" max="11520" width="8.375" style="58"/>
    <col min="11521" max="11521" width="1.375" style="58" customWidth="1"/>
    <col min="11522" max="11522" width="14.25" style="58" customWidth="1"/>
    <col min="11523" max="11523" width="6.625" style="58" customWidth="1"/>
    <col min="11524" max="11524" width="11.375" style="58" customWidth="1"/>
    <col min="11525" max="11525" width="9.625" style="58" customWidth="1"/>
    <col min="11526" max="11526" width="8" style="58" customWidth="1"/>
    <col min="11527" max="11527" width="11.375" style="58" customWidth="1"/>
    <col min="11528" max="11529" width="10" style="58" customWidth="1"/>
    <col min="11530" max="11530" width="9.625" style="58" customWidth="1"/>
    <col min="11531" max="11531" width="8.5" style="58" customWidth="1"/>
    <col min="11532" max="11532" width="11.375" style="58" customWidth="1"/>
    <col min="11533" max="11538" width="2.375" style="58" customWidth="1"/>
    <col min="11539" max="11542" width="3" style="58" customWidth="1"/>
    <col min="11543" max="11546" width="2.75" style="58" customWidth="1"/>
    <col min="11547" max="11552" width="2.375" style="58" customWidth="1"/>
    <col min="11553" max="11556" width="2.125" style="58" customWidth="1"/>
    <col min="11557" max="11776" width="8.375" style="58"/>
    <col min="11777" max="11777" width="1.375" style="58" customWidth="1"/>
    <col min="11778" max="11778" width="14.25" style="58" customWidth="1"/>
    <col min="11779" max="11779" width="6.625" style="58" customWidth="1"/>
    <col min="11780" max="11780" width="11.375" style="58" customWidth="1"/>
    <col min="11781" max="11781" width="9.625" style="58" customWidth="1"/>
    <col min="11782" max="11782" width="8" style="58" customWidth="1"/>
    <col min="11783" max="11783" width="11.375" style="58" customWidth="1"/>
    <col min="11784" max="11785" width="10" style="58" customWidth="1"/>
    <col min="11786" max="11786" width="9.625" style="58" customWidth="1"/>
    <col min="11787" max="11787" width="8.5" style="58" customWidth="1"/>
    <col min="11788" max="11788" width="11.375" style="58" customWidth="1"/>
    <col min="11789" max="11794" width="2.375" style="58" customWidth="1"/>
    <col min="11795" max="11798" width="3" style="58" customWidth="1"/>
    <col min="11799" max="11802" width="2.75" style="58" customWidth="1"/>
    <col min="11803" max="11808" width="2.375" style="58" customWidth="1"/>
    <col min="11809" max="11812" width="2.125" style="58" customWidth="1"/>
    <col min="11813" max="12032" width="8.375" style="58"/>
    <col min="12033" max="12033" width="1.375" style="58" customWidth="1"/>
    <col min="12034" max="12034" width="14.25" style="58" customWidth="1"/>
    <col min="12035" max="12035" width="6.625" style="58" customWidth="1"/>
    <col min="12036" max="12036" width="11.375" style="58" customWidth="1"/>
    <col min="12037" max="12037" width="9.625" style="58" customWidth="1"/>
    <col min="12038" max="12038" width="8" style="58" customWidth="1"/>
    <col min="12039" max="12039" width="11.375" style="58" customWidth="1"/>
    <col min="12040" max="12041" width="10" style="58" customWidth="1"/>
    <col min="12042" max="12042" width="9.625" style="58" customWidth="1"/>
    <col min="12043" max="12043" width="8.5" style="58" customWidth="1"/>
    <col min="12044" max="12044" width="11.375" style="58" customWidth="1"/>
    <col min="12045" max="12050" width="2.375" style="58" customWidth="1"/>
    <col min="12051" max="12054" width="3" style="58" customWidth="1"/>
    <col min="12055" max="12058" width="2.75" style="58" customWidth="1"/>
    <col min="12059" max="12064" width="2.375" style="58" customWidth="1"/>
    <col min="12065" max="12068" width="2.125" style="58" customWidth="1"/>
    <col min="12069" max="12288" width="8.375" style="58"/>
    <col min="12289" max="12289" width="1.375" style="58" customWidth="1"/>
    <col min="12290" max="12290" width="14.25" style="58" customWidth="1"/>
    <col min="12291" max="12291" width="6.625" style="58" customWidth="1"/>
    <col min="12292" max="12292" width="11.375" style="58" customWidth="1"/>
    <col min="12293" max="12293" width="9.625" style="58" customWidth="1"/>
    <col min="12294" max="12294" width="8" style="58" customWidth="1"/>
    <col min="12295" max="12295" width="11.375" style="58" customWidth="1"/>
    <col min="12296" max="12297" width="10" style="58" customWidth="1"/>
    <col min="12298" max="12298" width="9.625" style="58" customWidth="1"/>
    <col min="12299" max="12299" width="8.5" style="58" customWidth="1"/>
    <col min="12300" max="12300" width="11.375" style="58" customWidth="1"/>
    <col min="12301" max="12306" width="2.375" style="58" customWidth="1"/>
    <col min="12307" max="12310" width="3" style="58" customWidth="1"/>
    <col min="12311" max="12314" width="2.75" style="58" customWidth="1"/>
    <col min="12315" max="12320" width="2.375" style="58" customWidth="1"/>
    <col min="12321" max="12324" width="2.125" style="58" customWidth="1"/>
    <col min="12325" max="12544" width="8.375" style="58"/>
    <col min="12545" max="12545" width="1.375" style="58" customWidth="1"/>
    <col min="12546" max="12546" width="14.25" style="58" customWidth="1"/>
    <col min="12547" max="12547" width="6.625" style="58" customWidth="1"/>
    <col min="12548" max="12548" width="11.375" style="58" customWidth="1"/>
    <col min="12549" max="12549" width="9.625" style="58" customWidth="1"/>
    <col min="12550" max="12550" width="8" style="58" customWidth="1"/>
    <col min="12551" max="12551" width="11.375" style="58" customWidth="1"/>
    <col min="12552" max="12553" width="10" style="58" customWidth="1"/>
    <col min="12554" max="12554" width="9.625" style="58" customWidth="1"/>
    <col min="12555" max="12555" width="8.5" style="58" customWidth="1"/>
    <col min="12556" max="12556" width="11.375" style="58" customWidth="1"/>
    <col min="12557" max="12562" width="2.375" style="58" customWidth="1"/>
    <col min="12563" max="12566" width="3" style="58" customWidth="1"/>
    <col min="12567" max="12570" width="2.75" style="58" customWidth="1"/>
    <col min="12571" max="12576" width="2.375" style="58" customWidth="1"/>
    <col min="12577" max="12580" width="2.125" style="58" customWidth="1"/>
    <col min="12581" max="12800" width="8.375" style="58"/>
    <col min="12801" max="12801" width="1.375" style="58" customWidth="1"/>
    <col min="12802" max="12802" width="14.25" style="58" customWidth="1"/>
    <col min="12803" max="12803" width="6.625" style="58" customWidth="1"/>
    <col min="12804" max="12804" width="11.375" style="58" customWidth="1"/>
    <col min="12805" max="12805" width="9.625" style="58" customWidth="1"/>
    <col min="12806" max="12806" width="8" style="58" customWidth="1"/>
    <col min="12807" max="12807" width="11.375" style="58" customWidth="1"/>
    <col min="12808" max="12809" width="10" style="58" customWidth="1"/>
    <col min="12810" max="12810" width="9.625" style="58" customWidth="1"/>
    <col min="12811" max="12811" width="8.5" style="58" customWidth="1"/>
    <col min="12812" max="12812" width="11.375" style="58" customWidth="1"/>
    <col min="12813" max="12818" width="2.375" style="58" customWidth="1"/>
    <col min="12819" max="12822" width="3" style="58" customWidth="1"/>
    <col min="12823" max="12826" width="2.75" style="58" customWidth="1"/>
    <col min="12827" max="12832" width="2.375" style="58" customWidth="1"/>
    <col min="12833" max="12836" width="2.125" style="58" customWidth="1"/>
    <col min="12837" max="13056" width="8.375" style="58"/>
    <col min="13057" max="13057" width="1.375" style="58" customWidth="1"/>
    <col min="13058" max="13058" width="14.25" style="58" customWidth="1"/>
    <col min="13059" max="13059" width="6.625" style="58" customWidth="1"/>
    <col min="13060" max="13060" width="11.375" style="58" customWidth="1"/>
    <col min="13061" max="13061" width="9.625" style="58" customWidth="1"/>
    <col min="13062" max="13062" width="8" style="58" customWidth="1"/>
    <col min="13063" max="13063" width="11.375" style="58" customWidth="1"/>
    <col min="13064" max="13065" width="10" style="58" customWidth="1"/>
    <col min="13066" max="13066" width="9.625" style="58" customWidth="1"/>
    <col min="13067" max="13067" width="8.5" style="58" customWidth="1"/>
    <col min="13068" max="13068" width="11.375" style="58" customWidth="1"/>
    <col min="13069" max="13074" width="2.375" style="58" customWidth="1"/>
    <col min="13075" max="13078" width="3" style="58" customWidth="1"/>
    <col min="13079" max="13082" width="2.75" style="58" customWidth="1"/>
    <col min="13083" max="13088" width="2.375" style="58" customWidth="1"/>
    <col min="13089" max="13092" width="2.125" style="58" customWidth="1"/>
    <col min="13093" max="13312" width="8.375" style="58"/>
    <col min="13313" max="13313" width="1.375" style="58" customWidth="1"/>
    <col min="13314" max="13314" width="14.25" style="58" customWidth="1"/>
    <col min="13315" max="13315" width="6.625" style="58" customWidth="1"/>
    <col min="13316" max="13316" width="11.375" style="58" customWidth="1"/>
    <col min="13317" max="13317" width="9.625" style="58" customWidth="1"/>
    <col min="13318" max="13318" width="8" style="58" customWidth="1"/>
    <col min="13319" max="13319" width="11.375" style="58" customWidth="1"/>
    <col min="13320" max="13321" width="10" style="58" customWidth="1"/>
    <col min="13322" max="13322" width="9.625" style="58" customWidth="1"/>
    <col min="13323" max="13323" width="8.5" style="58" customWidth="1"/>
    <col min="13324" max="13324" width="11.375" style="58" customWidth="1"/>
    <col min="13325" max="13330" width="2.375" style="58" customWidth="1"/>
    <col min="13331" max="13334" width="3" style="58" customWidth="1"/>
    <col min="13335" max="13338" width="2.75" style="58" customWidth="1"/>
    <col min="13339" max="13344" width="2.375" style="58" customWidth="1"/>
    <col min="13345" max="13348" width="2.125" style="58" customWidth="1"/>
    <col min="13349" max="13568" width="8.375" style="58"/>
    <col min="13569" max="13569" width="1.375" style="58" customWidth="1"/>
    <col min="13570" max="13570" width="14.25" style="58" customWidth="1"/>
    <col min="13571" max="13571" width="6.625" style="58" customWidth="1"/>
    <col min="13572" max="13572" width="11.375" style="58" customWidth="1"/>
    <col min="13573" max="13573" width="9.625" style="58" customWidth="1"/>
    <col min="13574" max="13574" width="8" style="58" customWidth="1"/>
    <col min="13575" max="13575" width="11.375" style="58" customWidth="1"/>
    <col min="13576" max="13577" width="10" style="58" customWidth="1"/>
    <col min="13578" max="13578" width="9.625" style="58" customWidth="1"/>
    <col min="13579" max="13579" width="8.5" style="58" customWidth="1"/>
    <col min="13580" max="13580" width="11.375" style="58" customWidth="1"/>
    <col min="13581" max="13586" width="2.375" style="58" customWidth="1"/>
    <col min="13587" max="13590" width="3" style="58" customWidth="1"/>
    <col min="13591" max="13594" width="2.75" style="58" customWidth="1"/>
    <col min="13595" max="13600" width="2.375" style="58" customWidth="1"/>
    <col min="13601" max="13604" width="2.125" style="58" customWidth="1"/>
    <col min="13605" max="13824" width="8.375" style="58"/>
    <col min="13825" max="13825" width="1.375" style="58" customWidth="1"/>
    <col min="13826" max="13826" width="14.25" style="58" customWidth="1"/>
    <col min="13827" max="13827" width="6.625" style="58" customWidth="1"/>
    <col min="13828" max="13828" width="11.375" style="58" customWidth="1"/>
    <col min="13829" max="13829" width="9.625" style="58" customWidth="1"/>
    <col min="13830" max="13830" width="8" style="58" customWidth="1"/>
    <col min="13831" max="13831" width="11.375" style="58" customWidth="1"/>
    <col min="13832" max="13833" width="10" style="58" customWidth="1"/>
    <col min="13834" max="13834" width="9.625" style="58" customWidth="1"/>
    <col min="13835" max="13835" width="8.5" style="58" customWidth="1"/>
    <col min="13836" max="13836" width="11.375" style="58" customWidth="1"/>
    <col min="13837" max="13842" width="2.375" style="58" customWidth="1"/>
    <col min="13843" max="13846" width="3" style="58" customWidth="1"/>
    <col min="13847" max="13850" width="2.75" style="58" customWidth="1"/>
    <col min="13851" max="13856" width="2.375" style="58" customWidth="1"/>
    <col min="13857" max="13860" width="2.125" style="58" customWidth="1"/>
    <col min="13861" max="14080" width="8.375" style="58"/>
    <col min="14081" max="14081" width="1.375" style="58" customWidth="1"/>
    <col min="14082" max="14082" width="14.25" style="58" customWidth="1"/>
    <col min="14083" max="14083" width="6.625" style="58" customWidth="1"/>
    <col min="14084" max="14084" width="11.375" style="58" customWidth="1"/>
    <col min="14085" max="14085" width="9.625" style="58" customWidth="1"/>
    <col min="14086" max="14086" width="8" style="58" customWidth="1"/>
    <col min="14087" max="14087" width="11.375" style="58" customWidth="1"/>
    <col min="14088" max="14089" width="10" style="58" customWidth="1"/>
    <col min="14090" max="14090" width="9.625" style="58" customWidth="1"/>
    <col min="14091" max="14091" width="8.5" style="58" customWidth="1"/>
    <col min="14092" max="14092" width="11.375" style="58" customWidth="1"/>
    <col min="14093" max="14098" width="2.375" style="58" customWidth="1"/>
    <col min="14099" max="14102" width="3" style="58" customWidth="1"/>
    <col min="14103" max="14106" width="2.75" style="58" customWidth="1"/>
    <col min="14107" max="14112" width="2.375" style="58" customWidth="1"/>
    <col min="14113" max="14116" width="2.125" style="58" customWidth="1"/>
    <col min="14117" max="14336" width="8.375" style="58"/>
    <col min="14337" max="14337" width="1.375" style="58" customWidth="1"/>
    <col min="14338" max="14338" width="14.25" style="58" customWidth="1"/>
    <col min="14339" max="14339" width="6.625" style="58" customWidth="1"/>
    <col min="14340" max="14340" width="11.375" style="58" customWidth="1"/>
    <col min="14341" max="14341" width="9.625" style="58" customWidth="1"/>
    <col min="14342" max="14342" width="8" style="58" customWidth="1"/>
    <col min="14343" max="14343" width="11.375" style="58" customWidth="1"/>
    <col min="14344" max="14345" width="10" style="58" customWidth="1"/>
    <col min="14346" max="14346" width="9.625" style="58" customWidth="1"/>
    <col min="14347" max="14347" width="8.5" style="58" customWidth="1"/>
    <col min="14348" max="14348" width="11.375" style="58" customWidth="1"/>
    <col min="14349" max="14354" width="2.375" style="58" customWidth="1"/>
    <col min="14355" max="14358" width="3" style="58" customWidth="1"/>
    <col min="14359" max="14362" width="2.75" style="58" customWidth="1"/>
    <col min="14363" max="14368" width="2.375" style="58" customWidth="1"/>
    <col min="14369" max="14372" width="2.125" style="58" customWidth="1"/>
    <col min="14373" max="14592" width="8.375" style="58"/>
    <col min="14593" max="14593" width="1.375" style="58" customWidth="1"/>
    <col min="14594" max="14594" width="14.25" style="58" customWidth="1"/>
    <col min="14595" max="14595" width="6.625" style="58" customWidth="1"/>
    <col min="14596" max="14596" width="11.375" style="58" customWidth="1"/>
    <col min="14597" max="14597" width="9.625" style="58" customWidth="1"/>
    <col min="14598" max="14598" width="8" style="58" customWidth="1"/>
    <col min="14599" max="14599" width="11.375" style="58" customWidth="1"/>
    <col min="14600" max="14601" width="10" style="58" customWidth="1"/>
    <col min="14602" max="14602" width="9.625" style="58" customWidth="1"/>
    <col min="14603" max="14603" width="8.5" style="58" customWidth="1"/>
    <col min="14604" max="14604" width="11.375" style="58" customWidth="1"/>
    <col min="14605" max="14610" width="2.375" style="58" customWidth="1"/>
    <col min="14611" max="14614" width="3" style="58" customWidth="1"/>
    <col min="14615" max="14618" width="2.75" style="58" customWidth="1"/>
    <col min="14619" max="14624" width="2.375" style="58" customWidth="1"/>
    <col min="14625" max="14628" width="2.125" style="58" customWidth="1"/>
    <col min="14629" max="14848" width="8.375" style="58"/>
    <col min="14849" max="14849" width="1.375" style="58" customWidth="1"/>
    <col min="14850" max="14850" width="14.25" style="58" customWidth="1"/>
    <col min="14851" max="14851" width="6.625" style="58" customWidth="1"/>
    <col min="14852" max="14852" width="11.375" style="58" customWidth="1"/>
    <col min="14853" max="14853" width="9.625" style="58" customWidth="1"/>
    <col min="14854" max="14854" width="8" style="58" customWidth="1"/>
    <col min="14855" max="14855" width="11.375" style="58" customWidth="1"/>
    <col min="14856" max="14857" width="10" style="58" customWidth="1"/>
    <col min="14858" max="14858" width="9.625" style="58" customWidth="1"/>
    <col min="14859" max="14859" width="8.5" style="58" customWidth="1"/>
    <col min="14860" max="14860" width="11.375" style="58" customWidth="1"/>
    <col min="14861" max="14866" width="2.375" style="58" customWidth="1"/>
    <col min="14867" max="14870" width="3" style="58" customWidth="1"/>
    <col min="14871" max="14874" width="2.75" style="58" customWidth="1"/>
    <col min="14875" max="14880" width="2.375" style="58" customWidth="1"/>
    <col min="14881" max="14884" width="2.125" style="58" customWidth="1"/>
    <col min="14885" max="15104" width="8.375" style="58"/>
    <col min="15105" max="15105" width="1.375" style="58" customWidth="1"/>
    <col min="15106" max="15106" width="14.25" style="58" customWidth="1"/>
    <col min="15107" max="15107" width="6.625" style="58" customWidth="1"/>
    <col min="15108" max="15108" width="11.375" style="58" customWidth="1"/>
    <col min="15109" max="15109" width="9.625" style="58" customWidth="1"/>
    <col min="15110" max="15110" width="8" style="58" customWidth="1"/>
    <col min="15111" max="15111" width="11.375" style="58" customWidth="1"/>
    <col min="15112" max="15113" width="10" style="58" customWidth="1"/>
    <col min="15114" max="15114" width="9.625" style="58" customWidth="1"/>
    <col min="15115" max="15115" width="8.5" style="58" customWidth="1"/>
    <col min="15116" max="15116" width="11.375" style="58" customWidth="1"/>
    <col min="15117" max="15122" width="2.375" style="58" customWidth="1"/>
    <col min="15123" max="15126" width="3" style="58" customWidth="1"/>
    <col min="15127" max="15130" width="2.75" style="58" customWidth="1"/>
    <col min="15131" max="15136" width="2.375" style="58" customWidth="1"/>
    <col min="15137" max="15140" width="2.125" style="58" customWidth="1"/>
    <col min="15141" max="15360" width="8.375" style="58"/>
    <col min="15361" max="15361" width="1.375" style="58" customWidth="1"/>
    <col min="15362" max="15362" width="14.25" style="58" customWidth="1"/>
    <col min="15363" max="15363" width="6.625" style="58" customWidth="1"/>
    <col min="15364" max="15364" width="11.375" style="58" customWidth="1"/>
    <col min="15365" max="15365" width="9.625" style="58" customWidth="1"/>
    <col min="15366" max="15366" width="8" style="58" customWidth="1"/>
    <col min="15367" max="15367" width="11.375" style="58" customWidth="1"/>
    <col min="15368" max="15369" width="10" style="58" customWidth="1"/>
    <col min="15370" max="15370" width="9.625" style="58" customWidth="1"/>
    <col min="15371" max="15371" width="8.5" style="58" customWidth="1"/>
    <col min="15372" max="15372" width="11.375" style="58" customWidth="1"/>
    <col min="15373" max="15378" width="2.375" style="58" customWidth="1"/>
    <col min="15379" max="15382" width="3" style="58" customWidth="1"/>
    <col min="15383" max="15386" width="2.75" style="58" customWidth="1"/>
    <col min="15387" max="15392" width="2.375" style="58" customWidth="1"/>
    <col min="15393" max="15396" width="2.125" style="58" customWidth="1"/>
    <col min="15397" max="15616" width="8.375" style="58"/>
    <col min="15617" max="15617" width="1.375" style="58" customWidth="1"/>
    <col min="15618" max="15618" width="14.25" style="58" customWidth="1"/>
    <col min="15619" max="15619" width="6.625" style="58" customWidth="1"/>
    <col min="15620" max="15620" width="11.375" style="58" customWidth="1"/>
    <col min="15621" max="15621" width="9.625" style="58" customWidth="1"/>
    <col min="15622" max="15622" width="8" style="58" customWidth="1"/>
    <col min="15623" max="15623" width="11.375" style="58" customWidth="1"/>
    <col min="15624" max="15625" width="10" style="58" customWidth="1"/>
    <col min="15626" max="15626" width="9.625" style="58" customWidth="1"/>
    <col min="15627" max="15627" width="8.5" style="58" customWidth="1"/>
    <col min="15628" max="15628" width="11.375" style="58" customWidth="1"/>
    <col min="15629" max="15634" width="2.375" style="58" customWidth="1"/>
    <col min="15635" max="15638" width="3" style="58" customWidth="1"/>
    <col min="15639" max="15642" width="2.75" style="58" customWidth="1"/>
    <col min="15643" max="15648" width="2.375" style="58" customWidth="1"/>
    <col min="15649" max="15652" width="2.125" style="58" customWidth="1"/>
    <col min="15653" max="15872" width="8.375" style="58"/>
    <col min="15873" max="15873" width="1.375" style="58" customWidth="1"/>
    <col min="15874" max="15874" width="14.25" style="58" customWidth="1"/>
    <col min="15875" max="15875" width="6.625" style="58" customWidth="1"/>
    <col min="15876" max="15876" width="11.375" style="58" customWidth="1"/>
    <col min="15877" max="15877" width="9.625" style="58" customWidth="1"/>
    <col min="15878" max="15878" width="8" style="58" customWidth="1"/>
    <col min="15879" max="15879" width="11.375" style="58" customWidth="1"/>
    <col min="15880" max="15881" width="10" style="58" customWidth="1"/>
    <col min="15882" max="15882" width="9.625" style="58" customWidth="1"/>
    <col min="15883" max="15883" width="8.5" style="58" customWidth="1"/>
    <col min="15884" max="15884" width="11.375" style="58" customWidth="1"/>
    <col min="15885" max="15890" width="2.375" style="58" customWidth="1"/>
    <col min="15891" max="15894" width="3" style="58" customWidth="1"/>
    <col min="15895" max="15898" width="2.75" style="58" customWidth="1"/>
    <col min="15899" max="15904" width="2.375" style="58" customWidth="1"/>
    <col min="15905" max="15908" width="2.125" style="58" customWidth="1"/>
    <col min="15909" max="16128" width="8.375" style="58"/>
    <col min="16129" max="16129" width="1.375" style="58" customWidth="1"/>
    <col min="16130" max="16130" width="14.25" style="58" customWidth="1"/>
    <col min="16131" max="16131" width="6.625" style="58" customWidth="1"/>
    <col min="16132" max="16132" width="11.375" style="58" customWidth="1"/>
    <col min="16133" max="16133" width="9.625" style="58" customWidth="1"/>
    <col min="16134" max="16134" width="8" style="58" customWidth="1"/>
    <col min="16135" max="16135" width="11.375" style="58" customWidth="1"/>
    <col min="16136" max="16137" width="10" style="58" customWidth="1"/>
    <col min="16138" max="16138" width="9.625" style="58" customWidth="1"/>
    <col min="16139" max="16139" width="8.5" style="58" customWidth="1"/>
    <col min="16140" max="16140" width="11.375" style="58" customWidth="1"/>
    <col min="16141" max="16146" width="2.375" style="58" customWidth="1"/>
    <col min="16147" max="16150" width="3" style="58" customWidth="1"/>
    <col min="16151" max="16154" width="2.75" style="58" customWidth="1"/>
    <col min="16155" max="16160" width="2.375" style="58" customWidth="1"/>
    <col min="16161" max="16164" width="2.125" style="58" customWidth="1"/>
    <col min="16165" max="16384" width="8.375" style="58"/>
  </cols>
  <sheetData>
    <row r="2" spans="2:12" ht="12.75" customHeight="1">
      <c r="B2" s="54"/>
      <c r="C2" s="1100" t="s">
        <v>111</v>
      </c>
      <c r="D2" s="1101"/>
      <c r="E2" s="1101"/>
      <c r="F2" s="1101"/>
      <c r="G2" s="1101"/>
      <c r="H2" s="1101"/>
      <c r="I2" s="1101"/>
      <c r="J2" s="55"/>
      <c r="K2" s="56"/>
      <c r="L2" s="57"/>
    </row>
    <row r="3" spans="2:12" ht="12.75" customHeight="1">
      <c r="B3" s="59"/>
      <c r="C3" s="1101"/>
      <c r="D3" s="1101"/>
      <c r="E3" s="1101"/>
      <c r="F3" s="1101"/>
      <c r="G3" s="1101"/>
      <c r="H3" s="1101"/>
      <c r="I3" s="1101"/>
      <c r="J3" s="1102" t="s">
        <v>112</v>
      </c>
      <c r="K3" s="1103"/>
      <c r="L3" s="1104"/>
    </row>
    <row r="4" spans="2:12" ht="12.75" customHeight="1">
      <c r="B4" s="59"/>
      <c r="C4" s="1101"/>
      <c r="D4" s="1101"/>
      <c r="E4" s="1101"/>
      <c r="F4" s="1101"/>
      <c r="G4" s="1101"/>
      <c r="H4" s="1101"/>
      <c r="I4" s="1101"/>
      <c r="J4" s="1102"/>
      <c r="K4" s="1103"/>
      <c r="L4" s="1104"/>
    </row>
    <row r="5" spans="2:12" ht="12.75" customHeight="1">
      <c r="B5" s="59"/>
      <c r="C5" s="1101"/>
      <c r="D5" s="1101"/>
      <c r="E5" s="1101"/>
      <c r="F5" s="1101"/>
      <c r="G5" s="1101"/>
      <c r="H5" s="1101"/>
      <c r="I5" s="1101"/>
      <c r="J5" s="1102"/>
      <c r="K5" s="1103"/>
      <c r="L5" s="1104"/>
    </row>
    <row r="6" spans="2:12" ht="12.75" customHeight="1">
      <c r="B6" s="60"/>
      <c r="C6" s="1101"/>
      <c r="D6" s="1101"/>
      <c r="E6" s="1101"/>
      <c r="F6" s="1101"/>
      <c r="G6" s="1101"/>
      <c r="H6" s="1101"/>
      <c r="I6" s="1101"/>
      <c r="J6" s="1105"/>
      <c r="K6" s="1106"/>
      <c r="L6" s="1107"/>
    </row>
    <row r="7" spans="2:12" ht="12.75" customHeight="1">
      <c r="C7" s="61"/>
      <c r="D7" s="61"/>
      <c r="E7" s="61"/>
      <c r="F7" s="61"/>
      <c r="G7" s="61"/>
      <c r="H7" s="61"/>
      <c r="I7" s="61"/>
      <c r="J7" s="62"/>
      <c r="K7" s="62"/>
      <c r="L7" s="62"/>
    </row>
    <row r="8" spans="2:12" ht="13.15" customHeight="1">
      <c r="B8" s="1092" t="s">
        <v>113</v>
      </c>
      <c r="C8" s="1093"/>
      <c r="D8" s="1094"/>
      <c r="E8" s="1092" t="s">
        <v>114</v>
      </c>
      <c r="F8" s="1093"/>
      <c r="G8" s="1094"/>
      <c r="H8" s="1108" t="s">
        <v>115</v>
      </c>
      <c r="I8" s="1109"/>
      <c r="J8" s="1108" t="s">
        <v>116</v>
      </c>
      <c r="K8" s="1110"/>
      <c r="L8" s="1109"/>
    </row>
    <row r="9" spans="2:12" ht="13.15" customHeight="1">
      <c r="B9" s="1092" t="s">
        <v>156</v>
      </c>
      <c r="C9" s="1093"/>
      <c r="D9" s="1094"/>
      <c r="E9" s="1092" t="str">
        <f>MASTER!E21 &amp; " / " &amp; MASTER!E22</f>
        <v>VOY / DATE</v>
      </c>
      <c r="F9" s="1093"/>
      <c r="G9" s="1094"/>
      <c r="H9" s="1095">
        <f ca="1">TODAY()</f>
        <v>46009</v>
      </c>
      <c r="I9" s="1096"/>
      <c r="J9" s="1096" t="e">
        <f>MASTER!#REF!&amp;"/21"</f>
        <v>#REF!</v>
      </c>
      <c r="K9" s="1096"/>
      <c r="L9" s="1096"/>
    </row>
    <row r="10" spans="2:12" ht="12.75" customHeight="1">
      <c r="B10" s="63"/>
      <c r="C10" s="63"/>
      <c r="D10" s="63"/>
      <c r="E10" s="63"/>
      <c r="F10" s="63"/>
      <c r="G10" s="63"/>
      <c r="H10" s="63"/>
      <c r="I10" s="63"/>
      <c r="J10" s="64"/>
      <c r="K10" s="64"/>
      <c r="L10" s="64"/>
    </row>
    <row r="11" spans="2:12" ht="19.899999999999999" customHeight="1">
      <c r="B11" s="65" t="s">
        <v>121</v>
      </c>
      <c r="C11" s="144" t="str">
        <f>MASTER!$Y3 &amp; " " &amp; MASTER!$AA3</f>
        <v>KB-95 IKMAL-1 TUPRAS MERSIN BENZIN</v>
      </c>
      <c r="D11" s="65" t="s">
        <v>122</v>
      </c>
      <c r="E11" s="1077">
        <f>MASTER!$AH3</f>
        <v>2545.37939976696</v>
      </c>
      <c r="F11" s="1078"/>
      <c r="G11" s="66" t="s">
        <v>119</v>
      </c>
      <c r="H11" s="1098"/>
      <c r="I11" s="1099"/>
      <c r="J11" s="66" t="s">
        <v>120</v>
      </c>
      <c r="K11" s="1098"/>
      <c r="L11" s="1099"/>
    </row>
    <row r="12" spans="2:12" ht="19.899999999999999" customHeight="1">
      <c r="B12" s="65" t="s">
        <v>117</v>
      </c>
      <c r="C12" s="144" t="str">
        <f>MASTER!$Y4 &amp; " " &amp; MASTER!$AA4</f>
        <v>KB-95 DAP-1 OPET MERSIN BENZIN</v>
      </c>
      <c r="D12" s="65" t="s">
        <v>118</v>
      </c>
      <c r="E12" s="1077">
        <f>MASTER!$AH4</f>
        <v>2545.2128102372999</v>
      </c>
      <c r="F12" s="1078"/>
      <c r="G12" s="66" t="s">
        <v>119</v>
      </c>
      <c r="H12" s="1079"/>
      <c r="I12" s="1080"/>
      <c r="J12" s="66" t="s">
        <v>120</v>
      </c>
      <c r="K12" s="1079"/>
      <c r="L12" s="1080"/>
    </row>
    <row r="13" spans="2:12" ht="19.899999999999999" customHeight="1">
      <c r="B13" s="65" t="s">
        <v>121</v>
      </c>
      <c r="C13" s="144" t="str">
        <f>MASTER!$Y5 &amp; " " &amp; MASTER!$AA5</f>
        <v>KB-95 DAP-2 SHELL MERSIN BENZIN</v>
      </c>
      <c r="D13" s="65" t="s">
        <v>122</v>
      </c>
      <c r="E13" s="1077">
        <f>MASTER!$AH5</f>
        <v>3949.5163111725597</v>
      </c>
      <c r="F13" s="1078"/>
      <c r="G13" s="66" t="s">
        <v>119</v>
      </c>
      <c r="H13" s="1079"/>
      <c r="I13" s="1080"/>
      <c r="J13" s="66" t="s">
        <v>120</v>
      </c>
      <c r="K13" s="1079"/>
      <c r="L13" s="1080"/>
    </row>
    <row r="14" spans="2:12" ht="19.899999999999999" customHeight="1">
      <c r="B14" s="65" t="s">
        <v>121</v>
      </c>
      <c r="C14" s="144" t="str">
        <f>MASTER!$Y6 &amp; " " &amp; MASTER!$AA6</f>
        <v>KB-95 DAP-3 POAS MERSIN BENZIN</v>
      </c>
      <c r="D14" s="65" t="s">
        <v>122</v>
      </c>
      <c r="E14" s="1077">
        <f>MASTER!$AH6</f>
        <v>931.23914017229993</v>
      </c>
      <c r="F14" s="1078"/>
      <c r="G14" s="66" t="s">
        <v>119</v>
      </c>
      <c r="H14" s="1098"/>
      <c r="I14" s="1099"/>
      <c r="J14" s="66" t="s">
        <v>120</v>
      </c>
      <c r="K14" s="1098"/>
      <c r="L14" s="1099"/>
    </row>
    <row r="15" spans="2:12" ht="19.899999999999999" customHeight="1">
      <c r="B15" s="65" t="s">
        <v>121</v>
      </c>
      <c r="C15" s="144" t="str">
        <f>MASTER!$Y7 &amp; " " &amp; MASTER!$AA7</f>
        <v>KB-95 DAP-4 OPET ANTALYA BENZIN</v>
      </c>
      <c r="D15" s="65" t="s">
        <v>122</v>
      </c>
      <c r="E15" s="1077">
        <f>MASTER!$AH7</f>
        <v>988.34925998790015</v>
      </c>
      <c r="F15" s="1078"/>
      <c r="G15" s="66" t="s">
        <v>119</v>
      </c>
      <c r="H15" s="1098"/>
      <c r="I15" s="1099"/>
      <c r="J15" s="66" t="s">
        <v>120</v>
      </c>
      <c r="K15" s="1098"/>
      <c r="L15" s="1099"/>
    </row>
    <row r="17" spans="2:14" ht="12.75" customHeight="1">
      <c r="B17" s="67" t="s">
        <v>123</v>
      </c>
      <c r="C17" s="67" t="s">
        <v>124</v>
      </c>
      <c r="D17" s="67" t="s">
        <v>125</v>
      </c>
      <c r="E17" s="1097" t="s">
        <v>126</v>
      </c>
      <c r="F17" s="1097"/>
      <c r="G17" s="1097" t="s">
        <v>160</v>
      </c>
      <c r="H17" s="1097"/>
      <c r="I17" s="1097"/>
      <c r="J17" s="1097" t="s">
        <v>127</v>
      </c>
      <c r="K17" s="1097"/>
      <c r="L17" s="1097"/>
    </row>
    <row r="18" spans="2:14" ht="12.75" customHeight="1">
      <c r="B18" s="68" t="s">
        <v>110</v>
      </c>
      <c r="C18" s="68" t="s">
        <v>128</v>
      </c>
      <c r="D18" s="68" t="s">
        <v>75</v>
      </c>
      <c r="E18" s="1081"/>
      <c r="F18" s="1081"/>
      <c r="G18" s="1081"/>
      <c r="H18" s="1081"/>
      <c r="I18" s="1081"/>
      <c r="J18" s="1081"/>
      <c r="K18" s="1081"/>
      <c r="L18" s="1081"/>
    </row>
    <row r="19" spans="2:14" ht="21.4" customHeight="1">
      <c r="B19" s="68" t="s">
        <v>129</v>
      </c>
      <c r="C19" s="68" t="s">
        <v>130</v>
      </c>
      <c r="D19" s="69"/>
      <c r="E19" s="68" t="s">
        <v>131</v>
      </c>
      <c r="F19" s="68" t="s">
        <v>132</v>
      </c>
      <c r="G19" s="68" t="s">
        <v>131</v>
      </c>
      <c r="H19" s="68" t="s">
        <v>132</v>
      </c>
      <c r="I19" s="68" t="s">
        <v>133</v>
      </c>
      <c r="J19" s="68" t="s">
        <v>131</v>
      </c>
      <c r="K19" s="68" t="s">
        <v>132</v>
      </c>
      <c r="L19" s="68" t="s">
        <v>133</v>
      </c>
      <c r="N19" s="58" t="s">
        <v>159</v>
      </c>
    </row>
    <row r="20" spans="2:14" ht="12.75" customHeight="1">
      <c r="B20" s="146">
        <f ca="1">TODAY()</f>
        <v>46009</v>
      </c>
      <c r="C20" s="71"/>
      <c r="D20" s="72"/>
      <c r="E20" s="72"/>
      <c r="F20" s="72"/>
      <c r="G20" s="72"/>
      <c r="H20" s="73">
        <f ca="1">IF($B20="","",(K20))</f>
        <v>1000</v>
      </c>
      <c r="I20" s="73">
        <f ca="1">IF(B20="","",(H20-G20))</f>
        <v>1000</v>
      </c>
      <c r="J20" s="73" t="str">
        <f>IF(G20="","",(G20))</f>
        <v/>
      </c>
      <c r="K20" s="74">
        <f>IF($N21="","",ABS($N21-$N20))</f>
        <v>1000</v>
      </c>
      <c r="L20" s="73" t="str">
        <f>IF(G20="","",(H20-G20))</f>
        <v/>
      </c>
      <c r="N20" s="145">
        <v>10000</v>
      </c>
    </row>
    <row r="21" spans="2:14" ht="12.75" customHeight="1">
      <c r="B21" s="70"/>
      <c r="C21" s="71"/>
      <c r="D21" s="72"/>
      <c r="E21" s="72"/>
      <c r="F21" s="72"/>
      <c r="G21" s="72"/>
      <c r="H21" s="73" t="str">
        <f t="shared" ref="H21:H70" si="0">IF($B21="","",(K21))</f>
        <v/>
      </c>
      <c r="I21" s="73" t="str">
        <f t="shared" ref="I21:I70" si="1">IF(B21="","",(H21-G21))</f>
        <v/>
      </c>
      <c r="J21" s="73" t="str">
        <f t="shared" ref="J21:J70" si="2">IF(G21="","",(G21))</f>
        <v/>
      </c>
      <c r="K21" s="74">
        <f t="shared" ref="K21:K70" si="3">IF($N22="","",ABS($N22-$N21))</f>
        <v>1000</v>
      </c>
      <c r="L21" s="73" t="str">
        <f t="shared" ref="L21:L70" si="4">IF(G21="","",(H21-G21))</f>
        <v/>
      </c>
      <c r="N21" s="145">
        <v>9000</v>
      </c>
    </row>
    <row r="22" spans="2:14" ht="12.75" customHeight="1">
      <c r="B22" s="70"/>
      <c r="C22" s="71"/>
      <c r="D22" s="72"/>
      <c r="E22" s="72"/>
      <c r="F22" s="72"/>
      <c r="G22" s="72"/>
      <c r="H22" s="73" t="str">
        <f t="shared" si="0"/>
        <v/>
      </c>
      <c r="I22" s="73" t="str">
        <f t="shared" si="1"/>
        <v/>
      </c>
      <c r="J22" s="73" t="str">
        <f t="shared" si="2"/>
        <v/>
      </c>
      <c r="K22" s="74">
        <f t="shared" si="3"/>
        <v>1000</v>
      </c>
      <c r="L22" s="73" t="str">
        <f t="shared" si="4"/>
        <v/>
      </c>
      <c r="N22" s="145">
        <v>8000</v>
      </c>
    </row>
    <row r="23" spans="2:14" ht="12.75" customHeight="1">
      <c r="B23" s="70"/>
      <c r="C23" s="71"/>
      <c r="D23" s="72"/>
      <c r="E23" s="72"/>
      <c r="F23" s="72"/>
      <c r="G23" s="72"/>
      <c r="H23" s="73" t="str">
        <f t="shared" si="0"/>
        <v/>
      </c>
      <c r="I23" s="73" t="str">
        <f t="shared" si="1"/>
        <v/>
      </c>
      <c r="J23" s="73" t="str">
        <f t="shared" si="2"/>
        <v/>
      </c>
      <c r="K23" s="74">
        <f t="shared" si="3"/>
        <v>1000</v>
      </c>
      <c r="L23" s="73" t="str">
        <f t="shared" si="4"/>
        <v/>
      </c>
      <c r="N23" s="145">
        <v>7000</v>
      </c>
    </row>
    <row r="24" spans="2:14" ht="12.75" customHeight="1">
      <c r="B24" s="70"/>
      <c r="C24" s="71"/>
      <c r="D24" s="72"/>
      <c r="E24" s="72"/>
      <c r="F24" s="72"/>
      <c r="G24" s="72"/>
      <c r="H24" s="73" t="str">
        <f t="shared" si="0"/>
        <v/>
      </c>
      <c r="I24" s="73" t="str">
        <f t="shared" si="1"/>
        <v/>
      </c>
      <c r="J24" s="73" t="str">
        <f t="shared" si="2"/>
        <v/>
      </c>
      <c r="K24" s="74" t="str">
        <f t="shared" si="3"/>
        <v/>
      </c>
      <c r="L24" s="73" t="str">
        <f t="shared" si="4"/>
        <v/>
      </c>
      <c r="N24" s="145">
        <v>6000</v>
      </c>
    </row>
    <row r="25" spans="2:14" ht="12.75" customHeight="1">
      <c r="B25" s="70"/>
      <c r="C25" s="71"/>
      <c r="D25" s="72"/>
      <c r="E25" s="72"/>
      <c r="F25" s="72"/>
      <c r="G25" s="72"/>
      <c r="H25" s="73" t="str">
        <f t="shared" si="0"/>
        <v/>
      </c>
      <c r="I25" s="73" t="str">
        <f t="shared" si="1"/>
        <v/>
      </c>
      <c r="J25" s="73" t="str">
        <f t="shared" si="2"/>
        <v/>
      </c>
      <c r="K25" s="74" t="str">
        <f t="shared" si="3"/>
        <v/>
      </c>
      <c r="L25" s="73" t="str">
        <f t="shared" si="4"/>
        <v/>
      </c>
      <c r="N25" s="145"/>
    </row>
    <row r="26" spans="2:14" ht="12.75" customHeight="1">
      <c r="B26" s="70"/>
      <c r="C26" s="71"/>
      <c r="D26" s="72"/>
      <c r="E26" s="72"/>
      <c r="F26" s="72"/>
      <c r="G26" s="72"/>
      <c r="H26" s="73" t="str">
        <f t="shared" si="0"/>
        <v/>
      </c>
      <c r="I26" s="73" t="str">
        <f t="shared" si="1"/>
        <v/>
      </c>
      <c r="J26" s="73" t="str">
        <f t="shared" si="2"/>
        <v/>
      </c>
      <c r="K26" s="74" t="str">
        <f t="shared" si="3"/>
        <v/>
      </c>
      <c r="L26" s="73" t="str">
        <f t="shared" si="4"/>
        <v/>
      </c>
      <c r="N26" s="145"/>
    </row>
    <row r="27" spans="2:14" ht="12.75" customHeight="1">
      <c r="B27" s="70"/>
      <c r="C27" s="71"/>
      <c r="D27" s="72"/>
      <c r="E27" s="72"/>
      <c r="F27" s="72"/>
      <c r="G27" s="72"/>
      <c r="H27" s="73" t="str">
        <f t="shared" si="0"/>
        <v/>
      </c>
      <c r="I27" s="73" t="str">
        <f t="shared" si="1"/>
        <v/>
      </c>
      <c r="J27" s="73" t="str">
        <f t="shared" si="2"/>
        <v/>
      </c>
      <c r="K27" s="74" t="str">
        <f t="shared" si="3"/>
        <v/>
      </c>
      <c r="L27" s="73" t="str">
        <f t="shared" si="4"/>
        <v/>
      </c>
      <c r="N27" s="145"/>
    </row>
    <row r="28" spans="2:14" ht="12.75" customHeight="1">
      <c r="B28" s="70"/>
      <c r="C28" s="71"/>
      <c r="D28" s="72"/>
      <c r="E28" s="72"/>
      <c r="F28" s="72"/>
      <c r="G28" s="72"/>
      <c r="H28" s="73" t="str">
        <f t="shared" si="0"/>
        <v/>
      </c>
      <c r="I28" s="73" t="str">
        <f t="shared" si="1"/>
        <v/>
      </c>
      <c r="J28" s="73" t="str">
        <f t="shared" si="2"/>
        <v/>
      </c>
      <c r="K28" s="74" t="str">
        <f t="shared" si="3"/>
        <v/>
      </c>
      <c r="L28" s="73" t="str">
        <f t="shared" si="4"/>
        <v/>
      </c>
      <c r="N28" s="145"/>
    </row>
    <row r="29" spans="2:14" ht="12.75" customHeight="1">
      <c r="B29" s="70"/>
      <c r="C29" s="71"/>
      <c r="D29" s="72"/>
      <c r="E29" s="72"/>
      <c r="F29" s="72"/>
      <c r="G29" s="72"/>
      <c r="H29" s="73" t="str">
        <f t="shared" si="0"/>
        <v/>
      </c>
      <c r="I29" s="73" t="str">
        <f t="shared" si="1"/>
        <v/>
      </c>
      <c r="J29" s="73" t="str">
        <f t="shared" si="2"/>
        <v/>
      </c>
      <c r="K29" s="74" t="str">
        <f t="shared" si="3"/>
        <v/>
      </c>
      <c r="L29" s="73" t="str">
        <f t="shared" si="4"/>
        <v/>
      </c>
      <c r="N29" s="145"/>
    </row>
    <row r="30" spans="2:14" ht="12.75" customHeight="1">
      <c r="B30" s="70"/>
      <c r="C30" s="71"/>
      <c r="D30" s="72"/>
      <c r="E30" s="72"/>
      <c r="F30" s="72"/>
      <c r="G30" s="72"/>
      <c r="H30" s="73" t="str">
        <f t="shared" si="0"/>
        <v/>
      </c>
      <c r="I30" s="73" t="str">
        <f t="shared" si="1"/>
        <v/>
      </c>
      <c r="J30" s="73" t="str">
        <f t="shared" si="2"/>
        <v/>
      </c>
      <c r="K30" s="74" t="str">
        <f t="shared" si="3"/>
        <v/>
      </c>
      <c r="L30" s="73" t="str">
        <f t="shared" si="4"/>
        <v/>
      </c>
      <c r="N30" s="145"/>
    </row>
    <row r="31" spans="2:14" ht="12.75" customHeight="1">
      <c r="B31" s="70"/>
      <c r="C31" s="71"/>
      <c r="D31" s="72"/>
      <c r="E31" s="72"/>
      <c r="F31" s="72"/>
      <c r="G31" s="72"/>
      <c r="H31" s="73" t="str">
        <f t="shared" si="0"/>
        <v/>
      </c>
      <c r="I31" s="73" t="str">
        <f t="shared" si="1"/>
        <v/>
      </c>
      <c r="J31" s="73" t="str">
        <f t="shared" si="2"/>
        <v/>
      </c>
      <c r="K31" s="74" t="str">
        <f t="shared" si="3"/>
        <v/>
      </c>
      <c r="L31" s="73" t="str">
        <f t="shared" si="4"/>
        <v/>
      </c>
      <c r="N31" s="145"/>
    </row>
    <row r="32" spans="2:14" ht="12.75" customHeight="1">
      <c r="B32" s="70"/>
      <c r="C32" s="71"/>
      <c r="D32" s="72"/>
      <c r="E32" s="72"/>
      <c r="F32" s="72"/>
      <c r="G32" s="72"/>
      <c r="H32" s="73" t="str">
        <f t="shared" si="0"/>
        <v/>
      </c>
      <c r="I32" s="73" t="str">
        <f t="shared" si="1"/>
        <v/>
      </c>
      <c r="J32" s="73" t="str">
        <f t="shared" si="2"/>
        <v/>
      </c>
      <c r="K32" s="74" t="str">
        <f t="shared" si="3"/>
        <v/>
      </c>
      <c r="L32" s="73" t="str">
        <f t="shared" si="4"/>
        <v/>
      </c>
      <c r="N32" s="145"/>
    </row>
    <row r="33" spans="2:14" ht="12.75" customHeight="1">
      <c r="B33" s="70"/>
      <c r="C33" s="71"/>
      <c r="D33" s="72"/>
      <c r="E33" s="72"/>
      <c r="F33" s="72"/>
      <c r="G33" s="72"/>
      <c r="H33" s="73" t="str">
        <f t="shared" si="0"/>
        <v/>
      </c>
      <c r="I33" s="73" t="str">
        <f t="shared" si="1"/>
        <v/>
      </c>
      <c r="J33" s="73" t="str">
        <f t="shared" si="2"/>
        <v/>
      </c>
      <c r="K33" s="74" t="str">
        <f t="shared" si="3"/>
        <v/>
      </c>
      <c r="L33" s="73" t="str">
        <f t="shared" si="4"/>
        <v/>
      </c>
      <c r="N33" s="145"/>
    </row>
    <row r="34" spans="2:14" ht="12.75" customHeight="1">
      <c r="B34" s="70"/>
      <c r="C34" s="71"/>
      <c r="D34" s="72"/>
      <c r="E34" s="72"/>
      <c r="F34" s="72"/>
      <c r="G34" s="72"/>
      <c r="H34" s="73" t="str">
        <f t="shared" si="0"/>
        <v/>
      </c>
      <c r="I34" s="73" t="str">
        <f t="shared" si="1"/>
        <v/>
      </c>
      <c r="J34" s="73" t="str">
        <f t="shared" si="2"/>
        <v/>
      </c>
      <c r="K34" s="74" t="str">
        <f t="shared" si="3"/>
        <v/>
      </c>
      <c r="L34" s="73" t="str">
        <f t="shared" si="4"/>
        <v/>
      </c>
      <c r="N34" s="145"/>
    </row>
    <row r="35" spans="2:14" ht="12.75" customHeight="1">
      <c r="B35" s="70"/>
      <c r="C35" s="71"/>
      <c r="D35" s="72"/>
      <c r="E35" s="72"/>
      <c r="F35" s="72"/>
      <c r="G35" s="72"/>
      <c r="H35" s="73" t="str">
        <f t="shared" si="0"/>
        <v/>
      </c>
      <c r="I35" s="73" t="str">
        <f t="shared" si="1"/>
        <v/>
      </c>
      <c r="J35" s="73" t="str">
        <f t="shared" si="2"/>
        <v/>
      </c>
      <c r="K35" s="74" t="str">
        <f t="shared" si="3"/>
        <v/>
      </c>
      <c r="L35" s="73" t="str">
        <f t="shared" si="4"/>
        <v/>
      </c>
      <c r="N35" s="145"/>
    </row>
    <row r="36" spans="2:14" ht="12.75" customHeight="1">
      <c r="B36" s="70"/>
      <c r="C36" s="71"/>
      <c r="D36" s="72"/>
      <c r="E36" s="72"/>
      <c r="F36" s="72"/>
      <c r="G36" s="72"/>
      <c r="H36" s="73" t="str">
        <f t="shared" si="0"/>
        <v/>
      </c>
      <c r="I36" s="73" t="str">
        <f t="shared" si="1"/>
        <v/>
      </c>
      <c r="J36" s="73" t="str">
        <f t="shared" si="2"/>
        <v/>
      </c>
      <c r="K36" s="74" t="str">
        <f t="shared" si="3"/>
        <v/>
      </c>
      <c r="L36" s="73" t="str">
        <f t="shared" si="4"/>
        <v/>
      </c>
      <c r="N36" s="145"/>
    </row>
    <row r="37" spans="2:14" ht="12.75" customHeight="1">
      <c r="B37" s="70"/>
      <c r="C37" s="71"/>
      <c r="D37" s="72"/>
      <c r="E37" s="72"/>
      <c r="F37" s="72"/>
      <c r="G37" s="72"/>
      <c r="H37" s="73" t="str">
        <f t="shared" si="0"/>
        <v/>
      </c>
      <c r="I37" s="73" t="str">
        <f t="shared" si="1"/>
        <v/>
      </c>
      <c r="J37" s="73" t="str">
        <f t="shared" si="2"/>
        <v/>
      </c>
      <c r="K37" s="74" t="str">
        <f t="shared" si="3"/>
        <v/>
      </c>
      <c r="L37" s="73" t="str">
        <f t="shared" si="4"/>
        <v/>
      </c>
      <c r="N37" s="145"/>
    </row>
    <row r="38" spans="2:14" ht="12.75" customHeight="1">
      <c r="B38" s="70"/>
      <c r="C38" s="71"/>
      <c r="D38" s="72"/>
      <c r="E38" s="72"/>
      <c r="F38" s="72"/>
      <c r="G38" s="72"/>
      <c r="H38" s="73" t="str">
        <f t="shared" si="0"/>
        <v/>
      </c>
      <c r="I38" s="73" t="str">
        <f t="shared" si="1"/>
        <v/>
      </c>
      <c r="J38" s="73" t="str">
        <f t="shared" si="2"/>
        <v/>
      </c>
      <c r="K38" s="74" t="str">
        <f t="shared" si="3"/>
        <v/>
      </c>
      <c r="L38" s="73" t="str">
        <f t="shared" si="4"/>
        <v/>
      </c>
      <c r="N38" s="145"/>
    </row>
    <row r="39" spans="2:14" ht="12.75" customHeight="1">
      <c r="B39" s="70"/>
      <c r="C39" s="71"/>
      <c r="D39" s="72"/>
      <c r="E39" s="72"/>
      <c r="F39" s="72"/>
      <c r="G39" s="72"/>
      <c r="H39" s="73" t="str">
        <f t="shared" si="0"/>
        <v/>
      </c>
      <c r="I39" s="73" t="str">
        <f t="shared" si="1"/>
        <v/>
      </c>
      <c r="J39" s="73" t="str">
        <f t="shared" si="2"/>
        <v/>
      </c>
      <c r="K39" s="74" t="str">
        <f t="shared" si="3"/>
        <v/>
      </c>
      <c r="L39" s="73" t="str">
        <f t="shared" si="4"/>
        <v/>
      </c>
      <c r="N39" s="145"/>
    </row>
    <row r="40" spans="2:14" ht="12.75" customHeight="1">
      <c r="B40" s="70"/>
      <c r="C40" s="71"/>
      <c r="D40" s="72"/>
      <c r="E40" s="72"/>
      <c r="F40" s="72"/>
      <c r="G40" s="72"/>
      <c r="H40" s="73" t="str">
        <f t="shared" si="0"/>
        <v/>
      </c>
      <c r="I40" s="73" t="str">
        <f t="shared" si="1"/>
        <v/>
      </c>
      <c r="J40" s="73" t="str">
        <f t="shared" si="2"/>
        <v/>
      </c>
      <c r="K40" s="74" t="str">
        <f t="shared" si="3"/>
        <v/>
      </c>
      <c r="L40" s="73" t="str">
        <f t="shared" si="4"/>
        <v/>
      </c>
      <c r="N40" s="145"/>
    </row>
    <row r="41" spans="2:14" ht="12.75" customHeight="1">
      <c r="B41" s="70"/>
      <c r="C41" s="71"/>
      <c r="D41" s="72"/>
      <c r="E41" s="72"/>
      <c r="F41" s="72"/>
      <c r="G41" s="72"/>
      <c r="H41" s="73" t="str">
        <f t="shared" si="0"/>
        <v/>
      </c>
      <c r="I41" s="73" t="str">
        <f t="shared" si="1"/>
        <v/>
      </c>
      <c r="J41" s="73" t="str">
        <f t="shared" si="2"/>
        <v/>
      </c>
      <c r="K41" s="74" t="str">
        <f t="shared" si="3"/>
        <v/>
      </c>
      <c r="L41" s="73" t="str">
        <f t="shared" si="4"/>
        <v/>
      </c>
      <c r="N41" s="145"/>
    </row>
    <row r="42" spans="2:14" ht="12.75" customHeight="1">
      <c r="B42" s="70"/>
      <c r="C42" s="71"/>
      <c r="D42" s="72"/>
      <c r="E42" s="72"/>
      <c r="F42" s="72"/>
      <c r="G42" s="72"/>
      <c r="H42" s="73" t="str">
        <f t="shared" si="0"/>
        <v/>
      </c>
      <c r="I42" s="73" t="str">
        <f t="shared" si="1"/>
        <v/>
      </c>
      <c r="J42" s="73" t="str">
        <f t="shared" si="2"/>
        <v/>
      </c>
      <c r="K42" s="74" t="str">
        <f t="shared" si="3"/>
        <v/>
      </c>
      <c r="L42" s="73" t="str">
        <f t="shared" si="4"/>
        <v/>
      </c>
      <c r="N42" s="145"/>
    </row>
    <row r="43" spans="2:14" ht="12.75" customHeight="1">
      <c r="B43" s="70"/>
      <c r="C43" s="71"/>
      <c r="D43" s="72"/>
      <c r="E43" s="72"/>
      <c r="F43" s="72"/>
      <c r="G43" s="72"/>
      <c r="H43" s="73" t="str">
        <f t="shared" si="0"/>
        <v/>
      </c>
      <c r="I43" s="73" t="str">
        <f t="shared" si="1"/>
        <v/>
      </c>
      <c r="J43" s="73" t="str">
        <f t="shared" si="2"/>
        <v/>
      </c>
      <c r="K43" s="74" t="str">
        <f t="shared" si="3"/>
        <v/>
      </c>
      <c r="L43" s="73" t="str">
        <f t="shared" si="4"/>
        <v/>
      </c>
      <c r="N43" s="145"/>
    </row>
    <row r="44" spans="2:14" ht="12.75" customHeight="1">
      <c r="B44" s="70"/>
      <c r="C44" s="71"/>
      <c r="D44" s="72"/>
      <c r="E44" s="72"/>
      <c r="F44" s="72"/>
      <c r="G44" s="72"/>
      <c r="H44" s="73" t="str">
        <f t="shared" si="0"/>
        <v/>
      </c>
      <c r="I44" s="73" t="str">
        <f t="shared" si="1"/>
        <v/>
      </c>
      <c r="J44" s="73" t="str">
        <f t="shared" si="2"/>
        <v/>
      </c>
      <c r="K44" s="74" t="str">
        <f t="shared" si="3"/>
        <v/>
      </c>
      <c r="L44" s="73" t="str">
        <f t="shared" si="4"/>
        <v/>
      </c>
      <c r="N44" s="145"/>
    </row>
    <row r="45" spans="2:14" ht="12.75" customHeight="1">
      <c r="B45" s="70"/>
      <c r="C45" s="71"/>
      <c r="D45" s="72"/>
      <c r="E45" s="72"/>
      <c r="F45" s="72"/>
      <c r="G45" s="72"/>
      <c r="H45" s="73" t="str">
        <f t="shared" si="0"/>
        <v/>
      </c>
      <c r="I45" s="73" t="str">
        <f t="shared" si="1"/>
        <v/>
      </c>
      <c r="J45" s="73" t="str">
        <f t="shared" si="2"/>
        <v/>
      </c>
      <c r="K45" s="74" t="str">
        <f t="shared" si="3"/>
        <v/>
      </c>
      <c r="L45" s="73" t="str">
        <f t="shared" si="4"/>
        <v/>
      </c>
      <c r="N45" s="145"/>
    </row>
    <row r="46" spans="2:14" ht="12.75" customHeight="1">
      <c r="B46" s="70"/>
      <c r="C46" s="71"/>
      <c r="D46" s="72"/>
      <c r="E46" s="72"/>
      <c r="F46" s="72"/>
      <c r="G46" s="72"/>
      <c r="H46" s="73" t="str">
        <f t="shared" si="0"/>
        <v/>
      </c>
      <c r="I46" s="73" t="str">
        <f t="shared" si="1"/>
        <v/>
      </c>
      <c r="J46" s="73" t="str">
        <f t="shared" si="2"/>
        <v/>
      </c>
      <c r="K46" s="74" t="str">
        <f t="shared" si="3"/>
        <v/>
      </c>
      <c r="L46" s="73" t="str">
        <f t="shared" si="4"/>
        <v/>
      </c>
      <c r="N46" s="145"/>
    </row>
    <row r="47" spans="2:14" ht="12.75" customHeight="1">
      <c r="B47" s="70"/>
      <c r="C47" s="71"/>
      <c r="D47" s="72"/>
      <c r="E47" s="72"/>
      <c r="F47" s="72"/>
      <c r="G47" s="72"/>
      <c r="H47" s="73" t="str">
        <f t="shared" si="0"/>
        <v/>
      </c>
      <c r="I47" s="73" t="str">
        <f t="shared" si="1"/>
        <v/>
      </c>
      <c r="J47" s="73" t="str">
        <f t="shared" si="2"/>
        <v/>
      </c>
      <c r="K47" s="74" t="str">
        <f t="shared" si="3"/>
        <v/>
      </c>
      <c r="L47" s="73" t="str">
        <f t="shared" si="4"/>
        <v/>
      </c>
      <c r="N47" s="145"/>
    </row>
    <row r="48" spans="2:14" ht="12.75" customHeight="1">
      <c r="B48" s="70"/>
      <c r="C48" s="71"/>
      <c r="D48" s="72"/>
      <c r="E48" s="72"/>
      <c r="F48" s="72"/>
      <c r="G48" s="72"/>
      <c r="H48" s="73" t="str">
        <f t="shared" si="0"/>
        <v/>
      </c>
      <c r="I48" s="73" t="str">
        <f t="shared" si="1"/>
        <v/>
      </c>
      <c r="J48" s="73" t="str">
        <f t="shared" si="2"/>
        <v/>
      </c>
      <c r="K48" s="74" t="str">
        <f t="shared" si="3"/>
        <v/>
      </c>
      <c r="L48" s="73" t="str">
        <f t="shared" si="4"/>
        <v/>
      </c>
      <c r="N48" s="145"/>
    </row>
    <row r="49" spans="2:14" ht="12.75" customHeight="1">
      <c r="B49" s="70"/>
      <c r="C49" s="71"/>
      <c r="D49" s="72"/>
      <c r="E49" s="72"/>
      <c r="F49" s="72"/>
      <c r="G49" s="72"/>
      <c r="H49" s="73" t="str">
        <f t="shared" si="0"/>
        <v/>
      </c>
      <c r="I49" s="73" t="str">
        <f t="shared" si="1"/>
        <v/>
      </c>
      <c r="J49" s="73" t="str">
        <f t="shared" si="2"/>
        <v/>
      </c>
      <c r="K49" s="74" t="str">
        <f t="shared" si="3"/>
        <v/>
      </c>
      <c r="L49" s="73" t="str">
        <f t="shared" si="4"/>
        <v/>
      </c>
      <c r="N49" s="145"/>
    </row>
    <row r="50" spans="2:14" ht="12.75" customHeight="1">
      <c r="B50" s="70"/>
      <c r="C50" s="71"/>
      <c r="D50" s="72"/>
      <c r="E50" s="72"/>
      <c r="F50" s="72"/>
      <c r="G50" s="72"/>
      <c r="H50" s="73" t="str">
        <f t="shared" si="0"/>
        <v/>
      </c>
      <c r="I50" s="73" t="str">
        <f t="shared" si="1"/>
        <v/>
      </c>
      <c r="J50" s="73" t="str">
        <f t="shared" si="2"/>
        <v/>
      </c>
      <c r="K50" s="74" t="str">
        <f t="shared" si="3"/>
        <v/>
      </c>
      <c r="L50" s="73" t="str">
        <f t="shared" si="4"/>
        <v/>
      </c>
      <c r="N50" s="145"/>
    </row>
    <row r="51" spans="2:14" ht="12.75" customHeight="1">
      <c r="B51" s="70"/>
      <c r="C51" s="71"/>
      <c r="D51" s="72"/>
      <c r="E51" s="72"/>
      <c r="F51" s="72"/>
      <c r="G51" s="72"/>
      <c r="H51" s="73" t="str">
        <f t="shared" si="0"/>
        <v/>
      </c>
      <c r="I51" s="73" t="str">
        <f t="shared" si="1"/>
        <v/>
      </c>
      <c r="J51" s="73" t="str">
        <f t="shared" si="2"/>
        <v/>
      </c>
      <c r="K51" s="74" t="str">
        <f t="shared" si="3"/>
        <v/>
      </c>
      <c r="L51" s="73" t="str">
        <f t="shared" si="4"/>
        <v/>
      </c>
      <c r="N51" s="145"/>
    </row>
    <row r="52" spans="2:14" ht="12.75" customHeight="1">
      <c r="B52" s="70"/>
      <c r="C52" s="71"/>
      <c r="D52" s="72"/>
      <c r="E52" s="72"/>
      <c r="F52" s="72"/>
      <c r="G52" s="72"/>
      <c r="H52" s="73" t="str">
        <f t="shared" si="0"/>
        <v/>
      </c>
      <c r="I52" s="73" t="str">
        <f t="shared" si="1"/>
        <v/>
      </c>
      <c r="J52" s="73" t="str">
        <f t="shared" si="2"/>
        <v/>
      </c>
      <c r="K52" s="74" t="str">
        <f t="shared" si="3"/>
        <v/>
      </c>
      <c r="L52" s="73" t="str">
        <f t="shared" si="4"/>
        <v/>
      </c>
      <c r="N52" s="145"/>
    </row>
    <row r="53" spans="2:14" ht="12.75" customHeight="1">
      <c r="B53" s="70"/>
      <c r="C53" s="71"/>
      <c r="D53" s="72"/>
      <c r="E53" s="72"/>
      <c r="F53" s="72"/>
      <c r="G53" s="72"/>
      <c r="H53" s="73" t="str">
        <f t="shared" si="0"/>
        <v/>
      </c>
      <c r="I53" s="73" t="str">
        <f t="shared" si="1"/>
        <v/>
      </c>
      <c r="J53" s="73" t="str">
        <f t="shared" si="2"/>
        <v/>
      </c>
      <c r="K53" s="74" t="str">
        <f t="shared" si="3"/>
        <v/>
      </c>
      <c r="L53" s="73" t="str">
        <f t="shared" si="4"/>
        <v/>
      </c>
      <c r="N53" s="145"/>
    </row>
    <row r="54" spans="2:14" ht="12.75" customHeight="1">
      <c r="B54" s="70"/>
      <c r="C54" s="71"/>
      <c r="D54" s="72"/>
      <c r="E54" s="72"/>
      <c r="F54" s="72"/>
      <c r="G54" s="72"/>
      <c r="H54" s="73" t="str">
        <f t="shared" si="0"/>
        <v/>
      </c>
      <c r="I54" s="73" t="str">
        <f t="shared" si="1"/>
        <v/>
      </c>
      <c r="J54" s="73" t="str">
        <f t="shared" si="2"/>
        <v/>
      </c>
      <c r="K54" s="74" t="str">
        <f t="shared" si="3"/>
        <v/>
      </c>
      <c r="L54" s="73" t="str">
        <f t="shared" si="4"/>
        <v/>
      </c>
      <c r="N54" s="145"/>
    </row>
    <row r="55" spans="2:14" ht="12.75" customHeight="1">
      <c r="B55" s="70"/>
      <c r="C55" s="71"/>
      <c r="D55" s="72"/>
      <c r="E55" s="72"/>
      <c r="F55" s="72"/>
      <c r="G55" s="72"/>
      <c r="H55" s="73" t="str">
        <f t="shared" si="0"/>
        <v/>
      </c>
      <c r="I55" s="73" t="str">
        <f t="shared" si="1"/>
        <v/>
      </c>
      <c r="J55" s="73" t="str">
        <f t="shared" si="2"/>
        <v/>
      </c>
      <c r="K55" s="74" t="str">
        <f t="shared" si="3"/>
        <v/>
      </c>
      <c r="L55" s="73" t="str">
        <f t="shared" si="4"/>
        <v/>
      </c>
      <c r="N55" s="145"/>
    </row>
    <row r="56" spans="2:14" ht="12.75" customHeight="1">
      <c r="B56" s="70"/>
      <c r="C56" s="71"/>
      <c r="D56" s="72"/>
      <c r="E56" s="72"/>
      <c r="F56" s="72"/>
      <c r="G56" s="72"/>
      <c r="H56" s="73" t="str">
        <f t="shared" si="0"/>
        <v/>
      </c>
      <c r="I56" s="73" t="str">
        <f t="shared" si="1"/>
        <v/>
      </c>
      <c r="J56" s="73" t="str">
        <f t="shared" si="2"/>
        <v/>
      </c>
      <c r="K56" s="74" t="str">
        <f t="shared" si="3"/>
        <v/>
      </c>
      <c r="L56" s="73" t="str">
        <f t="shared" si="4"/>
        <v/>
      </c>
      <c r="N56" s="145"/>
    </row>
    <row r="57" spans="2:14" ht="12.75" customHeight="1">
      <c r="B57" s="70"/>
      <c r="C57" s="71"/>
      <c r="D57" s="72"/>
      <c r="E57" s="72"/>
      <c r="F57" s="72"/>
      <c r="G57" s="72"/>
      <c r="H57" s="73" t="str">
        <f t="shared" si="0"/>
        <v/>
      </c>
      <c r="I57" s="73" t="str">
        <f t="shared" si="1"/>
        <v/>
      </c>
      <c r="J57" s="73" t="str">
        <f t="shared" si="2"/>
        <v/>
      </c>
      <c r="K57" s="74" t="str">
        <f t="shared" si="3"/>
        <v/>
      </c>
      <c r="L57" s="73" t="str">
        <f t="shared" si="4"/>
        <v/>
      </c>
      <c r="N57" s="145"/>
    </row>
    <row r="58" spans="2:14" ht="12.75" customHeight="1">
      <c r="B58" s="70"/>
      <c r="C58" s="71"/>
      <c r="D58" s="72"/>
      <c r="E58" s="72"/>
      <c r="F58" s="72"/>
      <c r="G58" s="72"/>
      <c r="H58" s="73" t="str">
        <f t="shared" si="0"/>
        <v/>
      </c>
      <c r="I58" s="73" t="str">
        <f t="shared" si="1"/>
        <v/>
      </c>
      <c r="J58" s="73" t="str">
        <f t="shared" si="2"/>
        <v/>
      </c>
      <c r="K58" s="74" t="str">
        <f t="shared" si="3"/>
        <v/>
      </c>
      <c r="L58" s="73" t="str">
        <f t="shared" si="4"/>
        <v/>
      </c>
      <c r="N58" s="145"/>
    </row>
    <row r="59" spans="2:14" ht="12.75" customHeight="1">
      <c r="B59" s="70"/>
      <c r="C59" s="71"/>
      <c r="D59" s="72"/>
      <c r="E59" s="72"/>
      <c r="F59" s="72"/>
      <c r="G59" s="72"/>
      <c r="H59" s="73" t="str">
        <f t="shared" si="0"/>
        <v/>
      </c>
      <c r="I59" s="73" t="str">
        <f t="shared" si="1"/>
        <v/>
      </c>
      <c r="J59" s="73" t="str">
        <f t="shared" si="2"/>
        <v/>
      </c>
      <c r="K59" s="74" t="str">
        <f t="shared" si="3"/>
        <v/>
      </c>
      <c r="L59" s="73" t="str">
        <f t="shared" si="4"/>
        <v/>
      </c>
      <c r="N59" s="145"/>
    </row>
    <row r="60" spans="2:14" ht="12.75" customHeight="1">
      <c r="B60" s="70"/>
      <c r="C60" s="71"/>
      <c r="D60" s="72"/>
      <c r="E60" s="72"/>
      <c r="F60" s="72"/>
      <c r="G60" s="72"/>
      <c r="H60" s="73" t="str">
        <f t="shared" si="0"/>
        <v/>
      </c>
      <c r="I60" s="73" t="str">
        <f t="shared" si="1"/>
        <v/>
      </c>
      <c r="J60" s="73" t="str">
        <f t="shared" si="2"/>
        <v/>
      </c>
      <c r="K60" s="74" t="str">
        <f t="shared" si="3"/>
        <v/>
      </c>
      <c r="L60" s="73" t="str">
        <f t="shared" si="4"/>
        <v/>
      </c>
      <c r="N60" s="145"/>
    </row>
    <row r="61" spans="2:14" ht="12.75" customHeight="1">
      <c r="B61" s="70"/>
      <c r="C61" s="71"/>
      <c r="D61" s="72"/>
      <c r="E61" s="72"/>
      <c r="F61" s="72"/>
      <c r="G61" s="72"/>
      <c r="H61" s="73" t="str">
        <f t="shared" si="0"/>
        <v/>
      </c>
      <c r="I61" s="73" t="str">
        <f t="shared" si="1"/>
        <v/>
      </c>
      <c r="J61" s="73" t="str">
        <f t="shared" si="2"/>
        <v/>
      </c>
      <c r="K61" s="74" t="str">
        <f t="shared" si="3"/>
        <v/>
      </c>
      <c r="L61" s="73" t="str">
        <f t="shared" si="4"/>
        <v/>
      </c>
      <c r="N61" s="145"/>
    </row>
    <row r="62" spans="2:14" ht="12.75" customHeight="1">
      <c r="B62" s="70"/>
      <c r="C62" s="71"/>
      <c r="D62" s="72"/>
      <c r="E62" s="72"/>
      <c r="F62" s="72"/>
      <c r="G62" s="72"/>
      <c r="H62" s="73" t="str">
        <f t="shared" si="0"/>
        <v/>
      </c>
      <c r="I62" s="73" t="str">
        <f t="shared" si="1"/>
        <v/>
      </c>
      <c r="J62" s="73" t="str">
        <f t="shared" si="2"/>
        <v/>
      </c>
      <c r="K62" s="74" t="str">
        <f t="shared" si="3"/>
        <v/>
      </c>
      <c r="L62" s="73" t="str">
        <f t="shared" si="4"/>
        <v/>
      </c>
      <c r="N62" s="145"/>
    </row>
    <row r="63" spans="2:14" ht="12.75" customHeight="1">
      <c r="B63" s="70"/>
      <c r="C63" s="71"/>
      <c r="D63" s="72"/>
      <c r="E63" s="72"/>
      <c r="F63" s="72"/>
      <c r="G63" s="72"/>
      <c r="H63" s="73" t="str">
        <f t="shared" si="0"/>
        <v/>
      </c>
      <c r="I63" s="73" t="str">
        <f t="shared" si="1"/>
        <v/>
      </c>
      <c r="J63" s="73" t="str">
        <f t="shared" si="2"/>
        <v/>
      </c>
      <c r="K63" s="74" t="str">
        <f t="shared" si="3"/>
        <v/>
      </c>
      <c r="L63" s="73" t="str">
        <f t="shared" si="4"/>
        <v/>
      </c>
      <c r="N63" s="145"/>
    </row>
    <row r="64" spans="2:14" ht="12.75" customHeight="1">
      <c r="B64" s="70"/>
      <c r="C64" s="71"/>
      <c r="D64" s="72"/>
      <c r="E64" s="72"/>
      <c r="F64" s="72"/>
      <c r="G64" s="72"/>
      <c r="H64" s="73" t="str">
        <f t="shared" si="0"/>
        <v/>
      </c>
      <c r="I64" s="73" t="str">
        <f t="shared" si="1"/>
        <v/>
      </c>
      <c r="J64" s="73" t="str">
        <f t="shared" si="2"/>
        <v/>
      </c>
      <c r="K64" s="74" t="str">
        <f t="shared" si="3"/>
        <v/>
      </c>
      <c r="L64" s="73" t="str">
        <f t="shared" si="4"/>
        <v/>
      </c>
      <c r="N64" s="145"/>
    </row>
    <row r="65" spans="2:14" ht="12.75" customHeight="1">
      <c r="B65" s="70"/>
      <c r="C65" s="71"/>
      <c r="D65" s="72"/>
      <c r="E65" s="72"/>
      <c r="F65" s="72"/>
      <c r="G65" s="72"/>
      <c r="H65" s="73" t="str">
        <f t="shared" si="0"/>
        <v/>
      </c>
      <c r="I65" s="73" t="str">
        <f t="shared" si="1"/>
        <v/>
      </c>
      <c r="J65" s="73" t="str">
        <f t="shared" si="2"/>
        <v/>
      </c>
      <c r="K65" s="74" t="str">
        <f t="shared" si="3"/>
        <v/>
      </c>
      <c r="L65" s="73" t="str">
        <f t="shared" si="4"/>
        <v/>
      </c>
      <c r="N65" s="145"/>
    </row>
    <row r="66" spans="2:14" ht="12.75" customHeight="1">
      <c r="B66" s="70"/>
      <c r="C66" s="71"/>
      <c r="D66" s="72"/>
      <c r="E66" s="72"/>
      <c r="F66" s="72"/>
      <c r="G66" s="72"/>
      <c r="H66" s="73" t="str">
        <f t="shared" si="0"/>
        <v/>
      </c>
      <c r="I66" s="73" t="str">
        <f t="shared" si="1"/>
        <v/>
      </c>
      <c r="J66" s="73" t="str">
        <f t="shared" si="2"/>
        <v/>
      </c>
      <c r="K66" s="74" t="str">
        <f t="shared" si="3"/>
        <v/>
      </c>
      <c r="L66" s="73" t="str">
        <f t="shared" si="4"/>
        <v/>
      </c>
      <c r="N66" s="145"/>
    </row>
    <row r="67" spans="2:14" ht="12.75" customHeight="1">
      <c r="B67" s="70"/>
      <c r="C67" s="71"/>
      <c r="D67" s="72"/>
      <c r="E67" s="72"/>
      <c r="F67" s="72"/>
      <c r="G67" s="72"/>
      <c r="H67" s="73" t="str">
        <f t="shared" si="0"/>
        <v/>
      </c>
      <c r="I67" s="73" t="str">
        <f t="shared" si="1"/>
        <v/>
      </c>
      <c r="J67" s="73" t="str">
        <f t="shared" si="2"/>
        <v/>
      </c>
      <c r="K67" s="74" t="str">
        <f t="shared" si="3"/>
        <v/>
      </c>
      <c r="L67" s="73" t="str">
        <f t="shared" si="4"/>
        <v/>
      </c>
      <c r="N67" s="145"/>
    </row>
    <row r="68" spans="2:14" ht="12.75" customHeight="1">
      <c r="B68" s="70"/>
      <c r="C68" s="71"/>
      <c r="D68" s="72"/>
      <c r="E68" s="72"/>
      <c r="F68" s="72"/>
      <c r="G68" s="72"/>
      <c r="H68" s="73" t="str">
        <f t="shared" si="0"/>
        <v/>
      </c>
      <c r="I68" s="73" t="str">
        <f t="shared" si="1"/>
        <v/>
      </c>
      <c r="J68" s="73" t="str">
        <f t="shared" si="2"/>
        <v/>
      </c>
      <c r="K68" s="74" t="str">
        <f t="shared" si="3"/>
        <v/>
      </c>
      <c r="L68" s="73" t="str">
        <f t="shared" si="4"/>
        <v/>
      </c>
      <c r="N68" s="145"/>
    </row>
    <row r="69" spans="2:14" ht="12.75" customHeight="1">
      <c r="B69" s="70"/>
      <c r="C69" s="71"/>
      <c r="D69" s="72"/>
      <c r="E69" s="72"/>
      <c r="F69" s="72"/>
      <c r="G69" s="72"/>
      <c r="H69" s="73" t="str">
        <f t="shared" si="0"/>
        <v/>
      </c>
      <c r="I69" s="73" t="str">
        <f t="shared" si="1"/>
        <v/>
      </c>
      <c r="J69" s="73" t="str">
        <f t="shared" si="2"/>
        <v/>
      </c>
      <c r="K69" s="74" t="str">
        <f t="shared" si="3"/>
        <v/>
      </c>
      <c r="L69" s="73" t="str">
        <f t="shared" si="4"/>
        <v/>
      </c>
      <c r="N69" s="145"/>
    </row>
    <row r="70" spans="2:14" ht="12.75" customHeight="1">
      <c r="B70" s="70"/>
      <c r="C70" s="71"/>
      <c r="D70" s="72"/>
      <c r="E70" s="72"/>
      <c r="F70" s="72"/>
      <c r="G70" s="72"/>
      <c r="H70" s="73" t="str">
        <f t="shared" si="0"/>
        <v/>
      </c>
      <c r="I70" s="73" t="str">
        <f t="shared" si="1"/>
        <v/>
      </c>
      <c r="J70" s="73" t="str">
        <f t="shared" si="2"/>
        <v/>
      </c>
      <c r="K70" s="74" t="str">
        <f t="shared" si="3"/>
        <v/>
      </c>
      <c r="L70" s="73" t="str">
        <f t="shared" si="4"/>
        <v/>
      </c>
      <c r="N70" s="145"/>
    </row>
    <row r="71" spans="2:14" ht="12.75" customHeight="1">
      <c r="B71" s="75"/>
      <c r="C71" s="76"/>
      <c r="D71" s="76"/>
      <c r="E71" s="76"/>
      <c r="F71" s="77"/>
      <c r="G71" s="77"/>
      <c r="H71" s="77"/>
      <c r="I71" s="77"/>
      <c r="J71" s="77"/>
      <c r="K71" s="77"/>
      <c r="L71" s="77"/>
    </row>
    <row r="72" spans="2:14" ht="39.4" customHeight="1">
      <c r="B72" s="1082" t="s">
        <v>134</v>
      </c>
      <c r="C72" s="1084" t="s">
        <v>135</v>
      </c>
      <c r="D72" s="1085"/>
      <c r="E72" s="1085"/>
      <c r="F72" s="1086"/>
      <c r="G72" s="77"/>
      <c r="H72" s="1090" t="s">
        <v>136</v>
      </c>
      <c r="I72" s="1090"/>
      <c r="J72" s="1091"/>
      <c r="K72" s="1091"/>
      <c r="L72" s="1091"/>
    </row>
    <row r="73" spans="2:14" ht="12.75" customHeight="1">
      <c r="B73" s="1083"/>
      <c r="C73" s="1087"/>
      <c r="D73" s="1088"/>
      <c r="E73" s="1088"/>
      <c r="F73" s="1089"/>
      <c r="G73" s="77"/>
      <c r="H73" s="1090"/>
      <c r="I73" s="1090"/>
      <c r="J73" s="1091"/>
      <c r="K73" s="1091"/>
      <c r="L73" s="1091"/>
    </row>
    <row r="74" spans="2:14" ht="12.75" customHeight="1">
      <c r="B74" s="63"/>
      <c r="C74" s="77"/>
      <c r="D74" s="77"/>
      <c r="E74" s="77"/>
      <c r="F74" s="77"/>
      <c r="G74" s="77"/>
      <c r="H74" s="77"/>
      <c r="I74" s="77"/>
      <c r="J74" s="77"/>
      <c r="K74" s="77"/>
      <c r="L74" s="77"/>
    </row>
  </sheetData>
  <sheetProtection formatCells="0" selectLockedCells="1"/>
  <mergeCells count="35">
    <mergeCell ref="C2:I6"/>
    <mergeCell ref="J3:L6"/>
    <mergeCell ref="B8:D8"/>
    <mergeCell ref="E8:G8"/>
    <mergeCell ref="H8:I8"/>
    <mergeCell ref="J8:L8"/>
    <mergeCell ref="B9:D9"/>
    <mergeCell ref="E9:G9"/>
    <mergeCell ref="H9:I9"/>
    <mergeCell ref="J9:L9"/>
    <mergeCell ref="E17:F17"/>
    <mergeCell ref="G17:I17"/>
    <mergeCell ref="J17:L17"/>
    <mergeCell ref="E15:F15"/>
    <mergeCell ref="K15:L15"/>
    <mergeCell ref="E11:F11"/>
    <mergeCell ref="K11:L11"/>
    <mergeCell ref="H11:I11"/>
    <mergeCell ref="H14:I14"/>
    <mergeCell ref="H15:I15"/>
    <mergeCell ref="E14:F14"/>
    <mergeCell ref="K14:L14"/>
    <mergeCell ref="E18:F18"/>
    <mergeCell ref="G18:I18"/>
    <mergeCell ref="J18:L18"/>
    <mergeCell ref="B72:B73"/>
    <mergeCell ref="C72:F73"/>
    <mergeCell ref="H72:I73"/>
    <mergeCell ref="J72:L73"/>
    <mergeCell ref="E12:F12"/>
    <mergeCell ref="H12:I12"/>
    <mergeCell ref="K12:L12"/>
    <mergeCell ref="E13:F13"/>
    <mergeCell ref="H13:I13"/>
    <mergeCell ref="K13:L13"/>
  </mergeCells>
  <printOptions horizontalCentered="1" verticalCentered="1"/>
  <pageMargins left="0.39370078740157483" right="0.19685039370078741" top="0.59055118110236227" bottom="0.39370078740157483" header="0" footer="0"/>
  <pageSetup paperSize="9" scale="76" orientation="portrait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1BA98A-7EE7-4AC3-8F70-47D64D65F8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250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32</vt:i4>
      </vt:variant>
    </vt:vector>
  </HeadingPairs>
  <TitlesOfParts>
    <vt:vector size="43" baseType="lpstr">
      <vt:lpstr>ULLAGE REP</vt:lpstr>
      <vt:lpstr>Sayfa1</vt:lpstr>
      <vt:lpstr>MASTER</vt:lpstr>
      <vt:lpstr>ULLAGE TRIM CORR</vt:lpstr>
      <vt:lpstr>MAIN ULAGE</vt:lpstr>
      <vt:lpstr>STOWAGE</vt:lpstr>
      <vt:lpstr>PROTEST</vt:lpstr>
      <vt:lpstr>TAHLİYE FARK</vt:lpstr>
      <vt:lpstr>THERMAL_CORR</vt:lpstr>
      <vt:lpstr>ULLAGE_TABLES</vt:lpstr>
      <vt:lpstr>PUMPAGE_LOG_DISCH</vt:lpstr>
      <vt:lpstr>COT1P</vt:lpstr>
      <vt:lpstr>COT1S</vt:lpstr>
      <vt:lpstr>COT2P</vt:lpstr>
      <vt:lpstr>COT2S</vt:lpstr>
      <vt:lpstr>COT3P</vt:lpstr>
      <vt:lpstr>COT3S</vt:lpstr>
      <vt:lpstr>COT4P</vt:lpstr>
      <vt:lpstr>COT4S</vt:lpstr>
      <vt:lpstr>COT5P</vt:lpstr>
      <vt:lpstr>COT5S</vt:lpstr>
      <vt:lpstr>COT6P</vt:lpstr>
      <vt:lpstr>COT6S</vt:lpstr>
      <vt:lpstr>COT7P</vt:lpstr>
      <vt:lpstr>COT7S</vt:lpstr>
      <vt:lpstr>COT8P</vt:lpstr>
      <vt:lpstr>COT8S</vt:lpstr>
      <vt:lpstr>COT9P</vt:lpstr>
      <vt:lpstr>GRADES</vt:lpstr>
      <vt:lpstr>MASTER</vt:lpstr>
      <vt:lpstr>MASTER_TABLE</vt:lpstr>
      <vt:lpstr>PARCELS</vt:lpstr>
      <vt:lpstr>'MAIN ULAGE'!Print_Area</vt:lpstr>
      <vt:lpstr>PUMPAGE_LOG_DISCH!Print_Area</vt:lpstr>
      <vt:lpstr>STOWAGE!Print_Area</vt:lpstr>
      <vt:lpstr>'ULLAGE REP'!Print_Area</vt:lpstr>
      <vt:lpstr>'ULLAGE TRIM CORR'!Print_Area</vt:lpstr>
      <vt:lpstr>SLOPP</vt:lpstr>
      <vt:lpstr>SLOPS</vt:lpstr>
      <vt:lpstr>T_CORR</vt:lpstr>
      <vt:lpstr>TANK1P</vt:lpstr>
      <vt:lpstr>PUMPAGE_LOG_DISCH!Text1</vt:lpstr>
      <vt:lpstr>ULLAGE_RANGE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</dc:creator>
  <cp:lastModifiedBy>AKIN ARIDICI</cp:lastModifiedBy>
  <cp:revision>20</cp:revision>
  <cp:lastPrinted>2025-12-11T13:00:48Z</cp:lastPrinted>
  <dcterms:created xsi:type="dcterms:W3CDTF">2020-05-22T13:18:15Z</dcterms:created>
  <dcterms:modified xsi:type="dcterms:W3CDTF">2025-12-21T17:11:19Z</dcterms:modified>
</cp:coreProperties>
</file>